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&amp; Analisa" sheetId="1" state="visible" r:id="rId3"/>
    <sheet name="Perbandingan Pola" sheetId="2" state="visible" r:id="rId4"/>
    <sheet name="Grafik" sheetId="3" state="visible" r:id="rId5"/>
  </sheets>
  <definedNames>
    <definedName function="false" hidden="false" localSheetId="2" name="_xlnm.Print_Area" vbProcedure="false">Grafik!$A$1:$W$95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Dari Anchor_Extension_Record.xlsx</t>
        </r>
      </text>
    </comment>
    <comment ref="B6" authorId="0">
      <text>
        <r>
          <rPr>
            <sz val="10"/>
            <rFont val="Arial"/>
            <family val="2"/>
          </rPr>
          <t xml:space="preserve">Dari record</t>
        </r>
      </text>
    </comment>
    <comment ref="B7" authorId="0">
      <text>
        <r>
          <rPr>
            <sz val="10"/>
            <rFont val="Arial"/>
            <family val="2"/>
          </rPr>
          <t xml:space="preserve">Dari record</t>
        </r>
      </text>
    </comment>
    <comment ref="B8" authorId="0">
      <text>
        <r>
          <rPr>
            <sz val="10"/>
            <rFont val="Arial"/>
            <family val="2"/>
          </rPr>
          <t xml:space="preserve">Dari record</t>
        </r>
      </text>
    </comment>
    <comment ref="B9" authorId="0">
      <text>
        <r>
          <rPr>
            <sz val="10"/>
            <rFont val="Arial"/>
            <family val="2"/>
          </rPr>
          <t xml:space="preserve">Dari record</t>
        </r>
      </text>
    </comment>
    <comment ref="B10" authorId="0">
      <text>
        <r>
          <rPr>
            <sz val="10"/>
            <rFont val="Arial"/>
            <family val="2"/>
          </rPr>
          <t xml:space="preserve">Dari record</t>
        </r>
      </text>
    </comment>
    <comment ref="B11" authorId="0">
      <text>
        <r>
          <rPr>
            <sz val="10"/>
            <rFont val="Arial"/>
            <family val="2"/>
          </rPr>
          <t xml:space="preserve">Dari record: 5 nos dia 0.5"</t>
        </r>
      </text>
    </comment>
    <comment ref="B12" authorId="0">
      <text>
        <r>
          <rPr>
            <sz val="10"/>
            <rFont val="Arial"/>
            <family val="2"/>
          </rPr>
          <t xml:space="preserve">Asumsi: strand 12.7 mm (0.5") standar, 98.7 mm²</t>
        </r>
      </text>
    </comment>
    <comment ref="B13" authorId="0">
      <text>
        <r>
          <rPr>
            <sz val="10"/>
            <rFont val="Arial"/>
            <family val="2"/>
          </rPr>
          <t xml:space="preserve">Asumsi: nilai tipikal strand 7-wire; ganti dengan sertifikat pabrik</t>
        </r>
      </text>
    </comment>
    <comment ref="B14" authorId="0">
      <text>
        <r>
          <rPr>
            <sz val="10"/>
            <rFont val="Arial"/>
            <family val="2"/>
          </rPr>
          <t xml:space="preserve">Asumsi 0 — isi bila diketahui (menambah panjang bebas efektif)</t>
        </r>
      </text>
    </comment>
    <comment ref="B15" authorId="0">
      <text>
        <r>
          <rPr>
            <sz val="10"/>
            <rFont val="Arial"/>
            <family val="2"/>
          </rPr>
          <t xml:space="preserve">Dari record</t>
        </r>
      </text>
    </comment>
    <comment ref="B16" authorId="0">
      <text>
        <r>
          <rPr>
            <sz val="10"/>
            <rFont val="Arial"/>
            <family val="2"/>
          </rPr>
          <t xml:space="preserve">Dari record</t>
        </r>
      </text>
    </comment>
    <comment ref="I50" authorId="0">
      <text>
        <r>
          <rPr>
            <sz val="10"/>
            <rFont val="Arial"/>
            <family val="2"/>
          </rPr>
          <t xml:space="preserve">Siklus 1 biasanya masih mengandung bedding/seating wedge; evaluasi utama memakai siklus terakhir (siklus 3).</t>
        </r>
      </text>
    </comment>
  </commentList>
</comments>
</file>

<file path=xl/sharedStrings.xml><?xml version="1.0" encoding="utf-8"?>
<sst xmlns="http://schemas.openxmlformats.org/spreadsheetml/2006/main" count="141" uniqueCount="108">
  <si>
    <t xml:space="preserve">Analisa Uji Angkur GA 22. P 2 terhadap BS 8081 (On-site acceptance test)</t>
  </si>
  <si>
    <t xml:space="preserve">Teks biru = input (dapat diubah); teks hitam = rumus. Semua hasil dihitung ulang otomatis.</t>
  </si>
  <si>
    <t xml:space="preserve">DATA ANGKUR</t>
  </si>
  <si>
    <t xml:space="preserve">Testing date</t>
  </si>
  <si>
    <t xml:space="preserve">02.10.2026</t>
  </si>
  <si>
    <t xml:space="preserve">Dari Anchor_Extension_Record.xlsx</t>
  </si>
  <si>
    <t xml:space="preserve">Anchor ID</t>
  </si>
  <si>
    <t xml:space="preserve">GA 22. P 2</t>
  </si>
  <si>
    <t xml:space="preserve">Dari record</t>
  </si>
  <si>
    <t xml:space="preserve">Anchor type</t>
  </si>
  <si>
    <t xml:space="preserve">PGA2-R2</t>
  </si>
  <si>
    <t xml:space="preserve">Working load, Tw (kN)</t>
  </si>
  <si>
    <t xml:space="preserve">Free length, Lf (m)</t>
  </si>
  <si>
    <t xml:space="preserve">Fixed / bond length, Lb (m)</t>
  </si>
  <si>
    <t xml:space="preserve">Jumlah strand</t>
  </si>
  <si>
    <t xml:space="preserve">Dari record: 5 nos dia 0.5"</t>
  </si>
  <si>
    <t xml:space="preserve">Luas 1 strand (mm²)</t>
  </si>
  <si>
    <t xml:space="preserve">Asumsi: strand 12.7 mm (0.5") standar, 98.7 mm²</t>
  </si>
  <si>
    <t xml:space="preserve">Modulus elastisitas Es (kN/mm²)</t>
  </si>
  <si>
    <t xml:space="preserve">Asumsi: nilai tipikal strand 7-wire; ganti dengan sertifikat pabrik</t>
  </si>
  <si>
    <t xml:space="preserve">Panjang tendon di dalam jack (m)</t>
  </si>
  <si>
    <t xml:space="preserve">Asumsi 0 — isi bila diketahui (menambah panjang bebas efektif)</t>
  </si>
  <si>
    <t xml:space="preserve">Theoretical ext'n lower (mm)</t>
  </si>
  <si>
    <t xml:space="preserve">Theoretical ext'n upper (mm)</t>
  </si>
  <si>
    <t xml:space="preserve">Luas tendon At (mm²)</t>
  </si>
  <si>
    <t xml:space="preserve">Beban datum T0 (kN)</t>
  </si>
  <si>
    <t xml:space="preserve">Beban uji Tp (kN)</t>
  </si>
  <si>
    <t xml:space="preserve">Tp / Tw</t>
  </si>
  <si>
    <t xml:space="preserve">Perpanjangan teoritis per m (mm/m) = (Tp-T0)·1000/(At·Es)</t>
  </si>
  <si>
    <t xml:space="preserve">Siklus</t>
  </si>
  <si>
    <t xml:space="preserve">Beban (kN)</t>
  </si>
  <si>
    <t xml:space="preserve">% Tw</t>
  </si>
  <si>
    <t xml:space="preserve">Gauge (psi)</t>
  </si>
  <si>
    <t xml:space="preserve">Tahan (menit)</t>
  </si>
  <si>
    <t xml:space="preserve">Ram ext. (mm)</t>
  </si>
  <si>
    <t xml:space="preserve">Perpindahan relatif thd awal (mm)</t>
  </si>
  <si>
    <t xml:space="preserve">Perpindahan dlm siklus (mm)</t>
  </si>
  <si>
    <t xml:space="preserve">Data uji (sumber: Anchor_Extension_Record.xlsx)</t>
  </si>
  <si>
    <t xml:space="preserve">1st Cycle</t>
  </si>
  <si>
    <t xml:space="preserve">-</t>
  </si>
  <si>
    <t xml:space="preserve">2nd Cycle</t>
  </si>
  <si>
    <t xml:space="preserve">3rd Cycle</t>
  </si>
  <si>
    <t xml:space="preserve">EVALUASI BS 8081 — PANJANG TENDON BEBAS SEMU (apparent free tendon length)</t>
  </si>
  <si>
    <t xml:space="preserve">Ext. di Tp (mm)</t>
  </si>
  <si>
    <t xml:space="preserve">Ext. setelah kembali ke datum (mm)</t>
  </si>
  <si>
    <t xml:space="preserve">Elastik δe (mm)</t>
  </si>
  <si>
    <t xml:space="preserve">Permanen kumulatif (mm)</t>
  </si>
  <si>
    <t xml:space="preserve">L_app (m)</t>
  </si>
  <si>
    <t xml:space="preserve">Batas bawah 0.9·Lf (m)</t>
  </si>
  <si>
    <t xml:space="preserve">Batas atas Lf+0.5·Lb (m)</t>
  </si>
  <si>
    <t xml:space="preserve">Status</t>
  </si>
  <si>
    <t xml:space="preserve">Siklus 1</t>
  </si>
  <si>
    <t xml:space="preserve">Siklus 2</t>
  </si>
  <si>
    <t xml:space="preserve">Siklus 3</t>
  </si>
  <si>
    <t xml:space="preserve">CATATAN</t>
  </si>
  <si>
    <t xml:space="preserve">Kriteria</t>
  </si>
  <si>
    <t xml:space="preserve">BS 8081 (acceptance test): 0.9·Lf ≤ L_app ≤ Lf + 0.5·Lb, dgn L_app = At·Es·δe/(Tp−T0). Evaluasi utama: siklus terakhir.</t>
  </si>
  <si>
    <t xml:space="preserve">Creep di Tp</t>
  </si>
  <si>
    <t xml:space="preserve">TIDAK DAPAT DIEVALUASI — record hanya 1 bacaan pada akhir tahan 15 menit; standar meminta bacaan berkala (mis. 1, 5, 15 menit) dan creep ≤ 5% ext. elastik.</t>
  </si>
  <si>
    <t xml:space="preserve">Anomali</t>
  </si>
  <si>
    <t xml:space="preserve">Bacaan datum turun antar siklus (37 → 19 → 16 mm) sehingga perpindahan permanen negatif; tidak sesuai pola standar (lihat sheet 'Perbandingan Pola').</t>
  </si>
  <si>
    <t xml:space="preserve">Kesimpulan</t>
  </si>
  <si>
    <t xml:space="preserve">Kriteria panjang bebas semu: OK (siklus 2 &amp; 3). Kelulusan penuh belum dapat dinyatakan sebelum data creep dilengkapi &amp; anomali dikonfirmasi.</t>
  </si>
  <si>
    <t xml:space="preserve">DATA BANTU GRAFIK — Elastik vs beban (siklus 3) &amp; garis batas</t>
  </si>
  <si>
    <t xml:space="preserve">T−T0 (kN)</t>
  </si>
  <si>
    <t xml:space="preserve">Elastik siklus 3 (mm)</t>
  </si>
  <si>
    <t xml:space="preserve">Batas bawah 0.9Lf (mm)</t>
  </si>
  <si>
    <t xml:space="preserve">Lf teoritis (mm)</t>
  </si>
  <si>
    <t xml:space="preserve">Batas atas Lf+0.5Lb (mm)</t>
  </si>
  <si>
    <t xml:space="preserve">Elastik di Tp (mm)</t>
  </si>
  <si>
    <t xml:space="preserve">x @Tp (kN)</t>
  </si>
  <si>
    <t xml:space="preserve">Pola tipikal BS 8081 (angkur permanen, 3 siklus) vs data uji — dinormalisasi</t>
  </si>
  <si>
    <t xml:space="preserve">Pola standar didigitasi secara skematik dari gambar BS 8081 'Load increments and minimum periods of observation for on-site acceptance tests — (b) Permanent anchorage' (gambar yang ada di record). Sumbu perpindahan pada standar tidak berskala, maka kedua pola dinormalisasi: 0 = bacaan awal, 1 = perpindahan maksimum.</t>
  </si>
  <si>
    <t xml:space="preserve">Pola standar (normalisasi, input digitasi)</t>
  </si>
  <si>
    <t xml:space="preserve">Data uji (normalisasi, rumus)</t>
  </si>
  <si>
    <t xml:space="preserve">Beban (% Tw)</t>
  </si>
  <si>
    <t xml:space="preserve">Std S1</t>
  </si>
  <si>
    <t xml:space="preserve">Std S2</t>
  </si>
  <si>
    <t xml:space="preserve">Std S3</t>
  </si>
  <si>
    <t xml:space="preserve">Uji S1</t>
  </si>
  <si>
    <t xml:space="preserve">Uji S2</t>
  </si>
  <si>
    <t xml:space="preserve">Uji S3</t>
  </si>
  <si>
    <t xml:space="preserve">PERBANDINGAN KARAKTERISTIK</t>
  </si>
  <si>
    <t xml:space="preserve">Aspek</t>
  </si>
  <si>
    <t xml:space="preserve">Pola umum BS 8081</t>
  </si>
  <si>
    <t xml:space="preserve">Data uji GA 22. P 2</t>
  </si>
  <si>
    <t xml:space="preserve">Sesuai?</t>
  </si>
  <si>
    <t xml:space="preserve">Bentuk kurva pembebanan</t>
  </si>
  <si>
    <t xml:space="preserve">Cekung ke bawah (kekakuan menurun saat beban naik), kurva bongkar lebih curam dari kurva muat (histeresis).</t>
  </si>
  <si>
    <t xml:space="preserve">Kurva muat &amp; bongkar membentuk loop histeresis; kurva bongkar lebih curam di siklus 1–3.</t>
  </si>
  <si>
    <t xml:space="preserve">Ya</t>
  </si>
  <si>
    <t xml:space="preserve">Pergeseran loop antar siklus</t>
  </si>
  <si>
    <t xml:space="preserve">Tiap siklus bergeser ke kanan: perpindahan permanen di datum bertambah (S1 &lt; S2 &lt; S3).</t>
  </si>
  <si>
    <t xml:space="preserve">Tidak</t>
  </si>
  <si>
    <t xml:space="preserve">Perpindahan di Tp tiap siklus</t>
  </si>
  <si>
    <t xml:space="preserve">Meningkat sedikit tiap siklus (akumulasi permanen + creep).</t>
  </si>
  <si>
    <t xml:space="preserve">Sebagian</t>
  </si>
  <si>
    <t xml:space="preserve">Perpindahan elastik tiap siklus</t>
  </si>
  <si>
    <t xml:space="preserve">Relatif konsisten antar siklus dan dalam batas 0.9Lf … Lf+0.5Lb.</t>
  </si>
  <si>
    <t xml:space="preserve">Tahanan 15 menit di Tp</t>
  </si>
  <si>
    <t xml:space="preserve">Segmen horizontal kecil (creep) yang tercatat pada beberapa bacaan waktu.</t>
  </si>
  <si>
    <t xml:space="preserve">Hanya satu bacaan per tahanan — creep tidak dapat dinilai.</t>
  </si>
  <si>
    <t xml:space="preserve">Tidak dapat dinilai</t>
  </si>
  <si>
    <t xml:space="preserve">Perpindahan permanen akhir</t>
  </si>
  <si>
    <t xml:space="preserve">Positif dan bertambah; sisa setelah siklus 3 &gt; siklus 1.</t>
  </si>
  <si>
    <t xml:space="preserve">Grafik uji angkur GA 22. P 2 — format sesuai rekomendasi BS 8081</t>
  </si>
  <si>
    <t xml:space="preserve">Catatan: grafik (c) adalah digitasi skematik dari gambar standar (sumbu perpindahan pada standar tidak berskala); perbandingan bersifat kualitatif (bentuk &amp; urutan loop).</t>
  </si>
  <si>
    <t xml:space="preserve">Gambar acuan dari record (BS 8081): (a) temporary, (b) permanent anchorage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</si>
</sst>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"/>
    <numFmt numFmtId="167" formatCode="0.0"/>
    <numFmt numFmtId="168" formatCode="0.0%"/>
    <numFmt numFmtId="169" formatCode="0.000"/>
    <numFmt numFmtId="170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7F7F7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8"/>
      <color rgb="FF7F7F7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8"/>
      <color rgb="FF7F7F7F"/>
      <name val="Arial"/>
      <family val="0"/>
      <charset val="1"/>
    </font>
    <font>
      <sz val="10"/>
      <name val="Arial"/>
      <family val="2"/>
    </font>
    <font>
      <i val="true"/>
      <sz val="9"/>
      <color rgb="FF7F7F7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D9D9D9"/>
      </patternFill>
    </fill>
    <fill>
      <patternFill patternType="solid">
        <fgColor rgb="FFFFC7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A6A6A6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2A78D6"/>
      <rgbColor rgb="FF33CCCC"/>
      <rgbColor rgb="FF99CC00"/>
      <rgbColor rgb="FFFFCC00"/>
      <rgbColor rgb="FFFF9900"/>
      <rgbColor rgb="FFEB6834"/>
      <rgbColor rgb="FF666699"/>
      <rgbColor rgb="FF878787"/>
      <rgbColor rgb="FF003366"/>
      <rgbColor rgb="FF1BAF7A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(a) Beban – perpindahan, 3 siklus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"Siklus 1"</c:f>
              <c:strCache>
                <c:ptCount val="1"/>
                <c:pt idx="0">
                  <c:v>Siklus 1</c:v>
                </c:pt>
              </c:strCache>
            </c:strRef>
          </c:tx>
          <c:spPr>
            <a:solidFill>
              <a:srgbClr val="2a78d6"/>
            </a:solidFill>
            <a:ln w="21960">
              <a:solidFill>
                <a:srgbClr val="2a78d6"/>
              </a:solidFill>
              <a:round/>
            </a:ln>
          </c:spPr>
          <c:marker>
            <c:symbol val="circle"/>
            <c:size val="6"/>
            <c:spPr>
              <a:solidFill>
                <a:srgbClr val="2a78d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'Data &amp; Analisa'!$F$26:$F$32</c:f>
              <c:numCache>
                <c:formatCode>General</c:formatCode>
                <c:ptCount val="7"/>
                <c:pt idx="0">
                  <c:v>25</c:v>
                </c:pt>
                <c:pt idx="1">
                  <c:v>40</c:v>
                </c:pt>
                <c:pt idx="2">
                  <c:v>54</c:v>
                </c:pt>
                <c:pt idx="3">
                  <c:v>70</c:v>
                </c:pt>
                <c:pt idx="4">
                  <c:v>64</c:v>
                </c:pt>
                <c:pt idx="5">
                  <c:v>53</c:v>
                </c:pt>
                <c:pt idx="6">
                  <c:v>37</c:v>
                </c:pt>
              </c:numCache>
            </c:numRef>
          </c:xVal>
          <c:yVal>
            <c:numRef>
              <c:f>'Data &amp; Analisa'!$C$26:$C$32</c:f>
              <c:numCache>
                <c:formatCode>0.0%</c:formatCode>
                <c:ptCount val="7"/>
                <c:pt idx="0">
                  <c:v>0.124347826086957</c:v>
                </c:pt>
                <c:pt idx="1">
                  <c:v>0.522217391304348</c:v>
                </c:pt>
                <c:pt idx="2">
                  <c:v>1.0195652173913</c:v>
                </c:pt>
                <c:pt idx="3">
                  <c:v>1.51691304347826</c:v>
                </c:pt>
                <c:pt idx="4">
                  <c:v>1.0195652173913</c:v>
                </c:pt>
                <c:pt idx="5">
                  <c:v>0.522217391304348</c:v>
                </c:pt>
                <c:pt idx="6">
                  <c:v>0.124347826086957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"Siklus 2"</c:f>
              <c:strCache>
                <c:ptCount val="1"/>
                <c:pt idx="0">
                  <c:v>Siklus 2</c:v>
                </c:pt>
              </c:strCache>
            </c:strRef>
          </c:tx>
          <c:spPr>
            <a:solidFill>
              <a:srgbClr val="eb6834"/>
            </a:solidFill>
            <a:ln w="21960">
              <a:solidFill>
                <a:srgbClr val="eb6834"/>
              </a:solidFill>
              <a:round/>
            </a:ln>
          </c:spPr>
          <c:marker>
            <c:symbol val="circle"/>
            <c:size val="6"/>
            <c:spPr>
              <a:solidFill>
                <a:srgbClr val="eb683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'Data &amp; Analisa'!$F$33:$F$39</c:f>
              <c:numCache>
                <c:formatCode>General</c:formatCode>
                <c:ptCount val="7"/>
                <c:pt idx="0">
                  <c:v>37</c:v>
                </c:pt>
                <c:pt idx="1">
                  <c:v>44</c:v>
                </c:pt>
                <c:pt idx="2">
                  <c:v>53</c:v>
                </c:pt>
                <c:pt idx="3">
                  <c:v>75</c:v>
                </c:pt>
                <c:pt idx="4">
                  <c:v>67</c:v>
                </c:pt>
                <c:pt idx="5">
                  <c:v>50</c:v>
                </c:pt>
                <c:pt idx="6">
                  <c:v>19</c:v>
                </c:pt>
              </c:numCache>
            </c:numRef>
          </c:xVal>
          <c:yVal>
            <c:numRef>
              <c:f>'Data &amp; Analisa'!$C$33:$C$39</c:f>
              <c:numCache>
                <c:formatCode>0.0%</c:formatCode>
                <c:ptCount val="7"/>
                <c:pt idx="0">
                  <c:v>0.124347826086957</c:v>
                </c:pt>
                <c:pt idx="1">
                  <c:v>0.522217391304348</c:v>
                </c:pt>
                <c:pt idx="2">
                  <c:v>1.0195652173913</c:v>
                </c:pt>
                <c:pt idx="3">
                  <c:v>1.51691304347826</c:v>
                </c:pt>
                <c:pt idx="4">
                  <c:v>1.0195652173913</c:v>
                </c:pt>
                <c:pt idx="5">
                  <c:v>0.522217391304348</c:v>
                </c:pt>
                <c:pt idx="6">
                  <c:v>0.124347826086957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"Siklus 3"</c:f>
              <c:strCache>
                <c:ptCount val="1"/>
                <c:pt idx="0">
                  <c:v>Siklus 3</c:v>
                </c:pt>
              </c:strCache>
            </c:strRef>
          </c:tx>
          <c:spPr>
            <a:solidFill>
              <a:srgbClr val="1baf7a"/>
            </a:solidFill>
            <a:ln w="21960">
              <a:solidFill>
                <a:srgbClr val="1baf7a"/>
              </a:solidFill>
              <a:round/>
            </a:ln>
          </c:spPr>
          <c:marker>
            <c:symbol val="circle"/>
            <c:size val="6"/>
            <c:spPr>
              <a:solidFill>
                <a:srgbClr val="1baf7a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'Data &amp; Analisa'!$F$40:$F$46</c:f>
              <c:numCache>
                <c:formatCode>General</c:formatCode>
                <c:ptCount val="7"/>
                <c:pt idx="0">
                  <c:v>19</c:v>
                </c:pt>
                <c:pt idx="1">
                  <c:v>45</c:v>
                </c:pt>
                <c:pt idx="2">
                  <c:v>60</c:v>
                </c:pt>
                <c:pt idx="3">
                  <c:v>75</c:v>
                </c:pt>
                <c:pt idx="4">
                  <c:v>67</c:v>
                </c:pt>
                <c:pt idx="5">
                  <c:v>53</c:v>
                </c:pt>
                <c:pt idx="6">
                  <c:v>16</c:v>
                </c:pt>
              </c:numCache>
            </c:numRef>
          </c:xVal>
          <c:yVal>
            <c:numRef>
              <c:f>'Data &amp; Analisa'!$C$40:$C$46</c:f>
              <c:numCache>
                <c:formatCode>0.0%</c:formatCode>
                <c:ptCount val="7"/>
                <c:pt idx="0">
                  <c:v>0.124347826086957</c:v>
                </c:pt>
                <c:pt idx="1">
                  <c:v>0.522217391304348</c:v>
                </c:pt>
                <c:pt idx="2">
                  <c:v>1.0195652173913</c:v>
                </c:pt>
                <c:pt idx="3">
                  <c:v>1.51691304347826</c:v>
                </c:pt>
                <c:pt idx="4">
                  <c:v>1.0195652173913</c:v>
                </c:pt>
                <c:pt idx="5">
                  <c:v>0.522217391304348</c:v>
                </c:pt>
                <c:pt idx="6">
                  <c:v>0.124347826086957</c:v>
                </c:pt>
              </c:numCache>
            </c:numRef>
          </c:yVal>
          <c:smooth val="0"/>
        </c:ser>
        <c:axId val="46136735"/>
        <c:axId val="294756"/>
      </c:scatterChart>
      <c:valAx>
        <c:axId val="46136735"/>
        <c:scaling>
          <c:orientation val="minMax"/>
          <c:max val="85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Ram extension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4756"/>
        <c:crosses val="autoZero"/>
        <c:crossBetween val="midCat"/>
      </c:valAx>
      <c:valAx>
        <c:axId val="294756"/>
        <c:scaling>
          <c:orientation val="minMax"/>
          <c:max val="1.6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Beban (% Tw)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136735"/>
        <c:crosses val="autoZero"/>
        <c:crossBetween val="midCat"/>
        <c:majorUnit val="0.1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(b) Perpindahan elastik &amp; permanen vs batas BS 8081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"Batas atas Lf+0.5Lb"</c:f>
              <c:strCache>
                <c:ptCount val="1"/>
                <c:pt idx="0">
                  <c:v>Batas atas Lf+0.5Lb</c:v>
                </c:pt>
              </c:strCache>
            </c:strRef>
          </c:tx>
          <c:spPr>
            <a:solidFill>
              <a:srgbClr val="7f7f7f"/>
            </a:solidFill>
            <a:ln w="21960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'Data &amp; Analisa'!$A$61:$A$64</c:f>
              <c:numCache>
                <c:formatCode>0.0</c:formatCode>
                <c:ptCount val="4"/>
                <c:pt idx="0">
                  <c:v>0</c:v>
                </c:pt>
                <c:pt idx="1">
                  <c:v>183.02</c:v>
                </c:pt>
                <c:pt idx="2">
                  <c:v>411.8</c:v>
                </c:pt>
                <c:pt idx="3">
                  <c:v>640.58</c:v>
                </c:pt>
              </c:numCache>
            </c:numRef>
          </c:xVal>
          <c:yVal>
            <c:numRef>
              <c:f>'Data &amp; Analisa'!$E$61:$E$64</c:f>
              <c:numCache>
                <c:formatCode>0.0</c:formatCode>
                <c:ptCount val="4"/>
                <c:pt idx="0">
                  <c:v>0</c:v>
                </c:pt>
                <c:pt idx="1">
                  <c:v>32.3314888421271</c:v>
                </c:pt>
                <c:pt idx="2">
                  <c:v>72.7467331722651</c:v>
                </c:pt>
                <c:pt idx="3">
                  <c:v>113.161977502403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"Lf teoritis"</c:f>
              <c:strCache>
                <c:ptCount val="1"/>
                <c:pt idx="0">
                  <c:v>Lf teoritis</c:v>
                </c:pt>
              </c:strCache>
            </c:strRef>
          </c:tx>
          <c:spPr>
            <a:solidFill>
              <a:srgbClr val="bfbfbf"/>
            </a:solidFill>
            <a:ln w="21960">
              <a:solidFill>
                <a:srgbClr val="bfbfbf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'Data &amp; Analisa'!$A$61:$A$64</c:f>
              <c:numCache>
                <c:formatCode>0.0</c:formatCode>
                <c:ptCount val="4"/>
                <c:pt idx="0">
                  <c:v>0</c:v>
                </c:pt>
                <c:pt idx="1">
                  <c:v>183.02</c:v>
                </c:pt>
                <c:pt idx="2">
                  <c:v>411.8</c:v>
                </c:pt>
                <c:pt idx="3">
                  <c:v>640.58</c:v>
                </c:pt>
              </c:numCache>
            </c:numRef>
          </c:xVal>
          <c:yVal>
            <c:numRef>
              <c:f>'Data &amp; Analisa'!$D$61:$D$64</c:f>
              <c:numCache>
                <c:formatCode>0.0</c:formatCode>
                <c:ptCount val="4"/>
                <c:pt idx="0">
                  <c:v>0</c:v>
                </c:pt>
                <c:pt idx="1">
                  <c:v>15.2148182786481</c:v>
                </c:pt>
                <c:pt idx="2">
                  <c:v>34.2337567869483</c:v>
                </c:pt>
                <c:pt idx="3">
                  <c:v>53.2526952952485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"Batas bawah 0.9Lf"</c:f>
              <c:strCache>
                <c:ptCount val="1"/>
                <c:pt idx="0">
                  <c:v>Batas bawah 0.9Lf</c:v>
                </c:pt>
              </c:strCache>
            </c:strRef>
          </c:tx>
          <c:spPr>
            <a:solidFill>
              <a:srgbClr val="7f7f7f"/>
            </a:solidFill>
            <a:ln w="21960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'Data &amp; Analisa'!$A$61:$A$64</c:f>
              <c:numCache>
                <c:formatCode>0.0</c:formatCode>
                <c:ptCount val="4"/>
                <c:pt idx="0">
                  <c:v>0</c:v>
                </c:pt>
                <c:pt idx="1">
                  <c:v>183.02</c:v>
                </c:pt>
                <c:pt idx="2">
                  <c:v>411.8</c:v>
                </c:pt>
                <c:pt idx="3">
                  <c:v>640.58</c:v>
                </c:pt>
              </c:numCache>
            </c:numRef>
          </c:xVal>
          <c:yVal>
            <c:numRef>
              <c:f>'Data &amp; Analisa'!$C$61:$C$64</c:f>
              <c:numCache>
                <c:formatCode>0.0</c:formatCode>
                <c:ptCount val="4"/>
                <c:pt idx="0">
                  <c:v>0</c:v>
                </c:pt>
                <c:pt idx="1">
                  <c:v>13.6933364507833</c:v>
                </c:pt>
                <c:pt idx="2">
                  <c:v>30.8103811082535</c:v>
                </c:pt>
                <c:pt idx="3">
                  <c:v>47.9274257657236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"Elastik siklus 3"</c:f>
              <c:strCache>
                <c:ptCount val="1"/>
                <c:pt idx="0">
                  <c:v>Elastik siklus 3</c:v>
                </c:pt>
              </c:strCache>
            </c:strRef>
          </c:tx>
          <c:spPr>
            <a:solidFill>
              <a:srgbClr val="1baf7a"/>
            </a:solidFill>
            <a:ln w="21960">
              <a:solidFill>
                <a:srgbClr val="1baf7a"/>
              </a:solidFill>
              <a:round/>
            </a:ln>
          </c:spPr>
          <c:marker>
            <c:symbol val="circle"/>
            <c:size val="6"/>
            <c:spPr>
              <a:solidFill>
                <a:srgbClr val="1baf7a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'Data &amp; Analisa'!$A$61:$A$64</c:f>
              <c:numCache>
                <c:formatCode>0.0</c:formatCode>
                <c:ptCount val="4"/>
                <c:pt idx="0">
                  <c:v>0</c:v>
                </c:pt>
                <c:pt idx="1">
                  <c:v>183.02</c:v>
                </c:pt>
                <c:pt idx="2">
                  <c:v>411.8</c:v>
                </c:pt>
                <c:pt idx="3">
                  <c:v>640.58</c:v>
                </c:pt>
              </c:numCache>
            </c:numRef>
          </c:xVal>
          <c:yVal>
            <c:numRef>
              <c:f>'Data &amp; Analisa'!$B$61:$B$64</c:f>
              <c:numCache>
                <c:formatCode>General</c:formatCode>
                <c:ptCount val="4"/>
                <c:pt idx="0">
                  <c:v>3</c:v>
                </c:pt>
                <c:pt idx="1">
                  <c:v>29</c:v>
                </c:pt>
                <c:pt idx="2">
                  <c:v>44</c:v>
                </c:pt>
                <c:pt idx="3">
                  <c:v>59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"Elastik di Tp (S1, S2, S3)"</c:f>
              <c:strCache>
                <c:ptCount val="1"/>
                <c:pt idx="0">
                  <c:v>Elastik di Tp (S1, S2, S3)</c:v>
                </c:pt>
              </c:strCache>
            </c:strRef>
          </c:tx>
          <c:spPr>
            <a:solidFill>
              <a:srgbClr val="eb6834"/>
            </a:solidFill>
            <a:ln w="47520">
              <a:noFill/>
            </a:ln>
          </c:spPr>
          <c:marker>
            <c:symbol val="diamond"/>
            <c:size val="9"/>
            <c:spPr>
              <a:solidFill>
                <a:srgbClr val="eb683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'Data &amp; Analisa'!$H$61:$H$63</c:f>
              <c:numCache>
                <c:formatCode>0.0</c:formatCode>
                <c:ptCount val="3"/>
                <c:pt idx="0">
                  <c:v>640.58</c:v>
                </c:pt>
                <c:pt idx="1">
                  <c:v>640.58</c:v>
                </c:pt>
                <c:pt idx="2">
                  <c:v>640.58</c:v>
                </c:pt>
              </c:numCache>
            </c:numRef>
          </c:xVal>
          <c:yVal>
            <c:numRef>
              <c:f>'Data &amp; Analisa'!$G$61:$G$63</c:f>
              <c:numCache>
                <c:formatCode>General</c:formatCode>
                <c:ptCount val="3"/>
                <c:pt idx="0">
                  <c:v>33</c:v>
                </c:pt>
                <c:pt idx="1">
                  <c:v>56</c:v>
                </c:pt>
                <c:pt idx="2">
                  <c:v>59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"Permanen kumulatif (S1, S2, S3)"</c:f>
              <c:strCache>
                <c:ptCount val="1"/>
                <c:pt idx="0">
                  <c:v>Permanen kumulatif (S1, S2, S3)</c:v>
                </c:pt>
              </c:strCache>
            </c:strRef>
          </c:tx>
          <c:spPr>
            <a:solidFill>
              <a:srgbClr val="404040"/>
            </a:solidFill>
            <a:ln w="47520">
              <a:noFill/>
            </a:ln>
          </c:spPr>
          <c:marker>
            <c:symbol val="square"/>
            <c:size val="8"/>
            <c:spPr>
              <a:solidFill>
                <a:srgbClr val="40404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'Data &amp; Analisa'!$H$61:$H$63</c:f>
              <c:numCache>
                <c:formatCode>0.0</c:formatCode>
                <c:ptCount val="3"/>
                <c:pt idx="0">
                  <c:v>640.58</c:v>
                </c:pt>
                <c:pt idx="1">
                  <c:v>640.58</c:v>
                </c:pt>
                <c:pt idx="2">
                  <c:v>640.58</c:v>
                </c:pt>
              </c:numCache>
            </c:numRef>
          </c:xVal>
          <c:yVal>
            <c:numRef>
              <c:f>'Data &amp; Analisa'!$F$61:$F$63</c:f>
              <c:numCache>
                <c:formatCode>General</c:formatCode>
                <c:ptCount val="3"/>
                <c:pt idx="0">
                  <c:v>12</c:v>
                </c:pt>
                <c:pt idx="1">
                  <c:v>-6</c:v>
                </c:pt>
                <c:pt idx="2">
                  <c:v>-9</c:v>
                </c:pt>
              </c:numCache>
            </c:numRef>
          </c:yVal>
          <c:smooth val="0"/>
        </c:ser>
        <c:axId val="81622155"/>
        <c:axId val="90758737"/>
      </c:scatterChart>
      <c:valAx>
        <c:axId val="81622155"/>
        <c:scaling>
          <c:orientation val="minMax"/>
          <c:max val="700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Beban di atas datum, T − T0 (kN)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758737"/>
        <c:crosses val="autoZero"/>
        <c:crossBetween val="midCat"/>
        <c:majorUnit val="100"/>
      </c:valAx>
      <c:valAx>
        <c:axId val="90758737"/>
        <c:scaling>
          <c:orientation val="minMax"/>
          <c:max val="120"/>
          <c:min val="-2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Perpindahan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622155"/>
        <c:crosses val="autoZero"/>
        <c:crossBetween val="midCat"/>
        <c:majorUnit val="20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(c) Pola umum BS 8081 — angkur permanen (skematik)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"Std siklus 1"</c:f>
              <c:strCache>
                <c:ptCount val="1"/>
                <c:pt idx="0">
                  <c:v>Std siklus 1</c:v>
                </c:pt>
              </c:strCache>
            </c:strRef>
          </c:tx>
          <c:spPr>
            <a:solidFill>
              <a:srgbClr val="2a78d6"/>
            </a:solidFill>
            <a:ln w="21960">
              <a:solidFill>
                <a:srgbClr val="2a78d6"/>
              </a:solidFill>
              <a:round/>
            </a:ln>
          </c:spPr>
          <c:marker>
            <c:symbol val="circle"/>
            <c:size val="6"/>
            <c:spPr>
              <a:solidFill>
                <a:srgbClr val="2a78d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'Perbandingan Pola'!$B$5:$B$11</c:f>
              <c:numCache>
                <c:formatCode>0.00</c:formatCode>
                <c:ptCount val="7"/>
                <c:pt idx="0">
                  <c:v>0</c:v>
                </c:pt>
                <c:pt idx="1">
                  <c:v>0.069</c:v>
                </c:pt>
                <c:pt idx="2">
                  <c:v>0.208</c:v>
                </c:pt>
                <c:pt idx="3">
                  <c:v>0.619</c:v>
                </c:pt>
                <c:pt idx="4">
                  <c:v>0.579</c:v>
                </c:pt>
                <c:pt idx="5">
                  <c:v>0.455</c:v>
                </c:pt>
                <c:pt idx="6">
                  <c:v>0.233</c:v>
                </c:pt>
              </c:numCache>
            </c:numRef>
          </c:xVal>
          <c:yVal>
            <c:numRef>
              <c:f>'Perbandingan Pola'!$A$5:$A$11</c:f>
              <c:numCache>
                <c:formatCode>General</c:formatCode>
                <c:ptCount val="7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100</c:v>
                </c:pt>
                <c:pt idx="5">
                  <c:v>50</c:v>
                </c:pt>
                <c:pt idx="6">
                  <c:v>10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"Std siklus 2"</c:f>
              <c:strCache>
                <c:ptCount val="1"/>
                <c:pt idx="0">
                  <c:v>Std siklus 2</c:v>
                </c:pt>
              </c:strCache>
            </c:strRef>
          </c:tx>
          <c:spPr>
            <a:solidFill>
              <a:srgbClr val="eb6834"/>
            </a:solidFill>
            <a:ln w="21960">
              <a:solidFill>
                <a:srgbClr val="eb6834"/>
              </a:solidFill>
              <a:round/>
            </a:ln>
          </c:spPr>
          <c:marker>
            <c:symbol val="circle"/>
            <c:size val="6"/>
            <c:spPr>
              <a:solidFill>
                <a:srgbClr val="eb683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'Perbandingan Pola'!$C$5:$C$11</c:f>
              <c:numCache>
                <c:formatCode>0.00</c:formatCode>
                <c:ptCount val="7"/>
                <c:pt idx="0">
                  <c:v>0.233</c:v>
                </c:pt>
                <c:pt idx="1">
                  <c:v>0.267</c:v>
                </c:pt>
                <c:pt idx="2">
                  <c:v>0.554</c:v>
                </c:pt>
                <c:pt idx="3">
                  <c:v>0.817</c:v>
                </c:pt>
                <c:pt idx="4">
                  <c:v>0.777</c:v>
                </c:pt>
                <c:pt idx="5">
                  <c:v>0.629</c:v>
                </c:pt>
                <c:pt idx="6">
                  <c:v>0.406</c:v>
                </c:pt>
              </c:numCache>
            </c:numRef>
          </c:xVal>
          <c:yVal>
            <c:numRef>
              <c:f>'Perbandingan Pola'!$A$5:$A$11</c:f>
              <c:numCache>
                <c:formatCode>General</c:formatCode>
                <c:ptCount val="7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100</c:v>
                </c:pt>
                <c:pt idx="5">
                  <c:v>50</c:v>
                </c:pt>
                <c:pt idx="6">
                  <c:v>10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"Std siklus 3"</c:f>
              <c:strCache>
                <c:ptCount val="1"/>
                <c:pt idx="0">
                  <c:v>Std siklus 3</c:v>
                </c:pt>
              </c:strCache>
            </c:strRef>
          </c:tx>
          <c:spPr>
            <a:solidFill>
              <a:srgbClr val="1baf7a"/>
            </a:solidFill>
            <a:ln w="21960">
              <a:solidFill>
                <a:srgbClr val="1baf7a"/>
              </a:solidFill>
              <a:round/>
            </a:ln>
          </c:spPr>
          <c:marker>
            <c:symbol val="circle"/>
            <c:size val="6"/>
            <c:spPr>
              <a:solidFill>
                <a:srgbClr val="1baf7a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'Perbandingan Pola'!$D$5:$D$11</c:f>
              <c:numCache>
                <c:formatCode>0.00</c:formatCode>
                <c:ptCount val="7"/>
                <c:pt idx="0">
                  <c:v>0.406</c:v>
                </c:pt>
                <c:pt idx="1">
                  <c:v>0.416</c:v>
                </c:pt>
                <c:pt idx="2">
                  <c:v>0.629</c:v>
                </c:pt>
                <c:pt idx="3">
                  <c:v>1</c:v>
                </c:pt>
                <c:pt idx="4">
                  <c:v>0.965</c:v>
                </c:pt>
                <c:pt idx="5">
                  <c:v>0.827</c:v>
                </c:pt>
                <c:pt idx="6">
                  <c:v>0.703</c:v>
                </c:pt>
              </c:numCache>
            </c:numRef>
          </c:xVal>
          <c:yVal>
            <c:numRef>
              <c:f>'Perbandingan Pola'!$A$5:$A$11</c:f>
              <c:numCache>
                <c:formatCode>General</c:formatCode>
                <c:ptCount val="7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100</c:v>
                </c:pt>
                <c:pt idx="5">
                  <c:v>50</c:v>
                </c:pt>
                <c:pt idx="6">
                  <c:v>10</c:v>
                </c:pt>
              </c:numCache>
            </c:numRef>
          </c:yVal>
          <c:smooth val="0"/>
        </c:ser>
        <c:axId val="3105709"/>
        <c:axId val="53649740"/>
      </c:scatterChart>
      <c:valAx>
        <c:axId val="3105709"/>
        <c:scaling>
          <c:orientation val="minMax"/>
          <c:max val="1.05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Perpindahan (ternormalisasi)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649740"/>
        <c:crosses val="autoZero"/>
        <c:crossBetween val="midCat"/>
      </c:valAx>
      <c:valAx>
        <c:axId val="53649740"/>
        <c:scaling>
          <c:orientation val="minMax"/>
          <c:max val="16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Beban (% Tw)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05709"/>
        <c:crosses val="autoZero"/>
        <c:crossBetween val="midCat"/>
        <c:majorUnit val="10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(d) Data uji — dinormalisasi (skala sama dgn c)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"Uji siklus 1"</c:f>
              <c:strCache>
                <c:ptCount val="1"/>
                <c:pt idx="0">
                  <c:v>Uji siklus 1</c:v>
                </c:pt>
              </c:strCache>
            </c:strRef>
          </c:tx>
          <c:spPr>
            <a:solidFill>
              <a:srgbClr val="2a78d6"/>
            </a:solidFill>
            <a:ln w="21960">
              <a:solidFill>
                <a:srgbClr val="2a78d6"/>
              </a:solidFill>
              <a:round/>
            </a:ln>
          </c:spPr>
          <c:marker>
            <c:symbol val="circle"/>
            <c:size val="6"/>
            <c:spPr>
              <a:solidFill>
                <a:srgbClr val="2a78d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'Perbandingan Pola'!$E$5:$E$11</c:f>
              <c:numCache>
                <c:formatCode>0.00</c:formatCode>
                <c:ptCount val="7"/>
                <c:pt idx="0">
                  <c:v>0.152542372881356</c:v>
                </c:pt>
                <c:pt idx="1">
                  <c:v>0.406779661016949</c:v>
                </c:pt>
                <c:pt idx="2">
                  <c:v>0.644067796610169</c:v>
                </c:pt>
                <c:pt idx="3">
                  <c:v>0.915254237288136</c:v>
                </c:pt>
                <c:pt idx="4">
                  <c:v>0.813559322033898</c:v>
                </c:pt>
                <c:pt idx="5">
                  <c:v>0.627118644067797</c:v>
                </c:pt>
                <c:pt idx="6">
                  <c:v>0.355932203389831</c:v>
                </c:pt>
              </c:numCache>
            </c:numRef>
          </c:xVal>
          <c:yVal>
            <c:numRef>
              <c:f>'Perbandingan Pola'!$A$5:$A$11</c:f>
              <c:numCache>
                <c:formatCode>General</c:formatCode>
                <c:ptCount val="7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100</c:v>
                </c:pt>
                <c:pt idx="5">
                  <c:v>50</c:v>
                </c:pt>
                <c:pt idx="6">
                  <c:v>10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"Uji siklus 2"</c:f>
              <c:strCache>
                <c:ptCount val="1"/>
                <c:pt idx="0">
                  <c:v>Uji siklus 2</c:v>
                </c:pt>
              </c:strCache>
            </c:strRef>
          </c:tx>
          <c:spPr>
            <a:solidFill>
              <a:srgbClr val="eb6834"/>
            </a:solidFill>
            <a:ln w="21960">
              <a:solidFill>
                <a:srgbClr val="eb6834"/>
              </a:solidFill>
              <a:round/>
            </a:ln>
          </c:spPr>
          <c:marker>
            <c:symbol val="circle"/>
            <c:size val="6"/>
            <c:spPr>
              <a:solidFill>
                <a:srgbClr val="eb683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'Perbandingan Pola'!$F$5:$F$11</c:f>
              <c:numCache>
                <c:formatCode>0.00</c:formatCode>
                <c:ptCount val="7"/>
                <c:pt idx="0">
                  <c:v>0.355932203389831</c:v>
                </c:pt>
                <c:pt idx="1">
                  <c:v>0.474576271186441</c:v>
                </c:pt>
                <c:pt idx="2">
                  <c:v>0.627118644067797</c:v>
                </c:pt>
                <c:pt idx="3">
                  <c:v>1</c:v>
                </c:pt>
                <c:pt idx="4">
                  <c:v>0.864406779661017</c:v>
                </c:pt>
                <c:pt idx="5">
                  <c:v>0.576271186440678</c:v>
                </c:pt>
                <c:pt idx="6">
                  <c:v>0.0508474576271187</c:v>
                </c:pt>
              </c:numCache>
            </c:numRef>
          </c:xVal>
          <c:yVal>
            <c:numRef>
              <c:f>'Perbandingan Pola'!$A$5:$A$11</c:f>
              <c:numCache>
                <c:formatCode>General</c:formatCode>
                <c:ptCount val="7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100</c:v>
                </c:pt>
                <c:pt idx="5">
                  <c:v>50</c:v>
                </c:pt>
                <c:pt idx="6">
                  <c:v>10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"Uji siklus 3"</c:f>
              <c:strCache>
                <c:ptCount val="1"/>
                <c:pt idx="0">
                  <c:v>Uji siklus 3</c:v>
                </c:pt>
              </c:strCache>
            </c:strRef>
          </c:tx>
          <c:spPr>
            <a:solidFill>
              <a:srgbClr val="1baf7a"/>
            </a:solidFill>
            <a:ln w="21960">
              <a:solidFill>
                <a:srgbClr val="1baf7a"/>
              </a:solidFill>
              <a:round/>
            </a:ln>
          </c:spPr>
          <c:marker>
            <c:symbol val="circle"/>
            <c:size val="6"/>
            <c:spPr>
              <a:solidFill>
                <a:srgbClr val="1baf7a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'Perbandingan Pola'!$G$5:$G$11</c:f>
              <c:numCache>
                <c:formatCode>0.00</c:formatCode>
                <c:ptCount val="7"/>
                <c:pt idx="0">
                  <c:v>0.0508474576271187</c:v>
                </c:pt>
                <c:pt idx="1">
                  <c:v>0.491525423728814</c:v>
                </c:pt>
                <c:pt idx="2">
                  <c:v>0.745762711864407</c:v>
                </c:pt>
                <c:pt idx="3">
                  <c:v>1</c:v>
                </c:pt>
                <c:pt idx="4">
                  <c:v>0.864406779661017</c:v>
                </c:pt>
                <c:pt idx="5">
                  <c:v>0.627118644067797</c:v>
                </c:pt>
                <c:pt idx="6">
                  <c:v>0</c:v>
                </c:pt>
              </c:numCache>
            </c:numRef>
          </c:xVal>
          <c:yVal>
            <c:numRef>
              <c:f>'Perbandingan Pola'!$A$5:$A$11</c:f>
              <c:numCache>
                <c:formatCode>General</c:formatCode>
                <c:ptCount val="7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100</c:v>
                </c:pt>
                <c:pt idx="5">
                  <c:v>50</c:v>
                </c:pt>
                <c:pt idx="6">
                  <c:v>10</c:v>
                </c:pt>
              </c:numCache>
            </c:numRef>
          </c:yVal>
          <c:smooth val="0"/>
        </c:ser>
        <c:axId val="68028617"/>
        <c:axId val="29765668"/>
      </c:scatterChart>
      <c:valAx>
        <c:axId val="68028617"/>
        <c:scaling>
          <c:orientation val="minMax"/>
          <c:max val="1.05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Perpindahan (ternormalisasi)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765668"/>
        <c:crosses val="autoZero"/>
        <c:crossBetween val="midCat"/>
      </c:valAx>
      <c:valAx>
        <c:axId val="29765668"/>
        <c:scaling>
          <c:orientation val="minMax"/>
          <c:max val="16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Beban (% Tw)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028617"/>
        <c:crosses val="autoZero"/>
        <c:crossBetween val="midCat"/>
        <c:majorUnit val="10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(e) Overlay: pola standar (putus-putus) vs data uji (garis penuh)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"Std S1"</c:f>
              <c:strCache>
                <c:ptCount val="1"/>
                <c:pt idx="0">
                  <c:v>Std S1</c:v>
                </c:pt>
              </c:strCache>
            </c:strRef>
          </c:tx>
          <c:spPr>
            <a:solidFill>
              <a:srgbClr val="2a78d6"/>
            </a:solidFill>
            <a:ln w="21960">
              <a:solidFill>
                <a:srgbClr val="2a78d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'Perbandingan Pola'!$B$5:$B$11</c:f>
              <c:numCache>
                <c:formatCode>0.00</c:formatCode>
                <c:ptCount val="7"/>
                <c:pt idx="0">
                  <c:v>0</c:v>
                </c:pt>
                <c:pt idx="1">
                  <c:v>0.069</c:v>
                </c:pt>
                <c:pt idx="2">
                  <c:v>0.208</c:v>
                </c:pt>
                <c:pt idx="3">
                  <c:v>0.619</c:v>
                </c:pt>
                <c:pt idx="4">
                  <c:v>0.579</c:v>
                </c:pt>
                <c:pt idx="5">
                  <c:v>0.455</c:v>
                </c:pt>
                <c:pt idx="6">
                  <c:v>0.233</c:v>
                </c:pt>
              </c:numCache>
            </c:numRef>
          </c:xVal>
          <c:yVal>
            <c:numRef>
              <c:f>'Perbandingan Pola'!$A$5:$A$11</c:f>
              <c:numCache>
                <c:formatCode>General</c:formatCode>
                <c:ptCount val="7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100</c:v>
                </c:pt>
                <c:pt idx="5">
                  <c:v>50</c:v>
                </c:pt>
                <c:pt idx="6">
                  <c:v>10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"Uji S1"</c:f>
              <c:strCache>
                <c:ptCount val="1"/>
                <c:pt idx="0">
                  <c:v>Uji S1</c:v>
                </c:pt>
              </c:strCache>
            </c:strRef>
          </c:tx>
          <c:spPr>
            <a:solidFill>
              <a:srgbClr val="2a78d6"/>
            </a:solidFill>
            <a:ln w="21960">
              <a:solidFill>
                <a:srgbClr val="2a78d6"/>
              </a:solidFill>
              <a:round/>
            </a:ln>
          </c:spPr>
          <c:marker>
            <c:symbol val="circle"/>
            <c:size val="6"/>
            <c:spPr>
              <a:solidFill>
                <a:srgbClr val="2a78d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'Perbandingan Pola'!$E$5:$E$11</c:f>
              <c:numCache>
                <c:formatCode>0.00</c:formatCode>
                <c:ptCount val="7"/>
                <c:pt idx="0">
                  <c:v>0.152542372881356</c:v>
                </c:pt>
                <c:pt idx="1">
                  <c:v>0.406779661016949</c:v>
                </c:pt>
                <c:pt idx="2">
                  <c:v>0.644067796610169</c:v>
                </c:pt>
                <c:pt idx="3">
                  <c:v>0.915254237288136</c:v>
                </c:pt>
                <c:pt idx="4">
                  <c:v>0.813559322033898</c:v>
                </c:pt>
                <c:pt idx="5">
                  <c:v>0.627118644067797</c:v>
                </c:pt>
                <c:pt idx="6">
                  <c:v>0.355932203389831</c:v>
                </c:pt>
              </c:numCache>
            </c:numRef>
          </c:xVal>
          <c:yVal>
            <c:numRef>
              <c:f>'Perbandingan Pola'!$A$5:$A$11</c:f>
              <c:numCache>
                <c:formatCode>General</c:formatCode>
                <c:ptCount val="7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100</c:v>
                </c:pt>
                <c:pt idx="5">
                  <c:v>50</c:v>
                </c:pt>
                <c:pt idx="6">
                  <c:v>10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"Std S2"</c:f>
              <c:strCache>
                <c:ptCount val="1"/>
                <c:pt idx="0">
                  <c:v>Std S2</c:v>
                </c:pt>
              </c:strCache>
            </c:strRef>
          </c:tx>
          <c:spPr>
            <a:solidFill>
              <a:srgbClr val="eb6834"/>
            </a:solidFill>
            <a:ln w="21960">
              <a:solidFill>
                <a:srgbClr val="eb6834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'Perbandingan Pola'!$C$5:$C$11</c:f>
              <c:numCache>
                <c:formatCode>0.00</c:formatCode>
                <c:ptCount val="7"/>
                <c:pt idx="0">
                  <c:v>0.233</c:v>
                </c:pt>
                <c:pt idx="1">
                  <c:v>0.267</c:v>
                </c:pt>
                <c:pt idx="2">
                  <c:v>0.554</c:v>
                </c:pt>
                <c:pt idx="3">
                  <c:v>0.817</c:v>
                </c:pt>
                <c:pt idx="4">
                  <c:v>0.777</c:v>
                </c:pt>
                <c:pt idx="5">
                  <c:v>0.629</c:v>
                </c:pt>
                <c:pt idx="6">
                  <c:v>0.406</c:v>
                </c:pt>
              </c:numCache>
            </c:numRef>
          </c:xVal>
          <c:yVal>
            <c:numRef>
              <c:f>'Perbandingan Pola'!$A$5:$A$11</c:f>
              <c:numCache>
                <c:formatCode>General</c:formatCode>
                <c:ptCount val="7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100</c:v>
                </c:pt>
                <c:pt idx="5">
                  <c:v>50</c:v>
                </c:pt>
                <c:pt idx="6">
                  <c:v>10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"Uji S2"</c:f>
              <c:strCache>
                <c:ptCount val="1"/>
                <c:pt idx="0">
                  <c:v>Uji S2</c:v>
                </c:pt>
              </c:strCache>
            </c:strRef>
          </c:tx>
          <c:spPr>
            <a:solidFill>
              <a:srgbClr val="eb6834"/>
            </a:solidFill>
            <a:ln w="21960">
              <a:solidFill>
                <a:srgbClr val="eb6834"/>
              </a:solidFill>
              <a:round/>
            </a:ln>
          </c:spPr>
          <c:marker>
            <c:symbol val="circle"/>
            <c:size val="6"/>
            <c:spPr>
              <a:solidFill>
                <a:srgbClr val="eb683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'Perbandingan Pola'!$F$5:$F$11</c:f>
              <c:numCache>
                <c:formatCode>0.00</c:formatCode>
                <c:ptCount val="7"/>
                <c:pt idx="0">
                  <c:v>0.355932203389831</c:v>
                </c:pt>
                <c:pt idx="1">
                  <c:v>0.474576271186441</c:v>
                </c:pt>
                <c:pt idx="2">
                  <c:v>0.627118644067797</c:v>
                </c:pt>
                <c:pt idx="3">
                  <c:v>1</c:v>
                </c:pt>
                <c:pt idx="4">
                  <c:v>0.864406779661017</c:v>
                </c:pt>
                <c:pt idx="5">
                  <c:v>0.576271186440678</c:v>
                </c:pt>
                <c:pt idx="6">
                  <c:v>0.0508474576271187</c:v>
                </c:pt>
              </c:numCache>
            </c:numRef>
          </c:xVal>
          <c:yVal>
            <c:numRef>
              <c:f>'Perbandingan Pola'!$A$5:$A$11</c:f>
              <c:numCache>
                <c:formatCode>General</c:formatCode>
                <c:ptCount val="7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100</c:v>
                </c:pt>
                <c:pt idx="5">
                  <c:v>50</c:v>
                </c:pt>
                <c:pt idx="6">
                  <c:v>10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"Std S3"</c:f>
              <c:strCache>
                <c:ptCount val="1"/>
                <c:pt idx="0">
                  <c:v>Std S3</c:v>
                </c:pt>
              </c:strCache>
            </c:strRef>
          </c:tx>
          <c:spPr>
            <a:solidFill>
              <a:srgbClr val="1baf7a"/>
            </a:solidFill>
            <a:ln w="21960">
              <a:solidFill>
                <a:srgbClr val="1baf7a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'Perbandingan Pola'!$D$5:$D$11</c:f>
              <c:numCache>
                <c:formatCode>0.00</c:formatCode>
                <c:ptCount val="7"/>
                <c:pt idx="0">
                  <c:v>0.406</c:v>
                </c:pt>
                <c:pt idx="1">
                  <c:v>0.416</c:v>
                </c:pt>
                <c:pt idx="2">
                  <c:v>0.629</c:v>
                </c:pt>
                <c:pt idx="3">
                  <c:v>1</c:v>
                </c:pt>
                <c:pt idx="4">
                  <c:v>0.965</c:v>
                </c:pt>
                <c:pt idx="5">
                  <c:v>0.827</c:v>
                </c:pt>
                <c:pt idx="6">
                  <c:v>0.703</c:v>
                </c:pt>
              </c:numCache>
            </c:numRef>
          </c:xVal>
          <c:yVal>
            <c:numRef>
              <c:f>'Perbandingan Pola'!$A$5:$A$11</c:f>
              <c:numCache>
                <c:formatCode>General</c:formatCode>
                <c:ptCount val="7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100</c:v>
                </c:pt>
                <c:pt idx="5">
                  <c:v>50</c:v>
                </c:pt>
                <c:pt idx="6">
                  <c:v>10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"Uji S3"</c:f>
              <c:strCache>
                <c:ptCount val="1"/>
                <c:pt idx="0">
                  <c:v>Uji S3</c:v>
                </c:pt>
              </c:strCache>
            </c:strRef>
          </c:tx>
          <c:spPr>
            <a:solidFill>
              <a:srgbClr val="1baf7a"/>
            </a:solidFill>
            <a:ln w="21960">
              <a:solidFill>
                <a:srgbClr val="1baf7a"/>
              </a:solidFill>
              <a:round/>
            </a:ln>
          </c:spPr>
          <c:marker>
            <c:symbol val="circle"/>
            <c:size val="6"/>
            <c:spPr>
              <a:solidFill>
                <a:srgbClr val="1baf7a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'Perbandingan Pola'!$G$5:$G$11</c:f>
              <c:numCache>
                <c:formatCode>0.00</c:formatCode>
                <c:ptCount val="7"/>
                <c:pt idx="0">
                  <c:v>0.0508474576271187</c:v>
                </c:pt>
                <c:pt idx="1">
                  <c:v>0.491525423728814</c:v>
                </c:pt>
                <c:pt idx="2">
                  <c:v>0.745762711864407</c:v>
                </c:pt>
                <c:pt idx="3">
                  <c:v>1</c:v>
                </c:pt>
                <c:pt idx="4">
                  <c:v>0.864406779661017</c:v>
                </c:pt>
                <c:pt idx="5">
                  <c:v>0.627118644067797</c:v>
                </c:pt>
                <c:pt idx="6">
                  <c:v>0</c:v>
                </c:pt>
              </c:numCache>
            </c:numRef>
          </c:xVal>
          <c:yVal>
            <c:numRef>
              <c:f>'Perbandingan Pola'!$A$5:$A$11</c:f>
              <c:numCache>
                <c:formatCode>General</c:formatCode>
                <c:ptCount val="7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100</c:v>
                </c:pt>
                <c:pt idx="5">
                  <c:v>50</c:v>
                </c:pt>
                <c:pt idx="6">
                  <c:v>10</c:v>
                </c:pt>
              </c:numCache>
            </c:numRef>
          </c:yVal>
          <c:smooth val="0"/>
        </c:ser>
        <c:axId val="5290189"/>
        <c:axId val="53846032"/>
      </c:scatterChart>
      <c:valAx>
        <c:axId val="5290189"/>
        <c:scaling>
          <c:orientation val="minMax"/>
          <c:max val="1.05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Perpindahan (ternormalisasi)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846032"/>
        <c:crosses val="autoZero"/>
        <c:crossBetween val="midCat"/>
      </c:valAx>
      <c:valAx>
        <c:axId val="53846032"/>
        <c:scaling>
          <c:orientation val="minMax"/>
          <c:max val="16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Beban (% Tw)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90189"/>
        <c:crosses val="autoZero"/>
        <c:crossBetween val="midCat"/>
        <c:majorUnit val="10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image" Target="../media/image1.png"/><Relationship Id="rId7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160560</xdr:rowOff>
    </xdr:from>
    <xdr:to>
      <xdr:col>10</xdr:col>
      <xdr:colOff>4680</xdr:colOff>
      <xdr:row>22</xdr:row>
      <xdr:rowOff>119520</xdr:rowOff>
    </xdr:to>
    <xdr:graphicFrame>
      <xdr:nvGraphicFramePr>
        <xdr:cNvPr id="0" name="Chart 1"/>
        <xdr:cNvGraphicFramePr/>
      </xdr:nvGraphicFramePr>
      <xdr:xfrm>
        <a:off x="0" y="380880"/>
        <a:ext cx="61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</xdr:row>
      <xdr:rowOff>160560</xdr:rowOff>
    </xdr:from>
    <xdr:to>
      <xdr:col>21</xdr:col>
      <xdr:colOff>4680</xdr:colOff>
      <xdr:row>22</xdr:row>
      <xdr:rowOff>119520</xdr:rowOff>
    </xdr:to>
    <xdr:graphicFrame>
      <xdr:nvGraphicFramePr>
        <xdr:cNvPr id="1" name="Chart 2"/>
        <xdr:cNvGraphicFramePr/>
      </xdr:nvGraphicFramePr>
      <xdr:xfrm>
        <a:off x="6726600" y="380880"/>
        <a:ext cx="61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24</xdr:row>
      <xdr:rowOff>160560</xdr:rowOff>
    </xdr:from>
    <xdr:to>
      <xdr:col>10</xdr:col>
      <xdr:colOff>4680</xdr:colOff>
      <xdr:row>45</xdr:row>
      <xdr:rowOff>119880</xdr:rowOff>
    </xdr:to>
    <xdr:graphicFrame>
      <xdr:nvGraphicFramePr>
        <xdr:cNvPr id="2" name="Chart 3"/>
        <xdr:cNvGraphicFramePr/>
      </xdr:nvGraphicFramePr>
      <xdr:xfrm>
        <a:off x="0" y="4762440"/>
        <a:ext cx="61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24</xdr:row>
      <xdr:rowOff>160560</xdr:rowOff>
    </xdr:from>
    <xdr:to>
      <xdr:col>21</xdr:col>
      <xdr:colOff>4680</xdr:colOff>
      <xdr:row>45</xdr:row>
      <xdr:rowOff>119880</xdr:rowOff>
    </xdr:to>
    <xdr:graphicFrame>
      <xdr:nvGraphicFramePr>
        <xdr:cNvPr id="3" name="Chart 4"/>
        <xdr:cNvGraphicFramePr/>
      </xdr:nvGraphicFramePr>
      <xdr:xfrm>
        <a:off x="6726600" y="4762440"/>
        <a:ext cx="61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47</xdr:row>
      <xdr:rowOff>160560</xdr:rowOff>
    </xdr:from>
    <xdr:to>
      <xdr:col>20</xdr:col>
      <xdr:colOff>9360</xdr:colOff>
      <xdr:row>70</xdr:row>
      <xdr:rowOff>98640</xdr:rowOff>
    </xdr:to>
    <xdr:graphicFrame>
      <xdr:nvGraphicFramePr>
        <xdr:cNvPr id="4" name="Chart 5"/>
        <xdr:cNvGraphicFramePr/>
      </xdr:nvGraphicFramePr>
      <xdr:xfrm>
        <a:off x="0" y="9144000"/>
        <a:ext cx="122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74</xdr:row>
      <xdr:rowOff>160920</xdr:rowOff>
    </xdr:from>
    <xdr:to>
      <xdr:col>3</xdr:col>
      <xdr:colOff>508320</xdr:colOff>
      <xdr:row>94</xdr:row>
      <xdr:rowOff>122400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0" y="14287680"/>
          <a:ext cx="2342880" cy="377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74</xdr:row>
      <xdr:rowOff>160920</xdr:rowOff>
    </xdr:from>
    <xdr:to>
      <xdr:col>11</xdr:col>
      <xdr:colOff>392040</xdr:colOff>
      <xdr:row>94</xdr:row>
      <xdr:rowOff>65160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4280400" y="14287680"/>
          <a:ext cx="2838240" cy="37144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I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6" min="4" style="0" width="13"/>
    <col collapsed="false" customWidth="true" hidden="false" outlineLevel="0" max="8" min="7" style="0" width="16"/>
    <col collapsed="false" customWidth="true" hidden="false" outlineLevel="0" max="9" min="9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  <c r="C5" s="6" t="s">
        <v>5</v>
      </c>
    </row>
    <row r="6" customFormat="false" ht="15" hidden="false" customHeight="false" outlineLevel="0" collapsed="false">
      <c r="A6" s="4" t="s">
        <v>6</v>
      </c>
      <c r="B6" s="5" t="s">
        <v>7</v>
      </c>
      <c r="C6" s="6" t="s">
        <v>8</v>
      </c>
    </row>
    <row r="7" customFormat="false" ht="15" hidden="false" customHeight="false" outlineLevel="0" collapsed="false">
      <c r="A7" s="4" t="s">
        <v>9</v>
      </c>
      <c r="B7" s="5" t="s">
        <v>10</v>
      </c>
      <c r="C7" s="6" t="s">
        <v>8</v>
      </c>
    </row>
    <row r="8" customFormat="false" ht="15" hidden="false" customHeight="false" outlineLevel="0" collapsed="false">
      <c r="A8" s="4" t="s">
        <v>11</v>
      </c>
      <c r="B8" s="7" t="n">
        <v>460</v>
      </c>
      <c r="C8" s="6" t="s">
        <v>8</v>
      </c>
    </row>
    <row r="9" customFormat="false" ht="15" hidden="false" customHeight="false" outlineLevel="0" collapsed="false">
      <c r="A9" s="4" t="s">
        <v>12</v>
      </c>
      <c r="B9" s="7" t="n">
        <v>8</v>
      </c>
      <c r="C9" s="6" t="s">
        <v>8</v>
      </c>
    </row>
    <row r="10" customFormat="false" ht="15" hidden="false" customHeight="false" outlineLevel="0" collapsed="false">
      <c r="A10" s="4" t="s">
        <v>13</v>
      </c>
      <c r="B10" s="7" t="n">
        <v>18</v>
      </c>
      <c r="C10" s="6" t="s">
        <v>8</v>
      </c>
    </row>
    <row r="11" customFormat="false" ht="15" hidden="false" customHeight="false" outlineLevel="0" collapsed="false">
      <c r="A11" s="4" t="s">
        <v>14</v>
      </c>
      <c r="B11" s="8" t="n">
        <v>5</v>
      </c>
      <c r="C11" s="6" t="s">
        <v>15</v>
      </c>
    </row>
    <row r="12" customFormat="false" ht="15" hidden="false" customHeight="false" outlineLevel="0" collapsed="false">
      <c r="A12" s="4" t="s">
        <v>16</v>
      </c>
      <c r="B12" s="9" t="n">
        <v>98.7</v>
      </c>
      <c r="C12" s="6" t="s">
        <v>17</v>
      </c>
    </row>
    <row r="13" customFormat="false" ht="15" hidden="false" customHeight="false" outlineLevel="0" collapsed="false">
      <c r="A13" s="4" t="s">
        <v>18</v>
      </c>
      <c r="B13" s="8" t="n">
        <v>195</v>
      </c>
      <c r="C13" s="6" t="s">
        <v>19</v>
      </c>
    </row>
    <row r="14" customFormat="false" ht="15" hidden="false" customHeight="false" outlineLevel="0" collapsed="false">
      <c r="A14" s="4" t="s">
        <v>20</v>
      </c>
      <c r="B14" s="7" t="n">
        <v>0</v>
      </c>
      <c r="C14" s="6" t="s">
        <v>21</v>
      </c>
    </row>
    <row r="15" customFormat="false" ht="15" hidden="false" customHeight="false" outlineLevel="0" collapsed="false">
      <c r="A15" s="4" t="s">
        <v>22</v>
      </c>
      <c r="B15" s="8" t="n">
        <v>55</v>
      </c>
      <c r="C15" s="6" t="s">
        <v>8</v>
      </c>
    </row>
    <row r="16" customFormat="false" ht="15" hidden="false" customHeight="false" outlineLevel="0" collapsed="false">
      <c r="A16" s="4" t="s">
        <v>23</v>
      </c>
      <c r="B16" s="8" t="n">
        <v>68</v>
      </c>
      <c r="C16" s="6" t="s">
        <v>8</v>
      </c>
    </row>
    <row r="18" customFormat="false" ht="15" hidden="false" customHeight="false" outlineLevel="0" collapsed="false">
      <c r="A18" s="4" t="s">
        <v>24</v>
      </c>
      <c r="B18" s="10" t="n">
        <f aca="false">$B$11*$B$12</f>
        <v>493.5</v>
      </c>
    </row>
    <row r="19" customFormat="false" ht="15" hidden="false" customHeight="false" outlineLevel="0" collapsed="false">
      <c r="A19" s="4" t="s">
        <v>25</v>
      </c>
      <c r="B19" s="11" t="n">
        <f aca="false">B26</f>
        <v>57.2</v>
      </c>
    </row>
    <row r="20" customFormat="false" ht="15" hidden="false" customHeight="false" outlineLevel="0" collapsed="false">
      <c r="A20" s="4" t="s">
        <v>26</v>
      </c>
      <c r="B20" s="11" t="n">
        <f aca="false">B29</f>
        <v>697.78</v>
      </c>
    </row>
    <row r="21" customFormat="false" ht="15" hidden="false" customHeight="false" outlineLevel="0" collapsed="false">
      <c r="A21" s="4" t="s">
        <v>27</v>
      </c>
      <c r="B21" s="12" t="n">
        <f aca="false">B20/$B$8</f>
        <v>1.51691304347826</v>
      </c>
    </row>
    <row r="22" customFormat="false" ht="15" hidden="false" customHeight="false" outlineLevel="0" collapsed="false">
      <c r="A22" s="4" t="s">
        <v>28</v>
      </c>
      <c r="B22" s="13" t="n">
        <f aca="false">(B20-B19)*1000/(B18*$B$13)</f>
        <v>6.65658691190606</v>
      </c>
    </row>
    <row r="24" customFormat="false" ht="42" hidden="false" customHeight="true" outlineLevel="0" collapsed="false">
      <c r="A24" s="14" t="s">
        <v>29</v>
      </c>
      <c r="B24" s="14" t="s">
        <v>30</v>
      </c>
      <c r="C24" s="14" t="s">
        <v>31</v>
      </c>
      <c r="D24" s="14" t="s">
        <v>32</v>
      </c>
      <c r="E24" s="14" t="s">
        <v>33</v>
      </c>
      <c r="F24" s="14" t="s">
        <v>34</v>
      </c>
      <c r="G24" s="14" t="s">
        <v>35</v>
      </c>
      <c r="H24" s="14" t="s">
        <v>36</v>
      </c>
    </row>
    <row r="25" customFormat="false" ht="15" hidden="false" customHeight="false" outlineLevel="0" collapsed="false">
      <c r="A25" s="15" t="s">
        <v>37</v>
      </c>
    </row>
    <row r="26" customFormat="false" ht="15" hidden="false" customHeight="false" outlineLevel="0" collapsed="false">
      <c r="A26" s="16" t="s">
        <v>38</v>
      </c>
      <c r="B26" s="17" t="n">
        <v>57.2</v>
      </c>
      <c r="C26" s="18" t="n">
        <f aca="false">B26/$B$8</f>
        <v>0.124347826086957</v>
      </c>
      <c r="D26" s="19" t="n">
        <v>250</v>
      </c>
      <c r="E26" s="19" t="s">
        <v>39</v>
      </c>
      <c r="F26" s="19" t="n">
        <v>25</v>
      </c>
      <c r="G26" s="16" t="n">
        <f aca="false">F26-$F$26</f>
        <v>0</v>
      </c>
      <c r="H26" s="16" t="n">
        <f aca="false">F26-$F$26</f>
        <v>0</v>
      </c>
    </row>
    <row r="27" customFormat="false" ht="15" hidden="false" customHeight="false" outlineLevel="0" collapsed="false">
      <c r="A27" s="16" t="s">
        <v>38</v>
      </c>
      <c r="B27" s="17" t="n">
        <v>240.22</v>
      </c>
      <c r="C27" s="18" t="n">
        <f aca="false">B27/$B$8</f>
        <v>0.522217391304348</v>
      </c>
      <c r="D27" s="19" t="n">
        <v>1050</v>
      </c>
      <c r="E27" s="19" t="s">
        <v>39</v>
      </c>
      <c r="F27" s="19" t="n">
        <v>40</v>
      </c>
      <c r="G27" s="16" t="n">
        <f aca="false">F27-$F$26</f>
        <v>15</v>
      </c>
      <c r="H27" s="16" t="n">
        <f aca="false">F27-$F$26</f>
        <v>15</v>
      </c>
    </row>
    <row r="28" customFormat="false" ht="15" hidden="false" customHeight="false" outlineLevel="0" collapsed="false">
      <c r="A28" s="16" t="s">
        <v>38</v>
      </c>
      <c r="B28" s="17" t="n">
        <v>469</v>
      </c>
      <c r="C28" s="18" t="n">
        <f aca="false">B28/$B$8</f>
        <v>1.0195652173913</v>
      </c>
      <c r="D28" s="19" t="n">
        <v>2050</v>
      </c>
      <c r="E28" s="19" t="s">
        <v>39</v>
      </c>
      <c r="F28" s="19" t="n">
        <v>54</v>
      </c>
      <c r="G28" s="16" t="n">
        <f aca="false">F28-$F$26</f>
        <v>29</v>
      </c>
      <c r="H28" s="16" t="n">
        <f aca="false">F28-$F$26</f>
        <v>29</v>
      </c>
    </row>
    <row r="29" customFormat="false" ht="15" hidden="false" customHeight="false" outlineLevel="0" collapsed="false">
      <c r="A29" s="16" t="s">
        <v>38</v>
      </c>
      <c r="B29" s="17" t="n">
        <v>697.78</v>
      </c>
      <c r="C29" s="18" t="n">
        <f aca="false">B29/$B$8</f>
        <v>1.51691304347826</v>
      </c>
      <c r="D29" s="19" t="n">
        <v>3050</v>
      </c>
      <c r="E29" s="19" t="n">
        <v>15</v>
      </c>
      <c r="F29" s="19" t="n">
        <v>70</v>
      </c>
      <c r="G29" s="16" t="n">
        <f aca="false">F29-$F$26</f>
        <v>45</v>
      </c>
      <c r="H29" s="16" t="n">
        <f aca="false">F29-$F$26</f>
        <v>45</v>
      </c>
    </row>
    <row r="30" customFormat="false" ht="15" hidden="false" customHeight="false" outlineLevel="0" collapsed="false">
      <c r="A30" s="16" t="s">
        <v>38</v>
      </c>
      <c r="B30" s="17" t="n">
        <v>469</v>
      </c>
      <c r="C30" s="18" t="n">
        <f aca="false">B30/$B$8</f>
        <v>1.0195652173913</v>
      </c>
      <c r="D30" s="19" t="n">
        <v>2050</v>
      </c>
      <c r="E30" s="19" t="s">
        <v>39</v>
      </c>
      <c r="F30" s="19" t="n">
        <v>64</v>
      </c>
      <c r="G30" s="16" t="n">
        <f aca="false">F30-$F$26</f>
        <v>39</v>
      </c>
      <c r="H30" s="16" t="n">
        <f aca="false">F30-$F$26</f>
        <v>39</v>
      </c>
    </row>
    <row r="31" customFormat="false" ht="15" hidden="false" customHeight="false" outlineLevel="0" collapsed="false">
      <c r="A31" s="16" t="s">
        <v>38</v>
      </c>
      <c r="B31" s="17" t="n">
        <v>240.22</v>
      </c>
      <c r="C31" s="18" t="n">
        <f aca="false">B31/$B$8</f>
        <v>0.522217391304348</v>
      </c>
      <c r="D31" s="19" t="n">
        <v>1050</v>
      </c>
      <c r="E31" s="19" t="s">
        <v>39</v>
      </c>
      <c r="F31" s="19" t="n">
        <v>53</v>
      </c>
      <c r="G31" s="16" t="n">
        <f aca="false">F31-$F$26</f>
        <v>28</v>
      </c>
      <c r="H31" s="16" t="n">
        <f aca="false">F31-$F$26</f>
        <v>28</v>
      </c>
    </row>
    <row r="32" customFormat="false" ht="15" hidden="false" customHeight="false" outlineLevel="0" collapsed="false">
      <c r="A32" s="16" t="s">
        <v>38</v>
      </c>
      <c r="B32" s="17" t="n">
        <v>57.2</v>
      </c>
      <c r="C32" s="18" t="n">
        <f aca="false">B32/$B$8</f>
        <v>0.124347826086957</v>
      </c>
      <c r="D32" s="19" t="n">
        <v>250</v>
      </c>
      <c r="E32" s="19" t="s">
        <v>39</v>
      </c>
      <c r="F32" s="19" t="n">
        <v>37</v>
      </c>
      <c r="G32" s="16" t="n">
        <f aca="false">F32-$F$26</f>
        <v>12</v>
      </c>
      <c r="H32" s="16" t="n">
        <f aca="false">F32-$F$26</f>
        <v>12</v>
      </c>
    </row>
    <row r="33" customFormat="false" ht="15" hidden="false" customHeight="false" outlineLevel="0" collapsed="false">
      <c r="A33" s="20" t="s">
        <v>40</v>
      </c>
      <c r="B33" s="21" t="n">
        <v>57.2</v>
      </c>
      <c r="C33" s="22" t="n">
        <f aca="false">B33/$B$8</f>
        <v>0.124347826086957</v>
      </c>
      <c r="D33" s="23" t="n">
        <v>250</v>
      </c>
      <c r="E33" s="23" t="n">
        <v>1</v>
      </c>
      <c r="F33" s="23" t="n">
        <v>37</v>
      </c>
      <c r="G33" s="20" t="n">
        <f aca="false">F33-$F$26</f>
        <v>12</v>
      </c>
      <c r="H33" s="20" t="n">
        <f aca="false">F33-$F$33</f>
        <v>0</v>
      </c>
    </row>
    <row r="34" customFormat="false" ht="15" hidden="false" customHeight="false" outlineLevel="0" collapsed="false">
      <c r="A34" s="20" t="s">
        <v>40</v>
      </c>
      <c r="B34" s="21" t="n">
        <v>240.22</v>
      </c>
      <c r="C34" s="22" t="n">
        <f aca="false">B34/$B$8</f>
        <v>0.522217391304348</v>
      </c>
      <c r="D34" s="23" t="n">
        <v>1050</v>
      </c>
      <c r="E34" s="23" t="n">
        <v>1</v>
      </c>
      <c r="F34" s="23" t="n">
        <v>44</v>
      </c>
      <c r="G34" s="20" t="n">
        <f aca="false">F34-$F$26</f>
        <v>19</v>
      </c>
      <c r="H34" s="20" t="n">
        <f aca="false">F34-$F$33</f>
        <v>7</v>
      </c>
    </row>
    <row r="35" customFormat="false" ht="15" hidden="false" customHeight="false" outlineLevel="0" collapsed="false">
      <c r="A35" s="20" t="s">
        <v>40</v>
      </c>
      <c r="B35" s="21" t="n">
        <v>469</v>
      </c>
      <c r="C35" s="22" t="n">
        <f aca="false">B35/$B$8</f>
        <v>1.0195652173913</v>
      </c>
      <c r="D35" s="23" t="n">
        <v>2050</v>
      </c>
      <c r="E35" s="23" t="n">
        <v>1</v>
      </c>
      <c r="F35" s="23" t="n">
        <v>53</v>
      </c>
      <c r="G35" s="20" t="n">
        <f aca="false">F35-$F$26</f>
        <v>28</v>
      </c>
      <c r="H35" s="20" t="n">
        <f aca="false">F35-$F$33</f>
        <v>16</v>
      </c>
    </row>
    <row r="36" customFormat="false" ht="15" hidden="false" customHeight="false" outlineLevel="0" collapsed="false">
      <c r="A36" s="20" t="s">
        <v>40</v>
      </c>
      <c r="B36" s="21" t="n">
        <v>697.78</v>
      </c>
      <c r="C36" s="22" t="n">
        <f aca="false">B36/$B$8</f>
        <v>1.51691304347826</v>
      </c>
      <c r="D36" s="23" t="n">
        <v>3050</v>
      </c>
      <c r="E36" s="23" t="n">
        <v>15</v>
      </c>
      <c r="F36" s="23" t="n">
        <v>75</v>
      </c>
      <c r="G36" s="20" t="n">
        <f aca="false">F36-$F$26</f>
        <v>50</v>
      </c>
      <c r="H36" s="20" t="n">
        <f aca="false">F36-$F$33</f>
        <v>38</v>
      </c>
    </row>
    <row r="37" customFormat="false" ht="15" hidden="false" customHeight="false" outlineLevel="0" collapsed="false">
      <c r="A37" s="20" t="s">
        <v>40</v>
      </c>
      <c r="B37" s="21" t="n">
        <v>469</v>
      </c>
      <c r="C37" s="22" t="n">
        <f aca="false">B37/$B$8</f>
        <v>1.0195652173913</v>
      </c>
      <c r="D37" s="23" t="n">
        <v>2050</v>
      </c>
      <c r="E37" s="23" t="n">
        <v>1</v>
      </c>
      <c r="F37" s="23" t="n">
        <v>67</v>
      </c>
      <c r="G37" s="20" t="n">
        <f aca="false">F37-$F$26</f>
        <v>42</v>
      </c>
      <c r="H37" s="20" t="n">
        <f aca="false">F37-$F$33</f>
        <v>30</v>
      </c>
    </row>
    <row r="38" customFormat="false" ht="15" hidden="false" customHeight="false" outlineLevel="0" collapsed="false">
      <c r="A38" s="20" t="s">
        <v>40</v>
      </c>
      <c r="B38" s="21" t="n">
        <v>240.22</v>
      </c>
      <c r="C38" s="22" t="n">
        <f aca="false">B38/$B$8</f>
        <v>0.522217391304348</v>
      </c>
      <c r="D38" s="23" t="n">
        <v>1050</v>
      </c>
      <c r="E38" s="23" t="n">
        <v>1</v>
      </c>
      <c r="F38" s="23" t="n">
        <v>50</v>
      </c>
      <c r="G38" s="20" t="n">
        <f aca="false">F38-$F$26</f>
        <v>25</v>
      </c>
      <c r="H38" s="20" t="n">
        <f aca="false">F38-$F$33</f>
        <v>13</v>
      </c>
    </row>
    <row r="39" customFormat="false" ht="15" hidden="false" customHeight="false" outlineLevel="0" collapsed="false">
      <c r="A39" s="20" t="s">
        <v>40</v>
      </c>
      <c r="B39" s="21" t="n">
        <v>57.2</v>
      </c>
      <c r="C39" s="22" t="n">
        <f aca="false">B39/$B$8</f>
        <v>0.124347826086957</v>
      </c>
      <c r="D39" s="23" t="n">
        <v>250</v>
      </c>
      <c r="E39" s="23" t="n">
        <v>1</v>
      </c>
      <c r="F39" s="23" t="n">
        <v>19</v>
      </c>
      <c r="G39" s="20" t="n">
        <f aca="false">F39-$F$26</f>
        <v>-6</v>
      </c>
      <c r="H39" s="20" t="n">
        <f aca="false">F39-$F$33</f>
        <v>-18</v>
      </c>
    </row>
    <row r="40" customFormat="false" ht="15" hidden="false" customHeight="false" outlineLevel="0" collapsed="false">
      <c r="A40" s="16" t="s">
        <v>41</v>
      </c>
      <c r="B40" s="17" t="n">
        <v>57.2</v>
      </c>
      <c r="C40" s="18" t="n">
        <f aca="false">B40/$B$8</f>
        <v>0.124347826086957</v>
      </c>
      <c r="D40" s="19" t="n">
        <v>250</v>
      </c>
      <c r="E40" s="19" t="n">
        <v>1</v>
      </c>
      <c r="F40" s="19" t="n">
        <v>19</v>
      </c>
      <c r="G40" s="16" t="n">
        <f aca="false">F40-$F$26</f>
        <v>-6</v>
      </c>
      <c r="H40" s="16" t="n">
        <f aca="false">F40-$F$40</f>
        <v>0</v>
      </c>
    </row>
    <row r="41" customFormat="false" ht="15" hidden="false" customHeight="false" outlineLevel="0" collapsed="false">
      <c r="A41" s="16" t="s">
        <v>41</v>
      </c>
      <c r="B41" s="17" t="n">
        <v>240.22</v>
      </c>
      <c r="C41" s="18" t="n">
        <f aca="false">B41/$B$8</f>
        <v>0.522217391304348</v>
      </c>
      <c r="D41" s="19" t="n">
        <v>1050</v>
      </c>
      <c r="E41" s="19" t="n">
        <v>1</v>
      </c>
      <c r="F41" s="19" t="n">
        <v>45</v>
      </c>
      <c r="G41" s="16" t="n">
        <f aca="false">F41-$F$26</f>
        <v>20</v>
      </c>
      <c r="H41" s="16" t="n">
        <f aca="false">F41-$F$40</f>
        <v>26</v>
      </c>
    </row>
    <row r="42" customFormat="false" ht="15" hidden="false" customHeight="false" outlineLevel="0" collapsed="false">
      <c r="A42" s="16" t="s">
        <v>41</v>
      </c>
      <c r="B42" s="17" t="n">
        <v>469</v>
      </c>
      <c r="C42" s="18" t="n">
        <f aca="false">B42/$B$8</f>
        <v>1.0195652173913</v>
      </c>
      <c r="D42" s="19" t="n">
        <v>2050</v>
      </c>
      <c r="E42" s="19" t="n">
        <v>1</v>
      </c>
      <c r="F42" s="19" t="n">
        <v>60</v>
      </c>
      <c r="G42" s="16" t="n">
        <f aca="false">F42-$F$26</f>
        <v>35</v>
      </c>
      <c r="H42" s="16" t="n">
        <f aca="false">F42-$F$40</f>
        <v>41</v>
      </c>
    </row>
    <row r="43" customFormat="false" ht="15" hidden="false" customHeight="false" outlineLevel="0" collapsed="false">
      <c r="A43" s="16" t="s">
        <v>41</v>
      </c>
      <c r="B43" s="17" t="n">
        <v>697.78</v>
      </c>
      <c r="C43" s="18" t="n">
        <f aca="false">B43/$B$8</f>
        <v>1.51691304347826</v>
      </c>
      <c r="D43" s="19" t="n">
        <v>3050</v>
      </c>
      <c r="E43" s="19" t="n">
        <v>15</v>
      </c>
      <c r="F43" s="19" t="n">
        <v>75</v>
      </c>
      <c r="G43" s="16" t="n">
        <f aca="false">F43-$F$26</f>
        <v>50</v>
      </c>
      <c r="H43" s="16" t="n">
        <f aca="false">F43-$F$40</f>
        <v>56</v>
      </c>
    </row>
    <row r="44" customFormat="false" ht="15" hidden="false" customHeight="false" outlineLevel="0" collapsed="false">
      <c r="A44" s="16" t="s">
        <v>41</v>
      </c>
      <c r="B44" s="17" t="n">
        <v>469</v>
      </c>
      <c r="C44" s="18" t="n">
        <f aca="false">B44/$B$8</f>
        <v>1.0195652173913</v>
      </c>
      <c r="D44" s="19" t="n">
        <v>2050</v>
      </c>
      <c r="E44" s="19" t="n">
        <v>1</v>
      </c>
      <c r="F44" s="19" t="n">
        <v>67</v>
      </c>
      <c r="G44" s="16" t="n">
        <f aca="false">F44-$F$26</f>
        <v>42</v>
      </c>
      <c r="H44" s="16" t="n">
        <f aca="false">F44-$F$40</f>
        <v>48</v>
      </c>
    </row>
    <row r="45" customFormat="false" ht="15" hidden="false" customHeight="false" outlineLevel="0" collapsed="false">
      <c r="A45" s="16" t="s">
        <v>41</v>
      </c>
      <c r="B45" s="17" t="n">
        <v>240.22</v>
      </c>
      <c r="C45" s="18" t="n">
        <f aca="false">B45/$B$8</f>
        <v>0.522217391304348</v>
      </c>
      <c r="D45" s="19" t="n">
        <v>1050</v>
      </c>
      <c r="E45" s="19" t="n">
        <v>1</v>
      </c>
      <c r="F45" s="19" t="n">
        <v>53</v>
      </c>
      <c r="G45" s="16" t="n">
        <f aca="false">F45-$F$26</f>
        <v>28</v>
      </c>
      <c r="H45" s="16" t="n">
        <f aca="false">F45-$F$40</f>
        <v>34</v>
      </c>
    </row>
    <row r="46" customFormat="false" ht="15" hidden="false" customHeight="false" outlineLevel="0" collapsed="false">
      <c r="A46" s="16" t="s">
        <v>41</v>
      </c>
      <c r="B46" s="17" t="n">
        <v>57.2</v>
      </c>
      <c r="C46" s="18" t="n">
        <f aca="false">B46/$B$8</f>
        <v>0.124347826086957</v>
      </c>
      <c r="D46" s="19" t="n">
        <v>250</v>
      </c>
      <c r="E46" s="19" t="n">
        <v>1</v>
      </c>
      <c r="F46" s="19" t="n">
        <v>16</v>
      </c>
      <c r="G46" s="16" t="n">
        <f aca="false">F46-$F$26</f>
        <v>-9</v>
      </c>
      <c r="H46" s="16" t="n">
        <f aca="false">F46-$F$40</f>
        <v>-3</v>
      </c>
    </row>
    <row r="48" customFormat="false" ht="15" hidden="false" customHeight="false" outlineLevel="0" collapsed="false">
      <c r="A48" s="3" t="s">
        <v>42</v>
      </c>
    </row>
    <row r="49" customFormat="false" ht="42" hidden="false" customHeight="true" outlineLevel="0" collapsed="false">
      <c r="A49" s="14" t="s">
        <v>29</v>
      </c>
      <c r="B49" s="14" t="s">
        <v>43</v>
      </c>
      <c r="C49" s="14" t="s">
        <v>44</v>
      </c>
      <c r="D49" s="14" t="s">
        <v>45</v>
      </c>
      <c r="E49" s="14" t="s">
        <v>46</v>
      </c>
      <c r="F49" s="14" t="s">
        <v>47</v>
      </c>
      <c r="G49" s="14" t="s">
        <v>48</v>
      </c>
      <c r="H49" s="14" t="s">
        <v>49</v>
      </c>
      <c r="I49" s="14" t="s">
        <v>50</v>
      </c>
    </row>
    <row r="50" customFormat="false" ht="15" hidden="false" customHeight="false" outlineLevel="0" collapsed="false">
      <c r="A50" s="16" t="s">
        <v>51</v>
      </c>
      <c r="B50" s="16" t="n">
        <f aca="false">F29</f>
        <v>70</v>
      </c>
      <c r="C50" s="16" t="n">
        <f aca="false">F32</f>
        <v>37</v>
      </c>
      <c r="D50" s="16" t="n">
        <f aca="false">B50-C50</f>
        <v>33</v>
      </c>
      <c r="E50" s="16" t="n">
        <f aca="false">C50-$F$26</f>
        <v>12</v>
      </c>
      <c r="F50" s="24" t="n">
        <f aca="false">D50/$B$22</f>
        <v>4.95749555090699</v>
      </c>
      <c r="G50" s="24" t="n">
        <f aca="false">0.9*$B$9+$B$14</f>
        <v>7.2</v>
      </c>
      <c r="H50" s="24" t="n">
        <f aca="false">$B$9+0.5*$B$10+$B$14</f>
        <v>17</v>
      </c>
      <c r="I50" s="16" t="str">
        <f aca="false">IF(AND(F50&gt;=G50,F50&lt;=H50),"OK","TIDAK OK")</f>
        <v>TIDAK OK</v>
      </c>
    </row>
    <row r="51" customFormat="false" ht="15" hidden="false" customHeight="false" outlineLevel="0" collapsed="false">
      <c r="A51" s="16" t="s">
        <v>52</v>
      </c>
      <c r="B51" s="16" t="n">
        <f aca="false">F36</f>
        <v>75</v>
      </c>
      <c r="C51" s="16" t="n">
        <f aca="false">F39</f>
        <v>19</v>
      </c>
      <c r="D51" s="16" t="n">
        <f aca="false">B51-C51</f>
        <v>56</v>
      </c>
      <c r="E51" s="16" t="n">
        <f aca="false">C51-$F$26</f>
        <v>-6</v>
      </c>
      <c r="F51" s="24" t="n">
        <f aca="false">D51/$B$22</f>
        <v>8.41271972275126</v>
      </c>
      <c r="G51" s="24" t="n">
        <f aca="false">0.9*$B$9+$B$14</f>
        <v>7.2</v>
      </c>
      <c r="H51" s="24" t="n">
        <f aca="false">$B$9+0.5*$B$10+$B$14</f>
        <v>17</v>
      </c>
      <c r="I51" s="16" t="str">
        <f aca="false">IF(AND(F51&gt;=G51,F51&lt;=H51),"OK","TIDAK OK")</f>
        <v>OK</v>
      </c>
    </row>
    <row r="52" customFormat="false" ht="15" hidden="false" customHeight="false" outlineLevel="0" collapsed="false">
      <c r="A52" s="16" t="s">
        <v>53</v>
      </c>
      <c r="B52" s="16" t="n">
        <f aca="false">F43</f>
        <v>75</v>
      </c>
      <c r="C52" s="16" t="n">
        <f aca="false">F46</f>
        <v>16</v>
      </c>
      <c r="D52" s="16" t="n">
        <f aca="false">B52-C52</f>
        <v>59</v>
      </c>
      <c r="E52" s="16" t="n">
        <f aca="false">C52-$F$26</f>
        <v>-9</v>
      </c>
      <c r="F52" s="24" t="n">
        <f aca="false">D52/$B$22</f>
        <v>8.86340113647008</v>
      </c>
      <c r="G52" s="24" t="n">
        <f aca="false">0.9*$B$9+$B$14</f>
        <v>7.2</v>
      </c>
      <c r="H52" s="24" t="n">
        <f aca="false">$B$9+0.5*$B$10+$B$14</f>
        <v>17</v>
      </c>
      <c r="I52" s="16" t="str">
        <f aca="false">IF(AND(F52&gt;=G52,F52&lt;=H52),"OK","TIDAK OK")</f>
        <v>OK</v>
      </c>
    </row>
    <row r="53" customFormat="false" ht="15" hidden="false" customHeight="false" outlineLevel="0" collapsed="false">
      <c r="A53" s="3" t="s">
        <v>54</v>
      </c>
    </row>
    <row r="54" customFormat="false" ht="30" hidden="false" customHeight="true" outlineLevel="0" collapsed="false">
      <c r="A54" s="3" t="s">
        <v>55</v>
      </c>
      <c r="B54" s="25" t="s">
        <v>56</v>
      </c>
      <c r="C54" s="25"/>
      <c r="D54" s="25"/>
      <c r="E54" s="25"/>
      <c r="F54" s="25"/>
      <c r="G54" s="25"/>
      <c r="H54" s="25"/>
      <c r="I54" s="25"/>
    </row>
    <row r="55" customFormat="false" ht="30" hidden="false" customHeight="true" outlineLevel="0" collapsed="false">
      <c r="A55" s="3" t="s">
        <v>57</v>
      </c>
      <c r="B55" s="25" t="s">
        <v>58</v>
      </c>
      <c r="C55" s="25"/>
      <c r="D55" s="25"/>
      <c r="E55" s="25"/>
      <c r="F55" s="25"/>
      <c r="G55" s="25"/>
      <c r="H55" s="25"/>
      <c r="I55" s="25"/>
    </row>
    <row r="56" customFormat="false" ht="30" hidden="false" customHeight="true" outlineLevel="0" collapsed="false">
      <c r="A56" s="3" t="s">
        <v>59</v>
      </c>
      <c r="B56" s="25" t="s">
        <v>60</v>
      </c>
      <c r="C56" s="25"/>
      <c r="D56" s="25"/>
      <c r="E56" s="25"/>
      <c r="F56" s="25"/>
      <c r="G56" s="25"/>
      <c r="H56" s="25"/>
      <c r="I56" s="25"/>
    </row>
    <row r="57" customFormat="false" ht="30" hidden="false" customHeight="true" outlineLevel="0" collapsed="false">
      <c r="A57" s="26" t="s">
        <v>61</v>
      </c>
      <c r="B57" s="27" t="s">
        <v>62</v>
      </c>
      <c r="C57" s="27"/>
      <c r="D57" s="27"/>
      <c r="E57" s="27"/>
      <c r="F57" s="27"/>
      <c r="G57" s="27"/>
      <c r="H57" s="27"/>
      <c r="I57" s="27"/>
    </row>
    <row r="59" customFormat="false" ht="15" hidden="false" customHeight="false" outlineLevel="0" collapsed="false">
      <c r="A59" s="3" t="s">
        <v>63</v>
      </c>
    </row>
    <row r="60" customFormat="false" ht="30" hidden="false" customHeight="true" outlineLevel="0" collapsed="false">
      <c r="A60" s="28" t="s">
        <v>64</v>
      </c>
      <c r="B60" s="28" t="s">
        <v>65</v>
      </c>
      <c r="C60" s="28" t="s">
        <v>66</v>
      </c>
      <c r="D60" s="28" t="s">
        <v>67</v>
      </c>
      <c r="E60" s="28" t="s">
        <v>68</v>
      </c>
      <c r="F60" s="28" t="s">
        <v>46</v>
      </c>
      <c r="G60" s="28" t="s">
        <v>69</v>
      </c>
      <c r="H60" s="29" t="s">
        <v>70</v>
      </c>
    </row>
    <row r="61" customFormat="false" ht="15" hidden="false" customHeight="false" outlineLevel="0" collapsed="false">
      <c r="A61" s="30" t="n">
        <f aca="false">B40-$B$19</f>
        <v>0</v>
      </c>
      <c r="B61" s="16" t="n">
        <f aca="false">F40-F46</f>
        <v>3</v>
      </c>
      <c r="C61" s="30" t="n">
        <f aca="false">A61*$G$50*1000/($B$18*$B$13)</f>
        <v>0</v>
      </c>
      <c r="D61" s="30" t="n">
        <f aca="false">A61*($B$9+$B$14)*1000/($B$18*$B$13)</f>
        <v>0</v>
      </c>
      <c r="E61" s="30" t="n">
        <f aca="false">A61*$H$50*1000/($B$18*$B$13)</f>
        <v>0</v>
      </c>
      <c r="F61" s="16" t="n">
        <f aca="false">E50</f>
        <v>12</v>
      </c>
      <c r="G61" s="16" t="n">
        <f aca="false">D50</f>
        <v>33</v>
      </c>
      <c r="H61" s="30" t="n">
        <f aca="false">$A$64</f>
        <v>640.58</v>
      </c>
    </row>
    <row r="62" customFormat="false" ht="15" hidden="false" customHeight="false" outlineLevel="0" collapsed="false">
      <c r="A62" s="30" t="n">
        <f aca="false">B41-$B$19</f>
        <v>183.02</v>
      </c>
      <c r="B62" s="16" t="n">
        <f aca="false">F41-F46</f>
        <v>29</v>
      </c>
      <c r="C62" s="30" t="n">
        <f aca="false">A62*$G$50*1000/($B$18*$B$13)</f>
        <v>13.6933364507833</v>
      </c>
      <c r="D62" s="30" t="n">
        <f aca="false">A62*($B$9+$B$14)*1000/($B$18*$B$13)</f>
        <v>15.2148182786481</v>
      </c>
      <c r="E62" s="30" t="n">
        <f aca="false">A62*$H$50*1000/($B$18*$B$13)</f>
        <v>32.3314888421271</v>
      </c>
      <c r="F62" s="16" t="n">
        <f aca="false">E51</f>
        <v>-6</v>
      </c>
      <c r="G62" s="16" t="n">
        <f aca="false">D51</f>
        <v>56</v>
      </c>
      <c r="H62" s="30" t="n">
        <f aca="false">$A$64</f>
        <v>640.58</v>
      </c>
    </row>
    <row r="63" customFormat="false" ht="15" hidden="false" customHeight="false" outlineLevel="0" collapsed="false">
      <c r="A63" s="30" t="n">
        <f aca="false">B42-$B$19</f>
        <v>411.8</v>
      </c>
      <c r="B63" s="16" t="n">
        <f aca="false">F42-F46</f>
        <v>44</v>
      </c>
      <c r="C63" s="30" t="n">
        <f aca="false">A63*$G$50*1000/($B$18*$B$13)</f>
        <v>30.8103811082535</v>
      </c>
      <c r="D63" s="30" t="n">
        <f aca="false">A63*($B$9+$B$14)*1000/($B$18*$B$13)</f>
        <v>34.2337567869483</v>
      </c>
      <c r="E63" s="30" t="n">
        <f aca="false">A63*$H$50*1000/($B$18*$B$13)</f>
        <v>72.7467331722651</v>
      </c>
      <c r="F63" s="16" t="n">
        <f aca="false">E52</f>
        <v>-9</v>
      </c>
      <c r="G63" s="16" t="n">
        <f aca="false">D52</f>
        <v>59</v>
      </c>
      <c r="H63" s="30" t="n">
        <f aca="false">$A$64</f>
        <v>640.58</v>
      </c>
    </row>
    <row r="64" customFormat="false" ht="15" hidden="false" customHeight="false" outlineLevel="0" collapsed="false">
      <c r="A64" s="30" t="n">
        <f aca="false">B43-$B$19</f>
        <v>640.58</v>
      </c>
      <c r="B64" s="16" t="n">
        <f aca="false">F43-F46</f>
        <v>59</v>
      </c>
      <c r="C64" s="30" t="n">
        <f aca="false">A64*$G$50*1000/($B$18*$B$13)</f>
        <v>47.9274257657236</v>
      </c>
      <c r="D64" s="30" t="n">
        <f aca="false">A64*($B$9+$B$14)*1000/($B$18*$B$13)</f>
        <v>53.2526952952485</v>
      </c>
      <c r="E64" s="30" t="n">
        <f aca="false">A64*$H$50*1000/($B$18*$B$13)</f>
        <v>113.161977502403</v>
      </c>
      <c r="F64" s="16"/>
      <c r="G64" s="16"/>
      <c r="H64" s="16"/>
    </row>
  </sheetData>
  <mergeCells count="4">
    <mergeCell ref="B54:I54"/>
    <mergeCell ref="B55:I55"/>
    <mergeCell ref="B56:I56"/>
    <mergeCell ref="B57:I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B6834"/>
    <pageSetUpPr fitToPage="true"/>
  </sheetPr>
  <dimension ref="A1:L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5"/>
    <col collapsed="false" customWidth="true" hidden="false" outlineLevel="0" max="3" min="3" style="0" width="50"/>
    <col collapsed="false" customWidth="true" hidden="false" outlineLevel="0" max="4" min="4" style="0" width="16"/>
    <col collapsed="false" customWidth="true" hidden="false" outlineLevel="0" max="12" min="5" style="0" width="10"/>
  </cols>
  <sheetData>
    <row r="1" customFormat="false" ht="17.35" hidden="false" customHeight="false" outlineLevel="0" collapsed="false">
      <c r="A1" s="1" t="s">
        <v>71</v>
      </c>
    </row>
    <row r="2" customFormat="false" ht="42" hidden="false" customHeight="true" outlineLevel="0" collapsed="false">
      <c r="A2" s="31" t="s">
        <v>72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customFormat="false" ht="15" hidden="false" customHeight="false" outlineLevel="0" collapsed="false">
      <c r="B3" s="3" t="s">
        <v>73</v>
      </c>
      <c r="E3" s="3" t="s">
        <v>74</v>
      </c>
    </row>
    <row r="4" customFormat="false" ht="15" hidden="false" customHeight="false" outlineLevel="0" collapsed="false">
      <c r="A4" s="32" t="s">
        <v>75</v>
      </c>
      <c r="B4" s="32" t="s">
        <v>76</v>
      </c>
      <c r="C4" s="32" t="s">
        <v>77</v>
      </c>
      <c r="D4" s="32" t="s">
        <v>78</v>
      </c>
      <c r="E4" s="32" t="s">
        <v>79</v>
      </c>
      <c r="F4" s="32" t="s">
        <v>80</v>
      </c>
      <c r="G4" s="32" t="s">
        <v>81</v>
      </c>
    </row>
    <row r="5" customFormat="false" ht="15" hidden="false" customHeight="false" outlineLevel="0" collapsed="false">
      <c r="A5" s="19" t="n">
        <v>10</v>
      </c>
      <c r="B5" s="17" t="n">
        <v>0</v>
      </c>
      <c r="C5" s="17" t="n">
        <v>0.233</v>
      </c>
      <c r="D5" s="17" t="n">
        <v>0.406</v>
      </c>
      <c r="E5" s="24" t="n">
        <f aca="false">('Data &amp; Analisa'!F26-MIN('Data &amp; Analisa'!$F$26:$F$46))/(MAX('Data &amp; Analisa'!$F$26:$F$46)-MIN('Data &amp; Analisa'!$F$26:$F$46))</f>
        <v>0.152542372881356</v>
      </c>
      <c r="F5" s="24" t="n">
        <f aca="false">('Data &amp; Analisa'!F33-MIN('Data &amp; Analisa'!$F$26:$F$46))/(MAX('Data &amp; Analisa'!$F$26:$F$46)-MIN('Data &amp; Analisa'!$F$26:$F$46))</f>
        <v>0.355932203389831</v>
      </c>
      <c r="G5" s="24" t="n">
        <f aca="false">('Data &amp; Analisa'!F40-MIN('Data &amp; Analisa'!$F$26:$F$46))/(MAX('Data &amp; Analisa'!$F$26:$F$46)-MIN('Data &amp; Analisa'!$F$26:$F$46))</f>
        <v>0.0508474576271187</v>
      </c>
    </row>
    <row r="6" customFormat="false" ht="15" hidden="false" customHeight="false" outlineLevel="0" collapsed="false">
      <c r="A6" s="19" t="n">
        <v>50</v>
      </c>
      <c r="B6" s="17" t="n">
        <v>0.069</v>
      </c>
      <c r="C6" s="17" t="n">
        <v>0.267</v>
      </c>
      <c r="D6" s="17" t="n">
        <v>0.416</v>
      </c>
      <c r="E6" s="24" t="n">
        <f aca="false">('Data &amp; Analisa'!F27-MIN('Data &amp; Analisa'!$F$26:$F$46))/(MAX('Data &amp; Analisa'!$F$26:$F$46)-MIN('Data &amp; Analisa'!$F$26:$F$46))</f>
        <v>0.406779661016949</v>
      </c>
      <c r="F6" s="24" t="n">
        <f aca="false">('Data &amp; Analisa'!F34-MIN('Data &amp; Analisa'!$F$26:$F$46))/(MAX('Data &amp; Analisa'!$F$26:$F$46)-MIN('Data &amp; Analisa'!$F$26:$F$46))</f>
        <v>0.474576271186441</v>
      </c>
      <c r="G6" s="24" t="n">
        <f aca="false">('Data &amp; Analisa'!F41-MIN('Data &amp; Analisa'!$F$26:$F$46))/(MAX('Data &amp; Analisa'!$F$26:$F$46)-MIN('Data &amp; Analisa'!$F$26:$F$46))</f>
        <v>0.491525423728814</v>
      </c>
    </row>
    <row r="7" customFormat="false" ht="15" hidden="false" customHeight="false" outlineLevel="0" collapsed="false">
      <c r="A7" s="19" t="n">
        <v>100</v>
      </c>
      <c r="B7" s="17" t="n">
        <v>0.208</v>
      </c>
      <c r="C7" s="17" t="n">
        <v>0.554</v>
      </c>
      <c r="D7" s="17" t="n">
        <v>0.629</v>
      </c>
      <c r="E7" s="24" t="n">
        <f aca="false">('Data &amp; Analisa'!F28-MIN('Data &amp; Analisa'!$F$26:$F$46))/(MAX('Data &amp; Analisa'!$F$26:$F$46)-MIN('Data &amp; Analisa'!$F$26:$F$46))</f>
        <v>0.644067796610169</v>
      </c>
      <c r="F7" s="24" t="n">
        <f aca="false">('Data &amp; Analisa'!F35-MIN('Data &amp; Analisa'!$F$26:$F$46))/(MAX('Data &amp; Analisa'!$F$26:$F$46)-MIN('Data &amp; Analisa'!$F$26:$F$46))</f>
        <v>0.627118644067797</v>
      </c>
      <c r="G7" s="24" t="n">
        <f aca="false">('Data &amp; Analisa'!F42-MIN('Data &amp; Analisa'!$F$26:$F$46))/(MAX('Data &amp; Analisa'!$F$26:$F$46)-MIN('Data &amp; Analisa'!$F$26:$F$46))</f>
        <v>0.745762711864407</v>
      </c>
    </row>
    <row r="8" customFormat="false" ht="15" hidden="false" customHeight="false" outlineLevel="0" collapsed="false">
      <c r="A8" s="19" t="n">
        <v>150</v>
      </c>
      <c r="B8" s="17" t="n">
        <v>0.619</v>
      </c>
      <c r="C8" s="17" t="n">
        <v>0.817</v>
      </c>
      <c r="D8" s="17" t="n">
        <v>1</v>
      </c>
      <c r="E8" s="24" t="n">
        <f aca="false">('Data &amp; Analisa'!F29-MIN('Data &amp; Analisa'!$F$26:$F$46))/(MAX('Data &amp; Analisa'!$F$26:$F$46)-MIN('Data &amp; Analisa'!$F$26:$F$46))</f>
        <v>0.915254237288136</v>
      </c>
      <c r="F8" s="24" t="n">
        <f aca="false">('Data &amp; Analisa'!F36-MIN('Data &amp; Analisa'!$F$26:$F$46))/(MAX('Data &amp; Analisa'!$F$26:$F$46)-MIN('Data &amp; Analisa'!$F$26:$F$46))</f>
        <v>1</v>
      </c>
      <c r="G8" s="24" t="n">
        <f aca="false">('Data &amp; Analisa'!F43-MIN('Data &amp; Analisa'!$F$26:$F$46))/(MAX('Data &amp; Analisa'!$F$26:$F$46)-MIN('Data &amp; Analisa'!$F$26:$F$46))</f>
        <v>1</v>
      </c>
    </row>
    <row r="9" customFormat="false" ht="15" hidden="false" customHeight="false" outlineLevel="0" collapsed="false">
      <c r="A9" s="19" t="n">
        <v>100</v>
      </c>
      <c r="B9" s="17" t="n">
        <v>0.579</v>
      </c>
      <c r="C9" s="17" t="n">
        <v>0.777</v>
      </c>
      <c r="D9" s="17" t="n">
        <v>0.965</v>
      </c>
      <c r="E9" s="24" t="n">
        <f aca="false">('Data &amp; Analisa'!F30-MIN('Data &amp; Analisa'!$F$26:$F$46))/(MAX('Data &amp; Analisa'!$F$26:$F$46)-MIN('Data &amp; Analisa'!$F$26:$F$46))</f>
        <v>0.813559322033898</v>
      </c>
      <c r="F9" s="24" t="n">
        <f aca="false">('Data &amp; Analisa'!F37-MIN('Data &amp; Analisa'!$F$26:$F$46))/(MAX('Data &amp; Analisa'!$F$26:$F$46)-MIN('Data &amp; Analisa'!$F$26:$F$46))</f>
        <v>0.864406779661017</v>
      </c>
      <c r="G9" s="24" t="n">
        <f aca="false">('Data &amp; Analisa'!F44-MIN('Data &amp; Analisa'!$F$26:$F$46))/(MAX('Data &amp; Analisa'!$F$26:$F$46)-MIN('Data &amp; Analisa'!$F$26:$F$46))</f>
        <v>0.864406779661017</v>
      </c>
    </row>
    <row r="10" customFormat="false" ht="15" hidden="false" customHeight="false" outlineLevel="0" collapsed="false">
      <c r="A10" s="19" t="n">
        <v>50</v>
      </c>
      <c r="B10" s="17" t="n">
        <v>0.455</v>
      </c>
      <c r="C10" s="17" t="n">
        <v>0.629</v>
      </c>
      <c r="D10" s="17" t="n">
        <v>0.827</v>
      </c>
      <c r="E10" s="24" t="n">
        <f aca="false">('Data &amp; Analisa'!F31-MIN('Data &amp; Analisa'!$F$26:$F$46))/(MAX('Data &amp; Analisa'!$F$26:$F$46)-MIN('Data &amp; Analisa'!$F$26:$F$46))</f>
        <v>0.627118644067797</v>
      </c>
      <c r="F10" s="24" t="n">
        <f aca="false">('Data &amp; Analisa'!F38-MIN('Data &amp; Analisa'!$F$26:$F$46))/(MAX('Data &amp; Analisa'!$F$26:$F$46)-MIN('Data &amp; Analisa'!$F$26:$F$46))</f>
        <v>0.576271186440678</v>
      </c>
      <c r="G10" s="24" t="n">
        <f aca="false">('Data &amp; Analisa'!F45-MIN('Data &amp; Analisa'!$F$26:$F$46))/(MAX('Data &amp; Analisa'!$F$26:$F$46)-MIN('Data &amp; Analisa'!$F$26:$F$46))</f>
        <v>0.627118644067797</v>
      </c>
    </row>
    <row r="11" customFormat="false" ht="15" hidden="false" customHeight="false" outlineLevel="0" collapsed="false">
      <c r="A11" s="19" t="n">
        <v>10</v>
      </c>
      <c r="B11" s="17" t="n">
        <v>0.233</v>
      </c>
      <c r="C11" s="17" t="n">
        <v>0.406</v>
      </c>
      <c r="D11" s="17" t="n">
        <v>0.703</v>
      </c>
      <c r="E11" s="24" t="n">
        <f aca="false">('Data &amp; Analisa'!F32-MIN('Data &amp; Analisa'!$F$26:$F$46))/(MAX('Data &amp; Analisa'!$F$26:$F$46)-MIN('Data &amp; Analisa'!$F$26:$F$46))</f>
        <v>0.355932203389831</v>
      </c>
      <c r="F11" s="24" t="n">
        <f aca="false">('Data &amp; Analisa'!F39-MIN('Data &amp; Analisa'!$F$26:$F$46))/(MAX('Data &amp; Analisa'!$F$26:$F$46)-MIN('Data &amp; Analisa'!$F$26:$F$46))</f>
        <v>0.0508474576271187</v>
      </c>
      <c r="G11" s="24" t="n">
        <f aca="false">('Data &amp; Analisa'!F46-MIN('Data &amp; Analisa'!$F$26:$F$46))/(MAX('Data &amp; Analisa'!$F$26:$F$46)-MIN('Data &amp; Analisa'!$F$26:$F$46))</f>
        <v>0</v>
      </c>
    </row>
    <row r="13" customFormat="false" ht="15" hidden="false" customHeight="false" outlineLevel="0" collapsed="false">
      <c r="A13" s="3" t="s">
        <v>82</v>
      </c>
    </row>
    <row r="14" customFormat="false" ht="15" hidden="false" customHeight="false" outlineLevel="0" collapsed="false">
      <c r="A14" s="33" t="s">
        <v>83</v>
      </c>
      <c r="B14" s="33" t="s">
        <v>84</v>
      </c>
      <c r="C14" s="33" t="s">
        <v>85</v>
      </c>
      <c r="D14" s="33" t="s">
        <v>86</v>
      </c>
    </row>
    <row r="15" customFormat="false" ht="45" hidden="false" customHeight="true" outlineLevel="0" collapsed="false">
      <c r="A15" s="34" t="s">
        <v>87</v>
      </c>
      <c r="B15" s="34" t="s">
        <v>88</v>
      </c>
      <c r="C15" s="34" t="s">
        <v>89</v>
      </c>
      <c r="D15" s="35" t="s">
        <v>90</v>
      </c>
    </row>
    <row r="16" customFormat="false" ht="45" hidden="false" customHeight="true" outlineLevel="0" collapsed="false">
      <c r="A16" s="34" t="s">
        <v>91</v>
      </c>
      <c r="B16" s="34" t="s">
        <v>92</v>
      </c>
      <c r="C16" s="34" t="str">
        <f aca="false">"Bacaan datum TURUN: "&amp;'Data &amp; Analisa'!F32&amp;" → "&amp;'Data &amp; Analisa'!F39&amp;" → "&amp;'Data &amp; Analisa'!F46&amp;" mm (loop bergeser ke kiri)."</f>
        <v>Bacaan datum TURUN: 37 → 19 → 16 mm (loop bergeser ke kiri).</v>
      </c>
      <c r="D16" s="36" t="s">
        <v>93</v>
      </c>
    </row>
    <row r="17" customFormat="false" ht="45" hidden="false" customHeight="true" outlineLevel="0" collapsed="false">
      <c r="A17" s="34" t="s">
        <v>94</v>
      </c>
      <c r="B17" s="34" t="s">
        <v>95</v>
      </c>
      <c r="C17" s="34" t="str">
        <f aca="false">'Data &amp; Analisa'!F29&amp;" → "&amp;'Data &amp; Analisa'!F36&amp;" → "&amp;'Data &amp; Analisa'!F43&amp;" mm (naik lalu tetap)."</f>
        <v>70 → 75 → 75 mm (naik lalu tetap).</v>
      </c>
      <c r="D17" s="37" t="s">
        <v>96</v>
      </c>
    </row>
    <row r="18" customFormat="false" ht="45" hidden="false" customHeight="true" outlineLevel="0" collapsed="false">
      <c r="A18" s="34" t="s">
        <v>97</v>
      </c>
      <c r="B18" s="34" t="s">
        <v>98</v>
      </c>
      <c r="C18" s="34" t="str">
        <f aca="false">'Data &amp; Analisa'!D50&amp;" / "&amp;'Data &amp; Analisa'!D51&amp;" / "&amp;'Data &amp; Analisa'!D52&amp;" mm — siklus 1 jauh lebih kecil; siklus 2 &amp; 3 konsisten dan dalam batas."</f>
        <v>33 / 56 / 59 mm — siklus 1 jauh lebih kecil; siklus 2 &amp; 3 konsisten dan dalam batas.</v>
      </c>
      <c r="D18" s="37" t="s">
        <v>96</v>
      </c>
    </row>
    <row r="19" customFormat="false" ht="45" hidden="false" customHeight="true" outlineLevel="0" collapsed="false">
      <c r="A19" s="34" t="s">
        <v>99</v>
      </c>
      <c r="B19" s="34" t="s">
        <v>100</v>
      </c>
      <c r="C19" s="34" t="s">
        <v>101</v>
      </c>
      <c r="D19" s="36" t="s">
        <v>102</v>
      </c>
    </row>
    <row r="20" customFormat="false" ht="45" hidden="false" customHeight="true" outlineLevel="0" collapsed="false">
      <c r="A20" s="34" t="s">
        <v>103</v>
      </c>
      <c r="B20" s="34" t="s">
        <v>104</v>
      </c>
      <c r="C20" s="34" t="str">
        <f aca="false">'Data &amp; Analisa'!E52&amp;" mm (negatif) — tidak wajar secara fisik; cek re-stroke ram / slip wedge / pencatatan."</f>
        <v>-9 mm (negatif) — tidak wajar secara fisik; cek re-stroke ram / slip wedge / pencatatan.</v>
      </c>
      <c r="D20" s="36" t="s">
        <v>93</v>
      </c>
    </row>
  </sheetData>
  <mergeCells count="1"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AF7A"/>
    <pageSetUpPr fitToPage="true"/>
  </sheetPr>
  <dimension ref="A1:A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105</v>
      </c>
    </row>
    <row r="73" customFormat="false" ht="15" hidden="false" customHeight="false" outlineLevel="0" collapsed="false">
      <c r="A73" s="38" t="s">
        <v>106</v>
      </c>
    </row>
    <row r="75" customFormat="false" ht="15" hidden="false" customHeight="false" outlineLevel="0" collapsed="false">
      <c r="A75" s="3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47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2026-10-06T04:41:16Z</dcterms:created>
  <dc:creator>openpyxl</dc:creator>
  <dc:description/>
  <dc:language>en-US</dc:language>
  <cp:lastModifiedBy/>
  <dcterms:modified xsi:type="dcterms:W3CDTF">2026-10-06T04:41:18Z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