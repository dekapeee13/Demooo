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oad-Cases" sheetId="2" state="visible" r:id="rId2"/>
    <sheet xmlns:r="http://schemas.openxmlformats.org/officeDocument/2006/relationships" name="Conc.Loads-3D" sheetId="3" state="visible" r:id="rId3"/>
    <sheet xmlns:r="http://schemas.openxmlformats.org/officeDocument/2006/relationships" name="Spec.Disp.-3D" sheetId="4" state="visible" r:id="rId4"/>
    <sheet xmlns:r="http://schemas.openxmlformats.org/officeDocument/2006/relationships" name="Stiffness" sheetId="5" state="visible" r:id="rId5"/>
    <sheet xmlns:r="http://schemas.openxmlformats.org/officeDocument/2006/relationships" name="Incremental" sheetId="6" state="visible" r:id="rId6"/>
    <sheet xmlns:r="http://schemas.openxmlformats.org/officeDocument/2006/relationships" name="Dist.Load-3D" sheetId="7" state="visible" r:id="rId7"/>
    <sheet xmlns:r="http://schemas.openxmlformats.org/officeDocument/2006/relationships" name="Soil Move.-3D" sheetId="8" state="visible" r:id="rId8"/>
    <sheet xmlns:r="http://schemas.openxmlformats.org/officeDocument/2006/relationships" name="Load-Comb" sheetId="9" state="visible" r:id="rId9"/>
    <sheet xmlns:r="http://schemas.openxmlformats.org/officeDocument/2006/relationships" name="Comb-Factors" sheetId="10" state="visible" r:id="rId10"/>
    <sheet xmlns:r="http://schemas.openxmlformats.org/officeDocument/2006/relationships" name="Comment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4.4"/>
  <cols>
    <col width="13.77734375" bestFit="1" customWidth="1" min="2" max="2"/>
    <col width="15.21875" bestFit="1" customWidth="1" min="3" max="3"/>
  </cols>
  <sheetData>
    <row r="2">
      <c r="B2" s="2" t="inlineStr">
        <is>
          <t xml:space="preserve">Version  </t>
        </is>
      </c>
      <c r="C2" s="3" t="inlineStr">
        <is>
          <t>GROUP2019.11.7</t>
        </is>
      </c>
    </row>
    <row r="3">
      <c r="B3" s="2" t="inlineStr">
        <is>
          <t xml:space="preserve">Analysis Mode </t>
        </is>
      </c>
      <c r="C3" s="3" t="inlineStr">
        <is>
          <t>3D</t>
        </is>
      </c>
    </row>
    <row r="4">
      <c r="B4" s="2" t="inlineStr">
        <is>
          <t xml:space="preserve">Units  </t>
        </is>
      </c>
      <c r="C4" s="3" t="inlineStr">
        <is>
          <t>SI</t>
        </is>
      </c>
      <c r="D4" t="inlineStr">
        <is>
          <t>(Enter EN for English Units, or SI for Standard International Units)</t>
        </is>
      </c>
    </row>
    <row r="5">
      <c r="B5" s="2" t="inlineStr">
        <is>
          <t xml:space="preserve">Use KIPS  </t>
        </is>
      </c>
      <c r="C5" s="3" t="n">
        <v>0</v>
      </c>
      <c r="D5" t="inlineStr">
        <is>
          <t>(For English Units, enter 1 to define KIPS as units of force, or 0 for LBS )</t>
        </is>
      </c>
    </row>
    <row r="6">
      <c r="B6" s="2" t="n"/>
      <c r="C6" s="3" t="n"/>
    </row>
    <row r="7">
      <c r="B7" s="2" t="n"/>
      <c r="C7" s="3" t="n"/>
    </row>
    <row r="8">
      <c r="B8" s="2" t="n"/>
      <c r="C8" s="3" t="n"/>
    </row>
    <row r="9">
      <c r="B9" s="2" t="n"/>
      <c r="C9" s="3" t="n"/>
    </row>
    <row r="10">
      <c r="B10" s="2" t="n"/>
      <c r="C10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tabSelected="1" workbookViewId="0">
      <selection activeCell="A1" sqref="A1"/>
    </sheetView>
  </sheetViews>
  <sheetFormatPr baseColWidth="8" defaultRowHeight="14.4"/>
  <cols>
    <col width="18.6640625" bestFit="1" customWidth="1" min="2" max="2"/>
    <col width="9.6640625" bestFit="1" customWidth="1" min="3" max="3"/>
    <col width="11" bestFit="1" customWidth="1" min="4" max="4"/>
    <col width="11.5546875" bestFit="1" customWidth="1" min="5" max="5"/>
    <col width="10.33203125" bestFit="1" customWidth="1" min="6" max="6"/>
    <col width="13.6640625" bestFit="1" customWidth="1" min="7" max="7"/>
    <col width="9.33203125" bestFit="1" customWidth="1" min="8" max="8"/>
    <col width="10.44140625" bestFit="1" customWidth="1" min="9" max="9"/>
    <col width="13.21875" bestFit="1" customWidth="1" min="10" max="10"/>
    <col width="10.6640625" bestFit="1" customWidth="1" min="11" max="11"/>
    <col width="11.109375" bestFit="1" customWidth="1" min="12" max="12"/>
    <col width="10.21875" bestFit="1" customWidth="1" min="13" max="13"/>
    <col width="10.33203125" bestFit="1" customWidth="1" min="14" max="14"/>
    <col width="9.6640625" bestFit="1" customWidth="1" min="15" max="15"/>
    <col width="9" bestFit="1" customWidth="1" min="16" max="16"/>
    <col width="9.6640625" bestFit="1" customWidth="1" min="17" max="17"/>
    <col width="10.5546875" bestFit="1" customWidth="1" min="18" max="18"/>
    <col width="12.33203125" bestFit="1" customWidth="1" min="19" max="19"/>
    <col width="9.21875" bestFit="1" customWidth="1" min="20" max="21"/>
    <col width="8.33203125" bestFit="1" customWidth="1" min="22" max="23"/>
    <col width="9.5546875" bestFit="1" customWidth="1" min="24" max="24"/>
  </cols>
  <sheetData>
    <row r="1">
      <c r="H1" s="1" t="inlineStr">
        <is>
          <t>Number of load cases</t>
        </is>
      </c>
      <c r="J1" t="n">
        <v>6</v>
      </c>
    </row>
    <row r="2">
      <c r="G2" s="1" t="inlineStr">
        <is>
          <t>General Data</t>
        </is>
      </c>
      <c r="M2" s="1" t="inlineStr">
        <is>
          <t>Analysis Options</t>
        </is>
      </c>
    </row>
    <row r="4">
      <c r="A4" t="inlineStr">
        <is>
          <t>N</t>
        </is>
      </c>
      <c r="B4" s="4" t="inlineStr">
        <is>
          <t xml:space="preserve">    Load Case Name    </t>
        </is>
      </c>
      <c r="C4" s="4" t="inlineStr">
        <is>
          <t>Load Type</t>
        </is>
      </c>
      <c r="D4" s="4" t="inlineStr">
        <is>
          <t>Scale Factor</t>
        </is>
      </c>
      <c r="E4" s="4" t="inlineStr">
        <is>
          <t>Run Analysis</t>
        </is>
      </c>
      <c r="F4" s="4" t="inlineStr">
        <is>
          <t>Cyclic Load</t>
        </is>
      </c>
      <c r="G4" s="4" t="inlineStr">
        <is>
          <t>Number Cycles</t>
        </is>
      </c>
      <c r="H4" s="4" t="inlineStr">
        <is>
          <t>Print</t>
        </is>
      </c>
      <c r="I4" s="4" t="inlineStr">
        <is>
          <t>Print</t>
        </is>
      </c>
      <c r="J4" s="4" t="inlineStr">
        <is>
          <t>Specify</t>
        </is>
      </c>
      <c r="K4" s="4" t="inlineStr">
        <is>
          <t>Foundation</t>
        </is>
      </c>
      <c r="L4" s="4" t="inlineStr">
        <is>
          <t>Incremental</t>
        </is>
      </c>
      <c r="M4" s="4" t="inlineStr">
        <is>
          <t>Distributed</t>
        </is>
      </c>
      <c r="N4" s="4" t="inlineStr">
        <is>
          <t>Soil</t>
        </is>
      </c>
      <c r="O4" s="4" t="inlineStr">
        <is>
          <t>Iterations</t>
        </is>
      </c>
      <c r="P4" s="4" t="inlineStr">
        <is>
          <t>Iterations</t>
        </is>
      </c>
      <c r="Q4" s="4" t="inlineStr">
        <is>
          <t>Tolerance</t>
        </is>
      </c>
      <c r="R4" s="4" t="inlineStr">
        <is>
          <t>Alternative</t>
        </is>
      </c>
      <c r="S4" s="4" t="inlineStr">
        <is>
          <t>Tolerance</t>
        </is>
      </c>
      <c r="T4" s="4" t="inlineStr">
        <is>
          <t>Tolerance</t>
        </is>
      </c>
      <c r="U4" s="4" t="inlineStr">
        <is>
          <t>Tolerance</t>
        </is>
      </c>
      <c r="V4" s="4" t="inlineStr">
        <is>
          <t>Initial</t>
        </is>
      </c>
      <c r="W4" s="4" t="inlineStr">
        <is>
          <t>Variable</t>
        </is>
      </c>
      <c r="X4" s="4" t="n"/>
      <c r="Y4" t="inlineStr">
        <is>
          <t>Number</t>
        </is>
      </c>
    </row>
    <row r="5">
      <c r="B5" s="4" t="n"/>
      <c r="C5" s="4" t="n"/>
      <c r="D5" s="4" t="n"/>
      <c r="E5" s="4" t="n"/>
      <c r="F5" s="4" t="n"/>
      <c r="G5" s="4" t="n"/>
      <c r="H5" s="4" t="inlineStr">
        <is>
          <t xml:space="preserve">  Options  </t>
        </is>
      </c>
      <c r="I5" s="4" t="inlineStr">
        <is>
          <t>Increments</t>
        </is>
      </c>
      <c r="J5" s="4" t="inlineStr">
        <is>
          <t>Displacements</t>
        </is>
      </c>
      <c r="K5" s="4" t="inlineStr">
        <is>
          <t>Stiffness</t>
        </is>
      </c>
      <c r="L5" s="4" t="inlineStr">
        <is>
          <t>Analysis</t>
        </is>
      </c>
      <c r="M5" s="4" t="inlineStr">
        <is>
          <t>Loads</t>
        </is>
      </c>
      <c r="N5" s="4" t="inlineStr">
        <is>
          <t>Movement</t>
        </is>
      </c>
      <c r="O5" s="4" t="inlineStr">
        <is>
          <t>Pile Group</t>
        </is>
      </c>
      <c r="P5" s="4" t="inlineStr">
        <is>
          <t>Pile</t>
        </is>
      </c>
      <c r="Q5" s="4" t="inlineStr">
        <is>
          <t>Pile Group</t>
        </is>
      </c>
      <c r="R5" s="4" t="inlineStr">
        <is>
          <t>Tol. Criteria</t>
        </is>
      </c>
      <c r="S5" s="4" t="inlineStr">
        <is>
          <t>Displacement</t>
        </is>
      </c>
      <c r="T5" s="4" t="inlineStr">
        <is>
          <t>Rotation</t>
        </is>
      </c>
      <c r="U5" s="4" t="inlineStr">
        <is>
          <t>Pile</t>
        </is>
      </c>
      <c r="V5" s="4" t="inlineStr">
        <is>
          <t>Step Inc.</t>
        </is>
      </c>
      <c r="W5" s="4" t="inlineStr">
        <is>
          <t>Step Inc.</t>
        </is>
      </c>
      <c r="X5" s="4" t="inlineStr">
        <is>
          <t>Axial Load</t>
        </is>
      </c>
      <c r="Y5" t="inlineStr">
        <is>
          <t>Processors</t>
        </is>
      </c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>
        <f>IF(Parameters!$C$4="EN","(in)",IF(Parameters!$C$4="SI","(m)","Unknown"))</f>
        <v/>
      </c>
      <c r="T6" s="4" t="n"/>
      <c r="U6" s="4">
        <f>IF(Parameters!$C$4="EN","(in)",IF(Parameters!$C$4="SI","(m)","Unknown"))</f>
        <v/>
      </c>
      <c r="V6" s="4" t="n"/>
      <c r="W6" s="4" t="n"/>
      <c r="X6" s="4" t="n"/>
    </row>
    <row r="7">
      <c r="A7" t="n">
        <v>1</v>
      </c>
      <c r="B7" t="inlineStr">
        <is>
          <t>ASD1 M3 WPD 2C +Icap</t>
        </is>
      </c>
      <c r="C7" t="n">
        <v>0</v>
      </c>
      <c r="D7" t="n">
        <v>1</v>
      </c>
      <c r="E7" t="n">
        <v>0</v>
      </c>
      <c r="F7" t="n">
        <v>1</v>
      </c>
      <c r="G7" t="n">
        <v>10</v>
      </c>
      <c r="H7" t="n">
        <v>2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250</v>
      </c>
      <c r="P7" t="n">
        <v>250</v>
      </c>
      <c r="Q7" t="n">
        <v>0.001</v>
      </c>
      <c r="R7" t="n">
        <v>0</v>
      </c>
      <c r="S7" t="n">
        <v>0.0001</v>
      </c>
      <c r="T7" s="5" t="n">
        <v>1e-06</v>
      </c>
      <c r="U7" t="n">
        <v>0.0001</v>
      </c>
      <c r="V7" t="n">
        <v>1</v>
      </c>
      <c r="W7" t="n">
        <v>1</v>
      </c>
      <c r="X7" t="n">
        <v>0</v>
      </c>
      <c r="Y7" t="n">
        <v>0</v>
      </c>
    </row>
    <row r="8">
      <c r="A8" t="n">
        <v>2</v>
      </c>
      <c r="B8" t="inlineStr">
        <is>
          <t>ASD3 M3 WPD 2C +Icap</t>
        </is>
      </c>
      <c r="C8" t="n">
        <v>0</v>
      </c>
      <c r="D8" t="n">
        <v>1</v>
      </c>
      <c r="E8" t="n">
        <v>0</v>
      </c>
      <c r="F8" t="n">
        <v>0</v>
      </c>
      <c r="G8" t="n">
        <v>10</v>
      </c>
      <c r="H8" t="n">
        <v>2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250</v>
      </c>
      <c r="P8" t="n">
        <v>250</v>
      </c>
      <c r="Q8" t="n">
        <v>0.001</v>
      </c>
      <c r="R8" t="n">
        <v>0</v>
      </c>
      <c r="S8" t="n">
        <v>0.0001</v>
      </c>
      <c r="T8" s="5" t="n">
        <v>1e-06</v>
      </c>
      <c r="U8" t="n">
        <v>0.0001</v>
      </c>
      <c r="V8" t="n">
        <v>1</v>
      </c>
      <c r="W8" t="n">
        <v>1</v>
      </c>
      <c r="X8" t="n">
        <v>0</v>
      </c>
      <c r="Y8" t="n">
        <v>0</v>
      </c>
    </row>
    <row r="9">
      <c r="A9" t="n">
        <v>3</v>
      </c>
      <c r="B9" t="inlineStr">
        <is>
          <t>ASD4 M3 WPD 2C +Icap</t>
        </is>
      </c>
      <c r="C9" t="n">
        <v>0</v>
      </c>
      <c r="D9" t="n">
        <v>1</v>
      </c>
      <c r="E9" t="n">
        <v>0</v>
      </c>
      <c r="F9" t="n">
        <v>0</v>
      </c>
      <c r="G9" t="n">
        <v>10</v>
      </c>
      <c r="H9" t="n">
        <v>2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250</v>
      </c>
      <c r="P9" t="n">
        <v>250</v>
      </c>
      <c r="Q9" t="n">
        <v>0.001</v>
      </c>
      <c r="R9" t="n">
        <v>0</v>
      </c>
      <c r="S9" t="n">
        <v>0.0001</v>
      </c>
      <c r="T9" s="5" t="n">
        <v>1e-06</v>
      </c>
      <c r="U9" t="n">
        <v>0.0001</v>
      </c>
      <c r="V9" t="n">
        <v>1</v>
      </c>
      <c r="W9" t="n">
        <v>1</v>
      </c>
      <c r="X9" t="n">
        <v>0</v>
      </c>
      <c r="Y9" t="n">
        <v>0</v>
      </c>
    </row>
    <row r="10">
      <c r="A10" t="n">
        <v>4</v>
      </c>
      <c r="B10" t="inlineStr">
        <is>
          <t>LRFD1 M3 WPD 2C +Icap</t>
        </is>
      </c>
      <c r="C10" t="n">
        <v>0</v>
      </c>
      <c r="D10" t="n">
        <v>1</v>
      </c>
      <c r="E10" t="n">
        <v>0</v>
      </c>
      <c r="F10" t="n">
        <v>1</v>
      </c>
      <c r="G10" t="n">
        <v>10</v>
      </c>
      <c r="H10" t="n">
        <v>2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250</v>
      </c>
      <c r="P10" t="n">
        <v>250</v>
      </c>
      <c r="Q10" t="n">
        <v>0.001</v>
      </c>
      <c r="R10" t="n">
        <v>0</v>
      </c>
      <c r="S10" t="n">
        <v>0.0001</v>
      </c>
      <c r="T10" s="5" t="n">
        <v>1e-06</v>
      </c>
      <c r="U10" t="n">
        <v>0.0001</v>
      </c>
      <c r="V10" t="n">
        <v>1</v>
      </c>
      <c r="W10" t="n">
        <v>1</v>
      </c>
      <c r="X10" t="n">
        <v>0</v>
      </c>
      <c r="Y10" t="n">
        <v>0</v>
      </c>
    </row>
    <row r="11">
      <c r="A11" t="n">
        <v>5</v>
      </c>
      <c r="B11" t="inlineStr">
        <is>
          <t>LRFD3 M3 WPD 2C +Icap</t>
        </is>
      </c>
      <c r="C11" t="n">
        <v>0</v>
      </c>
      <c r="D11" t="n">
        <v>1</v>
      </c>
      <c r="E11" t="n">
        <v>0</v>
      </c>
      <c r="F11" t="n">
        <v>0</v>
      </c>
      <c r="G11" t="n">
        <v>10</v>
      </c>
      <c r="H11" t="n">
        <v>2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250</v>
      </c>
      <c r="P11" t="n">
        <v>250</v>
      </c>
      <c r="Q11" t="n">
        <v>0.001</v>
      </c>
      <c r="R11" t="n">
        <v>0</v>
      </c>
      <c r="S11" t="n">
        <v>0.0001</v>
      </c>
      <c r="T11" s="5" t="n">
        <v>1e-06</v>
      </c>
      <c r="U11" t="n">
        <v>0.0001</v>
      </c>
      <c r="V11" t="n">
        <v>1</v>
      </c>
      <c r="W11" t="n">
        <v>1</v>
      </c>
      <c r="X11" t="n">
        <v>0</v>
      </c>
      <c r="Y11" t="n">
        <v>0</v>
      </c>
    </row>
    <row r="12">
      <c r="A12" t="n">
        <v>6</v>
      </c>
      <c r="B12" t="inlineStr">
        <is>
          <t>LRFD4 M3 WPD 2C +Icap</t>
        </is>
      </c>
      <c r="C12" t="n">
        <v>0</v>
      </c>
      <c r="D12" t="n">
        <v>1</v>
      </c>
      <c r="E12" t="n">
        <v>0</v>
      </c>
      <c r="F12" t="n">
        <v>0</v>
      </c>
      <c r="G12" t="n">
        <v>10</v>
      </c>
      <c r="H12" t="n">
        <v>2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250</v>
      </c>
      <c r="P12" t="n">
        <v>250</v>
      </c>
      <c r="Q12" t="n">
        <v>0.001</v>
      </c>
      <c r="R12" t="n">
        <v>0</v>
      </c>
      <c r="S12" t="n">
        <v>0.0001</v>
      </c>
      <c r="T12" s="5" t="n">
        <v>1e-06</v>
      </c>
      <c r="U12" t="n">
        <v>0.0001</v>
      </c>
      <c r="V12" t="n">
        <v>1</v>
      </c>
      <c r="W12" t="n">
        <v>1</v>
      </c>
      <c r="X12" t="n">
        <v>0</v>
      </c>
      <c r="Y1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204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8.109375" bestFit="1" customWidth="1" min="2" max="2"/>
    <col width="10.109375" bestFit="1" customWidth="1" min="3" max="3"/>
    <col width="10" bestFit="1" customWidth="1" min="4" max="4"/>
    <col width="10.88671875" bestFit="1" customWidth="1" min="5" max="5"/>
    <col width="10" bestFit="1" customWidth="1" min="6" max="6"/>
    <col width="10.88671875" bestFit="1" customWidth="1" min="7" max="7"/>
    <col width="11" bestFit="1" customWidth="1" min="8" max="8"/>
    <col width="10" bestFit="1" customWidth="1" min="9" max="9"/>
    <col width="9.88671875" bestFit="1" customWidth="1" min="10" max="11"/>
  </cols>
  <sheetData>
    <row r="2">
      <c r="F2" s="1" t="inlineStr">
        <is>
          <t>Concentrated Loads</t>
        </is>
      </c>
    </row>
    <row r="4">
      <c r="A4" s="4" t="inlineStr">
        <is>
          <t xml:space="preserve"> Load Case </t>
        </is>
      </c>
      <c r="B4" s="4" t="inlineStr">
        <is>
          <t xml:space="preserve">      N       </t>
        </is>
      </c>
      <c r="C4" s="4" t="inlineStr">
        <is>
          <t xml:space="preserve">        FX        </t>
        </is>
      </c>
      <c r="D4" s="4" t="inlineStr">
        <is>
          <t xml:space="preserve">        FY        </t>
        </is>
      </c>
      <c r="E4" s="4" t="inlineStr">
        <is>
          <t xml:space="preserve">        MZ        </t>
        </is>
      </c>
      <c r="F4" s="4" t="inlineStr">
        <is>
          <t xml:space="preserve">        FZ        </t>
        </is>
      </c>
      <c r="G4" s="4" t="inlineStr">
        <is>
          <t xml:space="preserve">        MY        </t>
        </is>
      </c>
      <c r="H4" s="4" t="inlineStr">
        <is>
          <t xml:space="preserve">        MX        </t>
        </is>
      </c>
      <c r="I4" s="4" t="inlineStr">
        <is>
          <t xml:space="preserve">  Coord. X  </t>
        </is>
      </c>
      <c r="J4" s="4" t="inlineStr">
        <is>
          <t xml:space="preserve">  Coord. Y  </t>
        </is>
      </c>
      <c r="K4" s="4" t="inlineStr">
        <is>
          <t xml:space="preserve">  Coord. Z  </t>
        </is>
      </c>
    </row>
    <row r="5">
      <c r="A5" s="4" t="n"/>
      <c r="B5" s="4" t="n"/>
      <c r="C5" s="4">
        <f>IF(Parameters!$C$4="EN",IF(Parameters!$C$5=0,"(lb)","(kips)"),IF(Parameters!$C$4="SI","(kN)","Unknown"))</f>
        <v/>
      </c>
      <c r="D5" s="4">
        <f>IF(Parameters!$C$4="EN",IF(Parameters!$C$5=0,"(lb)","(kips)"),IF(Parameters!$C$4="SI","(kN)","Unknown"))</f>
        <v/>
      </c>
      <c r="E5" s="4">
        <f>IF(Parameters!$C$4="EN",IF(Parameters!$C$5=0,"(lb-in)","(kips-in)"),IF(Parameters!$C$4="SI","(kN-m)","Unknown"))</f>
        <v/>
      </c>
      <c r="F5" s="4">
        <f>IF(Parameters!$C$4="EN",IF(Parameters!$C$5=0,"(lb)","(kips)"),IF(Parameters!$C$4="SI","(kN)","Unknown"))</f>
        <v/>
      </c>
      <c r="G5" s="4">
        <f>IF(Parameters!$C$4="EN",IF(Parameters!$C$5=0,"(lb-in)","(kips-in)"),IF(Parameters!$C$4="SI","(kN-m)","Unknown"))</f>
        <v/>
      </c>
      <c r="H5" s="4">
        <f>IF(Parameters!$C$4="EN",IF(Parameters!$C$5=0,"(lb-in)","(kips-in)"),IF(Parameters!$C$4="SI","(kN-m)","Unknown"))</f>
        <v/>
      </c>
      <c r="I5" s="4">
        <f>IF(Parameters!$C$4="EN","(ft)",IF(Parameters!$C$4="SI","(m)","Unknown"))</f>
        <v/>
      </c>
      <c r="J5" s="4">
        <f>IF(Parameters!$C$4="EN","(ft)",IF(Parameters!$C$4="SI","(m)","Unknown"))</f>
        <v/>
      </c>
      <c r="K5" s="4">
        <f>IF(Parameters!$C$4="EN","(ft)",IF(Parameters!$C$4="SI","(m)","Unknown"))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t="n">
        <v>1</v>
      </c>
      <c r="B7" t="n">
        <v>1</v>
      </c>
      <c r="C7" t="n">
        <v>9615.191511000001</v>
      </c>
      <c r="D7" t="n">
        <v>0</v>
      </c>
      <c r="E7" t="n">
        <v>5951.751851</v>
      </c>
      <c r="F7" t="n">
        <v>0</v>
      </c>
      <c r="G7" t="n">
        <v>3712.161077</v>
      </c>
      <c r="H7" t="n">
        <v>0</v>
      </c>
      <c r="I7" t="n">
        <v>-1.5</v>
      </c>
      <c r="J7" t="n">
        <v>-5</v>
      </c>
      <c r="K7" t="n">
        <v>-4.75</v>
      </c>
    </row>
    <row r="8">
      <c r="A8" t="n">
        <v>1</v>
      </c>
      <c r="B8" t="n">
        <v>2</v>
      </c>
      <c r="C8" t="n">
        <v>9615.191511000001</v>
      </c>
      <c r="D8" t="n">
        <v>0</v>
      </c>
      <c r="E8" t="n">
        <v>5951.751851</v>
      </c>
      <c r="F8" t="n">
        <v>0</v>
      </c>
      <c r="G8" t="n">
        <v>-3712.161077</v>
      </c>
      <c r="H8" t="n">
        <v>0</v>
      </c>
      <c r="I8" t="n">
        <v>-1.5</v>
      </c>
      <c r="J8" t="n">
        <v>-5</v>
      </c>
      <c r="K8" t="n">
        <v>4.75</v>
      </c>
    </row>
    <row r="9">
      <c r="A9" t="n">
        <v>1</v>
      </c>
      <c r="B9" t="n">
        <v>3</v>
      </c>
      <c r="C9" t="n">
        <v>9615.191511000001</v>
      </c>
      <c r="D9" t="n">
        <v>0</v>
      </c>
      <c r="E9" t="n">
        <v>-5951.751851</v>
      </c>
      <c r="F9" t="n">
        <v>0</v>
      </c>
      <c r="G9" t="n">
        <v>3712.161077</v>
      </c>
      <c r="H9" t="n">
        <v>0</v>
      </c>
      <c r="I9" t="n">
        <v>-1.5</v>
      </c>
      <c r="J9" t="n">
        <v>5</v>
      </c>
      <c r="K9" t="n">
        <v>-4.75</v>
      </c>
    </row>
    <row r="10">
      <c r="A10" t="n">
        <v>1</v>
      </c>
      <c r="B10" t="n">
        <v>4</v>
      </c>
      <c r="C10" t="n">
        <v>9615.191511000001</v>
      </c>
      <c r="D10" t="n">
        <v>0</v>
      </c>
      <c r="E10" t="n">
        <v>-5951.751851</v>
      </c>
      <c r="F10" t="n">
        <v>0</v>
      </c>
      <c r="G10" t="n">
        <v>-3712.161077</v>
      </c>
      <c r="H10" t="n">
        <v>0</v>
      </c>
      <c r="I10" t="n">
        <v>-1.5</v>
      </c>
      <c r="J10" t="n">
        <v>5</v>
      </c>
      <c r="K10" t="n">
        <v>4.75</v>
      </c>
    </row>
    <row r="11">
      <c r="A11" t="n">
        <v>1</v>
      </c>
      <c r="B11" t="n">
        <v>5</v>
      </c>
      <c r="C11" t="n">
        <v>8212.5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-0.75</v>
      </c>
      <c r="J11" t="n">
        <v>0</v>
      </c>
      <c r="K11" t="n">
        <v>0</v>
      </c>
    </row>
    <row r="12"/>
    <row r="13">
      <c r="A13" t="n">
        <v>2</v>
      </c>
      <c r="B13" t="n">
        <v>1</v>
      </c>
      <c r="C13" t="n">
        <v>10769.014462</v>
      </c>
      <c r="D13" t="n">
        <v>169.925</v>
      </c>
      <c r="E13" t="n">
        <v>6530.022422</v>
      </c>
      <c r="F13" t="n">
        <v>-50.9775</v>
      </c>
      <c r="G13" t="n">
        <v>4116.838527</v>
      </c>
      <c r="H13" t="n">
        <v>0</v>
      </c>
      <c r="I13" t="n">
        <v>-1.5</v>
      </c>
      <c r="J13" t="n">
        <v>-5</v>
      </c>
      <c r="K13" t="n">
        <v>-4.75</v>
      </c>
    </row>
    <row r="14">
      <c r="A14" t="n">
        <v>2</v>
      </c>
      <c r="B14" t="n">
        <v>2</v>
      </c>
      <c r="C14" t="n">
        <v>10769.014407</v>
      </c>
      <c r="D14" t="n">
        <v>169.925</v>
      </c>
      <c r="E14" t="n">
        <v>6530.022421</v>
      </c>
      <c r="F14" t="n">
        <v>-50.9775</v>
      </c>
      <c r="G14" t="n">
        <v>-4198.402267</v>
      </c>
      <c r="H14" t="n">
        <v>0</v>
      </c>
      <c r="I14" t="n">
        <v>-1.5</v>
      </c>
      <c r="J14" t="n">
        <v>-5</v>
      </c>
      <c r="K14" t="n">
        <v>4.75</v>
      </c>
    </row>
    <row r="15">
      <c r="A15" t="n">
        <v>2</v>
      </c>
      <c r="B15" t="n">
        <v>3</v>
      </c>
      <c r="C15" t="n">
        <v>10769.014578</v>
      </c>
      <c r="D15" t="n">
        <v>169.925</v>
      </c>
      <c r="E15" t="n">
        <v>-6801.901726</v>
      </c>
      <c r="F15" t="n">
        <v>-50.9775</v>
      </c>
      <c r="G15" t="n">
        <v>4116.838545</v>
      </c>
      <c r="H15" t="n">
        <v>0</v>
      </c>
      <c r="I15" t="n">
        <v>-1.5</v>
      </c>
      <c r="J15" t="n">
        <v>5</v>
      </c>
      <c r="K15" t="n">
        <v>-4.75</v>
      </c>
    </row>
    <row r="16">
      <c r="A16" t="n">
        <v>2</v>
      </c>
      <c r="B16" t="n">
        <v>4</v>
      </c>
      <c r="C16" t="n">
        <v>10769.014523</v>
      </c>
      <c r="D16" t="n">
        <v>169.925</v>
      </c>
      <c r="E16" t="n">
        <v>-6801.901724</v>
      </c>
      <c r="F16" t="n">
        <v>-50.9775</v>
      </c>
      <c r="G16" t="n">
        <v>-4198.402285</v>
      </c>
      <c r="H16" t="n">
        <v>0</v>
      </c>
      <c r="I16" t="n">
        <v>-1.5</v>
      </c>
      <c r="J16" t="n">
        <v>5</v>
      </c>
      <c r="K16" t="n">
        <v>4.75</v>
      </c>
    </row>
    <row r="17">
      <c r="A17" t="n">
        <v>2</v>
      </c>
      <c r="B17" t="n">
        <v>5</v>
      </c>
      <c r="C17" t="n">
        <v>9520.340625000001</v>
      </c>
      <c r="D17" t="n">
        <v>2615.68125</v>
      </c>
      <c r="E17" t="n">
        <v>0</v>
      </c>
      <c r="F17" t="n">
        <v>-784.7043749999999</v>
      </c>
      <c r="G17" t="n">
        <v>0</v>
      </c>
      <c r="H17" t="n">
        <v>0</v>
      </c>
      <c r="I17" t="n">
        <v>-0.75</v>
      </c>
      <c r="J17" t="n">
        <v>0</v>
      </c>
      <c r="K17" t="n">
        <v>0</v>
      </c>
    </row>
    <row r="18"/>
    <row r="19">
      <c r="A19" t="n">
        <v>3</v>
      </c>
      <c r="B19" t="n">
        <v>1</v>
      </c>
      <c r="C19" t="n">
        <v>10769.014566</v>
      </c>
      <c r="D19" t="n">
        <v>50.9775</v>
      </c>
      <c r="E19" t="n">
        <v>6625.18018</v>
      </c>
      <c r="F19" t="n">
        <v>-169.925</v>
      </c>
      <c r="G19" t="n">
        <v>4021.680836</v>
      </c>
      <c r="H19" t="n">
        <v>0</v>
      </c>
      <c r="I19" t="n">
        <v>-1.5</v>
      </c>
      <c r="J19" t="n">
        <v>-5</v>
      </c>
      <c r="K19" t="n">
        <v>-4.75</v>
      </c>
    </row>
    <row r="20">
      <c r="A20" t="n">
        <v>3</v>
      </c>
      <c r="B20" t="n">
        <v>2</v>
      </c>
      <c r="C20" t="n">
        <v>10769.014384</v>
      </c>
      <c r="D20" t="n">
        <v>50.9775</v>
      </c>
      <c r="E20" t="n">
        <v>6625.180176</v>
      </c>
      <c r="F20" t="n">
        <v>-169.925</v>
      </c>
      <c r="G20" t="n">
        <v>-4293.559971</v>
      </c>
      <c r="H20" t="n">
        <v>0</v>
      </c>
      <c r="I20" t="n">
        <v>-1.5</v>
      </c>
      <c r="J20" t="n">
        <v>-5</v>
      </c>
      <c r="K20" t="n">
        <v>4.75</v>
      </c>
    </row>
    <row r="21">
      <c r="A21" t="n">
        <v>3</v>
      </c>
      <c r="B21" t="n">
        <v>3</v>
      </c>
      <c r="C21" t="n">
        <v>10769.014601</v>
      </c>
      <c r="D21" t="n">
        <v>50.9775</v>
      </c>
      <c r="E21" t="n">
        <v>-6706.743971</v>
      </c>
      <c r="F21" t="n">
        <v>-169.925</v>
      </c>
      <c r="G21" t="n">
        <v>4021.680841</v>
      </c>
      <c r="H21" t="n">
        <v>0</v>
      </c>
      <c r="I21" t="n">
        <v>-1.5</v>
      </c>
      <c r="J21" t="n">
        <v>5</v>
      </c>
      <c r="K21" t="n">
        <v>-4.75</v>
      </c>
    </row>
    <row r="22">
      <c r="A22" t="n">
        <v>3</v>
      </c>
      <c r="B22" t="n">
        <v>4</v>
      </c>
      <c r="C22" t="n">
        <v>10769.014419</v>
      </c>
      <c r="D22" t="n">
        <v>50.9775</v>
      </c>
      <c r="E22" t="n">
        <v>-6706.743967</v>
      </c>
      <c r="F22" t="n">
        <v>-169.925</v>
      </c>
      <c r="G22" t="n">
        <v>-4293.559976</v>
      </c>
      <c r="H22" t="n">
        <v>0</v>
      </c>
      <c r="I22" t="n">
        <v>-1.5</v>
      </c>
      <c r="J22" t="n">
        <v>5</v>
      </c>
      <c r="K22" t="n">
        <v>4.75</v>
      </c>
    </row>
    <row r="23">
      <c r="A23" t="n">
        <v>3</v>
      </c>
      <c r="B23" t="n">
        <v>5</v>
      </c>
      <c r="C23" t="n">
        <v>9520.340625000001</v>
      </c>
      <c r="D23" t="n">
        <v>784.7043749999999</v>
      </c>
      <c r="E23" t="n">
        <v>0</v>
      </c>
      <c r="F23" t="n">
        <v>-2615.68125</v>
      </c>
      <c r="G23" t="n">
        <v>0</v>
      </c>
      <c r="H23" t="n">
        <v>0</v>
      </c>
      <c r="I23" t="n">
        <v>-0.75</v>
      </c>
      <c r="J23" t="n">
        <v>0</v>
      </c>
      <c r="K23" t="n">
        <v>0</v>
      </c>
    </row>
    <row r="24"/>
    <row r="25">
      <c r="A25" t="n">
        <v>4</v>
      </c>
      <c r="B25" t="n">
        <v>1</v>
      </c>
      <c r="C25" t="n">
        <v>13461.268116</v>
      </c>
      <c r="D25" t="n">
        <v>0</v>
      </c>
      <c r="E25" t="n">
        <v>8332.452590999999</v>
      </c>
      <c r="F25" t="n">
        <v>0</v>
      </c>
      <c r="G25" t="n">
        <v>5197.025508</v>
      </c>
      <c r="H25" t="n">
        <v>0</v>
      </c>
      <c r="I25" t="n">
        <v>-1.5</v>
      </c>
      <c r="J25" t="n">
        <v>-5</v>
      </c>
      <c r="K25" t="n">
        <v>-4.75</v>
      </c>
    </row>
    <row r="26">
      <c r="A26" t="n">
        <v>4</v>
      </c>
      <c r="B26" t="n">
        <v>2</v>
      </c>
      <c r="C26" t="n">
        <v>13461.268116</v>
      </c>
      <c r="D26" t="n">
        <v>0</v>
      </c>
      <c r="E26" t="n">
        <v>8332.452590999999</v>
      </c>
      <c r="F26" t="n">
        <v>0</v>
      </c>
      <c r="G26" t="n">
        <v>-5197.025508</v>
      </c>
      <c r="H26" t="n">
        <v>0</v>
      </c>
      <c r="I26" t="n">
        <v>-1.5</v>
      </c>
      <c r="J26" t="n">
        <v>-5</v>
      </c>
      <c r="K26" t="n">
        <v>4.75</v>
      </c>
    </row>
    <row r="27">
      <c r="A27" t="n">
        <v>4</v>
      </c>
      <c r="B27" t="n">
        <v>3</v>
      </c>
      <c r="C27" t="n">
        <v>13461.268116</v>
      </c>
      <c r="D27" t="n">
        <v>0</v>
      </c>
      <c r="E27" t="n">
        <v>-8332.452590999999</v>
      </c>
      <c r="F27" t="n">
        <v>0</v>
      </c>
      <c r="G27" t="n">
        <v>5197.025508</v>
      </c>
      <c r="H27" t="n">
        <v>0</v>
      </c>
      <c r="I27" t="n">
        <v>-1.5</v>
      </c>
      <c r="J27" t="n">
        <v>5</v>
      </c>
      <c r="K27" t="n">
        <v>-4.75</v>
      </c>
    </row>
    <row r="28">
      <c r="A28" t="n">
        <v>4</v>
      </c>
      <c r="B28" t="n">
        <v>4</v>
      </c>
      <c r="C28" t="n">
        <v>13461.268116</v>
      </c>
      <c r="D28" t="n">
        <v>0</v>
      </c>
      <c r="E28" t="n">
        <v>-8332.452590999999</v>
      </c>
      <c r="F28" t="n">
        <v>0</v>
      </c>
      <c r="G28" t="n">
        <v>-5197.025508</v>
      </c>
      <c r="H28" t="n">
        <v>0</v>
      </c>
      <c r="I28" t="n">
        <v>-1.5</v>
      </c>
      <c r="J28" t="n">
        <v>5</v>
      </c>
      <c r="K28" t="n">
        <v>4.75</v>
      </c>
    </row>
    <row r="29">
      <c r="A29" t="n">
        <v>4</v>
      </c>
      <c r="B29" t="n">
        <v>5</v>
      </c>
      <c r="C29" t="n">
        <v>11497.5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-0.75</v>
      </c>
      <c r="J29" t="n">
        <v>0</v>
      </c>
      <c r="K29" t="n">
        <v>0</v>
      </c>
    </row>
    <row r="30"/>
    <row r="31">
      <c r="A31" t="n">
        <v>5</v>
      </c>
      <c r="B31" t="n">
        <v>1</v>
      </c>
      <c r="C31" t="n">
        <v>13172.812326</v>
      </c>
      <c r="D31" t="n">
        <v>242.75</v>
      </c>
      <c r="E31" t="n">
        <v>7959.700534</v>
      </c>
      <c r="F31" t="n">
        <v>-72.825</v>
      </c>
      <c r="G31" t="n">
        <v>5027.400848</v>
      </c>
      <c r="H31" t="n">
        <v>0</v>
      </c>
      <c r="I31" t="n">
        <v>-1.5</v>
      </c>
      <c r="J31" t="n">
        <v>-5</v>
      </c>
      <c r="K31" t="n">
        <v>-4.75</v>
      </c>
    </row>
    <row r="32">
      <c r="A32" t="n">
        <v>5</v>
      </c>
      <c r="B32" t="n">
        <v>2</v>
      </c>
      <c r="C32" t="n">
        <v>13172.812248</v>
      </c>
      <c r="D32" t="n">
        <v>242.75</v>
      </c>
      <c r="E32" t="n">
        <v>7959.700533</v>
      </c>
      <c r="F32" t="n">
        <v>-72.825</v>
      </c>
      <c r="G32" t="n">
        <v>-5143.920477</v>
      </c>
      <c r="H32" t="n">
        <v>0</v>
      </c>
      <c r="I32" t="n">
        <v>-1.5</v>
      </c>
      <c r="J32" t="n">
        <v>-5</v>
      </c>
      <c r="K32" t="n">
        <v>4.75</v>
      </c>
    </row>
    <row r="33">
      <c r="A33" t="n">
        <v>5</v>
      </c>
      <c r="B33" t="n">
        <v>3</v>
      </c>
      <c r="C33" t="n">
        <v>13172.812492</v>
      </c>
      <c r="D33" t="n">
        <v>242.75</v>
      </c>
      <c r="E33" t="n">
        <v>-8348.099539000001</v>
      </c>
      <c r="F33" t="n">
        <v>-72.825</v>
      </c>
      <c r="G33" t="n">
        <v>5027.400874</v>
      </c>
      <c r="H33" t="n">
        <v>0</v>
      </c>
      <c r="I33" t="n">
        <v>-1.5</v>
      </c>
      <c r="J33" t="n">
        <v>5</v>
      </c>
      <c r="K33" t="n">
        <v>-4.75</v>
      </c>
    </row>
    <row r="34">
      <c r="A34" t="n">
        <v>5</v>
      </c>
      <c r="B34" t="n">
        <v>4</v>
      </c>
      <c r="C34" t="n">
        <v>13172.812414</v>
      </c>
      <c r="D34" t="n">
        <v>242.75</v>
      </c>
      <c r="E34" t="n">
        <v>-8348.099538</v>
      </c>
      <c r="F34" t="n">
        <v>-72.825</v>
      </c>
      <c r="G34" t="n">
        <v>-5143.920503</v>
      </c>
      <c r="H34" t="n">
        <v>0</v>
      </c>
      <c r="I34" t="n">
        <v>-1.5</v>
      </c>
      <c r="J34" t="n">
        <v>5</v>
      </c>
      <c r="K34" t="n">
        <v>4.75</v>
      </c>
    </row>
    <row r="35">
      <c r="A35" t="n">
        <v>5</v>
      </c>
      <c r="B35" t="n">
        <v>5</v>
      </c>
      <c r="C35" t="n">
        <v>11723.34375</v>
      </c>
      <c r="D35" t="n">
        <v>3736.6875</v>
      </c>
      <c r="E35" t="n">
        <v>0</v>
      </c>
      <c r="F35" t="n">
        <v>-1121.00625</v>
      </c>
      <c r="G35" t="n">
        <v>0</v>
      </c>
      <c r="H35" t="n">
        <v>0</v>
      </c>
      <c r="I35" t="n">
        <v>-0.75</v>
      </c>
      <c r="J35" t="n">
        <v>0</v>
      </c>
      <c r="K35" t="n">
        <v>0</v>
      </c>
    </row>
    <row r="36"/>
    <row r="37">
      <c r="A37" t="n">
        <v>6</v>
      </c>
      <c r="B37" t="n">
        <v>1</v>
      </c>
      <c r="C37" t="n">
        <v>13172.812475</v>
      </c>
      <c r="D37" t="n">
        <v>72.825</v>
      </c>
      <c r="E37" t="n">
        <v>8095.640188</v>
      </c>
      <c r="F37" t="n">
        <v>-242.75</v>
      </c>
      <c r="G37" t="n">
        <v>4891.461289</v>
      </c>
      <c r="H37" t="n">
        <v>0</v>
      </c>
      <c r="I37" t="n">
        <v>-1.5</v>
      </c>
      <c r="J37" t="n">
        <v>-5</v>
      </c>
      <c r="K37" t="n">
        <v>-4.75</v>
      </c>
    </row>
    <row r="38">
      <c r="A38" t="n">
        <v>6</v>
      </c>
      <c r="B38" t="n">
        <v>2</v>
      </c>
      <c r="C38" t="n">
        <v>13172.812215</v>
      </c>
      <c r="D38" t="n">
        <v>72.825</v>
      </c>
      <c r="E38" t="n">
        <v>8095.640182</v>
      </c>
      <c r="F38" t="n">
        <v>-242.75</v>
      </c>
      <c r="G38" t="n">
        <v>-5279.860053</v>
      </c>
      <c r="H38" t="n">
        <v>0</v>
      </c>
      <c r="I38" t="n">
        <v>-1.5</v>
      </c>
      <c r="J38" t="n">
        <v>-5</v>
      </c>
      <c r="K38" t="n">
        <v>4.75</v>
      </c>
    </row>
    <row r="39">
      <c r="A39" t="n">
        <v>6</v>
      </c>
      <c r="B39" t="n">
        <v>3</v>
      </c>
      <c r="C39" t="n">
        <v>13172.812525</v>
      </c>
      <c r="D39" t="n">
        <v>72.825</v>
      </c>
      <c r="E39" t="n">
        <v>-8212.159890000001</v>
      </c>
      <c r="F39" t="n">
        <v>-242.75</v>
      </c>
      <c r="G39" t="n">
        <v>4891.461297</v>
      </c>
      <c r="H39" t="n">
        <v>0</v>
      </c>
      <c r="I39" t="n">
        <v>-1.5</v>
      </c>
      <c r="J39" t="n">
        <v>5</v>
      </c>
      <c r="K39" t="n">
        <v>-4.75</v>
      </c>
    </row>
    <row r="40">
      <c r="A40" t="n">
        <v>6</v>
      </c>
      <c r="B40" t="n">
        <v>4</v>
      </c>
      <c r="C40" t="n">
        <v>13172.812265</v>
      </c>
      <c r="D40" t="n">
        <v>72.825</v>
      </c>
      <c r="E40" t="n">
        <v>-8212.159884000001</v>
      </c>
      <c r="F40" t="n">
        <v>-242.75</v>
      </c>
      <c r="G40" t="n">
        <v>-5279.860061</v>
      </c>
      <c r="H40" t="n">
        <v>0</v>
      </c>
      <c r="I40" t="n">
        <v>-1.5</v>
      </c>
      <c r="J40" t="n">
        <v>5</v>
      </c>
      <c r="K40" t="n">
        <v>4.75</v>
      </c>
    </row>
    <row r="41">
      <c r="A41" t="n">
        <v>6</v>
      </c>
      <c r="B41" t="n">
        <v>5</v>
      </c>
      <c r="C41" t="n">
        <v>11723.34375</v>
      </c>
      <c r="D41" t="n">
        <v>1121.00625</v>
      </c>
      <c r="E41" t="n">
        <v>0</v>
      </c>
      <c r="F41" t="n">
        <v>-3736.6875</v>
      </c>
      <c r="G41" t="n">
        <v>0</v>
      </c>
      <c r="H41" t="n">
        <v>0</v>
      </c>
      <c r="I41" t="n">
        <v>-0.75</v>
      </c>
      <c r="J41" t="n">
        <v>0</v>
      </c>
      <c r="K41" t="n">
        <v>0</v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7.5546875" bestFit="1" customWidth="1" min="2" max="2"/>
    <col width="8.77734375" bestFit="1" customWidth="1" min="3" max="3"/>
    <col width="9.77734375" bestFit="1" customWidth="1" min="4" max="4"/>
    <col width="7.44140625" bestFit="1" customWidth="1" min="5" max="5"/>
    <col width="8.6640625" bestFit="1" customWidth="1" min="6" max="6"/>
    <col width="9.6640625" bestFit="1" customWidth="1" min="7" max="7"/>
    <col width="8.5546875" bestFit="1" customWidth="1" min="8" max="8"/>
    <col width="9.33203125" bestFit="1" customWidth="1" min="9" max="9"/>
    <col width="13.44140625" bestFit="1" customWidth="1" min="10" max="10"/>
    <col width="7.44140625" bestFit="1" customWidth="1" min="11" max="11"/>
    <col width="8.6640625" bestFit="1" customWidth="1" min="12" max="12"/>
    <col width="9.6640625" bestFit="1" customWidth="1" min="13" max="13"/>
    <col width="8.5546875" bestFit="1" customWidth="1" min="14" max="14"/>
    <col width="9.33203125" bestFit="1" customWidth="1" min="15" max="15"/>
    <col width="13.44140625" bestFit="1" customWidth="1" min="16" max="16"/>
    <col width="8.6640625" bestFit="1" customWidth="1" min="17" max="17"/>
    <col width="9.44140625" bestFit="1" customWidth="1" min="18" max="18"/>
    <col width="13.5546875" bestFit="1" customWidth="1" min="19" max="19"/>
    <col width="9.109375" bestFit="1" customWidth="1" min="20" max="20"/>
    <col width="9" bestFit="1" customWidth="1" min="21" max="22"/>
  </cols>
  <sheetData>
    <row r="2">
      <c r="J2" s="1" t="inlineStr">
        <is>
          <t>Specified Displacement or Concentrated Loads</t>
        </is>
      </c>
    </row>
    <row r="4">
      <c r="A4" s="4" t="inlineStr">
        <is>
          <t xml:space="preserve"> Load Case </t>
        </is>
      </c>
      <c r="B4" s="4" t="inlineStr">
        <is>
          <t xml:space="preserve"> X TYPE </t>
        </is>
      </c>
      <c r="C4" s="4" t="inlineStr">
        <is>
          <t xml:space="preserve">  DISP. X  </t>
        </is>
      </c>
      <c r="D4" s="4" t="inlineStr">
        <is>
          <t xml:space="preserve">  FORCE X  </t>
        </is>
      </c>
      <c r="E4" s="4" t="inlineStr">
        <is>
          <t xml:space="preserve"> Y TYPE </t>
        </is>
      </c>
      <c r="F4" s="4" t="inlineStr">
        <is>
          <t xml:space="preserve">  DISP. Y  </t>
        </is>
      </c>
      <c r="G4" s="4" t="inlineStr">
        <is>
          <t xml:space="preserve">  FORCE Y  </t>
        </is>
      </c>
      <c r="H4" s="4" t="inlineStr">
        <is>
          <t xml:space="preserve"> RZ TYPE </t>
        </is>
      </c>
      <c r="I4" s="4" t="inlineStr">
        <is>
          <t xml:space="preserve">  ROT. RZ  </t>
        </is>
      </c>
      <c r="J4" s="4" t="inlineStr">
        <is>
          <t xml:space="preserve"> MOMENT MZ </t>
        </is>
      </c>
      <c r="K4" s="4" t="inlineStr">
        <is>
          <t xml:space="preserve"> Z TYPE </t>
        </is>
      </c>
      <c r="L4" s="4" t="inlineStr">
        <is>
          <t xml:space="preserve">  DISP. Z  </t>
        </is>
      </c>
      <c r="M4" s="4" t="inlineStr">
        <is>
          <t xml:space="preserve">  FORCE Z  </t>
        </is>
      </c>
      <c r="N4" s="4" t="inlineStr">
        <is>
          <t xml:space="preserve"> RY TYPE </t>
        </is>
      </c>
      <c r="O4" s="4" t="inlineStr">
        <is>
          <t xml:space="preserve">  ROT. RY  </t>
        </is>
      </c>
      <c r="P4" s="4" t="inlineStr">
        <is>
          <t xml:space="preserve"> MOMENT MY </t>
        </is>
      </c>
      <c r="Q4" s="4" t="inlineStr">
        <is>
          <t xml:space="preserve"> RX TYPE </t>
        </is>
      </c>
      <c r="R4" s="4" t="inlineStr">
        <is>
          <t xml:space="preserve">  ROT. RX  </t>
        </is>
      </c>
      <c r="S4" s="4" t="inlineStr">
        <is>
          <t xml:space="preserve"> MOMENT MX </t>
        </is>
      </c>
      <c r="T4" s="4" t="inlineStr">
        <is>
          <t xml:space="preserve"> Coord. X </t>
        </is>
      </c>
      <c r="U4" s="4" t="inlineStr">
        <is>
          <t xml:space="preserve"> Coord. Y </t>
        </is>
      </c>
      <c r="V4" s="4" t="inlineStr">
        <is>
          <t xml:space="preserve"> Coord. Z </t>
        </is>
      </c>
    </row>
    <row r="5">
      <c r="A5" s="4" t="n"/>
      <c r="B5" s="4" t="n"/>
      <c r="C5" s="4">
        <f>IF(Parameters!$C$4="EN","(in)",IF(Parameters!$C$4="SI","(m)","Unknown"))</f>
        <v/>
      </c>
      <c r="D5" s="4">
        <f>IF(Parameters!$C$4="EN",IF(Parameters!$C$5=0,"(lb)","(kips)"),IF(Parameters!$C$4="SI","(kN)","Unknown"))</f>
        <v/>
      </c>
      <c r="E5" s="4" t="n"/>
      <c r="F5" s="4">
        <f>IF(Parameters!$C$4="EN","(in)",IF(Parameters!$C$4="SI","(m)","Unknown"))</f>
        <v/>
      </c>
      <c r="G5" s="4">
        <f>IF(Parameters!$C$4="EN",IF(Parameters!$C$5=0,"(lb)","(kips)"),IF(Parameters!$C$4="SI","(kN)","Unknown"))</f>
        <v/>
      </c>
      <c r="H5" s="4" t="n"/>
      <c r="I5" s="4" t="inlineStr">
        <is>
          <t>(rad)</t>
        </is>
      </c>
      <c r="J5" s="4">
        <f>IF(Parameters!$C$4="EN",IF(Parameters!$C$5=0,"(lb-in)","(kips-in)"),IF(Parameters!$C$4="SI","(kN-m)","Unknown"))</f>
        <v/>
      </c>
      <c r="K5" s="4" t="n"/>
      <c r="L5" s="4">
        <f>IF(Parameters!$C$4="EN","(in)",IF(Parameters!$C$4="SI","(m)","Unknown"))</f>
        <v/>
      </c>
      <c r="M5" s="4">
        <f>IF(Parameters!$C$4="EN",IF(Parameters!$C$5=0,"(lb)","(kips)"),IF(Parameters!$C$4="SI","(kN)","Unknown"))</f>
        <v/>
      </c>
      <c r="N5" s="4" t="n"/>
      <c r="O5" s="4" t="inlineStr">
        <is>
          <t>(rad)</t>
        </is>
      </c>
      <c r="P5" s="4">
        <f>IF(Parameters!$C$4="EN",IF(Parameters!$C$5=0,"(lb-in)","(kips-in)"),IF(Parameters!$C$4="SI","(kN-m)","Unknown"))</f>
        <v/>
      </c>
      <c r="Q5" s="4" t="n"/>
      <c r="R5" s="4" t="inlineStr">
        <is>
          <t>(rad)</t>
        </is>
      </c>
      <c r="S5" s="4">
        <f>IF(Parameters!$C$4="EN",IF(Parameters!$C$5=0,"(lb-in)","(kips-in)"),IF(Parameters!$C$4="SI","(kN-m)","Unknown"))</f>
        <v/>
      </c>
      <c r="T5" s="4">
        <f>IF(Parameters!$C$4="EN","(ft)",IF(Parameters!$C$4="SI","(m)","Unknown"))</f>
        <v/>
      </c>
      <c r="U5" s="4">
        <f>IF(Parameters!$C$4="EN","(ft)",IF(Parameters!$C$4="SI","(m)","Unknown"))</f>
        <v/>
      </c>
      <c r="V5" s="4">
        <f>IF(Parameters!$C$4="EN","(ft)",IF(Parameters!$C$4="SI","(m)","Unknown"))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V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9.6640625" bestFit="1" customWidth="1" min="2" max="2"/>
    <col width="9.21875" bestFit="1" customWidth="1" min="3" max="3"/>
    <col width="7.33203125" bestFit="1" customWidth="1" min="4" max="4"/>
    <col width="9.5546875" bestFit="1" customWidth="1" min="5" max="5"/>
    <col width="8.77734375" bestFit="1" customWidth="1" min="6" max="6"/>
    <col width="7.21875" bestFit="1" customWidth="1" min="7" max="9"/>
    <col width="9.21875" bestFit="1" customWidth="1" min="10" max="10"/>
    <col width="6.109375" bestFit="1" customWidth="1" min="11" max="11"/>
    <col width="8.77734375" bestFit="1" customWidth="1" min="12" max="12"/>
    <col width="7.6640625" bestFit="1" customWidth="1" min="13" max="21"/>
    <col width="8.6640625" bestFit="1" customWidth="1" min="22" max="22"/>
  </cols>
  <sheetData>
    <row r="2">
      <c r="B2" s="1" t="inlineStr">
        <is>
          <t>NonLinear Option</t>
        </is>
      </c>
      <c r="G2" s="1" t="inlineStr">
        <is>
          <t>Equivalent Elastic Option</t>
        </is>
      </c>
    </row>
    <row r="4">
      <c r="A4" s="4" t="inlineStr">
        <is>
          <t xml:space="preserve"> Load Case </t>
        </is>
      </c>
      <c r="B4" s="4" t="inlineStr">
        <is>
          <t xml:space="preserve"> Compute </t>
        </is>
      </c>
      <c r="C4" s="4" t="inlineStr">
        <is>
          <t xml:space="preserve"> Diagonal </t>
        </is>
      </c>
      <c r="D4" s="4" t="inlineStr">
        <is>
          <t xml:space="preserve">  Axial  </t>
        </is>
      </c>
      <c r="E4" s="4" t="inlineStr">
        <is>
          <t xml:space="preserve"> Load or </t>
        </is>
      </c>
      <c r="F4" s="4" t="inlineStr">
        <is>
          <t xml:space="preserve"> Scale </t>
        </is>
      </c>
      <c r="G4" s="4" t="inlineStr">
        <is>
          <t xml:space="preserve"> Target </t>
        </is>
      </c>
      <c r="H4" s="4" t="inlineStr">
        <is>
          <t xml:space="preserve"> Target </t>
        </is>
      </c>
      <c r="I4" s="4" t="inlineStr">
        <is>
          <t xml:space="preserve"> Target </t>
        </is>
      </c>
      <c r="J4" s="4" t="inlineStr">
        <is>
          <t>Tolerance</t>
        </is>
      </c>
      <c r="K4" s="4" t="inlineStr">
        <is>
          <t xml:space="preserve"> Max. </t>
        </is>
      </c>
      <c r="L4" s="4" t="inlineStr">
        <is>
          <t xml:space="preserve"> Number </t>
        </is>
      </c>
      <c r="M4" s="4" t="inlineStr">
        <is>
          <t>Factor 1</t>
        </is>
      </c>
      <c r="N4" s="4" t="inlineStr">
        <is>
          <t>Factor 2</t>
        </is>
      </c>
      <c r="O4" s="4" t="inlineStr">
        <is>
          <t>Factor 3</t>
        </is>
      </c>
      <c r="P4" s="4" t="inlineStr">
        <is>
          <t>Factor 4</t>
        </is>
      </c>
      <c r="Q4" s="4" t="inlineStr">
        <is>
          <t>Factor 5</t>
        </is>
      </c>
      <c r="R4" s="4" t="inlineStr">
        <is>
          <t>Factor 6</t>
        </is>
      </c>
      <c r="S4" s="4" t="inlineStr">
        <is>
          <t>Factor 7</t>
        </is>
      </c>
      <c r="T4" s="4" t="inlineStr">
        <is>
          <t>Factor 8</t>
        </is>
      </c>
      <c r="U4" s="4" t="inlineStr">
        <is>
          <t>Factor 9</t>
        </is>
      </c>
      <c r="V4" s="4" t="inlineStr">
        <is>
          <t>Factor 10</t>
        </is>
      </c>
    </row>
    <row r="5">
      <c r="A5" s="4" t="n"/>
      <c r="B5" s="4" t="inlineStr">
        <is>
          <t xml:space="preserve"> Stiffness </t>
        </is>
      </c>
      <c r="C5" s="4" t="inlineStr">
        <is>
          <t xml:space="preserve"> Stiffness </t>
        </is>
      </c>
      <c r="D5" s="4" t="inlineStr">
        <is>
          <t xml:space="preserve">  Force  </t>
        </is>
      </c>
      <c r="E5" s="4" t="inlineStr">
        <is>
          <t>Deflection</t>
        </is>
      </c>
      <c r="F5" s="4" t="inlineStr">
        <is>
          <t>Only DOF</t>
        </is>
      </c>
      <c r="G5" s="4" t="inlineStr">
        <is>
          <t>DOF</t>
        </is>
      </c>
      <c r="H5" s="4" t="inlineStr">
        <is>
          <t>Disp.</t>
        </is>
      </c>
      <c r="I5" s="4" t="inlineStr">
        <is>
          <t>Rotat.</t>
        </is>
      </c>
      <c r="J5" s="4" t="n"/>
      <c r="K5" s="4" t="inlineStr">
        <is>
          <t xml:space="preserve"> Iter. </t>
        </is>
      </c>
      <c r="L5" s="4" t="inlineStr">
        <is>
          <t>Points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4" t="n"/>
      <c r="B6" s="4" t="n"/>
      <c r="C6" s="4" t="n"/>
      <c r="D6" s="4" t="n"/>
      <c r="E6" s="4" t="n"/>
      <c r="F6" s="4" t="n"/>
      <c r="G6" s="4" t="n"/>
      <c r="H6" s="4">
        <f>IF(Parameters!$C$4="EN","(in)",IF(Parameters!$C$4="SI","(m)","Unknown"))</f>
        <v/>
      </c>
      <c r="I6" s="4" t="inlineStr">
        <is>
          <t>(rad)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I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12" bestFit="1" customWidth="1" min="2" max="2"/>
    <col width="8.77734375" bestFit="1" customWidth="1" min="3" max="3"/>
    <col width="9.44140625" bestFit="1" customWidth="1" min="4" max="10"/>
    <col width="7.6640625" bestFit="1" customWidth="1" min="11" max="19"/>
    <col width="8.6640625" bestFit="1" customWidth="1" min="20" max="35"/>
  </cols>
  <sheetData>
    <row r="2">
      <c r="B2" s="1" t="n"/>
      <c r="G2" s="1" t="inlineStr">
        <is>
          <t>Incremental/Pushover Analysis</t>
        </is>
      </c>
    </row>
    <row r="4">
      <c r="A4" s="4" t="inlineStr">
        <is>
          <t xml:space="preserve"> Load Case </t>
        </is>
      </c>
      <c r="B4" s="4" t="inlineStr">
        <is>
          <t xml:space="preserve"> Incremental </t>
        </is>
      </c>
      <c r="C4" s="4" t="inlineStr">
        <is>
          <t xml:space="preserve"> Number </t>
        </is>
      </c>
      <c r="D4" s="4" t="inlineStr">
        <is>
          <t xml:space="preserve"> Constant </t>
        </is>
      </c>
      <c r="E4" s="4" t="inlineStr">
        <is>
          <t xml:space="preserve"> Constant </t>
        </is>
      </c>
      <c r="F4" s="4" t="inlineStr">
        <is>
          <t xml:space="preserve"> Constant </t>
        </is>
      </c>
      <c r="G4" s="4" t="inlineStr">
        <is>
          <t xml:space="preserve"> Constant </t>
        </is>
      </c>
      <c r="H4" s="4" t="inlineStr">
        <is>
          <t xml:space="preserve"> Constant </t>
        </is>
      </c>
      <c r="I4" s="4" t="inlineStr">
        <is>
          <t xml:space="preserve"> Constant </t>
        </is>
      </c>
      <c r="J4" s="4" t="inlineStr">
        <is>
          <t xml:space="preserve"> Constant </t>
        </is>
      </c>
      <c r="K4" s="4" t="inlineStr">
        <is>
          <t>Factor 1</t>
        </is>
      </c>
      <c r="L4" s="4" t="inlineStr">
        <is>
          <t>Factor 2</t>
        </is>
      </c>
      <c r="M4" s="4" t="inlineStr">
        <is>
          <t>Factor 3</t>
        </is>
      </c>
      <c r="N4" s="4" t="inlineStr">
        <is>
          <t>Factor 4</t>
        </is>
      </c>
      <c r="O4" s="4" t="inlineStr">
        <is>
          <t>Factor 5</t>
        </is>
      </c>
      <c r="P4" s="4" t="inlineStr">
        <is>
          <t>Factor 6</t>
        </is>
      </c>
      <c r="Q4" s="4" t="inlineStr">
        <is>
          <t>Factor 7</t>
        </is>
      </c>
      <c r="R4" s="4" t="inlineStr">
        <is>
          <t>Factor 8</t>
        </is>
      </c>
      <c r="S4" s="4" t="inlineStr">
        <is>
          <t>Factor 9</t>
        </is>
      </c>
      <c r="T4" s="4" t="inlineStr">
        <is>
          <t>Factor 10</t>
        </is>
      </c>
      <c r="U4" s="4" t="inlineStr">
        <is>
          <t>Factor 11</t>
        </is>
      </c>
      <c r="V4" s="4" t="inlineStr">
        <is>
          <t>Factor 12</t>
        </is>
      </c>
      <c r="W4" s="4" t="inlineStr">
        <is>
          <t>Factor 13</t>
        </is>
      </c>
      <c r="X4" s="4" t="inlineStr">
        <is>
          <t>Factor 14</t>
        </is>
      </c>
      <c r="Y4" s="4" t="inlineStr">
        <is>
          <t>Factor 15</t>
        </is>
      </c>
      <c r="Z4" s="4" t="inlineStr">
        <is>
          <t>Factor 16</t>
        </is>
      </c>
      <c r="AA4" s="4" t="inlineStr">
        <is>
          <t>Factor 17</t>
        </is>
      </c>
      <c r="AB4" s="4" t="inlineStr">
        <is>
          <t>Factor 18</t>
        </is>
      </c>
      <c r="AC4" s="4" t="inlineStr">
        <is>
          <t>Factor 19</t>
        </is>
      </c>
      <c r="AD4" s="4" t="inlineStr">
        <is>
          <t>Factor 20</t>
        </is>
      </c>
      <c r="AE4" s="4" t="inlineStr">
        <is>
          <t>Factor 21</t>
        </is>
      </c>
      <c r="AF4" s="4" t="inlineStr">
        <is>
          <t>Factor 22</t>
        </is>
      </c>
      <c r="AG4" s="4" t="inlineStr">
        <is>
          <t>Factor 23</t>
        </is>
      </c>
      <c r="AH4" s="4" t="inlineStr">
        <is>
          <t>Factor 24</t>
        </is>
      </c>
      <c r="AI4" s="4" t="inlineStr">
        <is>
          <t>Factor 25</t>
        </is>
      </c>
    </row>
    <row r="5">
      <c r="A5" s="4" t="n"/>
      <c r="B5" s="4" t="inlineStr">
        <is>
          <t xml:space="preserve"> Analysis </t>
        </is>
      </c>
      <c r="C5" s="4" t="inlineStr">
        <is>
          <t>Points</t>
        </is>
      </c>
      <c r="D5" s="4" t="inlineStr">
        <is>
          <t xml:space="preserve"> Ux/Fx </t>
        </is>
      </c>
      <c r="E5" s="4" t="inlineStr">
        <is>
          <t xml:space="preserve"> Uy/Fy </t>
        </is>
      </c>
      <c r="F5" s="4" t="inlineStr">
        <is>
          <t xml:space="preserve"> Rz/Mz </t>
        </is>
      </c>
      <c r="G5" s="4" t="inlineStr">
        <is>
          <t xml:space="preserve"> Uz/Fz </t>
        </is>
      </c>
      <c r="H5" s="4" t="inlineStr">
        <is>
          <t xml:space="preserve"> Ry/My </t>
        </is>
      </c>
      <c r="I5" s="4" t="inlineStr">
        <is>
          <t xml:space="preserve"> Rx/Mx </t>
        </is>
      </c>
      <c r="J5" s="4" t="inlineStr">
        <is>
          <t xml:space="preserve"> DL 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7.21875" bestFit="1" customWidth="1" min="2" max="2"/>
    <col width="9.44140625" bestFit="1" customWidth="1" min="3" max="3"/>
    <col width="12.21875" bestFit="1" customWidth="1" min="4" max="4"/>
    <col width="8.5546875" bestFit="1" customWidth="1" min="5" max="5"/>
    <col width="9.109375" bestFit="1" customWidth="1" min="6" max="6"/>
    <col width="10.6640625" bestFit="1" customWidth="1" min="7" max="7"/>
    <col width="10.33203125" bestFit="1" customWidth="1" min="8" max="8"/>
    <col width="10.6640625" bestFit="1" customWidth="1" min="9" max="9"/>
    <col width="9.88671875" bestFit="1" customWidth="1" min="10" max="10"/>
  </cols>
  <sheetData>
    <row r="2">
      <c r="H2" s="1" t="inlineStr">
        <is>
          <t>Distributed Loads</t>
        </is>
      </c>
    </row>
    <row r="4">
      <c r="A4" s="4" t="inlineStr">
        <is>
          <t xml:space="preserve"> Load Case </t>
        </is>
      </c>
      <c r="B4" s="4" t="inlineStr">
        <is>
          <t xml:space="preserve">     N      </t>
        </is>
      </c>
      <c r="C4" s="4" t="inlineStr">
        <is>
          <t xml:space="preserve"> Direction </t>
        </is>
      </c>
      <c r="D4" s="4" t="inlineStr">
        <is>
          <t xml:space="preserve"> Pile Number </t>
        </is>
      </c>
      <c r="E4" s="4" t="inlineStr">
        <is>
          <t xml:space="preserve"> End Pile </t>
        </is>
      </c>
      <c r="F4" s="4" t="inlineStr">
        <is>
          <t xml:space="preserve"> Pile Incr. </t>
        </is>
      </c>
      <c r="G4" s="4" t="inlineStr">
        <is>
          <t>Dist. Load Y</t>
        </is>
      </c>
      <c r="H4" s="4" t="inlineStr">
        <is>
          <t xml:space="preserve">   Factor Y   </t>
        </is>
      </c>
      <c r="I4" s="4" t="inlineStr">
        <is>
          <t>Dist. Load Z</t>
        </is>
      </c>
      <c r="J4" s="4" t="inlineStr">
        <is>
          <t xml:space="preserve">   Factor Z  </t>
        </is>
      </c>
    </row>
    <row r="5">
      <c r="A5" s="4" t="n"/>
      <c r="B5" s="4" t="n"/>
      <c r="C5" s="4" t="n"/>
      <c r="D5" s="4" t="n"/>
      <c r="E5" s="4" t="n"/>
      <c r="F5" s="4" t="n"/>
      <c r="G5" s="4" t="inlineStr">
        <is>
          <t xml:space="preserve">   Set   </t>
        </is>
      </c>
      <c r="H5" s="4" t="n"/>
      <c r="I5" s="4" t="inlineStr">
        <is>
          <t xml:space="preserve">   Set   </t>
        </is>
      </c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7.21875" bestFit="1" customWidth="1" min="2" max="2"/>
    <col width="9.44140625" bestFit="1" customWidth="1" min="3" max="3"/>
    <col width="12.21875" bestFit="1" customWidth="1" min="4" max="4"/>
    <col width="8.5546875" bestFit="1" customWidth="1" min="5" max="5"/>
    <col width="9.109375" bestFit="1" customWidth="1" min="6" max="6"/>
    <col width="11.33203125" bestFit="1" customWidth="1" min="7" max="7"/>
    <col width="10.33203125" bestFit="1" customWidth="1" min="8" max="8"/>
    <col width="11.33203125" bestFit="1" customWidth="1" min="9" max="9"/>
    <col width="9.88671875" bestFit="1" customWidth="1" min="10" max="10"/>
  </cols>
  <sheetData>
    <row r="2">
      <c r="H2" s="1" t="inlineStr">
        <is>
          <t>Soil Movement</t>
        </is>
      </c>
    </row>
    <row r="4">
      <c r="A4" s="4" t="inlineStr">
        <is>
          <t xml:space="preserve"> Load Case </t>
        </is>
      </c>
      <c r="B4" s="4" t="inlineStr">
        <is>
          <t xml:space="preserve">     N      </t>
        </is>
      </c>
      <c r="C4" s="4" t="inlineStr">
        <is>
          <t xml:space="preserve"> Direction </t>
        </is>
      </c>
      <c r="D4" s="4" t="inlineStr">
        <is>
          <t xml:space="preserve"> Pile Number </t>
        </is>
      </c>
      <c r="E4" s="4" t="inlineStr">
        <is>
          <t xml:space="preserve"> End Pile </t>
        </is>
      </c>
      <c r="F4" s="4" t="inlineStr">
        <is>
          <t xml:space="preserve"> Pile Incr. </t>
        </is>
      </c>
      <c r="G4" s="4" t="inlineStr">
        <is>
          <t>Soil Move. Y</t>
        </is>
      </c>
      <c r="H4" s="4" t="inlineStr">
        <is>
          <t xml:space="preserve">   Factor Y   </t>
        </is>
      </c>
      <c r="I4" s="4" t="inlineStr">
        <is>
          <t>Soil Move. Z</t>
        </is>
      </c>
      <c r="J4" s="4" t="inlineStr">
        <is>
          <t xml:space="preserve">   Factor Z  </t>
        </is>
      </c>
    </row>
    <row r="5">
      <c r="A5" s="4" t="n"/>
      <c r="B5" s="4" t="n"/>
      <c r="C5" s="4" t="n"/>
      <c r="D5" s="4" t="n"/>
      <c r="E5" s="4" t="n"/>
      <c r="F5" s="4" t="n"/>
      <c r="G5" s="4" t="inlineStr">
        <is>
          <t xml:space="preserve">   Set   </t>
        </is>
      </c>
      <c r="H5" s="4" t="n"/>
      <c r="I5" s="4" t="inlineStr">
        <is>
          <t xml:space="preserve">   Set   </t>
        </is>
      </c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4.4"/>
  <cols>
    <col width="24" bestFit="1" customWidth="1" min="2" max="2"/>
    <col width="11.5546875" bestFit="1" customWidth="1" min="3" max="3"/>
    <col width="10.33203125" bestFit="1" customWidth="1" min="4" max="4"/>
    <col width="13.6640625" bestFit="1" customWidth="1" min="5" max="5"/>
    <col width="7.5546875" bestFit="1" customWidth="1" min="6" max="6"/>
    <col width="10.44140625" bestFit="1" customWidth="1" min="7" max="7"/>
    <col width="10.109375" bestFit="1" customWidth="1" min="8" max="9"/>
    <col width="9.6640625" bestFit="1" customWidth="1" min="10" max="10"/>
    <col width="9" bestFit="1" customWidth="1" min="11" max="11"/>
    <col width="9.6640625" bestFit="1" customWidth="1" min="12" max="12"/>
    <col width="10.5546875" bestFit="1" customWidth="1" min="13" max="13"/>
    <col width="12.33203125" bestFit="1" customWidth="1" min="14" max="14"/>
    <col width="9.21875" bestFit="1" customWidth="1" min="15" max="16"/>
    <col width="8.33203125" bestFit="1" customWidth="1" min="17" max="17"/>
    <col width="9.21875" bestFit="1" customWidth="1" min="18" max="18"/>
    <col width="9.5546875" bestFit="1" customWidth="1" min="19" max="19"/>
    <col width="9.88671875" bestFit="1" customWidth="1" min="20" max="20"/>
  </cols>
  <sheetData>
    <row r="1">
      <c r="H1" s="1" t="inlineStr">
        <is>
          <t>Number of load combs.</t>
        </is>
      </c>
    </row>
    <row r="2">
      <c r="F2" s="1" t="inlineStr">
        <is>
          <t>General Data</t>
        </is>
      </c>
      <c r="M2" s="1" t="inlineStr">
        <is>
          <t>Analysis Options</t>
        </is>
      </c>
    </row>
    <row r="4">
      <c r="A4" t="inlineStr">
        <is>
          <t>N</t>
        </is>
      </c>
      <c r="B4" s="4" t="inlineStr">
        <is>
          <t xml:space="preserve">  Load Combination Name  </t>
        </is>
      </c>
      <c r="C4" s="4" t="inlineStr">
        <is>
          <t>Run Analysis</t>
        </is>
      </c>
      <c r="D4" s="4" t="inlineStr">
        <is>
          <t>Cyclic Load</t>
        </is>
      </c>
      <c r="E4" s="4" t="inlineStr">
        <is>
          <t>Number Cycles</t>
        </is>
      </c>
      <c r="F4" s="4" t="inlineStr">
        <is>
          <t>Print</t>
        </is>
      </c>
      <c r="G4" s="4" t="inlineStr">
        <is>
          <t>Print</t>
        </is>
      </c>
      <c r="H4" s="4" t="inlineStr">
        <is>
          <t>Res. Factor</t>
        </is>
      </c>
      <c r="I4" s="4" t="inlineStr">
        <is>
          <t>Res. Factor</t>
        </is>
      </c>
      <c r="J4" s="4" t="inlineStr">
        <is>
          <t>Iterations</t>
        </is>
      </c>
      <c r="K4" s="4" t="inlineStr">
        <is>
          <t>Iterations</t>
        </is>
      </c>
      <c r="L4" s="4" t="inlineStr">
        <is>
          <t>Tolerance</t>
        </is>
      </c>
      <c r="M4" s="4" t="inlineStr">
        <is>
          <t>Alternative</t>
        </is>
      </c>
      <c r="N4" s="4" t="inlineStr">
        <is>
          <t>Tolerance</t>
        </is>
      </c>
      <c r="O4" s="4" t="inlineStr">
        <is>
          <t>Tolerance</t>
        </is>
      </c>
      <c r="P4" s="4" t="inlineStr">
        <is>
          <t>Tolerance</t>
        </is>
      </c>
      <c r="Q4" s="4" t="inlineStr">
        <is>
          <t>Initial</t>
        </is>
      </c>
      <c r="R4" s="4" t="inlineStr">
        <is>
          <t>Minimum</t>
        </is>
      </c>
      <c r="S4" s="4" t="inlineStr">
        <is>
          <t>Variable</t>
        </is>
      </c>
      <c r="T4" s="4" t="inlineStr">
        <is>
          <t>Number</t>
        </is>
      </c>
    </row>
    <row r="5">
      <c r="B5" s="4" t="n"/>
      <c r="C5" s="4" t="n"/>
      <c r="D5" s="4" t="n"/>
      <c r="E5" s="4" t="n"/>
      <c r="F5" s="4" t="inlineStr">
        <is>
          <t>Options</t>
        </is>
      </c>
      <c r="G5" s="4" t="inlineStr">
        <is>
          <t>Increments</t>
        </is>
      </c>
      <c r="H5" s="4" t="inlineStr">
        <is>
          <t>Bending</t>
        </is>
      </c>
      <c r="I5" s="4" t="inlineStr">
        <is>
          <t>Shear</t>
        </is>
      </c>
      <c r="J5" s="4" t="inlineStr">
        <is>
          <t>Pile Group</t>
        </is>
      </c>
      <c r="K5" s="4" t="inlineStr">
        <is>
          <t>Pile</t>
        </is>
      </c>
      <c r="L5" s="4" t="inlineStr">
        <is>
          <t>Pile Group</t>
        </is>
      </c>
      <c r="M5" s="4" t="inlineStr">
        <is>
          <t>Tol. Criteria</t>
        </is>
      </c>
      <c r="N5" s="4" t="inlineStr">
        <is>
          <t>Displacement</t>
        </is>
      </c>
      <c r="O5" s="4" t="inlineStr">
        <is>
          <t>Rotation</t>
        </is>
      </c>
      <c r="P5" s="4" t="inlineStr">
        <is>
          <t>Pile</t>
        </is>
      </c>
      <c r="Q5" s="4" t="inlineStr">
        <is>
          <t>Step Inc.</t>
        </is>
      </c>
      <c r="R5" s="4" t="inlineStr">
        <is>
          <t>Step Inc.</t>
        </is>
      </c>
      <c r="S5" s="4" t="inlineStr">
        <is>
          <t>Axial Load</t>
        </is>
      </c>
      <c r="T5" s="4" t="inlineStr">
        <is>
          <t>Processors</t>
        </is>
      </c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>
        <f>IF(Parameters!$C$4="EN","(in)",IF(Parameters!$C$4="SI","(m)","Unknown"))</f>
        <v/>
      </c>
      <c r="O6" s="4" t="n"/>
      <c r="P6" s="4">
        <f>IF(Parameters!$C$4="EN","(in)",IF(Parameters!$C$4="SI","(m)","Unknown"))</f>
        <v/>
      </c>
      <c r="Q6" s="4" t="n"/>
      <c r="R6" s="4" t="n"/>
      <c r="S6" s="4" t="n"/>
      <c r="T6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D6"/>
  <sheetViews>
    <sheetView workbookViewId="0">
      <selection activeCell="A1" sqref="A1"/>
    </sheetView>
  </sheetViews>
  <sheetFormatPr baseColWidth="8" defaultRowHeight="14.4"/>
  <cols>
    <col width="12" bestFit="1" customWidth="1" min="1" max="1"/>
    <col width="5.44140625" bestFit="1" customWidth="1" min="2" max="2"/>
    <col width="10.33203125" bestFit="1" customWidth="1" min="3" max="3"/>
    <col width="8" bestFit="1" customWidth="1" min="4" max="4"/>
  </cols>
  <sheetData>
    <row r="2">
      <c r="C2" s="1" t="inlineStr">
        <is>
          <t>Load factors</t>
        </is>
      </c>
    </row>
    <row r="4">
      <c r="A4" s="4" t="inlineStr">
        <is>
          <t xml:space="preserve"> Load Comb. </t>
        </is>
      </c>
      <c r="B4" s="4" t="inlineStr">
        <is>
          <t xml:space="preserve">   N    </t>
        </is>
      </c>
      <c r="C4" s="4" t="inlineStr">
        <is>
          <t xml:space="preserve"> Load Case </t>
        </is>
      </c>
      <c r="D4" s="4" t="inlineStr">
        <is>
          <t xml:space="preserve"> Load </t>
        </is>
      </c>
    </row>
    <row r="5">
      <c r="A5" s="4" t="n"/>
      <c r="B5" s="4" t="n"/>
      <c r="C5" s="4" t="inlineStr">
        <is>
          <t xml:space="preserve">  Index</t>
        </is>
      </c>
      <c r="D5" s="4" t="inlineStr">
        <is>
          <t xml:space="preserve">  Factor  </t>
        </is>
      </c>
    </row>
    <row r="6">
      <c r="A6" s="4" t="n"/>
      <c r="B6" s="4" t="n"/>
      <c r="C6" s="4" t="n"/>
      <c r="D6" s="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4.4"/>
  <sheetData>
    <row r="2">
      <c r="B2" s="2" t="inlineStr">
        <is>
          <t>Note</t>
        </is>
      </c>
      <c r="C2" s="1" t="inlineStr">
        <is>
          <t>Comment</t>
        </is>
      </c>
    </row>
    <row r="3">
      <c r="B3" s="3" t="inlineStr">
        <is>
          <t>i</t>
        </is>
      </c>
      <c r="C3" t="inlineStr">
        <is>
          <t>Follow template to enter loading data</t>
        </is>
      </c>
    </row>
    <row r="4">
      <c r="B4" s="3" t="inlineStr">
        <is>
          <t>ii</t>
        </is>
      </c>
      <c r="C4" t="inlineStr">
        <is>
          <t>Excel template will not check consistency of data</t>
        </is>
      </c>
    </row>
    <row r="5">
      <c r="B5" s="3" t="inlineStr">
        <is>
          <t>iii</t>
        </is>
      </c>
      <c r="C5" t="inlineStr">
        <is>
          <t>Program may crash if loading data is not consistent</t>
        </is>
      </c>
    </row>
    <row r="6">
      <c r="B6" s="3" t="inlineStr">
        <is>
          <t>iv</t>
        </is>
      </c>
      <c r="C6" t="inlineStr">
        <is>
          <t>Do not leave a blank line (except at the end) for Load-Cases and Load-Comb pages</t>
        </is>
      </c>
    </row>
    <row r="7">
      <c r="B7" s="3" t="inlineStr">
        <is>
          <t>v</t>
        </is>
      </c>
      <c r="C7" t="inlineStr">
        <is>
          <t>Leave a blank line to separate data for load cases in pages:</t>
        </is>
      </c>
    </row>
    <row r="8">
      <c r="B8" s="3" t="inlineStr">
        <is>
          <t xml:space="preserve"> </t>
        </is>
      </c>
      <c r="C8" t="inlineStr">
        <is>
          <t>Conc.Loads, Spec.Disp, Stiffness and Dist.Load</t>
        </is>
      </c>
    </row>
    <row r="9">
      <c r="B9" s="3" t="inlineStr">
        <is>
          <t>vi</t>
        </is>
      </c>
      <c r="C9" t="inlineStr">
        <is>
          <t>Leave a blank line to separate data for load combinations in page Comb-Factors</t>
        </is>
      </c>
    </row>
    <row r="10">
      <c r="B10" s="3" t="inlineStr">
        <is>
          <t>vii</t>
        </is>
      </c>
      <c r="C10" t="inlineStr">
        <is>
          <t>Leave at least two blank lines to indicate end of data in pages:</t>
        </is>
      </c>
    </row>
    <row r="11">
      <c r="B11" s="3" t="inlineStr">
        <is>
          <t xml:space="preserve"> </t>
        </is>
      </c>
      <c r="C11" t="inlineStr">
        <is>
          <t>Conc.Loads, Spec.Disp, Stiffness, Incremental, Dist.Load and Comb-Factors</t>
        </is>
      </c>
    </row>
    <row r="12">
      <c r="B12" s="3" t="inlineStr">
        <is>
          <t>viii</t>
        </is>
      </c>
      <c r="C12" t="inlineStr">
        <is>
          <t>Data in some pages is optional, please see template example</t>
        </is>
      </c>
    </row>
    <row r="13">
      <c r="B13" s="3" t="inlineStr">
        <is>
          <t xml:space="preserve">ix </t>
        </is>
      </c>
      <c r="C13" t="inlineStr">
        <is>
          <t>Data in all pages start in Row 7</t>
        </is>
      </c>
    </row>
    <row r="15">
      <c r="B15" t="inlineStr">
        <is>
          <t>x</t>
        </is>
      </c>
      <c r="C15" t="inlineStr">
        <is>
          <t>Rev_Reaction.xlsx (sheet w SIDL), transformasi: FX=FZrig, FY=-FXrig, FZ=FYrig, MZ=MYrig, MY=-MXrig, MX=MZrig(=0).</t>
        </is>
      </c>
    </row>
    <row r="16">
      <c r="B16" t="inlineStr">
        <is>
          <t>xi</t>
        </is>
      </c>
      <c r="C16" t="inlineStr">
        <is>
          <t>Model full 2 cellar: Coord.Y = X_midas-50 (3241/3233 -&gt; -5 m; 3226/3234 -&gt; +5 m), Coord.Z = -4,75 (3241,3226) / +4,75 (3233,3234); beban N=5 = pile cap utuh di (-0,75;0;0).</t>
        </is>
      </c>
    </row>
    <row r="17">
      <c r="B17" t="inlineStr">
        <is>
          <t>xii</t>
        </is>
      </c>
      <c r="C17" t="inlineStr">
        <is>
          <t>Pile cap 25x12x1,2 m, bukaan 2x(3,75x3,5) m, gamma 25 kN/m3: W utuh = 8212.50 kN. PGA cap = 0.455 g (0,7 x 0,65 reduksi likuefaksi). E=kh*W; ASD H=0,7E; LRFD H=E; tegak lurus 30%. Vertikal: ASD1/2=W; LRFD1=1,4W; LRFD2=1,2W; gempa=faktor*W+0,5H.</t>
        </is>
      </c>
    </row>
    <row r="18">
      <c r="B18" t="inlineStr">
        <is>
          <t>xiii</t>
        </is>
      </c>
      <c r="C18" t="inlineStr">
        <is>
          <t>M3 (likuefaksi): hanya permanen (1) dan gempa (3,4); lateral spreading tidak ditinjau; p-multiplier/Sr diatur di model GROUP.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Dhafa Kusumah Perdana</dc:creator>
  <dcterms:created xmlns:dcterms="http://purl.org/dc/terms/" xmlns:xsi="http://www.w3.org/2001/XMLSchema-instance" xsi:type="dcterms:W3CDTF">2026-10-06T15:54:09Z</dcterms:created>
  <dcterms:modified xmlns:dcterms="http://purl.org/dc/terms/" xmlns:xsi="http://www.w3.org/2001/XMLSchema-instance" xsi:type="dcterms:W3CDTF">2026-10-06T15:55:43Z</dcterms:modified>
  <cp:lastModifiedBy>Dhafa Kusumah Perdana</cp:lastModifiedBy>
</cp:coreProperties>
</file>