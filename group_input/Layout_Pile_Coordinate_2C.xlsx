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3D-Layout" sheetId="2" state="visible" r:id="rId2"/>
    <sheet xmlns:r="http://schemas.openxmlformats.org/officeDocument/2006/relationships" name="Comment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0"/>
  <sheetViews>
    <sheetView workbookViewId="0">
      <selection activeCell="A1" sqref="A1"/>
    </sheetView>
  </sheetViews>
  <sheetFormatPr baseColWidth="8" defaultRowHeight="14.4"/>
  <cols>
    <col width="13.77734375" bestFit="1" customWidth="1" min="2" max="2"/>
    <col width="15.21875" bestFit="1" customWidth="1" min="3" max="3"/>
  </cols>
  <sheetData>
    <row r="2">
      <c r="B2" s="2" t="inlineStr">
        <is>
          <t xml:space="preserve">Version  </t>
        </is>
      </c>
      <c r="C2" s="3" t="inlineStr">
        <is>
          <t>GROUP2019.11.7</t>
        </is>
      </c>
    </row>
    <row r="3">
      <c r="B3" s="2" t="inlineStr">
        <is>
          <t xml:space="preserve">Analysis Mode </t>
        </is>
      </c>
      <c r="C3" s="3" t="inlineStr">
        <is>
          <t>3D</t>
        </is>
      </c>
    </row>
    <row r="4">
      <c r="B4" s="2" t="inlineStr">
        <is>
          <t xml:space="preserve">Units  </t>
        </is>
      </c>
      <c r="C4" s="3" t="inlineStr">
        <is>
          <t>SI</t>
        </is>
      </c>
      <c r="D4" t="inlineStr">
        <is>
          <t>(Enter EN for English Units, or SI for Standard International Units)</t>
        </is>
      </c>
    </row>
    <row r="5">
      <c r="B5" s="2" t="inlineStr">
        <is>
          <t xml:space="preserve">Use KIPS  </t>
        </is>
      </c>
      <c r="C5" s="3" t="n">
        <v>0</v>
      </c>
      <c r="D5" t="inlineStr">
        <is>
          <t>(For English Units, enter 1 to define KIPS as units of force, or 0 for LBS )</t>
        </is>
      </c>
    </row>
    <row r="6">
      <c r="B6" s="2" t="n"/>
      <c r="C6" s="3" t="n"/>
    </row>
    <row r="7">
      <c r="B7" s="2" t="n"/>
      <c r="C7" s="3" t="n"/>
    </row>
    <row r="8">
      <c r="B8" s="2" t="n"/>
      <c r="C8" s="3" t="n"/>
    </row>
    <row r="9">
      <c r="B9" s="2" t="n"/>
      <c r="C9" s="3" t="n"/>
    </row>
    <row r="10">
      <c r="B10" s="2" t="n"/>
      <c r="C10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tabSelected="1" workbookViewId="0">
      <selection activeCell="A1" sqref="A1"/>
    </sheetView>
  </sheetViews>
  <sheetFormatPr baseColWidth="8" defaultRowHeight="14.4"/>
  <cols>
    <col width="14.77734375" bestFit="1" customWidth="1" min="2" max="2"/>
    <col width="17" bestFit="1" customWidth="1" min="3" max="4"/>
    <col width="19.5546875" bestFit="1" customWidth="1" min="5" max="5"/>
    <col width="14.44140625" bestFit="1" customWidth="1" min="6" max="6"/>
    <col width="15.6640625" bestFit="1" customWidth="1" min="7" max="7"/>
    <col width="20.77734375" bestFit="1" customWidth="1" min="8" max="8"/>
    <col width="15.6640625" bestFit="1" customWidth="1" min="9" max="9"/>
    <col width="16.109375" bestFit="1" customWidth="1" min="10" max="10"/>
    <col width="11.77734375" bestFit="1" customWidth="1" min="11" max="11"/>
    <col width="18" bestFit="1" customWidth="1" min="12" max="12"/>
    <col width="15.6640625" bestFit="1" customWidth="1" min="13" max="13"/>
    <col width="15" bestFit="1" customWidth="1" min="14" max="14"/>
    <col width="15.5546875" bestFit="1" customWidth="1" min="15" max="15"/>
    <col width="18.88671875" bestFit="1" customWidth="1" min="16" max="16"/>
    <col width="10.88671875" bestFit="1" customWidth="1" min="17" max="17"/>
    <col width="10.77734375" bestFit="1" customWidth="1" min="18" max="18"/>
    <col width="10.88671875" bestFit="1" customWidth="1" min="19" max="19"/>
    <col width="10.77734375" bestFit="1" customWidth="1" min="20" max="20"/>
    <col width="13.33203125" bestFit="1" customWidth="1" min="21" max="21"/>
    <col width="20.77734375" bestFit="1" customWidth="1" min="22" max="22"/>
  </cols>
  <sheetData>
    <row r="1">
      <c r="H1" s="1" t="inlineStr">
        <is>
          <t>Number of piles</t>
        </is>
      </c>
      <c r="I1" t="n">
        <v>16</v>
      </c>
    </row>
    <row r="2">
      <c r="E2" s="1" t="inlineStr">
        <is>
          <t>Pile Head Coordinates</t>
        </is>
      </c>
      <c r="P2" s="1" t="inlineStr">
        <is>
          <t>Pile Group Properties</t>
        </is>
      </c>
    </row>
    <row r="4">
      <c r="A4" t="inlineStr">
        <is>
          <t>N</t>
        </is>
      </c>
      <c r="B4" s="4" t="inlineStr">
        <is>
          <t>Pile-Top Vertical</t>
        </is>
      </c>
      <c r="C4" s="4" t="inlineStr">
        <is>
          <t>Pile-Top Horizontal</t>
        </is>
      </c>
      <c r="D4" s="4" t="inlineStr">
        <is>
          <t>Pile-Top Horizontal</t>
        </is>
      </c>
      <c r="E4" s="4" t="inlineStr">
        <is>
          <t>Angle Alpha</t>
        </is>
      </c>
      <c r="F4" s="4" t="inlineStr">
        <is>
          <t>Angle Beta</t>
        </is>
      </c>
      <c r="G4" s="4" t="inlineStr">
        <is>
          <t>Angle Theta</t>
        </is>
      </c>
      <c r="H4" s="4" t="inlineStr">
        <is>
          <t>Vertical Distance</t>
        </is>
      </c>
      <c r="I4" s="4" t="inlineStr">
        <is>
          <t>Pile Head</t>
        </is>
      </c>
      <c r="J4" s="4" t="inlineStr">
        <is>
          <t>Pile Head</t>
        </is>
      </c>
      <c r="K4" s="4" t="inlineStr">
        <is>
          <t>Pile Property</t>
        </is>
      </c>
      <c r="L4" s="4" t="inlineStr">
        <is>
          <t>Soil Resistance (p-y)</t>
        </is>
      </c>
      <c r="M4" s="4" t="inlineStr">
        <is>
          <t>Axial Load-Settle.</t>
        </is>
      </c>
      <c r="N4" s="4" t="inlineStr">
        <is>
          <t>Torque-Rotation</t>
        </is>
      </c>
      <c r="O4" s="4" t="inlineStr">
        <is>
          <t>Rotational Spring</t>
        </is>
      </c>
      <c r="P4" s="4" t="inlineStr">
        <is>
          <t>Rotational Spring</t>
        </is>
      </c>
      <c r="Q4" s="4" t="inlineStr">
        <is>
          <t>P-Multiplier</t>
        </is>
      </c>
      <c r="R4" s="4" t="inlineStr">
        <is>
          <t>Y-Multiplier</t>
        </is>
      </c>
      <c r="S4" s="4" t="inlineStr">
        <is>
          <t>P-Multiplier</t>
        </is>
      </c>
      <c r="T4" s="4" t="inlineStr">
        <is>
          <t>Y-Multiplier</t>
        </is>
      </c>
      <c r="U4" s="4" t="inlineStr">
        <is>
          <t>Red. Factor</t>
        </is>
      </c>
      <c r="V4" s="4" t="inlineStr">
        <is>
          <t xml:space="preserve">Set of Lateral Red. </t>
        </is>
      </c>
    </row>
    <row r="5">
      <c r="B5" s="4" t="inlineStr">
        <is>
          <t>X-Coordinates</t>
        </is>
      </c>
      <c r="C5" s="4" t="inlineStr">
        <is>
          <t>Y-Coordinates</t>
        </is>
      </c>
      <c r="D5" s="4" t="inlineStr">
        <is>
          <t>Z-Coordinates</t>
        </is>
      </c>
      <c r="E5" s="4" t="inlineStr">
        <is>
          <t>(0 vertical pile)</t>
        </is>
      </c>
      <c r="F5" s="4" t="inlineStr">
        <is>
          <t>(90 vertical pile)</t>
        </is>
      </c>
      <c r="G5" s="4" t="inlineStr">
        <is>
          <t>(section rotation)</t>
        </is>
      </c>
      <c r="H5" s="4" t="inlineStr">
        <is>
          <t>Pile Top to Ground Line</t>
        </is>
      </c>
      <c r="I5" s="4" t="inlineStr">
        <is>
          <t>Connection z-z (i)</t>
        </is>
      </c>
      <c r="J5" s="4" t="inlineStr">
        <is>
          <t>Connection y-y (i)</t>
        </is>
      </c>
      <c r="K5" s="4" t="inlineStr">
        <is>
          <t>Type</t>
        </is>
      </c>
      <c r="L5" s="4" t="inlineStr">
        <is>
          <t>Curve Set (ii)</t>
        </is>
      </c>
      <c r="M5" s="4" t="inlineStr">
        <is>
          <t>Curve Set (iii)</t>
        </is>
      </c>
      <c r="N5" s="4" t="inlineStr">
        <is>
          <t>Curve Set (iv)</t>
        </is>
      </c>
      <c r="O5" s="4" t="inlineStr">
        <is>
          <t>(z-z)(v)</t>
        </is>
      </c>
      <c r="P5" s="4" t="inlineStr">
        <is>
          <t>(y-y)(v)</t>
        </is>
      </c>
      <c r="Q5" s="4" t="inlineStr">
        <is>
          <t>(Y-dir)(vi)</t>
        </is>
      </c>
      <c r="R5" s="4" t="inlineStr">
        <is>
          <t>(Y-dir)(vi)</t>
        </is>
      </c>
      <c r="S5" s="4" t="inlineStr">
        <is>
          <t>(Z-dir)(vi)</t>
        </is>
      </c>
      <c r="T5" s="4" t="inlineStr">
        <is>
          <t>(Z-dir)(vi)</t>
        </is>
      </c>
      <c r="U5" s="4" t="inlineStr">
        <is>
          <t>Axial Load (vii)</t>
        </is>
      </c>
      <c r="V5" s="4" t="inlineStr">
        <is>
          <t>Factor along Depth (vii)</t>
        </is>
      </c>
    </row>
    <row r="6">
      <c r="B6" s="4">
        <f>IF(Parameters!$C$4="EN","(ft)",IF(Parameters!$C$4="SI","(m)","Unknown"))</f>
        <v/>
      </c>
      <c r="C6" s="4">
        <f>IF(Parameters!$C$4="EN","(ft)",IF(Parameters!$C$4="SI","(m)","Unknown"))</f>
        <v/>
      </c>
      <c r="D6" s="4">
        <f>IF(Parameters!$C$4="EN","(ft)",IF(Parameters!$C$4="SI","(m)","Unknown"))</f>
        <v/>
      </c>
      <c r="E6" s="4" t="inlineStr">
        <is>
          <t>(Deg)</t>
        </is>
      </c>
      <c r="F6" s="4" t="inlineStr">
        <is>
          <t>(Deg)</t>
        </is>
      </c>
      <c r="G6" s="4" t="inlineStr">
        <is>
          <t>(Deg)</t>
        </is>
      </c>
      <c r="H6" s="4">
        <f>IF(Parameters!$C$4="EN","(ft)",IF(Parameters!$C$4="SI","(m)","Unknown"))</f>
        <v/>
      </c>
      <c r="I6" s="4" t="n"/>
      <c r="J6" s="4" t="n"/>
      <c r="K6" s="4" t="n"/>
      <c r="L6" s="4" t="n"/>
      <c r="M6" s="4" t="n"/>
      <c r="N6" s="4" t="n"/>
      <c r="O6" s="4">
        <f>IF(Parameters!$C$4="EN",IF(Parameters!$C$5=0,"(lb-in/rad)","(kips-in/rad)"),IF(Parameters!$C$4="SI","(kN)","Unknown"))</f>
        <v/>
      </c>
      <c r="P6" s="4">
        <f>IF(Parameters!$C$4="EN",IF(Parameters!$C$5=0,"(lb-in/rad)","(kips-in/rad)"),IF(Parameters!$C$4="SI","(kN)","Unknown"))</f>
        <v/>
      </c>
      <c r="Q6" s="4" t="n"/>
      <c r="R6" s="4" t="n"/>
      <c r="S6" s="4" t="n"/>
      <c r="T6" s="4" t="n"/>
      <c r="U6" s="4" t="n"/>
      <c r="V6" s="4" t="n"/>
    </row>
    <row r="7">
      <c r="A7" t="n">
        <v>1</v>
      </c>
      <c r="B7" t="n">
        <v>0</v>
      </c>
      <c r="C7" t="n">
        <v>-8.75</v>
      </c>
      <c r="D7" t="n">
        <v>-4.75</v>
      </c>
      <c r="E7" t="n">
        <v>0</v>
      </c>
      <c r="F7" t="n">
        <v>90</v>
      </c>
      <c r="G7" t="n">
        <v>0</v>
      </c>
      <c r="H7" t="n">
        <v>0</v>
      </c>
      <c r="I7" t="n">
        <v>2</v>
      </c>
      <c r="J7" t="n">
        <v>2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1</v>
      </c>
      <c r="U7" t="n">
        <v>0.8</v>
      </c>
      <c r="V7" t="n">
        <v>0</v>
      </c>
    </row>
    <row r="8">
      <c r="A8" t="n">
        <v>2</v>
      </c>
      <c r="B8" t="n">
        <v>0</v>
      </c>
      <c r="C8" t="n">
        <v>-6.25</v>
      </c>
      <c r="D8" t="n">
        <v>-4.75</v>
      </c>
      <c r="E8" t="n">
        <v>0</v>
      </c>
      <c r="F8" t="n">
        <v>90</v>
      </c>
      <c r="G8" t="n">
        <v>0</v>
      </c>
      <c r="H8" t="n">
        <v>0</v>
      </c>
      <c r="I8" t="n">
        <v>2</v>
      </c>
      <c r="J8" t="n">
        <v>2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0.8</v>
      </c>
      <c r="V8" t="n">
        <v>0</v>
      </c>
    </row>
    <row r="9">
      <c r="A9" t="n">
        <v>3</v>
      </c>
      <c r="B9" t="n">
        <v>0</v>
      </c>
      <c r="C9" t="n">
        <v>-3.75</v>
      </c>
      <c r="D9" t="n">
        <v>-4.75</v>
      </c>
      <c r="E9" t="n">
        <v>0</v>
      </c>
      <c r="F9" t="n">
        <v>90</v>
      </c>
      <c r="G9" t="n">
        <v>0</v>
      </c>
      <c r="H9" t="n">
        <v>0</v>
      </c>
      <c r="I9" t="n">
        <v>2</v>
      </c>
      <c r="J9" t="n">
        <v>2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0.8</v>
      </c>
      <c r="V9" t="n">
        <v>0</v>
      </c>
    </row>
    <row r="10">
      <c r="A10" t="n">
        <v>4</v>
      </c>
      <c r="B10" t="n">
        <v>0</v>
      </c>
      <c r="C10" t="n">
        <v>-1.25</v>
      </c>
      <c r="D10" t="n">
        <v>-4.75</v>
      </c>
      <c r="E10" t="n">
        <v>0</v>
      </c>
      <c r="F10" t="n">
        <v>90</v>
      </c>
      <c r="G10" t="n">
        <v>0</v>
      </c>
      <c r="H10" t="n">
        <v>0</v>
      </c>
      <c r="I10" t="n">
        <v>2</v>
      </c>
      <c r="J10" t="n">
        <v>2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0.8</v>
      </c>
      <c r="V10" t="n">
        <v>0</v>
      </c>
    </row>
    <row r="11">
      <c r="A11" t="n">
        <v>5</v>
      </c>
      <c r="B11" t="n">
        <v>0</v>
      </c>
      <c r="C11" t="n">
        <v>1.25</v>
      </c>
      <c r="D11" t="n">
        <v>-4.75</v>
      </c>
      <c r="E11" t="n">
        <v>0</v>
      </c>
      <c r="F11" t="n">
        <v>90</v>
      </c>
      <c r="G11" t="n">
        <v>0</v>
      </c>
      <c r="H11" t="n">
        <v>0</v>
      </c>
      <c r="I11" t="n">
        <v>2</v>
      </c>
      <c r="J11" t="n">
        <v>2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0.8</v>
      </c>
      <c r="V11" t="n">
        <v>0</v>
      </c>
    </row>
    <row r="12">
      <c r="A12" t="n">
        <v>6</v>
      </c>
      <c r="B12" t="n">
        <v>0</v>
      </c>
      <c r="C12" t="n">
        <v>3.75</v>
      </c>
      <c r="D12" t="n">
        <v>-4.75</v>
      </c>
      <c r="E12" t="n">
        <v>0</v>
      </c>
      <c r="F12" t="n">
        <v>90</v>
      </c>
      <c r="G12" t="n">
        <v>0</v>
      </c>
      <c r="H12" t="n">
        <v>0</v>
      </c>
      <c r="I12" t="n">
        <v>2</v>
      </c>
      <c r="J12" t="n">
        <v>2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0.8</v>
      </c>
      <c r="V12" t="n">
        <v>0</v>
      </c>
    </row>
    <row r="13">
      <c r="A13" t="n">
        <v>7</v>
      </c>
      <c r="B13" t="n">
        <v>0</v>
      </c>
      <c r="C13" t="n">
        <v>6.25</v>
      </c>
      <c r="D13" t="n">
        <v>-4.75</v>
      </c>
      <c r="E13" t="n">
        <v>0</v>
      </c>
      <c r="F13" t="n">
        <v>90</v>
      </c>
      <c r="G13" t="n">
        <v>0</v>
      </c>
      <c r="H13" t="n">
        <v>0</v>
      </c>
      <c r="I13" t="n">
        <v>2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0.8</v>
      </c>
      <c r="V13" t="n">
        <v>0</v>
      </c>
    </row>
    <row r="14">
      <c r="A14" t="n">
        <v>8</v>
      </c>
      <c r="B14" t="n">
        <v>0</v>
      </c>
      <c r="C14" t="n">
        <v>8.75</v>
      </c>
      <c r="D14" t="n">
        <v>-4.75</v>
      </c>
      <c r="E14" t="n">
        <v>0</v>
      </c>
      <c r="F14" t="n">
        <v>90</v>
      </c>
      <c r="G14" t="n">
        <v>0</v>
      </c>
      <c r="H14" t="n">
        <v>0</v>
      </c>
      <c r="I14" t="n">
        <v>2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0.8</v>
      </c>
      <c r="V14" t="n">
        <v>0</v>
      </c>
    </row>
    <row r="15">
      <c r="A15" t="n">
        <v>9</v>
      </c>
      <c r="B15" t="n">
        <v>0</v>
      </c>
      <c r="C15" t="n">
        <v>-8.75</v>
      </c>
      <c r="D15" t="n">
        <v>4.75</v>
      </c>
      <c r="E15" t="n">
        <v>0</v>
      </c>
      <c r="F15" t="n">
        <v>90</v>
      </c>
      <c r="G15" t="n">
        <v>0</v>
      </c>
      <c r="H15" t="n">
        <v>0</v>
      </c>
      <c r="I15" t="n">
        <v>2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1</v>
      </c>
      <c r="U15" t="n">
        <v>0.8</v>
      </c>
      <c r="V15" t="n">
        <v>0</v>
      </c>
    </row>
    <row r="16">
      <c r="A16" t="n">
        <v>10</v>
      </c>
      <c r="B16" t="n">
        <v>0</v>
      </c>
      <c r="C16" t="n">
        <v>-6.25</v>
      </c>
      <c r="D16" t="n">
        <v>4.75</v>
      </c>
      <c r="E16" t="n">
        <v>0</v>
      </c>
      <c r="F16" t="n">
        <v>90</v>
      </c>
      <c r="G16" t="n">
        <v>0</v>
      </c>
      <c r="H16" t="n">
        <v>0</v>
      </c>
      <c r="I16" t="n">
        <v>2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0.8</v>
      </c>
      <c r="V16" t="n">
        <v>0</v>
      </c>
    </row>
    <row r="17">
      <c r="A17" t="n">
        <v>11</v>
      </c>
      <c r="B17" t="n">
        <v>0</v>
      </c>
      <c r="C17" t="n">
        <v>-3.75</v>
      </c>
      <c r="D17" t="n">
        <v>4.75</v>
      </c>
      <c r="E17" t="n">
        <v>0</v>
      </c>
      <c r="F17" t="n">
        <v>90</v>
      </c>
      <c r="G17" t="n">
        <v>0</v>
      </c>
      <c r="H17" t="n">
        <v>0</v>
      </c>
      <c r="I17" t="n">
        <v>2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0.8</v>
      </c>
      <c r="V17" t="n">
        <v>0</v>
      </c>
    </row>
    <row r="18">
      <c r="A18" t="n">
        <v>12</v>
      </c>
      <c r="B18" t="n">
        <v>0</v>
      </c>
      <c r="C18" t="n">
        <v>-1.25</v>
      </c>
      <c r="D18" t="n">
        <v>4.75</v>
      </c>
      <c r="E18" t="n">
        <v>0</v>
      </c>
      <c r="F18" t="n">
        <v>90</v>
      </c>
      <c r="G18" t="n">
        <v>0</v>
      </c>
      <c r="H18" t="n">
        <v>0</v>
      </c>
      <c r="I18" t="n">
        <v>2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1</v>
      </c>
      <c r="U18" t="n">
        <v>0.8</v>
      </c>
      <c r="V18" t="n">
        <v>0</v>
      </c>
    </row>
    <row r="19">
      <c r="A19" t="n">
        <v>13</v>
      </c>
      <c r="B19" t="n">
        <v>0</v>
      </c>
      <c r="C19" t="n">
        <v>1.25</v>
      </c>
      <c r="D19" t="n">
        <v>4.75</v>
      </c>
      <c r="E19" t="n">
        <v>0</v>
      </c>
      <c r="F19" t="n">
        <v>90</v>
      </c>
      <c r="G19" t="n">
        <v>0</v>
      </c>
      <c r="H19" t="n">
        <v>0</v>
      </c>
      <c r="I19" t="n">
        <v>2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0.8</v>
      </c>
      <c r="V19" t="n">
        <v>0</v>
      </c>
    </row>
    <row r="20">
      <c r="A20" t="n">
        <v>14</v>
      </c>
      <c r="B20" t="n">
        <v>0</v>
      </c>
      <c r="C20" t="n">
        <v>3.75</v>
      </c>
      <c r="D20" t="n">
        <v>4.75</v>
      </c>
      <c r="E20" t="n">
        <v>0</v>
      </c>
      <c r="F20" t="n">
        <v>90</v>
      </c>
      <c r="G20" t="n">
        <v>0</v>
      </c>
      <c r="H20" t="n">
        <v>0</v>
      </c>
      <c r="I20" t="n">
        <v>2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0.8</v>
      </c>
      <c r="V20" t="n">
        <v>0</v>
      </c>
    </row>
    <row r="21">
      <c r="A21" t="n">
        <v>15</v>
      </c>
      <c r="B21" t="n">
        <v>0</v>
      </c>
      <c r="C21" t="n">
        <v>6.25</v>
      </c>
      <c r="D21" t="n">
        <v>4.75</v>
      </c>
      <c r="E21" t="n">
        <v>0</v>
      </c>
      <c r="F21" t="n">
        <v>90</v>
      </c>
      <c r="G21" t="n">
        <v>0</v>
      </c>
      <c r="H21" t="n">
        <v>0</v>
      </c>
      <c r="I21" t="n">
        <v>2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0.8</v>
      </c>
      <c r="V21" t="n">
        <v>0</v>
      </c>
    </row>
    <row r="22">
      <c r="A22" t="n">
        <v>16</v>
      </c>
      <c r="B22" t="n">
        <v>0</v>
      </c>
      <c r="C22" t="n">
        <v>8.75</v>
      </c>
      <c r="D22" t="n">
        <v>4.75</v>
      </c>
      <c r="E22" t="n">
        <v>0</v>
      </c>
      <c r="F22" t="n">
        <v>90</v>
      </c>
      <c r="G22" t="n">
        <v>0</v>
      </c>
      <c r="H22" t="n">
        <v>0</v>
      </c>
      <c r="I22" t="n">
        <v>2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0.8</v>
      </c>
      <c r="V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4"/>
  <sheetViews>
    <sheetView workbookViewId="0">
      <selection activeCell="A1" sqref="A1"/>
    </sheetView>
  </sheetViews>
  <sheetFormatPr baseColWidth="8" defaultRowHeight="14.4"/>
  <sheetData>
    <row r="2">
      <c r="B2" s="2" t="inlineStr">
        <is>
          <t>Note</t>
        </is>
      </c>
      <c r="C2" s="1" t="inlineStr">
        <is>
          <t>Comment</t>
        </is>
      </c>
    </row>
    <row r="3">
      <c r="B3" s="3" t="inlineStr">
        <is>
          <t>i</t>
        </is>
      </c>
      <c r="C3" t="inlineStr">
        <is>
          <t>Enter 1 for pinned connection</t>
        </is>
      </c>
    </row>
    <row r="4">
      <c r="B4" s="3" t="n"/>
      <c r="C4" t="inlineStr">
        <is>
          <t>Enter 2 for fixed connection</t>
        </is>
      </c>
    </row>
    <row r="5">
      <c r="B5" s="3" t="n"/>
      <c r="C5" t="inlineStr">
        <is>
          <t>Enter 3 for elastically restrained connection</t>
        </is>
      </c>
    </row>
    <row r="6">
      <c r="B6" s="3" t="inlineStr">
        <is>
          <t>ii</t>
        </is>
      </c>
      <c r="C6" t="inlineStr">
        <is>
          <t>Enter soil resistance (p-y) set if defined; otherwise, enter 0</t>
        </is>
      </c>
    </row>
    <row r="7">
      <c r="B7" s="3" t="inlineStr">
        <is>
          <t>iii</t>
        </is>
      </c>
      <c r="C7" t="inlineStr">
        <is>
          <t>Enter load-settlement set if defined; otherwise, enter 0</t>
        </is>
      </c>
    </row>
    <row r="8">
      <c r="B8" s="3" t="inlineStr">
        <is>
          <t>iv</t>
        </is>
      </c>
      <c r="C8" t="inlineStr">
        <is>
          <t>Enter torque-rotation set if defined; otherwise, enter 0</t>
        </is>
      </c>
    </row>
    <row r="9">
      <c r="B9" s="3" t="inlineStr">
        <is>
          <t>v</t>
        </is>
      </c>
      <c r="C9" t="inlineStr">
        <is>
          <t>Enter value of rotational spring if Elastically restrained connection is defined; otherwise, enter 0</t>
        </is>
      </c>
    </row>
    <row r="10">
      <c r="B10" s="3" t="inlineStr">
        <is>
          <t>vi</t>
        </is>
      </c>
      <c r="C10" t="inlineStr">
        <is>
          <t>Enter value for specified p-multiplier (y-multiplier); otherwise, enter 1</t>
        </is>
      </c>
    </row>
    <row r="11">
      <c r="B11" t="inlineStr">
        <is>
          <t>vii</t>
        </is>
      </c>
      <c r="C11" t="inlineStr">
        <is>
          <t>Enter value of reduction factor for axial load otherwise, enter 1</t>
        </is>
      </c>
    </row>
    <row r="12">
      <c r="B12" t="inlineStr">
        <is>
          <t>viii</t>
        </is>
      </c>
      <c r="C12" t="inlineStr">
        <is>
          <t>Enter set for lateral reduction factor along depth; otherwise, enter 0</t>
        </is>
      </c>
    </row>
    <row r="14">
      <c r="B14" t="inlineStr">
        <is>
          <t>ix</t>
        </is>
      </c>
      <c r="C14" t="inlineStr">
        <is>
          <t>Model 2 cellar: 4 titik beban (Y=-5/+5, Z=-4,75/+4,75), tiap titik didukung 4 tiang bor D1000 spasi 2,5 m searah Y, beban di tengah barisan (Y_tiang = Y_beban +-1,25 dan +-3,75). Total 16 tiang.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Dhafa Kusumah Perdana</dc:creator>
  <dcterms:created xmlns:dcterms="http://purl.org/dc/terms/" xmlns:xsi="http://www.w3.org/2001/XMLSchema-instance" xsi:type="dcterms:W3CDTF">2026-10-06T15:55:30Z</dcterms:created>
  <dcterms:modified xmlns:dcterms="http://purl.org/dc/terms/" xmlns:xsi="http://www.w3.org/2001/XMLSchema-instance" xsi:type="dcterms:W3CDTF">2026-10-06T15:57:52Z</dcterms:modified>
  <cp:lastModifiedBy>Dhafa Kusumah Perdana</cp:lastModifiedBy>
</cp:coreProperties>
</file>