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xl/media/image3.png" ContentType="image/png"/>
  <Override PartName="/xl/media/image4.png" ContentType="image/png"/>
  <Override PartName="/xl/media/image5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Input" sheetId="1" state="visible" r:id="rId3"/>
    <sheet name="Summary" sheetId="2" state="visible" r:id="rId4"/>
    <sheet name="BH-01" sheetId="3" state="visible" r:id="rId5"/>
    <sheet name="BH-02" sheetId="4" state="visible" r:id="rId6"/>
    <sheet name="BH-03" sheetId="5" state="visible" r:id="rId7"/>
    <sheet name="BH-04" sheetId="6" state="visible" r:id="rId8"/>
    <sheet name="BH-05" sheetId="7" state="visible" r:id="rId9"/>
  </sheets>
  <definedNames>
    <definedName function="false" hidden="false" localSheetId="2" name="_xlnm.Print_Area" vbProcedure="false">'BH-01'!$B$2:$AF$577</definedName>
    <definedName function="false" hidden="false" localSheetId="3" name="_xlnm.Print_Area" vbProcedure="false">'BH-02'!$B$2:$AF$577</definedName>
    <definedName function="false" hidden="false" localSheetId="4" name="_xlnm.Print_Area" vbProcedure="false">'BH-03'!$B$2:$AF$577</definedName>
    <definedName function="false" hidden="false" localSheetId="5" name="_xlnm.Print_Area" vbProcedure="false">'BH-04'!$B$2:$AF$577</definedName>
    <definedName function="false" hidden="false" localSheetId="6" name="_xlnm.Print_Area" vbProcedure="false">'BH-05'!$B$2:$AF$577</definedName>
    <definedName function="false" hidden="false" localSheetId="0" name="_xlnm.Print_Area" vbProcedure="false">Input!$B$2:$AF$73</definedName>
    <definedName function="false" hidden="false" localSheetId="1" name="_xlnm.Print_Area" vbProcedure="false">Summary!$B$2:$AF$73</definedName>
  </definedNames>
  <calcPr iterateCount="100" refMode="A1" iterate="false" iterateDelta="0.0001" fullCalcOnLoad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<sst xmlns="http://schemas.openxmlformats.org/spreadsheetml/2006/main" count="2978" uniqueCount="354">
  <si>
    <t xml:space="preserve">PROJECT :</t>
  </si>
  <si>
    <t xml:space="preserve">GEOTHERMAL WELLPAD PSPE BORA PULU - SIGI, CENTRAL SULAWESI</t>
  </si>
  <si>
    <t xml:space="preserve">Prepared by :</t>
  </si>
  <si>
    <t xml:space="preserve">Date</t>
  </si>
  <si>
    <t xml:space="preserve">CLIENT :</t>
  </si>
  <si>
    <t xml:space="preserve">PT EDC PANAS BUMI INDONESIA</t>
  </si>
  <si>
    <t xml:space="preserve">DF</t>
  </si>
  <si>
    <t xml:space="preserve">LOCATION :</t>
  </si>
  <si>
    <t xml:space="preserve">All boreholes (BH-01 to BH-05)</t>
  </si>
  <si>
    <t xml:space="preserve">Verified by :</t>
  </si>
  <si>
    <t xml:space="preserve">SHEET :</t>
  </si>
  <si>
    <t xml:space="preserve">DESIGN INPUT &amp; CORRELATIONS</t>
  </si>
  <si>
    <t xml:space="preserve">BC</t>
  </si>
  <si>
    <t xml:space="preserve">1. DESIGN INPUT</t>
  </si>
  <si>
    <t xml:space="preserve">Input cells are shaded blue. All borehole sheets and the summary are calculated from this sheet.</t>
  </si>
  <si>
    <t xml:space="preserve">1.1. Design load</t>
  </si>
  <si>
    <t xml:space="preserve">Height of embankment fill</t>
  </si>
  <si>
    <t xml:space="preserve">design brief</t>
  </si>
  <si>
    <t xml:space="preserve">Hf =</t>
  </si>
  <si>
    <t xml:space="preserve">m</t>
  </si>
  <si>
    <t xml:space="preserve">Unit weight of compacted fill</t>
  </si>
  <si>
    <t xml:space="preserve">assumed</t>
  </si>
  <si>
    <t xml:space="preserve">γf =</t>
  </si>
  <si>
    <t xml:space="preserve">kN/m³</t>
  </si>
  <si>
    <t xml:space="preserve">Uniform surcharge on platform</t>
  </si>
  <si>
    <t xml:space="preserve">qs =</t>
  </si>
  <si>
    <t xml:space="preserve">kPa</t>
  </si>
  <si>
    <t xml:space="preserve">Total pressure on subgrade</t>
  </si>
  <si>
    <t xml:space="preserve">q = Hf·γf + qs</t>
  </si>
  <si>
    <t xml:space="preserve">q =</t>
  </si>
  <si>
    <t xml:space="preserve">Width of embankment area</t>
  </si>
  <si>
    <t xml:space="preserve">B =</t>
  </si>
  <si>
    <t xml:space="preserve">Length of embankment area (L ≥ B)</t>
  </si>
  <si>
    <t xml:space="preserve">L =</t>
  </si>
  <si>
    <t xml:space="preserve">1.2. Design criteria</t>
  </si>
  <si>
    <t xml:space="preserve">Factor of safety for bearing capacity</t>
  </si>
  <si>
    <t xml:space="preserve">SNI 8460:2017</t>
  </si>
  <si>
    <t xml:space="preserve">SF =</t>
  </si>
  <si>
    <t xml:space="preserve">-</t>
  </si>
  <si>
    <t xml:space="preserve">Depth for averaging shear strength</t>
  </si>
  <si>
    <t xml:space="preserve">Hb =</t>
  </si>
  <si>
    <t xml:space="preserve">Influence depth limit: Δσz / σ'v0 ≥</t>
  </si>
  <si>
    <t xml:space="preserve">ratio =</t>
  </si>
  <si>
    <t xml:space="preserve">Allowable total settlement (assumed)</t>
  </si>
  <si>
    <t xml:space="preserve">S all =</t>
  </si>
  <si>
    <t xml:space="preserve">mm</t>
  </si>
  <si>
    <t xml:space="preserve">Embankment side slope, horizontal : 1 vertical</t>
  </si>
  <si>
    <t xml:space="preserve">1V : nH</t>
  </si>
  <si>
    <t xml:space="preserve">n =</t>
  </si>
  <si>
    <t xml:space="preserve">Required FS against lateral squeeze</t>
  </si>
  <si>
    <t xml:space="preserve">FHWA-NHI-06-088</t>
  </si>
  <si>
    <t xml:space="preserve">FS req =</t>
  </si>
  <si>
    <t xml:space="preserve">Upper limit of squeezing factor Nc* (0 = no limit)</t>
  </si>
  <si>
    <t xml:space="preserve">optional, conservative</t>
  </si>
  <si>
    <t xml:space="preserve">Nc*max =</t>
  </si>
  <si>
    <t xml:space="preserve">1.3. Replacement material</t>
  </si>
  <si>
    <t xml:space="preserve">Unit weight of compacted granular fill</t>
  </si>
  <si>
    <t xml:space="preserve">γr =</t>
  </si>
  <si>
    <t xml:space="preserve">Friction angle of granular fill</t>
  </si>
  <si>
    <t xml:space="preserve">φ'r =</t>
  </si>
  <si>
    <t xml:space="preserve">°</t>
  </si>
  <si>
    <t xml:space="preserve">2. CORRELATIONS (used where no laboratory test is available)</t>
  </si>
  <si>
    <t xml:space="preserve">Undrained shear strength, cu = k·N</t>
  </si>
  <si>
    <t xml:space="preserve">Stroud (1974)</t>
  </si>
  <si>
    <t xml:space="preserve">k =</t>
  </si>
  <si>
    <t xml:space="preserve">Energy correction, N60 = CE·N</t>
  </si>
  <si>
    <t xml:space="preserve">liquefaction report</t>
  </si>
  <si>
    <t xml:space="preserve">CE =</t>
  </si>
  <si>
    <t xml:space="preserve">Sand modulus, Es = k·N60</t>
  </si>
  <si>
    <t xml:space="preserve">Kulhawy &amp; Mayne (1990)</t>
  </si>
  <si>
    <t xml:space="preserve">Silt/clay undrained modulus, Eu = k·cu</t>
  </si>
  <si>
    <t xml:space="preserve">Bowles (1996)</t>
  </si>
  <si>
    <t xml:space="preserve">Poisson ratio of sand (drained)</t>
  </si>
  <si>
    <t xml:space="preserve">silt/clay undrained ν = 0.5</t>
  </si>
  <si>
    <t xml:space="preserve">ν =</t>
  </si>
  <si>
    <t xml:space="preserve">Recompression ratio Cr / Cc</t>
  </si>
  <si>
    <t xml:space="preserve">Das (2019)</t>
  </si>
  <si>
    <t xml:space="preserve">Cr/Cc =</t>
  </si>
  <si>
    <t xml:space="preserve">Strength ratio su / σ'p</t>
  </si>
  <si>
    <t xml:space="preserve">Mesri (1975)</t>
  </si>
  <si>
    <t xml:space="preserve">Time factor for 90 % consolidation</t>
  </si>
  <si>
    <t xml:space="preserve">Terzaghi</t>
  </si>
  <si>
    <t xml:space="preserve">Tv =</t>
  </si>
  <si>
    <t xml:space="preserve">Compression index Cc = 0.009 (LL - 10) (Terzaghi &amp; Peck, 1967).</t>
  </si>
  <si>
    <t xml:space="preserve">Sand friction angle φ' = 27.1 + 0.3 N60 - 0.00054 N60² (Wolff, 1989).</t>
  </si>
  <si>
    <t xml:space="preserve">Silt/clay friction angle sin φ' = 0.8 - 0.094 ln(PI) (Terzaghi, Peck &amp; Mesri, 1996), limited to 20° - 30°.</t>
  </si>
  <si>
    <t xml:space="preserve">No oedometer test is available; Cc, Cr, σ'p and Cv are correlated values.</t>
  </si>
  <si>
    <t xml:space="preserve">3. COEFFICIENT OF CONSOLIDATION vs LIQUID LIMIT (NAVFAC DM-7.1)</t>
  </si>
  <si>
    <t xml:space="preserve">LL</t>
  </si>
  <si>
    <t xml:space="preserve">Cv</t>
  </si>
  <si>
    <t xml:space="preserve">log10 Cv</t>
  </si>
  <si>
    <t xml:space="preserve">%</t>
  </si>
  <si>
    <t xml:space="preserve">cm²/s</t>
  </si>
  <si>
    <t xml:space="preserve">Sheet :</t>
  </si>
  <si>
    <t xml:space="preserve">SUMMARY - BEARING CAPACITY AND SETTLEMENT</t>
  </si>
  <si>
    <t xml:space="preserve">SUMMARY OF BEARING CAPACITY AND SETTLEMENT OF SUBGRADE</t>
  </si>
  <si>
    <t xml:space="preserve">Item</t>
  </si>
  <si>
    <t xml:space="preserve">Unit</t>
  </si>
  <si>
    <t xml:space="preserve">BH-01</t>
  </si>
  <si>
    <t xml:space="preserve">BH-02</t>
  </si>
  <si>
    <t xml:space="preserve">BH-03</t>
  </si>
  <si>
    <t xml:space="preserve">BH-04</t>
  </si>
  <si>
    <t xml:space="preserve">BH-05</t>
  </si>
  <si>
    <t xml:space="preserve">Wellpad D</t>
  </si>
  <si>
    <t xml:space="preserve">Wellpad A</t>
  </si>
  <si>
    <t xml:space="preserve">Log Yard</t>
  </si>
  <si>
    <t xml:space="preserve">Silt/clay thickness within 0 - Hb</t>
  </si>
  <si>
    <t xml:space="preserve">Average cu (silt/clay)</t>
  </si>
  <si>
    <t xml:space="preserve">Average φ'</t>
  </si>
  <si>
    <t xml:space="preserve">qall - without improvement</t>
  </si>
  <si>
    <t xml:space="preserve">FS - without improvement</t>
  </si>
  <si>
    <t xml:space="preserve">Check - without improvement</t>
  </si>
  <si>
    <t xml:space="preserve">Replacement depth Dr</t>
  </si>
  <si>
    <t xml:space="preserve">qall - design condition</t>
  </si>
  <si>
    <t xml:space="preserve">FS - design condition</t>
  </si>
  <si>
    <t xml:space="preserve">Check - design condition</t>
  </si>
  <si>
    <t xml:space="preserve">Nc* (thin soft layer) - design</t>
  </si>
  <si>
    <t xml:space="preserve">FS lateral squeeze - design</t>
  </si>
  <si>
    <t xml:space="preserve">Check lateral squeeze - design</t>
  </si>
  <si>
    <t xml:space="preserve">Allowable fill height (design)</t>
  </si>
  <si>
    <t xml:space="preserve">qa for 25 mm (granular soil)</t>
  </si>
  <si>
    <t xml:space="preserve">Immediate settlement Si</t>
  </si>
  <si>
    <t xml:space="preserve">Consolidation settlement Sc</t>
  </si>
  <si>
    <t xml:space="preserve">Time for 90 % consolidation</t>
  </si>
  <si>
    <t xml:space="preserve">year</t>
  </si>
  <si>
    <t xml:space="preserve">Total settlement S = Si + Sc</t>
  </si>
  <si>
    <t xml:space="preserve">NOTES</t>
  </si>
  <si>
    <t xml:space="preserve">1. Bearing capacity: undrained (cu·Nc) where silt/clay exists within 0 - Hb; drained (Vesic) for granular soil.</t>
  </si>
  <si>
    <t xml:space="preserve">    For a wide loaded area the Nγ term gives a very large drained capacity, i.e. shear failure does not govern;</t>
  </si>
  <si>
    <t xml:space="preserve">    settlement governs the design.</t>
  </si>
  <si>
    <t xml:space="preserve">2. Granular soil: (a) drained bearing capacity with φ' from N-SPT; (b) allowable pressure for 25 mm settlement</t>
  </si>
  <si>
    <t xml:space="preserve">    (Meyerhof/Bowles); (c) sand is assumed to undergo immediate (elastic) settlement only - no primary</t>
  </si>
  <si>
    <t xml:space="preserve">    consolidation; (d) loose saturated sand: add post-liquefaction settlement for the seismic case.</t>
  </si>
  <si>
    <t xml:space="preserve">BH-01 (Wellpad D)</t>
  </si>
  <si>
    <t xml:space="preserve">BEARING CAPACITY AND SETTLEMENT OF SUBGRADE</t>
  </si>
  <si>
    <t xml:space="preserve">1. GENERAL</t>
  </si>
  <si>
    <t xml:space="preserve">This sheet evaluates the bearing capacity, lateral squeeze, immediate settlement and primary consolidation settlement</t>
  </si>
  <si>
    <t xml:space="preserve">of the subgrade below the wellpad embankment (2 m fill + 100 kPa uniform surcharge) at the borehole location.</t>
  </si>
  <si>
    <t xml:space="preserve">1.1. Load and loaded area</t>
  </si>
  <si>
    <t xml:space="preserve">Uniform surcharge</t>
  </si>
  <si>
    <t xml:space="preserve">Loaded area (assumed)</t>
  </si>
  <si>
    <t xml:space="preserve">B × L</t>
  </si>
  <si>
    <t xml:space="preserve">Embankment side slope</t>
  </si>
  <si>
    <t xml:space="preserve">1.2. Borehole data</t>
  </si>
  <si>
    <t xml:space="preserve">Design groundwater level (below ground)</t>
  </si>
  <si>
    <t xml:space="preserve">GWL =</t>
  </si>
  <si>
    <t xml:space="preserve">Unit weight above GWL</t>
  </si>
  <si>
    <t xml:space="preserve">γ =</t>
  </si>
  <si>
    <t xml:space="preserve">Unit weight below GWL</t>
  </si>
  <si>
    <t xml:space="preserve">γsat =</t>
  </si>
  <si>
    <t xml:space="preserve">Replacement depth (design condition)</t>
  </si>
  <si>
    <t xml:space="preserve">0 = no improvement</t>
  </si>
  <si>
    <t xml:space="preserve">Dr =</t>
  </si>
  <si>
    <t xml:space="preserve">Figure 1. Typical cross-section of the wellpad embankment, design load and subsoil</t>
  </si>
  <si>
    <t xml:space="preserve">2. SOIL PARAMETERS</t>
  </si>
  <si>
    <t xml:space="preserve">Table 1. Soil parameters of BH-01 (sub-layers = SPT intervals)</t>
  </si>
  <si>
    <t xml:space="preserve">Helper calculation per sub-layer (not printed)</t>
  </si>
  <si>
    <t xml:space="preserve">No</t>
  </si>
  <si>
    <t xml:space="preserve">Top</t>
  </si>
  <si>
    <t xml:space="preserve">Bottom</t>
  </si>
  <si>
    <t xml:space="preserve">Soil</t>
  </si>
  <si>
    <t xml:space="preserve">N-SPT</t>
  </si>
  <si>
    <t xml:space="preserve">γ</t>
  </si>
  <si>
    <t xml:space="preserve">PI</t>
  </si>
  <si>
    <t xml:space="preserve">e0</t>
  </si>
  <si>
    <t xml:space="preserve">cu</t>
  </si>
  <si>
    <t xml:space="preserve">φ'</t>
  </si>
  <si>
    <t xml:space="preserve">top</t>
  </si>
  <si>
    <t xml:space="preserve">bot</t>
  </si>
  <si>
    <t xml:space="preserve">h</t>
  </si>
  <si>
    <t xml:space="preserve">z</t>
  </si>
  <si>
    <t xml:space="preserve">typ</t>
  </si>
  <si>
    <t xml:space="preserve">N</t>
  </si>
  <si>
    <t xml:space="preserve">g</t>
  </si>
  <si>
    <t xml:space="preserve">sv</t>
  </si>
  <si>
    <t xml:space="preserve">s0</t>
  </si>
  <si>
    <t xml:space="preserve">PL</t>
  </si>
  <si>
    <t xml:space="preserve">phi</t>
  </si>
  <si>
    <t xml:space="preserve">E</t>
  </si>
  <si>
    <t xml:space="preserve">nu</t>
  </si>
  <si>
    <t xml:space="preserve">n</t>
  </si>
  <si>
    <t xml:space="preserve">I</t>
  </si>
  <si>
    <t xml:space="preserve">ds</t>
  </si>
  <si>
    <t xml:space="preserve">F1</t>
  </si>
  <si>
    <t xml:space="preserve">F2</t>
  </si>
  <si>
    <t xml:space="preserve">keep</t>
  </si>
  <si>
    <t xml:space="preserve">Si</t>
  </si>
  <si>
    <t xml:space="preserve">Cc</t>
  </si>
  <si>
    <t xml:space="preserve">Cr</t>
  </si>
  <si>
    <t xml:space="preserve">sp</t>
  </si>
  <si>
    <t xml:space="preserve">Sc</t>
  </si>
  <si>
    <t xml:space="preserve">t90</t>
  </si>
  <si>
    <t xml:space="preserve">hb0</t>
  </si>
  <si>
    <t xml:space="preserve">hbr</t>
  </si>
  <si>
    <t xml:space="preserve">St</t>
  </si>
  <si>
    <t xml:space="preserve">ket</t>
  </si>
  <si>
    <t xml:space="preserve">Clay</t>
  </si>
  <si>
    <t xml:space="preserve">0-1.5 m not tested: N of next layer; LL/PL/e0 = borehole average</t>
  </si>
  <si>
    <t xml:space="preserve">LL/PL/e0 = borehole average</t>
  </si>
  <si>
    <t xml:space="preserve">Sand</t>
  </si>
  <si>
    <t xml:space="preserve">Silt</t>
  </si>
  <si>
    <t xml:space="preserve">cu = k·N (silt/clay); φ' sand from Wolff (1989), silt/clay from PI; γ from laboratory average above/below GWL.</t>
  </si>
  <si>
    <t xml:space="preserve">3. BEARING CAPACITY OF SUBGRADE</t>
  </si>
  <si>
    <t xml:space="preserve">The bearing capacity is evaluated with the general bearing capacity equation (Terzaghi 1943, Vesic 1975; SNI 8460:2017).</t>
  </si>
  <si>
    <t xml:space="preserve">Undrained (short-term) condition governs where silt/clay exists within 0 - Hb: qu = cu·Nc·sc.</t>
  </si>
  <si>
    <t xml:space="preserve">Drained (long-term) condition for granular soil: qu = 0.5·γ'·B·Nγ·sγ·rγ (c' = 0, load at ground surface, q = 0).</t>
  </si>
  <si>
    <t xml:space="preserve">Thin soft layer over firm sand below a wide load (B &gt;&gt; H'): squeezing mechanism, Nc* = 4.14 + 0.5·B/H' ≥ 5.14 (Meyerhof 1974).</t>
  </si>
  <si>
    <t xml:space="preserve">The governing ultimate capacity is the smaller of the two; qall = qu / SF.</t>
  </si>
  <si>
    <t xml:space="preserve">Figure 2. Bearing capacity mechanisms considered</t>
  </si>
  <si>
    <t xml:space="preserve">3.1. Without ground improvement</t>
  </si>
  <si>
    <t xml:space="preserve">Thickness of silt/clay within 0 - Hb</t>
  </si>
  <si>
    <t xml:space="preserve">Σh (fine soil)</t>
  </si>
  <si>
    <t xml:space="preserve">Σh =</t>
  </si>
  <si>
    <t xml:space="preserve">Average undrained shear strength</t>
  </si>
  <si>
    <t xml:space="preserve">weighted by thickness</t>
  </si>
  <si>
    <t xml:space="preserve">cu =</t>
  </si>
  <si>
    <t xml:space="preserve">Average effective friction angle</t>
  </si>
  <si>
    <t xml:space="preserve">incl. replacement fill</t>
  </si>
  <si>
    <t xml:space="preserve">φ' =</t>
  </si>
  <si>
    <t xml:space="preserve">Average effective unit weight</t>
  </si>
  <si>
    <t xml:space="preserve">0 - Hb</t>
  </si>
  <si>
    <t xml:space="preserve">γ' =</t>
  </si>
  <si>
    <t xml:space="preserve">Bearing factor, thin soft layer (H' = Σh)</t>
  </si>
  <si>
    <t xml:space="preserve">Nc* = 4.14 + 0.5·B/H' ≥ 5.14</t>
  </si>
  <si>
    <t xml:space="preserve">Nc* =</t>
  </si>
  <si>
    <t xml:space="preserve">Shape factor (undrained)</t>
  </si>
  <si>
    <t xml:space="preserve">sc = 1 + 0.2 B/L</t>
  </si>
  <si>
    <t xml:space="preserve">sc =</t>
  </si>
  <si>
    <t xml:space="preserve">Ultimate capacity, undrained</t>
  </si>
  <si>
    <t xml:space="preserve">qu = cu·Nc*·sc</t>
  </si>
  <si>
    <t xml:space="preserve">qu,u =</t>
  </si>
  <si>
    <t xml:space="preserve">Bearing capacity factor</t>
  </si>
  <si>
    <t xml:space="preserve">Nq = e^(π·tanφ)·tan²(45+φ/2)</t>
  </si>
  <si>
    <t xml:space="preserve">Nq =</t>
  </si>
  <si>
    <t xml:space="preserve">Bearing capacity factor (Vesic)</t>
  </si>
  <si>
    <t xml:space="preserve">Nγ = 2(Nq+1)·tanφ</t>
  </si>
  <si>
    <t xml:space="preserve">Nγ =</t>
  </si>
  <si>
    <t xml:space="preserve">Shape and size factors</t>
  </si>
  <si>
    <t xml:space="preserve">sγ = 1-0.4B/L; rγ = 1-0.25log(B/2)</t>
  </si>
  <si>
    <t xml:space="preserve">sγ·rγ =</t>
  </si>
  <si>
    <t xml:space="preserve">Ultimate capacity, drained</t>
  </si>
  <si>
    <t xml:space="preserve">qu = 0.5·γ'·B·Nγ·sγ·rγ</t>
  </si>
  <si>
    <t xml:space="preserve">qu,d =</t>
  </si>
  <si>
    <t xml:space="preserve">Governing ultimate bearing capacity</t>
  </si>
  <si>
    <t xml:space="preserve">min (undrained, drained)</t>
  </si>
  <si>
    <t xml:space="preserve">qu =</t>
  </si>
  <si>
    <t xml:space="preserve">Allowable bearing capacity</t>
  </si>
  <si>
    <t xml:space="preserve">qall = qu / SF</t>
  </si>
  <si>
    <t xml:space="preserve">qall =</t>
  </si>
  <si>
    <t xml:space="preserve">Working pressure</t>
  </si>
  <si>
    <t xml:space="preserve">Actual factor of safety</t>
  </si>
  <si>
    <t xml:space="preserve">FS = qu / q</t>
  </si>
  <si>
    <t xml:space="preserve">FS =</t>
  </si>
  <si>
    <t xml:space="preserve">Allowable fill height with surcharge</t>
  </si>
  <si>
    <t xml:space="preserve">Hall = (qall - qs) / γf</t>
  </si>
  <si>
    <t xml:space="preserve">Hall =</t>
  </si>
  <si>
    <t xml:space="preserve">Bearing capacity check</t>
  </si>
  <si>
    <t xml:space="preserve">3.2. With replacement of soil 0 - Dr (design condition)</t>
  </si>
  <si>
    <t xml:space="preserve">3.3. Granular soil - allowable pressure for 25 mm settlement (Meyerhof 1965, Bowles 1996)</t>
  </si>
  <si>
    <t xml:space="preserve">Average N60 of sand layers within 0 - Hb</t>
  </si>
  <si>
    <t xml:space="preserve">N60 =</t>
  </si>
  <si>
    <t xml:space="preserve">Allowable pressure (S = 25 mm, Kd = 1)</t>
  </si>
  <si>
    <t xml:space="preserve">qa = (N55/0.08)·((B+0.3)/B)²</t>
  </si>
  <si>
    <t xml:space="preserve">qa =</t>
  </si>
  <si>
    <t xml:space="preserve">For granular soil the shear capacity is normally far above the applied load; settlement governs the design (Section 4).</t>
  </si>
  <si>
    <t xml:space="preserve">3.4. Lateral squeeze of soft layer at the embankment toe (Silvestri 1983; FHWA-NHI-06-088)</t>
  </si>
  <si>
    <t xml:space="preserve">A thin soft layer below the embankment edge can be squeezed laterally towards the toe (toe heave, edge settlement,</t>
  </si>
  <si>
    <t xml:space="preserve">lateral load on piles and casings near the platform edge). Surcharge qs is conservatively assumed to act up to the crest.</t>
  </si>
  <si>
    <t xml:space="preserve">      FS = 2·cu / (γf·Ds·tanθ) + 4.14·cu / q_edge ,   q_edge = γf·Hf + qs ,   valid for Ds &lt; b = n·Hf</t>
  </si>
  <si>
    <t xml:space="preserve">Figure 3. Lateral squeeze of a soft layer at the embankment toe</t>
  </si>
  <si>
    <t xml:space="preserve">Slope inclination</t>
  </si>
  <si>
    <t xml:space="preserve">tanθ = 1/n</t>
  </si>
  <si>
    <t xml:space="preserve">tanθ =</t>
  </si>
  <si>
    <t xml:space="preserve">Horizontal length of side slope</t>
  </si>
  <si>
    <t xml:space="preserve">b = n·Hf</t>
  </si>
  <si>
    <t xml:space="preserve">b =</t>
  </si>
  <si>
    <t xml:space="preserve">Soft layer thickness - without improvement</t>
  </si>
  <si>
    <t xml:space="preserve">Ds = Σh (Section 3.1/3.2)</t>
  </si>
  <si>
    <t xml:space="preserve">Ds =</t>
  </si>
  <si>
    <t xml:space="preserve">FS against lateral squeeze - without improvement</t>
  </si>
  <si>
    <t xml:space="preserve">   check</t>
  </si>
  <si>
    <t xml:space="preserve">Soft layer thickness - design condition (replacement Dr)</t>
  </si>
  <si>
    <t xml:space="preserve">FS against lateral squeeze - design condition (replacement Dr)</t>
  </si>
  <si>
    <t xml:space="preserve">Where Ds ≥ b the toe mechanism is a general bearing failure of the slope and the check reverts to Sections 3.1/3.2.</t>
  </si>
  <si>
    <t xml:space="preserve">4. IMMEDIATE SETTLEMENT (design condition)</t>
  </si>
  <si>
    <t xml:space="preserve">Layered elastic method (Steinbrenner 1934; Bowles 1996) at the centre of a flexible B × L area:</t>
  </si>
  <si>
    <t xml:space="preserve">      Si = 4·q·(B/2)·(1 - ν²)/E · [ΔF1 + (1 - 2ν)/(1 - ν)·ΔF2]   for each sub-layer.</t>
  </si>
  <si>
    <t xml:space="preserve">Sand: drained modulus E = k·N60 and ν of sand; silt/clay: undrained modulus Eu = k·cu and ν = 0.5.</t>
  </si>
  <si>
    <t xml:space="preserve">Layers below the influence depth (Δσz &lt; ratio·σ'v0, Input) and soil replaced to depth Dr are excluded.</t>
  </si>
  <si>
    <t xml:space="preserve">Table 2. Immediate settlement of BH-01</t>
  </si>
  <si>
    <t xml:space="preserve">ν</t>
  </si>
  <si>
    <t xml:space="preserve">σ'v0</t>
  </si>
  <si>
    <t xml:space="preserve">Δσz</t>
  </si>
  <si>
    <t xml:space="preserve">Total immediate settlement</t>
  </si>
  <si>
    <t xml:space="preserve">Si = Σ Si</t>
  </si>
  <si>
    <t xml:space="preserve">Si =</t>
  </si>
  <si>
    <t xml:space="preserve">   - contribution of sand layers</t>
  </si>
  <si>
    <t xml:space="preserve">   - contribution of silt/clay layers</t>
  </si>
  <si>
    <t xml:space="preserve">Figure 4. Stress distribution below the loaded area and layered elastic settlement</t>
  </si>
  <si>
    <t xml:space="preserve">5. PRIMARY CONSOLIDATION SETTLEMENT (silt/clay layers, design condition)</t>
  </si>
  <si>
    <t xml:space="preserve">Sc = h/(1+e0) · [Cr·log(σ'p/σ'v0) + Cc·log((σ'v0+Δσz)/σ'p)]  (Das 2019); Δσz from Boussinesq at the centre of the area;</t>
  </si>
  <si>
    <t xml:space="preserve">σ'p = max(cu/0.22 ; σ'v0) (Mesri 1975); t90 = Tv·Hdr²/Cv with double drainage (Hdr = h/2), layers bounded by sand.</t>
  </si>
  <si>
    <t xml:space="preserve">Figure 5. Compression curve used for the consolidation settlement</t>
  </si>
  <si>
    <t xml:space="preserve">Table 3. Consolidation settlement of BH-01</t>
  </si>
  <si>
    <t xml:space="preserve">σ'p</t>
  </si>
  <si>
    <t xml:space="preserve">Total consolidation settlement</t>
  </si>
  <si>
    <t xml:space="preserve">Sc = Σ Sc</t>
  </si>
  <si>
    <t xml:space="preserve">Sc =</t>
  </si>
  <si>
    <t xml:space="preserve">Time for 90 % consolidation (slowest layer)</t>
  </si>
  <si>
    <t xml:space="preserve">t90 = max</t>
  </si>
  <si>
    <t xml:space="preserve">t90 =</t>
  </si>
  <si>
    <t xml:space="preserve">6. SUMMARY</t>
  </si>
  <si>
    <t xml:space="preserve">Allowable bearing capacity - without improvement</t>
  </si>
  <si>
    <t xml:space="preserve">Allowable bearing capacity - design condition</t>
  </si>
  <si>
    <t xml:space="preserve">Dr from Section 1.2</t>
  </si>
  <si>
    <t xml:space="preserve">FS against lateral squeeze - design condition</t>
  </si>
  <si>
    <t xml:space="preserve">Section 3.4</t>
  </si>
  <si>
    <t xml:space="preserve">Immediate settlement (layered elastic)</t>
  </si>
  <si>
    <t xml:space="preserve">Section 4</t>
  </si>
  <si>
    <t xml:space="preserve">Consolidation settlement</t>
  </si>
  <si>
    <t xml:space="preserve">Section 5</t>
  </si>
  <si>
    <t xml:space="preserve">Total long-term settlement</t>
  </si>
  <si>
    <t xml:space="preserve">S = Si + Sc</t>
  </si>
  <si>
    <t xml:space="preserve">S =</t>
  </si>
  <si>
    <t xml:space="preserve">Settlement check</t>
  </si>
  <si>
    <t xml:space="preserve">Post-liquefaction settlement during the design earthquake is not included and shall be assessed separately.</t>
  </si>
  <si>
    <t xml:space="preserve">Figure 6. Settlement per sub-layer - BH-01</t>
  </si>
  <si>
    <t xml:space="preserve">BH-02 (Wellpad A)</t>
  </si>
  <si>
    <t xml:space="preserve">Table 1. Soil parameters of BH-02 (sub-layers = SPT intervals)</t>
  </si>
  <si>
    <t xml:space="preserve">0-1.5 m not tested: N of next layer</t>
  </si>
  <si>
    <t xml:space="preserve">Table 2. Immediate settlement of BH-02</t>
  </si>
  <si>
    <t xml:space="preserve">Table 3. Consolidation settlement of BH-02</t>
  </si>
  <si>
    <t xml:space="preserve">Figure 6. Settlement per sub-layer - BH-02</t>
  </si>
  <si>
    <t xml:space="preserve">BH-03 (Log Yard)</t>
  </si>
  <si>
    <t xml:space="preserve">Table 1. Soil parameters of BH-03 (sub-layers = SPT intervals)</t>
  </si>
  <si>
    <t xml:space="preserve">data copied from BH-02</t>
  </si>
  <si>
    <t xml:space="preserve">Below 22.5 m the SPT data of BH-02 are used (BH-03 drilled to 22.5 m only).</t>
  </si>
  <si>
    <t xml:space="preserve">Table 2. Immediate settlement of BH-03</t>
  </si>
  <si>
    <t xml:space="preserve">Table 3. Consolidation settlement of BH-03</t>
  </si>
  <si>
    <t xml:space="preserve">Figure 6. Settlement per sub-layer - BH-03</t>
  </si>
  <si>
    <t xml:space="preserve">BH-04 (Wellpad D)</t>
  </si>
  <si>
    <t xml:space="preserve">Table 1. Soil parameters of BH-04 (sub-layers = SPT intervals)</t>
  </si>
  <si>
    <t xml:space="preserve">data copied from BH-01; LL/PL/e0 = borehole average</t>
  </si>
  <si>
    <t xml:space="preserve">data copied from BH-01</t>
  </si>
  <si>
    <t xml:space="preserve">Below 25 m the SPT data of BH-01 are used (BH-04 drilled to 25 m only).</t>
  </si>
  <si>
    <t xml:space="preserve">Table 2. Immediate settlement of BH-04</t>
  </si>
  <si>
    <t xml:space="preserve">Table 3. Consolidation settlement of BH-04</t>
  </si>
  <si>
    <t xml:space="preserve">Figure 6. Settlement per sub-layer - BH-04</t>
  </si>
  <si>
    <t xml:space="preserve">BH-05 (Wellpad A)</t>
  </si>
  <si>
    <t xml:space="preserve">Table 1. Soil parameters of BH-05 (sub-layers = SPT intervals)</t>
  </si>
  <si>
    <t xml:space="preserve">Below 25 m the SPT data of BH-02 are used (BH-05 drilled to 25 m only).</t>
  </si>
  <si>
    <t xml:space="preserve">Table 2. Immediate settlement of BH-05</t>
  </si>
  <si>
    <t xml:space="preserve">Table 3. Consolidation settlement of BH-05</t>
  </si>
  <si>
    <t xml:space="preserve">Figure 6. Settlement per sub-layer - BH-05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</si>
</sst>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dd\-mm\-yyyy"/>
    <numFmt numFmtId="166" formatCode="0.00"/>
    <numFmt numFmtId="167" formatCode="0.0"/>
    <numFmt numFmtId="168" formatCode="0.000"/>
    <numFmt numFmtId="169" formatCode="0"/>
    <numFmt numFmtId="170" formatCode="0.0E+00"/>
    <numFmt numFmtId="171" formatCode="@"/>
    <numFmt numFmtId="172" formatCode="#,##0"/>
    <numFmt numFmtId="173" formatCode="0;\-0;\-"/>
    <numFmt numFmtId="174" formatCode="General"/>
    <numFmt numFmtId="175" formatCode="0.000;\-0;\-"/>
    <numFmt numFmtId="176" formatCode="0.0;\-0;\-"/>
    <numFmt numFmtId="177" formatCode="0.00;\-0;\-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.5"/>
      <name val="Proxima Nova Lt"/>
      <family val="3"/>
      <charset val="1"/>
    </font>
    <font>
      <i val="true"/>
      <sz val="9.5"/>
      <name val="Proxima Nova Lt"/>
      <family val="3"/>
      <charset val="1"/>
    </font>
    <font>
      <sz val="10.5"/>
      <name val="Proxima Nova Lt"/>
      <family val="3"/>
      <charset val="1"/>
    </font>
    <font>
      <i val="true"/>
      <sz val="10.5"/>
      <name val="Proxima Nova Lt"/>
      <family val="3"/>
      <charset val="1"/>
    </font>
    <font>
      <b val="true"/>
      <sz val="10.5"/>
      <color rgb="FF002060"/>
      <name val="Proxima Nova Lt"/>
      <family val="3"/>
      <charset val="1"/>
    </font>
    <font>
      <b val="true"/>
      <sz val="9"/>
      <color rgb="FF002060"/>
      <name val="Proxima Nova Lt"/>
      <family val="3"/>
      <charset val="1"/>
    </font>
    <font>
      <b val="true"/>
      <sz val="9"/>
      <name val="Proxima Nova Lt"/>
      <family val="3"/>
      <charset val="1"/>
    </font>
    <font>
      <sz val="9"/>
      <name val="Proxima Nova Lt"/>
      <family val="3"/>
      <charset val="1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CFFFF"/>
        <bgColor rgb="FFCCFFFF"/>
      </patternFill>
    </fill>
    <fill>
      <patternFill patternType="solid">
        <fgColor rgb="FFFFFFCC"/>
        <bgColor rgb="FFFFFFFF"/>
      </patternFill>
    </fill>
  </fills>
  <borders count="17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double"/>
      <diagonal/>
    </border>
    <border diagonalUp="false" diagonalDown="false">
      <left/>
      <right/>
      <top/>
      <bottom style="double"/>
      <diagonal/>
    </border>
    <border diagonalUp="false" diagonalDown="false">
      <left style="thin"/>
      <right style="thin"/>
      <top style="thin"/>
      <bottom style="double"/>
      <diagonal/>
    </border>
    <border diagonalUp="false" diagonalDown="false">
      <left/>
      <right style="medium"/>
      <top/>
      <bottom style="double"/>
      <diagonal/>
    </border>
    <border diagonalUp="false" diagonalDown="false">
      <left style="thin"/>
      <right style="thin"/>
      <top style="hair"/>
      <bottom style="hair"/>
      <diagonal/>
    </border>
    <border diagonalUp="false" diagonalDown="false">
      <left style="thin"/>
      <right style="thin"/>
      <top style="hair"/>
      <bottom style="medium"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2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6" fillId="2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6" fillId="2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6" fillId="2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6" fillId="2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6" fillId="2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6" fillId="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6" fillId="2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6" fillId="2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6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6" fillId="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6" fillId="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6" fillId="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9" fillId="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6" fillId="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6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6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6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6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6" fillId="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6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6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6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5" fontId="6" fillId="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6" fontId="6" fillId="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7" fontId="6" fillId="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5" fontId="6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6" fontId="6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7" fontId="6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0072B2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E69F00"/>
      <rgbColor rgb="FFFF6600"/>
      <rgbColor rgb="FF666699"/>
      <rgbColor rgb="FF969696"/>
      <rgbColor rgb="FF002060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0986"/>
          <c:y val="0.06535"/>
          <c:w val="0.8636"/>
          <c:h val="0.915"/>
        </c:manualLayout>
      </c:layout>
      <c:scatterChart>
        <c:scatterStyle val="lineMarker"/>
        <c:varyColors val="0"/>
        <c:ser>
          <c:idx val="0"/>
          <c:order val="0"/>
          <c:tx>
            <c:strRef>
              <c:f>"Immediate Si"</c:f>
              <c:strCache>
                <c:ptCount val="1"/>
                <c:pt idx="0">
                  <c:v>Immediate Si</c:v>
                </c:pt>
              </c:strCache>
            </c:strRef>
          </c:tx>
          <c:spPr>
            <a:solidFill>
              <a:srgbClr val="0072b2"/>
            </a:solidFill>
            <a:ln w="19080">
              <a:solidFill>
                <a:srgbClr val="0072b2"/>
              </a:solidFill>
              <a:round/>
            </a:ln>
          </c:spPr>
          <c:marker>
            <c:symbol val="circle"/>
            <c:size val="6"/>
            <c:spPr>
              <a:solidFill>
                <a:srgbClr val="0072b2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'BH-01'!$BG$83:$BG$123</c:f>
              <c:numCache>
                <c:formatCode>General</c:formatCode>
                <c:ptCount val="41"/>
                <c:pt idx="0">
                  <c:v>0.224111382245126</c:v>
                </c:pt>
                <c:pt idx="1">
                  <c:v>1.00534423022902</c:v>
                </c:pt>
                <c:pt idx="2">
                  <c:v>10.1082699654841</c:v>
                </c:pt>
                <c:pt idx="3">
                  <c:v>0.150058941287856</c:v>
                </c:pt>
                <c:pt idx="4">
                  <c:v>0.488910092288526</c:v>
                </c:pt>
                <c:pt idx="5">
                  <c:v>3.39143562628873</c:v>
                </c:pt>
                <c:pt idx="6">
                  <c:v>3.5835260880634</c:v>
                </c:pt>
                <c:pt idx="7">
                  <c:v>9.59213888004789</c:v>
                </c:pt>
                <c:pt idx="8">
                  <c:v>7.48553977752651</c:v>
                </c:pt>
                <c:pt idx="9">
                  <c:v>7.19424650364924</c:v>
                </c:pt>
                <c:pt idx="10">
                  <c:v>6.91678142991971</c:v>
                </c:pt>
                <c:pt idx="11">
                  <c:v>11.0851517849832</c:v>
                </c:pt>
                <c:pt idx="12">
                  <c:v>3.19788370019766</c:v>
                </c:pt>
                <c:pt idx="13">
                  <c:v>2.76116187288831</c:v>
                </c:pt>
                <c:pt idx="14">
                  <c:v>2.77536754201417</c:v>
                </c:pt>
                <c:pt idx="15">
                  <c:v>0.862230622456717</c:v>
                </c:pt>
                <c:pt idx="16">
                  <c:v>1.94920757539841</c:v>
                </c:pt>
                <c:pt idx="17">
                  <c:v>1.89897789865368</c:v>
                </c:pt>
                <c:pt idx="18">
                  <c:v>6.48720988598545</c:v>
                </c:pt>
                <c:pt idx="19">
                  <c:v>0.859466034660599</c:v>
                </c:pt>
                <c:pt idx="20">
                  <c:v>0.835138466783045</c:v>
                </c:pt>
                <c:pt idx="21">
                  <c:v>0.842993144568987</c:v>
                </c:pt>
                <c:pt idx="22">
                  <c:v>0.848848585801754</c:v>
                </c:pt>
                <c:pt idx="23">
                  <c:v>0.852892174370052</c:v>
                </c:pt>
                <c:pt idx="24">
                  <c:v>2.62135903731908</c:v>
                </c:pt>
                <c:pt idx="25">
                  <c:v>0.856237528706172</c:v>
                </c:pt>
                <c:pt idx="26">
                  <c:v>0.85585656360535</c:v>
                </c:pt>
                <c:pt idx="27">
                  <c:v>0.85429804739342</c:v>
                </c:pt>
                <c:pt idx="28">
                  <c:v>0.851690974855866</c:v>
                </c:pt>
                <c:pt idx="29">
                  <c:v>0.848153134937447</c:v>
                </c:pt>
                <c:pt idx="30">
                  <c:v>1.2784722666513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xVal>
          <c:yVal>
            <c:numRef>
              <c:f>'BH-01'!$AL$83:$AL$123</c:f>
              <c:numCache>
                <c:formatCode>General</c:formatCode>
                <c:ptCount val="41"/>
                <c:pt idx="0">
                  <c:v>0.75</c:v>
                </c:pt>
                <c:pt idx="1">
                  <c:v>2.25</c:v>
                </c:pt>
                <c:pt idx="2">
                  <c:v>4.25</c:v>
                </c:pt>
                <c:pt idx="3">
                  <c:v>5.75</c:v>
                </c:pt>
                <c:pt idx="4">
                  <c:v>6.75</c:v>
                </c:pt>
                <c:pt idx="5">
                  <c:v>8.25</c:v>
                </c:pt>
                <c:pt idx="6">
                  <c:v>9.75</c:v>
                </c:pt>
                <c:pt idx="7">
                  <c:v>11.25</c:v>
                </c:pt>
                <c:pt idx="8">
                  <c:v>12.75</c:v>
                </c:pt>
                <c:pt idx="9">
                  <c:v>14.25</c:v>
                </c:pt>
                <c:pt idx="10">
                  <c:v>15.75</c:v>
                </c:pt>
                <c:pt idx="11">
                  <c:v>17.25</c:v>
                </c:pt>
                <c:pt idx="12">
                  <c:v>18.75</c:v>
                </c:pt>
                <c:pt idx="13">
                  <c:v>20.25</c:v>
                </c:pt>
                <c:pt idx="14">
                  <c:v>21.75</c:v>
                </c:pt>
                <c:pt idx="15">
                  <c:v>23.25</c:v>
                </c:pt>
                <c:pt idx="16">
                  <c:v>24.75</c:v>
                </c:pt>
                <c:pt idx="17">
                  <c:v>26.25</c:v>
                </c:pt>
                <c:pt idx="18">
                  <c:v>27.75</c:v>
                </c:pt>
                <c:pt idx="19">
                  <c:v>29.25</c:v>
                </c:pt>
                <c:pt idx="20">
                  <c:v>30.75</c:v>
                </c:pt>
                <c:pt idx="21">
                  <c:v>32.25</c:v>
                </c:pt>
                <c:pt idx="22">
                  <c:v>33.75</c:v>
                </c:pt>
                <c:pt idx="23">
                  <c:v>35.25</c:v>
                </c:pt>
                <c:pt idx="24">
                  <c:v>36.75</c:v>
                </c:pt>
                <c:pt idx="25">
                  <c:v>38.25</c:v>
                </c:pt>
                <c:pt idx="26">
                  <c:v>39.75</c:v>
                </c:pt>
                <c:pt idx="27">
                  <c:v>41.25</c:v>
                </c:pt>
                <c:pt idx="28">
                  <c:v>42.75</c:v>
                </c:pt>
                <c:pt idx="29">
                  <c:v>44.25</c:v>
                </c:pt>
                <c:pt idx="30">
                  <c:v>45.75</c:v>
                </c:pt>
                <c:pt idx="31">
                  <c:v>47.25</c:v>
                </c:pt>
                <c:pt idx="32">
                  <c:v>48.75</c:v>
                </c:pt>
                <c:pt idx="33">
                  <c:v>50.25</c:v>
                </c:pt>
                <c:pt idx="34">
                  <c:v>51.75</c:v>
                </c:pt>
                <c:pt idx="35">
                  <c:v>53.25</c:v>
                </c:pt>
                <c:pt idx="36">
                  <c:v>54.75</c:v>
                </c:pt>
                <c:pt idx="37">
                  <c:v>56.25</c:v>
                </c:pt>
                <c:pt idx="38">
                  <c:v>57.75</c:v>
                </c:pt>
                <c:pt idx="39">
                  <c:v>59</c:v>
                </c:pt>
                <c:pt idx="40">
                  <c:v>59.75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"Consolidation Sc"</c:f>
              <c:strCache>
                <c:ptCount val="1"/>
                <c:pt idx="0">
                  <c:v>Consolidation Sc</c:v>
                </c:pt>
              </c:strCache>
            </c:strRef>
          </c:tx>
          <c:spPr>
            <a:solidFill>
              <a:srgbClr val="e69f00"/>
            </a:solidFill>
            <a:ln w="19080">
              <a:solidFill>
                <a:srgbClr val="e69f00"/>
              </a:solidFill>
              <a:round/>
            </a:ln>
          </c:spPr>
          <c:marker>
            <c:symbol val="square"/>
            <c:size val="6"/>
            <c:spPr>
              <a:solidFill>
                <a:srgbClr val="e69f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'BH-01'!$BK$83:$BK$123</c:f>
              <c:numCache>
                <c:formatCode>General</c:formatCode>
                <c:ptCount val="41"/>
                <c:pt idx="0">
                  <c:v>32.0798407775112</c:v>
                </c:pt>
                <c:pt idx="1">
                  <c:v>38.1717991723256</c:v>
                </c:pt>
                <c:pt idx="2">
                  <c:v>0</c:v>
                </c:pt>
                <c:pt idx="3">
                  <c:v>3.86120140069547</c:v>
                </c:pt>
                <c:pt idx="4">
                  <c:v>10.3660284680933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5.41085109146116</c:v>
                </c:pt>
                <c:pt idx="16">
                  <c:v>5.57462685537548</c:v>
                </c:pt>
                <c:pt idx="17">
                  <c:v>5.37218554863442</c:v>
                </c:pt>
                <c:pt idx="18">
                  <c:v>0</c:v>
                </c:pt>
                <c:pt idx="19">
                  <c:v>5.57435020252448</c:v>
                </c:pt>
                <c:pt idx="20">
                  <c:v>3.88564179437504</c:v>
                </c:pt>
                <c:pt idx="21">
                  <c:v>3.7104009300102</c:v>
                </c:pt>
                <c:pt idx="22">
                  <c:v>3.54485202413246</c:v>
                </c:pt>
                <c:pt idx="23">
                  <c:v>2.95203858891761</c:v>
                </c:pt>
                <c:pt idx="24">
                  <c:v>0</c:v>
                </c:pt>
                <c:pt idx="25">
                  <c:v>4.31205695108541</c:v>
                </c:pt>
                <c:pt idx="26">
                  <c:v>2.96730868403779</c:v>
                </c:pt>
                <c:pt idx="27">
                  <c:v>3.54817023466543</c:v>
                </c:pt>
                <c:pt idx="28">
                  <c:v>2.72217542131021</c:v>
                </c:pt>
                <c:pt idx="29">
                  <c:v>2.63226664779274</c:v>
                </c:pt>
                <c:pt idx="30">
                  <c:v>2.50160083605425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xVal>
          <c:yVal>
            <c:numRef>
              <c:f>'BH-01'!$AL$83:$AL$123</c:f>
              <c:numCache>
                <c:formatCode>General</c:formatCode>
                <c:ptCount val="41"/>
                <c:pt idx="0">
                  <c:v>0.75</c:v>
                </c:pt>
                <c:pt idx="1">
                  <c:v>2.25</c:v>
                </c:pt>
                <c:pt idx="2">
                  <c:v>4.25</c:v>
                </c:pt>
                <c:pt idx="3">
                  <c:v>5.75</c:v>
                </c:pt>
                <c:pt idx="4">
                  <c:v>6.75</c:v>
                </c:pt>
                <c:pt idx="5">
                  <c:v>8.25</c:v>
                </c:pt>
                <c:pt idx="6">
                  <c:v>9.75</c:v>
                </c:pt>
                <c:pt idx="7">
                  <c:v>11.25</c:v>
                </c:pt>
                <c:pt idx="8">
                  <c:v>12.75</c:v>
                </c:pt>
                <c:pt idx="9">
                  <c:v>14.25</c:v>
                </c:pt>
                <c:pt idx="10">
                  <c:v>15.75</c:v>
                </c:pt>
                <c:pt idx="11">
                  <c:v>17.25</c:v>
                </c:pt>
                <c:pt idx="12">
                  <c:v>18.75</c:v>
                </c:pt>
                <c:pt idx="13">
                  <c:v>20.25</c:v>
                </c:pt>
                <c:pt idx="14">
                  <c:v>21.75</c:v>
                </c:pt>
                <c:pt idx="15">
                  <c:v>23.25</c:v>
                </c:pt>
                <c:pt idx="16">
                  <c:v>24.75</c:v>
                </c:pt>
                <c:pt idx="17">
                  <c:v>26.25</c:v>
                </c:pt>
                <c:pt idx="18">
                  <c:v>27.75</c:v>
                </c:pt>
                <c:pt idx="19">
                  <c:v>29.25</c:v>
                </c:pt>
                <c:pt idx="20">
                  <c:v>30.75</c:v>
                </c:pt>
                <c:pt idx="21">
                  <c:v>32.25</c:v>
                </c:pt>
                <c:pt idx="22">
                  <c:v>33.75</c:v>
                </c:pt>
                <c:pt idx="23">
                  <c:v>35.25</c:v>
                </c:pt>
                <c:pt idx="24">
                  <c:v>36.75</c:v>
                </c:pt>
                <c:pt idx="25">
                  <c:v>38.25</c:v>
                </c:pt>
                <c:pt idx="26">
                  <c:v>39.75</c:v>
                </c:pt>
                <c:pt idx="27">
                  <c:v>41.25</c:v>
                </c:pt>
                <c:pt idx="28">
                  <c:v>42.75</c:v>
                </c:pt>
                <c:pt idx="29">
                  <c:v>44.25</c:v>
                </c:pt>
                <c:pt idx="30">
                  <c:v>45.75</c:v>
                </c:pt>
                <c:pt idx="31">
                  <c:v>47.25</c:v>
                </c:pt>
                <c:pt idx="32">
                  <c:v>48.75</c:v>
                </c:pt>
                <c:pt idx="33">
                  <c:v>50.25</c:v>
                </c:pt>
                <c:pt idx="34">
                  <c:v>51.75</c:v>
                </c:pt>
                <c:pt idx="35">
                  <c:v>53.25</c:v>
                </c:pt>
                <c:pt idx="36">
                  <c:v>54.75</c:v>
                </c:pt>
                <c:pt idx="37">
                  <c:v>56.25</c:v>
                </c:pt>
                <c:pt idx="38">
                  <c:v>57.75</c:v>
                </c:pt>
                <c:pt idx="39">
                  <c:v>59</c:v>
                </c:pt>
                <c:pt idx="40">
                  <c:v>59.75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"Total S = Si + Sc"</c:f>
              <c:strCache>
                <c:ptCount val="1"/>
                <c:pt idx="0">
                  <c:v>Total S = Si + Sc</c:v>
                </c:pt>
              </c:strCache>
            </c:strRef>
          </c:tx>
          <c:spPr>
            <a:solidFill>
              <a:srgbClr val="c00000"/>
            </a:solidFill>
            <a:ln w="28440">
              <a:solidFill>
                <a:srgbClr val="c00000"/>
              </a:solidFill>
              <a:round/>
            </a:ln>
          </c:spPr>
          <c:marker>
            <c:symbol val="triangle"/>
            <c:size val="6"/>
            <c:spPr>
              <a:solidFill>
                <a:srgbClr val="c0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'BH-01'!$BP$83:$BP$123</c:f>
              <c:numCache>
                <c:formatCode>General</c:formatCode>
                <c:ptCount val="41"/>
                <c:pt idx="0">
                  <c:v>32.3039521597563</c:v>
                </c:pt>
                <c:pt idx="1">
                  <c:v>39.1771434025546</c:v>
                </c:pt>
                <c:pt idx="2">
                  <c:v>10.1082699654841</c:v>
                </c:pt>
                <c:pt idx="3">
                  <c:v>4.01126034198332</c:v>
                </c:pt>
                <c:pt idx="4">
                  <c:v>10.8549385603818</c:v>
                </c:pt>
                <c:pt idx="5">
                  <c:v>3.39143562628873</c:v>
                </c:pt>
                <c:pt idx="6">
                  <c:v>3.5835260880634</c:v>
                </c:pt>
                <c:pt idx="7">
                  <c:v>9.59213888004789</c:v>
                </c:pt>
                <c:pt idx="8">
                  <c:v>7.48553977752651</c:v>
                </c:pt>
                <c:pt idx="9">
                  <c:v>7.19424650364924</c:v>
                </c:pt>
                <c:pt idx="10">
                  <c:v>6.91678142991971</c:v>
                </c:pt>
                <c:pt idx="11">
                  <c:v>11.0851517849832</c:v>
                </c:pt>
                <c:pt idx="12">
                  <c:v>3.19788370019766</c:v>
                </c:pt>
                <c:pt idx="13">
                  <c:v>2.76116187288831</c:v>
                </c:pt>
                <c:pt idx="14">
                  <c:v>2.77536754201417</c:v>
                </c:pt>
                <c:pt idx="15">
                  <c:v>6.27308171391788</c:v>
                </c:pt>
                <c:pt idx="16">
                  <c:v>7.52383443077388</c:v>
                </c:pt>
                <c:pt idx="17">
                  <c:v>7.2711634472881</c:v>
                </c:pt>
                <c:pt idx="18">
                  <c:v>6.48720988598545</c:v>
                </c:pt>
                <c:pt idx="19">
                  <c:v>6.43381623718507</c:v>
                </c:pt>
                <c:pt idx="20">
                  <c:v>4.72078026115808</c:v>
                </c:pt>
                <c:pt idx="21">
                  <c:v>4.55339407457919</c:v>
                </c:pt>
                <c:pt idx="22">
                  <c:v>4.39370060993421</c:v>
                </c:pt>
                <c:pt idx="23">
                  <c:v>3.80493076328766</c:v>
                </c:pt>
                <c:pt idx="24">
                  <c:v>2.62135903731908</c:v>
                </c:pt>
                <c:pt idx="25">
                  <c:v>5.16829447979158</c:v>
                </c:pt>
                <c:pt idx="26">
                  <c:v>3.82316524764314</c:v>
                </c:pt>
                <c:pt idx="27">
                  <c:v>4.40246828205885</c:v>
                </c:pt>
                <c:pt idx="28">
                  <c:v>3.57386639616607</c:v>
                </c:pt>
                <c:pt idx="29">
                  <c:v>3.48041978273019</c:v>
                </c:pt>
                <c:pt idx="30">
                  <c:v>3.78007310270555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xVal>
          <c:yVal>
            <c:numRef>
              <c:f>'BH-01'!$AL$83:$AL$123</c:f>
              <c:numCache>
                <c:formatCode>General</c:formatCode>
                <c:ptCount val="41"/>
                <c:pt idx="0">
                  <c:v>0.75</c:v>
                </c:pt>
                <c:pt idx="1">
                  <c:v>2.25</c:v>
                </c:pt>
                <c:pt idx="2">
                  <c:v>4.25</c:v>
                </c:pt>
                <c:pt idx="3">
                  <c:v>5.75</c:v>
                </c:pt>
                <c:pt idx="4">
                  <c:v>6.75</c:v>
                </c:pt>
                <c:pt idx="5">
                  <c:v>8.25</c:v>
                </c:pt>
                <c:pt idx="6">
                  <c:v>9.75</c:v>
                </c:pt>
                <c:pt idx="7">
                  <c:v>11.25</c:v>
                </c:pt>
                <c:pt idx="8">
                  <c:v>12.75</c:v>
                </c:pt>
                <c:pt idx="9">
                  <c:v>14.25</c:v>
                </c:pt>
                <c:pt idx="10">
                  <c:v>15.75</c:v>
                </c:pt>
                <c:pt idx="11">
                  <c:v>17.25</c:v>
                </c:pt>
                <c:pt idx="12">
                  <c:v>18.75</c:v>
                </c:pt>
                <c:pt idx="13">
                  <c:v>20.25</c:v>
                </c:pt>
                <c:pt idx="14">
                  <c:v>21.75</c:v>
                </c:pt>
                <c:pt idx="15">
                  <c:v>23.25</c:v>
                </c:pt>
                <c:pt idx="16">
                  <c:v>24.75</c:v>
                </c:pt>
                <c:pt idx="17">
                  <c:v>26.25</c:v>
                </c:pt>
                <c:pt idx="18">
                  <c:v>27.75</c:v>
                </c:pt>
                <c:pt idx="19">
                  <c:v>29.25</c:v>
                </c:pt>
                <c:pt idx="20">
                  <c:v>30.75</c:v>
                </c:pt>
                <c:pt idx="21">
                  <c:v>32.25</c:v>
                </c:pt>
                <c:pt idx="22">
                  <c:v>33.75</c:v>
                </c:pt>
                <c:pt idx="23">
                  <c:v>35.25</c:v>
                </c:pt>
                <c:pt idx="24">
                  <c:v>36.75</c:v>
                </c:pt>
                <c:pt idx="25">
                  <c:v>38.25</c:v>
                </c:pt>
                <c:pt idx="26">
                  <c:v>39.75</c:v>
                </c:pt>
                <c:pt idx="27">
                  <c:v>41.25</c:v>
                </c:pt>
                <c:pt idx="28">
                  <c:v>42.75</c:v>
                </c:pt>
                <c:pt idx="29">
                  <c:v>44.25</c:v>
                </c:pt>
                <c:pt idx="30">
                  <c:v>45.75</c:v>
                </c:pt>
                <c:pt idx="31">
                  <c:v>47.25</c:v>
                </c:pt>
                <c:pt idx="32">
                  <c:v>48.75</c:v>
                </c:pt>
                <c:pt idx="33">
                  <c:v>50.25</c:v>
                </c:pt>
                <c:pt idx="34">
                  <c:v>51.75</c:v>
                </c:pt>
                <c:pt idx="35">
                  <c:v>53.25</c:v>
                </c:pt>
                <c:pt idx="36">
                  <c:v>54.75</c:v>
                </c:pt>
                <c:pt idx="37">
                  <c:v>56.25</c:v>
                </c:pt>
                <c:pt idx="38">
                  <c:v>57.75</c:v>
                </c:pt>
                <c:pt idx="39">
                  <c:v>59</c:v>
                </c:pt>
                <c:pt idx="40">
                  <c:v>59.75</c:v>
                </c:pt>
              </c:numCache>
            </c:numRef>
          </c:yVal>
          <c:smooth val="0"/>
        </c:ser>
        <c:axId val="29354685"/>
        <c:axId val="61444753"/>
      </c:scatterChart>
      <c:valAx>
        <c:axId val="29354685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lang="id-ID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id-ID" sz="1000" spc="-1" strike="noStrike">
                    <a:solidFill>
                      <a:srgbClr val="000000"/>
                    </a:solidFill>
                    <a:latin typeface="Calibri"/>
                  </a:rPr>
                  <a:t>Settlement per sub-layer (mm)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1444753"/>
        <c:crosses val="autoZero"/>
        <c:crossBetween val="midCat"/>
      </c:valAx>
      <c:valAx>
        <c:axId val="61444753"/>
        <c:scaling>
          <c:orientation val="maxMin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lang="id-ID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id-ID" sz="1000" spc="-1" strike="noStrike">
                    <a:solidFill>
                      <a:srgbClr val="000000"/>
                    </a:solidFill>
                    <a:latin typeface="Calibri"/>
                  </a:rPr>
                  <a:t>Depth (m)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9354685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1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0774"/>
          <c:y val="0.0671"/>
          <c:w val="0.884733333333333"/>
          <c:h val="0.91325"/>
        </c:manualLayout>
      </c:layout>
      <c:scatterChart>
        <c:scatterStyle val="lineMarker"/>
        <c:varyColors val="0"/>
        <c:ser>
          <c:idx val="0"/>
          <c:order val="0"/>
          <c:tx>
            <c:strRef>
              <c:f>"Immediate Si"</c:f>
              <c:strCache>
                <c:ptCount val="1"/>
                <c:pt idx="0">
                  <c:v>Immediate Si</c:v>
                </c:pt>
              </c:strCache>
            </c:strRef>
          </c:tx>
          <c:spPr>
            <a:solidFill>
              <a:srgbClr val="0072b2"/>
            </a:solidFill>
            <a:ln w="19080">
              <a:solidFill>
                <a:srgbClr val="0072b2"/>
              </a:solidFill>
              <a:round/>
            </a:ln>
          </c:spPr>
          <c:marker>
            <c:symbol val="circle"/>
            <c:size val="6"/>
            <c:spPr>
              <a:solidFill>
                <a:srgbClr val="0072b2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'BH-02'!$BG$83:$BG$123</c:f>
              <c:numCache>
                <c:formatCode>General</c:formatCode>
                <c:ptCount val="41"/>
                <c:pt idx="0">
                  <c:v>1.99934114215323</c:v>
                </c:pt>
                <c:pt idx="1">
                  <c:v>2.07947068766506</c:v>
                </c:pt>
                <c:pt idx="2">
                  <c:v>2.15797721925499</c:v>
                </c:pt>
                <c:pt idx="3">
                  <c:v>2.72419437232101</c:v>
                </c:pt>
                <c:pt idx="4">
                  <c:v>2.30612248130691</c:v>
                </c:pt>
                <c:pt idx="5">
                  <c:v>4.56539411231175</c:v>
                </c:pt>
                <c:pt idx="6">
                  <c:v>8.1226591329437</c:v>
                </c:pt>
                <c:pt idx="7">
                  <c:v>4.9879122176249</c:v>
                </c:pt>
                <c:pt idx="8">
                  <c:v>6.36270881089754</c:v>
                </c:pt>
                <c:pt idx="9">
                  <c:v>2.75524334182311</c:v>
                </c:pt>
                <c:pt idx="10">
                  <c:v>10.9515705973729</c:v>
                </c:pt>
                <c:pt idx="11">
                  <c:v>5.7835574530347</c:v>
                </c:pt>
                <c:pt idx="12">
                  <c:v>4.47703718027672</c:v>
                </c:pt>
                <c:pt idx="13">
                  <c:v>5.01099747301952</c:v>
                </c:pt>
                <c:pt idx="14">
                  <c:v>4.85689319852479</c:v>
                </c:pt>
                <c:pt idx="15">
                  <c:v>5.68398941845496</c:v>
                </c:pt>
                <c:pt idx="16">
                  <c:v>3.10416788896103</c:v>
                </c:pt>
                <c:pt idx="17">
                  <c:v>6.50072902825465</c:v>
                </c:pt>
                <c:pt idx="18">
                  <c:v>4.39456153566757</c:v>
                </c:pt>
                <c:pt idx="19">
                  <c:v>2.71503172231372</c:v>
                </c:pt>
                <c:pt idx="20">
                  <c:v>3.37738394955323</c:v>
                </c:pt>
                <c:pt idx="21">
                  <c:v>3.12282642634641</c:v>
                </c:pt>
                <c:pt idx="22">
                  <c:v>5.12800043661121</c:v>
                </c:pt>
                <c:pt idx="23">
                  <c:v>2.49531319528265</c:v>
                </c:pt>
                <c:pt idx="24">
                  <c:v>2.42718429381396</c:v>
                </c:pt>
                <c:pt idx="25">
                  <c:v>2.59583026334049</c:v>
                </c:pt>
                <c:pt idx="26">
                  <c:v>2.56871031205885</c:v>
                </c:pt>
                <c:pt idx="27">
                  <c:v>3.43275685371848</c:v>
                </c:pt>
                <c:pt idx="28">
                  <c:v>2.51063756754944</c:v>
                </c:pt>
                <c:pt idx="29">
                  <c:v>2.48009914347766</c:v>
                </c:pt>
                <c:pt idx="30">
                  <c:v>2.44880082658623</c:v>
                </c:pt>
                <c:pt idx="31">
                  <c:v>2.41689979101431</c:v>
                </c:pt>
                <c:pt idx="32">
                  <c:v>4.41580714624181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xVal>
          <c:yVal>
            <c:numRef>
              <c:f>'BH-02'!$AL$83:$AL$123</c:f>
              <c:numCache>
                <c:formatCode>General</c:formatCode>
                <c:ptCount val="41"/>
                <c:pt idx="0">
                  <c:v>0.75</c:v>
                </c:pt>
                <c:pt idx="1">
                  <c:v>2.25</c:v>
                </c:pt>
                <c:pt idx="2">
                  <c:v>3.75</c:v>
                </c:pt>
                <c:pt idx="3">
                  <c:v>5.25</c:v>
                </c:pt>
                <c:pt idx="4">
                  <c:v>6.75</c:v>
                </c:pt>
                <c:pt idx="5">
                  <c:v>8.25</c:v>
                </c:pt>
                <c:pt idx="6">
                  <c:v>9.75</c:v>
                </c:pt>
                <c:pt idx="7">
                  <c:v>11.25</c:v>
                </c:pt>
                <c:pt idx="8">
                  <c:v>12.75</c:v>
                </c:pt>
                <c:pt idx="9">
                  <c:v>14.25</c:v>
                </c:pt>
                <c:pt idx="10">
                  <c:v>15.75</c:v>
                </c:pt>
                <c:pt idx="11">
                  <c:v>17.25</c:v>
                </c:pt>
                <c:pt idx="12">
                  <c:v>18.75</c:v>
                </c:pt>
                <c:pt idx="13">
                  <c:v>20.25</c:v>
                </c:pt>
                <c:pt idx="14">
                  <c:v>21.75</c:v>
                </c:pt>
                <c:pt idx="15">
                  <c:v>23.25</c:v>
                </c:pt>
                <c:pt idx="16">
                  <c:v>24.75</c:v>
                </c:pt>
                <c:pt idx="17">
                  <c:v>26.25</c:v>
                </c:pt>
                <c:pt idx="18">
                  <c:v>27.75</c:v>
                </c:pt>
                <c:pt idx="19">
                  <c:v>29.25</c:v>
                </c:pt>
                <c:pt idx="20">
                  <c:v>30.75</c:v>
                </c:pt>
                <c:pt idx="21">
                  <c:v>32.25</c:v>
                </c:pt>
                <c:pt idx="22">
                  <c:v>33.75</c:v>
                </c:pt>
                <c:pt idx="23">
                  <c:v>35.25</c:v>
                </c:pt>
                <c:pt idx="24">
                  <c:v>36.75</c:v>
                </c:pt>
                <c:pt idx="25">
                  <c:v>38.25</c:v>
                </c:pt>
                <c:pt idx="26">
                  <c:v>39.75</c:v>
                </c:pt>
                <c:pt idx="27">
                  <c:v>41.25</c:v>
                </c:pt>
                <c:pt idx="28">
                  <c:v>42.75</c:v>
                </c:pt>
                <c:pt idx="29">
                  <c:v>44.25</c:v>
                </c:pt>
                <c:pt idx="30">
                  <c:v>45.75</c:v>
                </c:pt>
                <c:pt idx="31">
                  <c:v>47.25</c:v>
                </c:pt>
                <c:pt idx="32">
                  <c:v>48.75</c:v>
                </c:pt>
                <c:pt idx="33">
                  <c:v>50.25</c:v>
                </c:pt>
                <c:pt idx="34">
                  <c:v>51.75</c:v>
                </c:pt>
                <c:pt idx="35">
                  <c:v>53.25</c:v>
                </c:pt>
                <c:pt idx="36">
                  <c:v>54.75</c:v>
                </c:pt>
                <c:pt idx="37">
                  <c:v>56.25</c:v>
                </c:pt>
                <c:pt idx="38">
                  <c:v>57.75</c:v>
                </c:pt>
                <c:pt idx="39">
                  <c:v>59</c:v>
                </c:pt>
                <c:pt idx="40">
                  <c:v>59.75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"Consolidation Sc"</c:f>
              <c:strCache>
                <c:ptCount val="1"/>
                <c:pt idx="0">
                  <c:v>Consolidation Sc</c:v>
                </c:pt>
              </c:strCache>
            </c:strRef>
          </c:tx>
          <c:spPr>
            <a:solidFill>
              <a:srgbClr val="e69f00"/>
            </a:solidFill>
            <a:ln w="19080">
              <a:solidFill>
                <a:srgbClr val="e69f00"/>
              </a:solidFill>
              <a:round/>
            </a:ln>
          </c:spPr>
          <c:marker>
            <c:symbol val="square"/>
            <c:size val="6"/>
            <c:spPr>
              <a:solidFill>
                <a:srgbClr val="e69f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'BH-02'!$BK$83:$BK$123</c:f>
              <c:numCache>
                <c:formatCode>General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xVal>
          <c:yVal>
            <c:numRef>
              <c:f>'BH-02'!$AL$83:$AL$123</c:f>
              <c:numCache>
                <c:formatCode>General</c:formatCode>
                <c:ptCount val="41"/>
                <c:pt idx="0">
                  <c:v>0.75</c:v>
                </c:pt>
                <c:pt idx="1">
                  <c:v>2.25</c:v>
                </c:pt>
                <c:pt idx="2">
                  <c:v>3.75</c:v>
                </c:pt>
                <c:pt idx="3">
                  <c:v>5.25</c:v>
                </c:pt>
                <c:pt idx="4">
                  <c:v>6.75</c:v>
                </c:pt>
                <c:pt idx="5">
                  <c:v>8.25</c:v>
                </c:pt>
                <c:pt idx="6">
                  <c:v>9.75</c:v>
                </c:pt>
                <c:pt idx="7">
                  <c:v>11.25</c:v>
                </c:pt>
                <c:pt idx="8">
                  <c:v>12.75</c:v>
                </c:pt>
                <c:pt idx="9">
                  <c:v>14.25</c:v>
                </c:pt>
                <c:pt idx="10">
                  <c:v>15.75</c:v>
                </c:pt>
                <c:pt idx="11">
                  <c:v>17.25</c:v>
                </c:pt>
                <c:pt idx="12">
                  <c:v>18.75</c:v>
                </c:pt>
                <c:pt idx="13">
                  <c:v>20.25</c:v>
                </c:pt>
                <c:pt idx="14">
                  <c:v>21.75</c:v>
                </c:pt>
                <c:pt idx="15">
                  <c:v>23.25</c:v>
                </c:pt>
                <c:pt idx="16">
                  <c:v>24.75</c:v>
                </c:pt>
                <c:pt idx="17">
                  <c:v>26.25</c:v>
                </c:pt>
                <c:pt idx="18">
                  <c:v>27.75</c:v>
                </c:pt>
                <c:pt idx="19">
                  <c:v>29.25</c:v>
                </c:pt>
                <c:pt idx="20">
                  <c:v>30.75</c:v>
                </c:pt>
                <c:pt idx="21">
                  <c:v>32.25</c:v>
                </c:pt>
                <c:pt idx="22">
                  <c:v>33.75</c:v>
                </c:pt>
                <c:pt idx="23">
                  <c:v>35.25</c:v>
                </c:pt>
                <c:pt idx="24">
                  <c:v>36.75</c:v>
                </c:pt>
                <c:pt idx="25">
                  <c:v>38.25</c:v>
                </c:pt>
                <c:pt idx="26">
                  <c:v>39.75</c:v>
                </c:pt>
                <c:pt idx="27">
                  <c:v>41.25</c:v>
                </c:pt>
                <c:pt idx="28">
                  <c:v>42.75</c:v>
                </c:pt>
                <c:pt idx="29">
                  <c:v>44.25</c:v>
                </c:pt>
                <c:pt idx="30">
                  <c:v>45.75</c:v>
                </c:pt>
                <c:pt idx="31">
                  <c:v>47.25</c:v>
                </c:pt>
                <c:pt idx="32">
                  <c:v>48.75</c:v>
                </c:pt>
                <c:pt idx="33">
                  <c:v>50.25</c:v>
                </c:pt>
                <c:pt idx="34">
                  <c:v>51.75</c:v>
                </c:pt>
                <c:pt idx="35">
                  <c:v>53.25</c:v>
                </c:pt>
                <c:pt idx="36">
                  <c:v>54.75</c:v>
                </c:pt>
                <c:pt idx="37">
                  <c:v>56.25</c:v>
                </c:pt>
                <c:pt idx="38">
                  <c:v>57.75</c:v>
                </c:pt>
                <c:pt idx="39">
                  <c:v>59</c:v>
                </c:pt>
                <c:pt idx="40">
                  <c:v>59.75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"Total S = Si + Sc"</c:f>
              <c:strCache>
                <c:ptCount val="1"/>
                <c:pt idx="0">
                  <c:v>Total S = Si + Sc</c:v>
                </c:pt>
              </c:strCache>
            </c:strRef>
          </c:tx>
          <c:spPr>
            <a:solidFill>
              <a:srgbClr val="c00000"/>
            </a:solidFill>
            <a:ln w="28440">
              <a:solidFill>
                <a:srgbClr val="c00000"/>
              </a:solidFill>
              <a:round/>
            </a:ln>
          </c:spPr>
          <c:marker>
            <c:symbol val="triangle"/>
            <c:size val="6"/>
            <c:spPr>
              <a:solidFill>
                <a:srgbClr val="c0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'BH-02'!$BP$83:$BP$123</c:f>
              <c:numCache>
                <c:formatCode>General</c:formatCode>
                <c:ptCount val="41"/>
                <c:pt idx="0">
                  <c:v>1.99934114215323</c:v>
                </c:pt>
                <c:pt idx="1">
                  <c:v>2.07947068766506</c:v>
                </c:pt>
                <c:pt idx="2">
                  <c:v>2.15797721925499</c:v>
                </c:pt>
                <c:pt idx="3">
                  <c:v>2.72419437232101</c:v>
                </c:pt>
                <c:pt idx="4">
                  <c:v>2.30612248130691</c:v>
                </c:pt>
                <c:pt idx="5">
                  <c:v>4.56539411231175</c:v>
                </c:pt>
                <c:pt idx="6">
                  <c:v>8.1226591329437</c:v>
                </c:pt>
                <c:pt idx="7">
                  <c:v>4.9879122176249</c:v>
                </c:pt>
                <c:pt idx="8">
                  <c:v>6.36270881089754</c:v>
                </c:pt>
                <c:pt idx="9">
                  <c:v>2.75524334182311</c:v>
                </c:pt>
                <c:pt idx="10">
                  <c:v>10.9515705973729</c:v>
                </c:pt>
                <c:pt idx="11">
                  <c:v>5.7835574530347</c:v>
                </c:pt>
                <c:pt idx="12">
                  <c:v>4.47703718027672</c:v>
                </c:pt>
                <c:pt idx="13">
                  <c:v>5.01099747301952</c:v>
                </c:pt>
                <c:pt idx="14">
                  <c:v>4.85689319852479</c:v>
                </c:pt>
                <c:pt idx="15">
                  <c:v>5.68398941845496</c:v>
                </c:pt>
                <c:pt idx="16">
                  <c:v>3.10416788896103</c:v>
                </c:pt>
                <c:pt idx="17">
                  <c:v>6.50072902825465</c:v>
                </c:pt>
                <c:pt idx="18">
                  <c:v>4.39456153566757</c:v>
                </c:pt>
                <c:pt idx="19">
                  <c:v>2.71503172231372</c:v>
                </c:pt>
                <c:pt idx="20">
                  <c:v>3.37738394955323</c:v>
                </c:pt>
                <c:pt idx="21">
                  <c:v>3.12282642634641</c:v>
                </c:pt>
                <c:pt idx="22">
                  <c:v>5.12800043661121</c:v>
                </c:pt>
                <c:pt idx="23">
                  <c:v>2.49531319528265</c:v>
                </c:pt>
                <c:pt idx="24">
                  <c:v>2.42718429381396</c:v>
                </c:pt>
                <c:pt idx="25">
                  <c:v>2.59583026334049</c:v>
                </c:pt>
                <c:pt idx="26">
                  <c:v>2.56871031205885</c:v>
                </c:pt>
                <c:pt idx="27">
                  <c:v>3.43275685371848</c:v>
                </c:pt>
                <c:pt idx="28">
                  <c:v>2.51063756754944</c:v>
                </c:pt>
                <c:pt idx="29">
                  <c:v>2.48009914347766</c:v>
                </c:pt>
                <c:pt idx="30">
                  <c:v>2.44880082658623</c:v>
                </c:pt>
                <c:pt idx="31">
                  <c:v>2.41689979101431</c:v>
                </c:pt>
                <c:pt idx="32">
                  <c:v>4.41580714624181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xVal>
          <c:yVal>
            <c:numRef>
              <c:f>'BH-02'!$AL$83:$AL$123</c:f>
              <c:numCache>
                <c:formatCode>General</c:formatCode>
                <c:ptCount val="41"/>
                <c:pt idx="0">
                  <c:v>0.75</c:v>
                </c:pt>
                <c:pt idx="1">
                  <c:v>2.25</c:v>
                </c:pt>
                <c:pt idx="2">
                  <c:v>3.75</c:v>
                </c:pt>
                <c:pt idx="3">
                  <c:v>5.25</c:v>
                </c:pt>
                <c:pt idx="4">
                  <c:v>6.75</c:v>
                </c:pt>
                <c:pt idx="5">
                  <c:v>8.25</c:v>
                </c:pt>
                <c:pt idx="6">
                  <c:v>9.75</c:v>
                </c:pt>
                <c:pt idx="7">
                  <c:v>11.25</c:v>
                </c:pt>
                <c:pt idx="8">
                  <c:v>12.75</c:v>
                </c:pt>
                <c:pt idx="9">
                  <c:v>14.25</c:v>
                </c:pt>
                <c:pt idx="10">
                  <c:v>15.75</c:v>
                </c:pt>
                <c:pt idx="11">
                  <c:v>17.25</c:v>
                </c:pt>
                <c:pt idx="12">
                  <c:v>18.75</c:v>
                </c:pt>
                <c:pt idx="13">
                  <c:v>20.25</c:v>
                </c:pt>
                <c:pt idx="14">
                  <c:v>21.75</c:v>
                </c:pt>
                <c:pt idx="15">
                  <c:v>23.25</c:v>
                </c:pt>
                <c:pt idx="16">
                  <c:v>24.75</c:v>
                </c:pt>
                <c:pt idx="17">
                  <c:v>26.25</c:v>
                </c:pt>
                <c:pt idx="18">
                  <c:v>27.75</c:v>
                </c:pt>
                <c:pt idx="19">
                  <c:v>29.25</c:v>
                </c:pt>
                <c:pt idx="20">
                  <c:v>30.75</c:v>
                </c:pt>
                <c:pt idx="21">
                  <c:v>32.25</c:v>
                </c:pt>
                <c:pt idx="22">
                  <c:v>33.75</c:v>
                </c:pt>
                <c:pt idx="23">
                  <c:v>35.25</c:v>
                </c:pt>
                <c:pt idx="24">
                  <c:v>36.75</c:v>
                </c:pt>
                <c:pt idx="25">
                  <c:v>38.25</c:v>
                </c:pt>
                <c:pt idx="26">
                  <c:v>39.75</c:v>
                </c:pt>
                <c:pt idx="27">
                  <c:v>41.25</c:v>
                </c:pt>
                <c:pt idx="28">
                  <c:v>42.75</c:v>
                </c:pt>
                <c:pt idx="29">
                  <c:v>44.25</c:v>
                </c:pt>
                <c:pt idx="30">
                  <c:v>45.75</c:v>
                </c:pt>
                <c:pt idx="31">
                  <c:v>47.25</c:v>
                </c:pt>
                <c:pt idx="32">
                  <c:v>48.75</c:v>
                </c:pt>
                <c:pt idx="33">
                  <c:v>50.25</c:v>
                </c:pt>
                <c:pt idx="34">
                  <c:v>51.75</c:v>
                </c:pt>
                <c:pt idx="35">
                  <c:v>53.25</c:v>
                </c:pt>
                <c:pt idx="36">
                  <c:v>54.75</c:v>
                </c:pt>
                <c:pt idx="37">
                  <c:v>56.25</c:v>
                </c:pt>
                <c:pt idx="38">
                  <c:v>57.75</c:v>
                </c:pt>
                <c:pt idx="39">
                  <c:v>59</c:v>
                </c:pt>
                <c:pt idx="40">
                  <c:v>59.75</c:v>
                </c:pt>
              </c:numCache>
            </c:numRef>
          </c:yVal>
          <c:smooth val="0"/>
        </c:ser>
        <c:axId val="43548087"/>
        <c:axId val="74929249"/>
      </c:scatterChart>
      <c:valAx>
        <c:axId val="43548087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lang="id-ID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id-ID" sz="1000" spc="-1" strike="noStrike">
                    <a:solidFill>
                      <a:srgbClr val="000000"/>
                    </a:solidFill>
                    <a:latin typeface="Calibri"/>
                  </a:rPr>
                  <a:t>Settlement per sub-layer (mm)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4929249"/>
        <c:crosses val="autoZero"/>
        <c:crossBetween val="midCat"/>
      </c:valAx>
      <c:valAx>
        <c:axId val="74929249"/>
        <c:scaling>
          <c:orientation val="maxMin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lang="id-ID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id-ID" sz="1000" spc="-1" strike="noStrike">
                    <a:solidFill>
                      <a:srgbClr val="000000"/>
                    </a:solidFill>
                    <a:latin typeface="Calibri"/>
                  </a:rPr>
                  <a:t>Depth (m)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3548087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1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0868"/>
          <c:y val="0.0689"/>
          <c:w val="0.875333333333333"/>
          <c:h val="0.9115"/>
        </c:manualLayout>
      </c:layout>
      <c:scatterChart>
        <c:scatterStyle val="lineMarker"/>
        <c:varyColors val="0"/>
        <c:ser>
          <c:idx val="0"/>
          <c:order val="0"/>
          <c:tx>
            <c:strRef>
              <c:f>"Immediate Si"</c:f>
              <c:strCache>
                <c:ptCount val="1"/>
                <c:pt idx="0">
                  <c:v>Immediate Si</c:v>
                </c:pt>
              </c:strCache>
            </c:strRef>
          </c:tx>
          <c:spPr>
            <a:solidFill>
              <a:srgbClr val="0072b2"/>
            </a:solidFill>
            <a:ln w="19080">
              <a:solidFill>
                <a:srgbClr val="0072b2"/>
              </a:solidFill>
              <a:round/>
            </a:ln>
          </c:spPr>
          <c:marker>
            <c:symbol val="circle"/>
            <c:size val="6"/>
            <c:spPr>
              <a:solidFill>
                <a:srgbClr val="0072b2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'BH-03'!$BG$83:$BG$123</c:f>
              <c:numCache>
                <c:formatCode>General</c:formatCode>
                <c:ptCount val="41"/>
                <c:pt idx="0">
                  <c:v>9.99670571076615</c:v>
                </c:pt>
                <c:pt idx="1">
                  <c:v>10.3973534383253</c:v>
                </c:pt>
                <c:pt idx="2">
                  <c:v>5.99438116459719</c:v>
                </c:pt>
                <c:pt idx="3">
                  <c:v>8.59168994347396</c:v>
                </c:pt>
                <c:pt idx="4">
                  <c:v>1.83341284608197</c:v>
                </c:pt>
                <c:pt idx="5">
                  <c:v>11.8700246920105</c:v>
                </c:pt>
                <c:pt idx="6">
                  <c:v>4.20137541359157</c:v>
                </c:pt>
                <c:pt idx="7">
                  <c:v>0.965801535610476</c:v>
                </c:pt>
                <c:pt idx="8">
                  <c:v>2.56798443784594</c:v>
                </c:pt>
                <c:pt idx="9">
                  <c:v>3.69989820187675</c:v>
                </c:pt>
                <c:pt idx="10">
                  <c:v>3.36971402996089</c:v>
                </c:pt>
                <c:pt idx="11">
                  <c:v>5.11622390076147</c:v>
                </c:pt>
                <c:pt idx="12">
                  <c:v>6.10505070037734</c:v>
                </c:pt>
                <c:pt idx="13">
                  <c:v>5.63737215714696</c:v>
                </c:pt>
                <c:pt idx="14">
                  <c:v>0.966592419947068</c:v>
                </c:pt>
                <c:pt idx="15">
                  <c:v>5.68398941845496</c:v>
                </c:pt>
                <c:pt idx="16">
                  <c:v>3.10416788896103</c:v>
                </c:pt>
                <c:pt idx="17">
                  <c:v>6.50072902825465</c:v>
                </c:pt>
                <c:pt idx="18">
                  <c:v>4.39456153566757</c:v>
                </c:pt>
                <c:pt idx="19">
                  <c:v>2.71503172231372</c:v>
                </c:pt>
                <c:pt idx="20">
                  <c:v>3.37738394955323</c:v>
                </c:pt>
                <c:pt idx="21">
                  <c:v>3.12282642634641</c:v>
                </c:pt>
                <c:pt idx="22">
                  <c:v>5.12800043661121</c:v>
                </c:pt>
                <c:pt idx="23">
                  <c:v>2.49531319528265</c:v>
                </c:pt>
                <c:pt idx="24">
                  <c:v>2.42718429381396</c:v>
                </c:pt>
                <c:pt idx="25">
                  <c:v>2.59583026334049</c:v>
                </c:pt>
                <c:pt idx="26">
                  <c:v>2.56871031205885</c:v>
                </c:pt>
                <c:pt idx="27">
                  <c:v>3.43275685371848</c:v>
                </c:pt>
                <c:pt idx="28">
                  <c:v>2.51063756754944</c:v>
                </c:pt>
                <c:pt idx="29">
                  <c:v>2.48009914347766</c:v>
                </c:pt>
                <c:pt idx="30">
                  <c:v>2.44880082658623</c:v>
                </c:pt>
                <c:pt idx="31">
                  <c:v>2.41689979101431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xVal>
          <c:yVal>
            <c:numRef>
              <c:f>'BH-03'!$AL$83:$AL$123</c:f>
              <c:numCache>
                <c:formatCode>General</c:formatCode>
                <c:ptCount val="41"/>
                <c:pt idx="0">
                  <c:v>0.75</c:v>
                </c:pt>
                <c:pt idx="1">
                  <c:v>2.25</c:v>
                </c:pt>
                <c:pt idx="2">
                  <c:v>3.75</c:v>
                </c:pt>
                <c:pt idx="3">
                  <c:v>5.25</c:v>
                </c:pt>
                <c:pt idx="4">
                  <c:v>6.75</c:v>
                </c:pt>
                <c:pt idx="5">
                  <c:v>8.25</c:v>
                </c:pt>
                <c:pt idx="6">
                  <c:v>9.75</c:v>
                </c:pt>
                <c:pt idx="7">
                  <c:v>11.25</c:v>
                </c:pt>
                <c:pt idx="8">
                  <c:v>12.75</c:v>
                </c:pt>
                <c:pt idx="9">
                  <c:v>14.25</c:v>
                </c:pt>
                <c:pt idx="10">
                  <c:v>15.75</c:v>
                </c:pt>
                <c:pt idx="11">
                  <c:v>17.25</c:v>
                </c:pt>
                <c:pt idx="12">
                  <c:v>18.75</c:v>
                </c:pt>
                <c:pt idx="13">
                  <c:v>20.25</c:v>
                </c:pt>
                <c:pt idx="14">
                  <c:v>21.75</c:v>
                </c:pt>
                <c:pt idx="15">
                  <c:v>23.25</c:v>
                </c:pt>
                <c:pt idx="16">
                  <c:v>24.75</c:v>
                </c:pt>
                <c:pt idx="17">
                  <c:v>26.25</c:v>
                </c:pt>
                <c:pt idx="18">
                  <c:v>27.75</c:v>
                </c:pt>
                <c:pt idx="19">
                  <c:v>29.25</c:v>
                </c:pt>
                <c:pt idx="20">
                  <c:v>30.75</c:v>
                </c:pt>
                <c:pt idx="21">
                  <c:v>32.25</c:v>
                </c:pt>
                <c:pt idx="22">
                  <c:v>33.75</c:v>
                </c:pt>
                <c:pt idx="23">
                  <c:v>35.25</c:v>
                </c:pt>
                <c:pt idx="24">
                  <c:v>36.75</c:v>
                </c:pt>
                <c:pt idx="25">
                  <c:v>38.25</c:v>
                </c:pt>
                <c:pt idx="26">
                  <c:v>39.75</c:v>
                </c:pt>
                <c:pt idx="27">
                  <c:v>41.25</c:v>
                </c:pt>
                <c:pt idx="28">
                  <c:v>42.75</c:v>
                </c:pt>
                <c:pt idx="29">
                  <c:v>44.25</c:v>
                </c:pt>
                <c:pt idx="30">
                  <c:v>45.75</c:v>
                </c:pt>
                <c:pt idx="31">
                  <c:v>47.25</c:v>
                </c:pt>
                <c:pt idx="32">
                  <c:v>48.75</c:v>
                </c:pt>
                <c:pt idx="33">
                  <c:v>50.25</c:v>
                </c:pt>
                <c:pt idx="34">
                  <c:v>51.75</c:v>
                </c:pt>
                <c:pt idx="35">
                  <c:v>53.25</c:v>
                </c:pt>
                <c:pt idx="36">
                  <c:v>54.75</c:v>
                </c:pt>
                <c:pt idx="37">
                  <c:v>56.25</c:v>
                </c:pt>
                <c:pt idx="38">
                  <c:v>57.75</c:v>
                </c:pt>
                <c:pt idx="39">
                  <c:v>59</c:v>
                </c:pt>
                <c:pt idx="40">
                  <c:v>59.75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"Consolidation Sc"</c:f>
              <c:strCache>
                <c:ptCount val="1"/>
                <c:pt idx="0">
                  <c:v>Consolidation Sc</c:v>
                </c:pt>
              </c:strCache>
            </c:strRef>
          </c:tx>
          <c:spPr>
            <a:solidFill>
              <a:srgbClr val="e69f00"/>
            </a:solidFill>
            <a:ln w="19080">
              <a:solidFill>
                <a:srgbClr val="e69f00"/>
              </a:solidFill>
              <a:round/>
            </a:ln>
          </c:spPr>
          <c:marker>
            <c:symbol val="square"/>
            <c:size val="6"/>
            <c:spPr>
              <a:solidFill>
                <a:srgbClr val="e69f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'BH-03'!$BK$83:$BK$123</c:f>
              <c:numCache>
                <c:formatCode>General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24.428987329684</c:v>
                </c:pt>
                <c:pt idx="5">
                  <c:v>0</c:v>
                </c:pt>
                <c:pt idx="6">
                  <c:v>0</c:v>
                </c:pt>
                <c:pt idx="7">
                  <c:v>9.0903781727263</c:v>
                </c:pt>
                <c:pt idx="8">
                  <c:v>27.5717114339645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5.98456918988846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xVal>
          <c:yVal>
            <c:numRef>
              <c:f>'BH-03'!$AL$83:$AL$123</c:f>
              <c:numCache>
                <c:formatCode>General</c:formatCode>
                <c:ptCount val="41"/>
                <c:pt idx="0">
                  <c:v>0.75</c:v>
                </c:pt>
                <c:pt idx="1">
                  <c:v>2.25</c:v>
                </c:pt>
                <c:pt idx="2">
                  <c:v>3.75</c:v>
                </c:pt>
                <c:pt idx="3">
                  <c:v>5.25</c:v>
                </c:pt>
                <c:pt idx="4">
                  <c:v>6.75</c:v>
                </c:pt>
                <c:pt idx="5">
                  <c:v>8.25</c:v>
                </c:pt>
                <c:pt idx="6">
                  <c:v>9.75</c:v>
                </c:pt>
                <c:pt idx="7">
                  <c:v>11.25</c:v>
                </c:pt>
                <c:pt idx="8">
                  <c:v>12.75</c:v>
                </c:pt>
                <c:pt idx="9">
                  <c:v>14.25</c:v>
                </c:pt>
                <c:pt idx="10">
                  <c:v>15.75</c:v>
                </c:pt>
                <c:pt idx="11">
                  <c:v>17.25</c:v>
                </c:pt>
                <c:pt idx="12">
                  <c:v>18.75</c:v>
                </c:pt>
                <c:pt idx="13">
                  <c:v>20.25</c:v>
                </c:pt>
                <c:pt idx="14">
                  <c:v>21.75</c:v>
                </c:pt>
                <c:pt idx="15">
                  <c:v>23.25</c:v>
                </c:pt>
                <c:pt idx="16">
                  <c:v>24.75</c:v>
                </c:pt>
                <c:pt idx="17">
                  <c:v>26.25</c:v>
                </c:pt>
                <c:pt idx="18">
                  <c:v>27.75</c:v>
                </c:pt>
                <c:pt idx="19">
                  <c:v>29.25</c:v>
                </c:pt>
                <c:pt idx="20">
                  <c:v>30.75</c:v>
                </c:pt>
                <c:pt idx="21">
                  <c:v>32.25</c:v>
                </c:pt>
                <c:pt idx="22">
                  <c:v>33.75</c:v>
                </c:pt>
                <c:pt idx="23">
                  <c:v>35.25</c:v>
                </c:pt>
                <c:pt idx="24">
                  <c:v>36.75</c:v>
                </c:pt>
                <c:pt idx="25">
                  <c:v>38.25</c:v>
                </c:pt>
                <c:pt idx="26">
                  <c:v>39.75</c:v>
                </c:pt>
                <c:pt idx="27">
                  <c:v>41.25</c:v>
                </c:pt>
                <c:pt idx="28">
                  <c:v>42.75</c:v>
                </c:pt>
                <c:pt idx="29">
                  <c:v>44.25</c:v>
                </c:pt>
                <c:pt idx="30">
                  <c:v>45.75</c:v>
                </c:pt>
                <c:pt idx="31">
                  <c:v>47.25</c:v>
                </c:pt>
                <c:pt idx="32">
                  <c:v>48.75</c:v>
                </c:pt>
                <c:pt idx="33">
                  <c:v>50.25</c:v>
                </c:pt>
                <c:pt idx="34">
                  <c:v>51.75</c:v>
                </c:pt>
                <c:pt idx="35">
                  <c:v>53.25</c:v>
                </c:pt>
                <c:pt idx="36">
                  <c:v>54.75</c:v>
                </c:pt>
                <c:pt idx="37">
                  <c:v>56.25</c:v>
                </c:pt>
                <c:pt idx="38">
                  <c:v>57.75</c:v>
                </c:pt>
                <c:pt idx="39">
                  <c:v>59</c:v>
                </c:pt>
                <c:pt idx="40">
                  <c:v>59.75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"Total S = Si + Sc"</c:f>
              <c:strCache>
                <c:ptCount val="1"/>
                <c:pt idx="0">
                  <c:v>Total S = Si + Sc</c:v>
                </c:pt>
              </c:strCache>
            </c:strRef>
          </c:tx>
          <c:spPr>
            <a:solidFill>
              <a:srgbClr val="c00000"/>
            </a:solidFill>
            <a:ln w="28440">
              <a:solidFill>
                <a:srgbClr val="c00000"/>
              </a:solidFill>
              <a:round/>
            </a:ln>
          </c:spPr>
          <c:marker>
            <c:symbol val="triangle"/>
            <c:size val="6"/>
            <c:spPr>
              <a:solidFill>
                <a:srgbClr val="c0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'BH-03'!$BP$83:$BP$123</c:f>
              <c:numCache>
                <c:formatCode>General</c:formatCode>
                <c:ptCount val="41"/>
                <c:pt idx="0">
                  <c:v>9.99670571076615</c:v>
                </c:pt>
                <c:pt idx="1">
                  <c:v>10.3973534383253</c:v>
                </c:pt>
                <c:pt idx="2">
                  <c:v>5.99438116459719</c:v>
                </c:pt>
                <c:pt idx="3">
                  <c:v>8.59168994347396</c:v>
                </c:pt>
                <c:pt idx="4">
                  <c:v>26.2624001757659</c:v>
                </c:pt>
                <c:pt idx="5">
                  <c:v>11.8700246920105</c:v>
                </c:pt>
                <c:pt idx="6">
                  <c:v>4.20137541359157</c:v>
                </c:pt>
                <c:pt idx="7">
                  <c:v>10.0561797083368</c:v>
                </c:pt>
                <c:pt idx="8">
                  <c:v>30.1396958718104</c:v>
                </c:pt>
                <c:pt idx="9">
                  <c:v>3.69989820187675</c:v>
                </c:pt>
                <c:pt idx="10">
                  <c:v>3.36971402996089</c:v>
                </c:pt>
                <c:pt idx="11">
                  <c:v>5.11622390076147</c:v>
                </c:pt>
                <c:pt idx="12">
                  <c:v>6.10505070037734</c:v>
                </c:pt>
                <c:pt idx="13">
                  <c:v>5.63737215714696</c:v>
                </c:pt>
                <c:pt idx="14">
                  <c:v>6.95116160983553</c:v>
                </c:pt>
                <c:pt idx="15">
                  <c:v>5.68398941845496</c:v>
                </c:pt>
                <c:pt idx="16">
                  <c:v>3.10416788896103</c:v>
                </c:pt>
                <c:pt idx="17">
                  <c:v>6.50072902825465</c:v>
                </c:pt>
                <c:pt idx="18">
                  <c:v>4.39456153566757</c:v>
                </c:pt>
                <c:pt idx="19">
                  <c:v>2.71503172231372</c:v>
                </c:pt>
                <c:pt idx="20">
                  <c:v>3.37738394955323</c:v>
                </c:pt>
                <c:pt idx="21">
                  <c:v>3.12282642634641</c:v>
                </c:pt>
                <c:pt idx="22">
                  <c:v>5.12800043661121</c:v>
                </c:pt>
                <c:pt idx="23">
                  <c:v>2.49531319528265</c:v>
                </c:pt>
                <c:pt idx="24">
                  <c:v>2.42718429381396</c:v>
                </c:pt>
                <c:pt idx="25">
                  <c:v>2.59583026334049</c:v>
                </c:pt>
                <c:pt idx="26">
                  <c:v>2.56871031205885</c:v>
                </c:pt>
                <c:pt idx="27">
                  <c:v>3.43275685371848</c:v>
                </c:pt>
                <c:pt idx="28">
                  <c:v>2.51063756754944</c:v>
                </c:pt>
                <c:pt idx="29">
                  <c:v>2.48009914347766</c:v>
                </c:pt>
                <c:pt idx="30">
                  <c:v>2.44880082658623</c:v>
                </c:pt>
                <c:pt idx="31">
                  <c:v>2.41689979101431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xVal>
          <c:yVal>
            <c:numRef>
              <c:f>'BH-03'!$AL$83:$AL$123</c:f>
              <c:numCache>
                <c:formatCode>General</c:formatCode>
                <c:ptCount val="41"/>
                <c:pt idx="0">
                  <c:v>0.75</c:v>
                </c:pt>
                <c:pt idx="1">
                  <c:v>2.25</c:v>
                </c:pt>
                <c:pt idx="2">
                  <c:v>3.75</c:v>
                </c:pt>
                <c:pt idx="3">
                  <c:v>5.25</c:v>
                </c:pt>
                <c:pt idx="4">
                  <c:v>6.75</c:v>
                </c:pt>
                <c:pt idx="5">
                  <c:v>8.25</c:v>
                </c:pt>
                <c:pt idx="6">
                  <c:v>9.75</c:v>
                </c:pt>
                <c:pt idx="7">
                  <c:v>11.25</c:v>
                </c:pt>
                <c:pt idx="8">
                  <c:v>12.75</c:v>
                </c:pt>
                <c:pt idx="9">
                  <c:v>14.25</c:v>
                </c:pt>
                <c:pt idx="10">
                  <c:v>15.75</c:v>
                </c:pt>
                <c:pt idx="11">
                  <c:v>17.25</c:v>
                </c:pt>
                <c:pt idx="12">
                  <c:v>18.75</c:v>
                </c:pt>
                <c:pt idx="13">
                  <c:v>20.25</c:v>
                </c:pt>
                <c:pt idx="14">
                  <c:v>21.75</c:v>
                </c:pt>
                <c:pt idx="15">
                  <c:v>23.25</c:v>
                </c:pt>
                <c:pt idx="16">
                  <c:v>24.75</c:v>
                </c:pt>
                <c:pt idx="17">
                  <c:v>26.25</c:v>
                </c:pt>
                <c:pt idx="18">
                  <c:v>27.75</c:v>
                </c:pt>
                <c:pt idx="19">
                  <c:v>29.25</c:v>
                </c:pt>
                <c:pt idx="20">
                  <c:v>30.75</c:v>
                </c:pt>
                <c:pt idx="21">
                  <c:v>32.25</c:v>
                </c:pt>
                <c:pt idx="22">
                  <c:v>33.75</c:v>
                </c:pt>
                <c:pt idx="23">
                  <c:v>35.25</c:v>
                </c:pt>
                <c:pt idx="24">
                  <c:v>36.75</c:v>
                </c:pt>
                <c:pt idx="25">
                  <c:v>38.25</c:v>
                </c:pt>
                <c:pt idx="26">
                  <c:v>39.75</c:v>
                </c:pt>
                <c:pt idx="27">
                  <c:v>41.25</c:v>
                </c:pt>
                <c:pt idx="28">
                  <c:v>42.75</c:v>
                </c:pt>
                <c:pt idx="29">
                  <c:v>44.25</c:v>
                </c:pt>
                <c:pt idx="30">
                  <c:v>45.75</c:v>
                </c:pt>
                <c:pt idx="31">
                  <c:v>47.25</c:v>
                </c:pt>
                <c:pt idx="32">
                  <c:v>48.75</c:v>
                </c:pt>
                <c:pt idx="33">
                  <c:v>50.25</c:v>
                </c:pt>
                <c:pt idx="34">
                  <c:v>51.75</c:v>
                </c:pt>
                <c:pt idx="35">
                  <c:v>53.25</c:v>
                </c:pt>
                <c:pt idx="36">
                  <c:v>54.75</c:v>
                </c:pt>
                <c:pt idx="37">
                  <c:v>56.25</c:v>
                </c:pt>
                <c:pt idx="38">
                  <c:v>57.75</c:v>
                </c:pt>
                <c:pt idx="39">
                  <c:v>59</c:v>
                </c:pt>
                <c:pt idx="40">
                  <c:v>59.75</c:v>
                </c:pt>
              </c:numCache>
            </c:numRef>
          </c:yVal>
          <c:smooth val="0"/>
        </c:ser>
        <c:axId val="42158089"/>
        <c:axId val="99049267"/>
      </c:scatterChart>
      <c:valAx>
        <c:axId val="42158089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lang="id-ID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id-ID" sz="1000" spc="-1" strike="noStrike">
                    <a:solidFill>
                      <a:srgbClr val="000000"/>
                    </a:solidFill>
                    <a:latin typeface="Calibri"/>
                  </a:rPr>
                  <a:t>Settlement per sub-layer (mm)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9049267"/>
        <c:crosses val="autoZero"/>
        <c:crossBetween val="midCat"/>
      </c:valAx>
      <c:valAx>
        <c:axId val="99049267"/>
        <c:scaling>
          <c:orientation val="maxMin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lang="id-ID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id-ID" sz="1000" spc="-1" strike="noStrike">
                    <a:solidFill>
                      <a:srgbClr val="000000"/>
                    </a:solidFill>
                    <a:latin typeface="Calibri"/>
                  </a:rPr>
                  <a:t>Depth (m)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2158089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1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0774"/>
          <c:y val="0.0618"/>
          <c:w val="0.884733333333333"/>
          <c:h val="0.91855"/>
        </c:manualLayout>
      </c:layout>
      <c:scatterChart>
        <c:scatterStyle val="lineMarker"/>
        <c:varyColors val="0"/>
        <c:ser>
          <c:idx val="0"/>
          <c:order val="0"/>
          <c:tx>
            <c:strRef>
              <c:f>"Immediate Si"</c:f>
              <c:strCache>
                <c:ptCount val="1"/>
                <c:pt idx="0">
                  <c:v>Immediate Si</c:v>
                </c:pt>
              </c:strCache>
            </c:strRef>
          </c:tx>
          <c:spPr>
            <a:solidFill>
              <a:srgbClr val="0072b2"/>
            </a:solidFill>
            <a:ln w="19080">
              <a:solidFill>
                <a:srgbClr val="0072b2"/>
              </a:solidFill>
              <a:round/>
            </a:ln>
          </c:spPr>
          <c:marker>
            <c:symbol val="circle"/>
            <c:size val="6"/>
            <c:spPr>
              <a:solidFill>
                <a:srgbClr val="0072b2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'BH-04'!$BG$83:$BG$123</c:f>
              <c:numCache>
                <c:formatCode>General</c:formatCode>
                <c:ptCount val="41"/>
                <c:pt idx="0">
                  <c:v>0.224111382245126</c:v>
                </c:pt>
                <c:pt idx="1">
                  <c:v>1.00534423022902</c:v>
                </c:pt>
                <c:pt idx="2">
                  <c:v>3.71324202813703</c:v>
                </c:pt>
                <c:pt idx="3">
                  <c:v>0.855499337481735</c:v>
                </c:pt>
                <c:pt idx="4">
                  <c:v>0.488910092288526</c:v>
                </c:pt>
                <c:pt idx="5">
                  <c:v>1.26131771073179</c:v>
                </c:pt>
                <c:pt idx="6">
                  <c:v>1.70843993099401</c:v>
                </c:pt>
                <c:pt idx="7">
                  <c:v>6.92765585781236</c:v>
                </c:pt>
                <c:pt idx="8">
                  <c:v>4.89439139299811</c:v>
                </c:pt>
                <c:pt idx="9">
                  <c:v>1.86630978126234</c:v>
                </c:pt>
                <c:pt idx="10">
                  <c:v>2.00793267609646</c:v>
                </c:pt>
                <c:pt idx="11">
                  <c:v>1.52627045179416</c:v>
                </c:pt>
                <c:pt idx="12">
                  <c:v>7.46172863379453</c:v>
                </c:pt>
                <c:pt idx="13">
                  <c:v>3.2999251651592</c:v>
                </c:pt>
                <c:pt idx="14">
                  <c:v>3.77758359885262</c:v>
                </c:pt>
                <c:pt idx="15">
                  <c:v>1.0839470682313</c:v>
                </c:pt>
                <c:pt idx="16">
                  <c:v>1.62433964616534</c:v>
                </c:pt>
                <c:pt idx="17">
                  <c:v>1.89897789865368</c:v>
                </c:pt>
                <c:pt idx="18">
                  <c:v>6.48720988598545</c:v>
                </c:pt>
                <c:pt idx="19">
                  <c:v>0.859466034660599</c:v>
                </c:pt>
                <c:pt idx="20">
                  <c:v>0.835138466783045</c:v>
                </c:pt>
                <c:pt idx="21">
                  <c:v>0.842993144568987</c:v>
                </c:pt>
                <c:pt idx="22">
                  <c:v>0.848848585801754</c:v>
                </c:pt>
                <c:pt idx="23">
                  <c:v>0.852892174370052</c:v>
                </c:pt>
                <c:pt idx="24">
                  <c:v>2.62135903731908</c:v>
                </c:pt>
                <c:pt idx="25">
                  <c:v>0.856237528706172</c:v>
                </c:pt>
                <c:pt idx="26">
                  <c:v>0.85585656360535</c:v>
                </c:pt>
                <c:pt idx="27">
                  <c:v>0.85429804739342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xVal>
          <c:yVal>
            <c:numRef>
              <c:f>'BH-04'!$AL$83:$AL$123</c:f>
              <c:numCache>
                <c:formatCode>General</c:formatCode>
                <c:ptCount val="41"/>
                <c:pt idx="0">
                  <c:v>0.75</c:v>
                </c:pt>
                <c:pt idx="1">
                  <c:v>2.25</c:v>
                </c:pt>
                <c:pt idx="2">
                  <c:v>4.25</c:v>
                </c:pt>
                <c:pt idx="3">
                  <c:v>5.75</c:v>
                </c:pt>
                <c:pt idx="4">
                  <c:v>6.75</c:v>
                </c:pt>
                <c:pt idx="5">
                  <c:v>8.25</c:v>
                </c:pt>
                <c:pt idx="6">
                  <c:v>9.75</c:v>
                </c:pt>
                <c:pt idx="7">
                  <c:v>11.25</c:v>
                </c:pt>
                <c:pt idx="8">
                  <c:v>12.75</c:v>
                </c:pt>
                <c:pt idx="9">
                  <c:v>14.25</c:v>
                </c:pt>
                <c:pt idx="10">
                  <c:v>15.75</c:v>
                </c:pt>
                <c:pt idx="11">
                  <c:v>17.25</c:v>
                </c:pt>
                <c:pt idx="12">
                  <c:v>18.75</c:v>
                </c:pt>
                <c:pt idx="13">
                  <c:v>20.25</c:v>
                </c:pt>
                <c:pt idx="14">
                  <c:v>21.75</c:v>
                </c:pt>
                <c:pt idx="15">
                  <c:v>23.25</c:v>
                </c:pt>
                <c:pt idx="16">
                  <c:v>24.75</c:v>
                </c:pt>
                <c:pt idx="17">
                  <c:v>26.25</c:v>
                </c:pt>
                <c:pt idx="18">
                  <c:v>27.75</c:v>
                </c:pt>
                <c:pt idx="19">
                  <c:v>29.25</c:v>
                </c:pt>
                <c:pt idx="20">
                  <c:v>30.75</c:v>
                </c:pt>
                <c:pt idx="21">
                  <c:v>32.25</c:v>
                </c:pt>
                <c:pt idx="22">
                  <c:v>33.75</c:v>
                </c:pt>
                <c:pt idx="23">
                  <c:v>35.25</c:v>
                </c:pt>
                <c:pt idx="24">
                  <c:v>36.75</c:v>
                </c:pt>
                <c:pt idx="25">
                  <c:v>38.25</c:v>
                </c:pt>
                <c:pt idx="26">
                  <c:v>39.75</c:v>
                </c:pt>
                <c:pt idx="27">
                  <c:v>41.25</c:v>
                </c:pt>
                <c:pt idx="28">
                  <c:v>42.75</c:v>
                </c:pt>
                <c:pt idx="29">
                  <c:v>44.25</c:v>
                </c:pt>
                <c:pt idx="30">
                  <c:v>45.75</c:v>
                </c:pt>
                <c:pt idx="31">
                  <c:v>47.25</c:v>
                </c:pt>
                <c:pt idx="32">
                  <c:v>48.75</c:v>
                </c:pt>
                <c:pt idx="33">
                  <c:v>50.25</c:v>
                </c:pt>
                <c:pt idx="34">
                  <c:v>51.75</c:v>
                </c:pt>
                <c:pt idx="35">
                  <c:v>53.25</c:v>
                </c:pt>
                <c:pt idx="36">
                  <c:v>54.75</c:v>
                </c:pt>
                <c:pt idx="37">
                  <c:v>56.25</c:v>
                </c:pt>
                <c:pt idx="38">
                  <c:v>57.75</c:v>
                </c:pt>
                <c:pt idx="39">
                  <c:v>59</c:v>
                </c:pt>
                <c:pt idx="40">
                  <c:v>59.75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"Consolidation Sc"</c:f>
              <c:strCache>
                <c:ptCount val="1"/>
                <c:pt idx="0">
                  <c:v>Consolidation Sc</c:v>
                </c:pt>
              </c:strCache>
            </c:strRef>
          </c:tx>
          <c:spPr>
            <a:solidFill>
              <a:srgbClr val="e69f00"/>
            </a:solidFill>
            <a:ln w="19080">
              <a:solidFill>
                <a:srgbClr val="e69f00"/>
              </a:solidFill>
              <a:round/>
            </a:ln>
          </c:spPr>
          <c:marker>
            <c:symbol val="square"/>
            <c:size val="6"/>
            <c:spPr>
              <a:solidFill>
                <a:srgbClr val="e69f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'BH-04'!$BK$83:$BK$123</c:f>
              <c:numCache>
                <c:formatCode>General</c:formatCode>
                <c:ptCount val="41"/>
                <c:pt idx="0">
                  <c:v>30.7105917152086</c:v>
                </c:pt>
                <c:pt idx="1">
                  <c:v>46.1464013397047</c:v>
                </c:pt>
                <c:pt idx="2">
                  <c:v>0</c:v>
                </c:pt>
                <c:pt idx="3">
                  <c:v>0</c:v>
                </c:pt>
                <c:pt idx="4">
                  <c:v>9.40557985128329</c:v>
                </c:pt>
                <c:pt idx="5">
                  <c:v>10.6782885895518</c:v>
                </c:pt>
                <c:pt idx="6">
                  <c:v>15.6957348703504</c:v>
                </c:pt>
                <c:pt idx="7">
                  <c:v>0</c:v>
                </c:pt>
                <c:pt idx="8">
                  <c:v>0</c:v>
                </c:pt>
                <c:pt idx="9">
                  <c:v>9.10490738235985</c:v>
                </c:pt>
                <c:pt idx="10">
                  <c:v>11.1876007021369</c:v>
                </c:pt>
                <c:pt idx="11">
                  <c:v>3.85266502501077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5.38182129333129</c:v>
                </c:pt>
                <c:pt idx="16">
                  <c:v>4.19438736726019</c:v>
                </c:pt>
                <c:pt idx="17">
                  <c:v>4.53148509628649</c:v>
                </c:pt>
                <c:pt idx="18">
                  <c:v>0</c:v>
                </c:pt>
                <c:pt idx="19">
                  <c:v>5.10956047807909</c:v>
                </c:pt>
                <c:pt idx="20">
                  <c:v>3.45802946456195</c:v>
                </c:pt>
                <c:pt idx="21">
                  <c:v>3.30003846352494</c:v>
                </c:pt>
                <c:pt idx="22">
                  <c:v>3.15095350344031</c:v>
                </c:pt>
                <c:pt idx="23">
                  <c:v>2.69938890648024</c:v>
                </c:pt>
                <c:pt idx="24">
                  <c:v>0</c:v>
                </c:pt>
                <c:pt idx="25">
                  <c:v>3.93894222900056</c:v>
                </c:pt>
                <c:pt idx="26">
                  <c:v>2.63213805353889</c:v>
                </c:pt>
                <c:pt idx="27">
                  <c:v>3.23812421678909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xVal>
          <c:yVal>
            <c:numRef>
              <c:f>'BH-04'!$AL$83:$AL$123</c:f>
              <c:numCache>
                <c:formatCode>General</c:formatCode>
                <c:ptCount val="41"/>
                <c:pt idx="0">
                  <c:v>0.75</c:v>
                </c:pt>
                <c:pt idx="1">
                  <c:v>2.25</c:v>
                </c:pt>
                <c:pt idx="2">
                  <c:v>4.25</c:v>
                </c:pt>
                <c:pt idx="3">
                  <c:v>5.75</c:v>
                </c:pt>
                <c:pt idx="4">
                  <c:v>6.75</c:v>
                </c:pt>
                <c:pt idx="5">
                  <c:v>8.25</c:v>
                </c:pt>
                <c:pt idx="6">
                  <c:v>9.75</c:v>
                </c:pt>
                <c:pt idx="7">
                  <c:v>11.25</c:v>
                </c:pt>
                <c:pt idx="8">
                  <c:v>12.75</c:v>
                </c:pt>
                <c:pt idx="9">
                  <c:v>14.25</c:v>
                </c:pt>
                <c:pt idx="10">
                  <c:v>15.75</c:v>
                </c:pt>
                <c:pt idx="11">
                  <c:v>17.25</c:v>
                </c:pt>
                <c:pt idx="12">
                  <c:v>18.75</c:v>
                </c:pt>
                <c:pt idx="13">
                  <c:v>20.25</c:v>
                </c:pt>
                <c:pt idx="14">
                  <c:v>21.75</c:v>
                </c:pt>
                <c:pt idx="15">
                  <c:v>23.25</c:v>
                </c:pt>
                <c:pt idx="16">
                  <c:v>24.75</c:v>
                </c:pt>
                <c:pt idx="17">
                  <c:v>26.25</c:v>
                </c:pt>
                <c:pt idx="18">
                  <c:v>27.75</c:v>
                </c:pt>
                <c:pt idx="19">
                  <c:v>29.25</c:v>
                </c:pt>
                <c:pt idx="20">
                  <c:v>30.75</c:v>
                </c:pt>
                <c:pt idx="21">
                  <c:v>32.25</c:v>
                </c:pt>
                <c:pt idx="22">
                  <c:v>33.75</c:v>
                </c:pt>
                <c:pt idx="23">
                  <c:v>35.25</c:v>
                </c:pt>
                <c:pt idx="24">
                  <c:v>36.75</c:v>
                </c:pt>
                <c:pt idx="25">
                  <c:v>38.25</c:v>
                </c:pt>
                <c:pt idx="26">
                  <c:v>39.75</c:v>
                </c:pt>
                <c:pt idx="27">
                  <c:v>41.25</c:v>
                </c:pt>
                <c:pt idx="28">
                  <c:v>42.75</c:v>
                </c:pt>
                <c:pt idx="29">
                  <c:v>44.25</c:v>
                </c:pt>
                <c:pt idx="30">
                  <c:v>45.75</c:v>
                </c:pt>
                <c:pt idx="31">
                  <c:v>47.25</c:v>
                </c:pt>
                <c:pt idx="32">
                  <c:v>48.75</c:v>
                </c:pt>
                <c:pt idx="33">
                  <c:v>50.25</c:v>
                </c:pt>
                <c:pt idx="34">
                  <c:v>51.75</c:v>
                </c:pt>
                <c:pt idx="35">
                  <c:v>53.25</c:v>
                </c:pt>
                <c:pt idx="36">
                  <c:v>54.75</c:v>
                </c:pt>
                <c:pt idx="37">
                  <c:v>56.25</c:v>
                </c:pt>
                <c:pt idx="38">
                  <c:v>57.75</c:v>
                </c:pt>
                <c:pt idx="39">
                  <c:v>59</c:v>
                </c:pt>
                <c:pt idx="40">
                  <c:v>59.75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"Total S = Si + Sc"</c:f>
              <c:strCache>
                <c:ptCount val="1"/>
                <c:pt idx="0">
                  <c:v>Total S = Si + Sc</c:v>
                </c:pt>
              </c:strCache>
            </c:strRef>
          </c:tx>
          <c:spPr>
            <a:solidFill>
              <a:srgbClr val="c00000"/>
            </a:solidFill>
            <a:ln w="28440">
              <a:solidFill>
                <a:srgbClr val="c00000"/>
              </a:solidFill>
              <a:round/>
            </a:ln>
          </c:spPr>
          <c:marker>
            <c:symbol val="triangle"/>
            <c:size val="6"/>
            <c:spPr>
              <a:solidFill>
                <a:srgbClr val="c0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'BH-04'!$BP$83:$BP$123</c:f>
              <c:numCache>
                <c:formatCode>General</c:formatCode>
                <c:ptCount val="41"/>
                <c:pt idx="0">
                  <c:v>30.9347030974538</c:v>
                </c:pt>
                <c:pt idx="1">
                  <c:v>47.1517455699337</c:v>
                </c:pt>
                <c:pt idx="2">
                  <c:v>3.71324202813703</c:v>
                </c:pt>
                <c:pt idx="3">
                  <c:v>0.855499337481735</c:v>
                </c:pt>
                <c:pt idx="4">
                  <c:v>9.89448994357181</c:v>
                </c:pt>
                <c:pt idx="5">
                  <c:v>11.9396063002836</c:v>
                </c:pt>
                <c:pt idx="6">
                  <c:v>17.4041748013444</c:v>
                </c:pt>
                <c:pt idx="7">
                  <c:v>6.92765585781236</c:v>
                </c:pt>
                <c:pt idx="8">
                  <c:v>4.89439139299811</c:v>
                </c:pt>
                <c:pt idx="9">
                  <c:v>10.9712171636222</c:v>
                </c:pt>
                <c:pt idx="10">
                  <c:v>13.1955333782334</c:v>
                </c:pt>
                <c:pt idx="11">
                  <c:v>5.37893547680492</c:v>
                </c:pt>
                <c:pt idx="12">
                  <c:v>7.46172863379453</c:v>
                </c:pt>
                <c:pt idx="13">
                  <c:v>3.2999251651592</c:v>
                </c:pt>
                <c:pt idx="14">
                  <c:v>3.77758359885262</c:v>
                </c:pt>
                <c:pt idx="15">
                  <c:v>6.46576836156259</c:v>
                </c:pt>
                <c:pt idx="16">
                  <c:v>5.81872701342553</c:v>
                </c:pt>
                <c:pt idx="17">
                  <c:v>6.43046299494017</c:v>
                </c:pt>
                <c:pt idx="18">
                  <c:v>6.48720988598545</c:v>
                </c:pt>
                <c:pt idx="19">
                  <c:v>5.96902651273969</c:v>
                </c:pt>
                <c:pt idx="20">
                  <c:v>4.293167931345</c:v>
                </c:pt>
                <c:pt idx="21">
                  <c:v>4.14303160809392</c:v>
                </c:pt>
                <c:pt idx="22">
                  <c:v>3.99980208924206</c:v>
                </c:pt>
                <c:pt idx="23">
                  <c:v>3.55228108085029</c:v>
                </c:pt>
                <c:pt idx="24">
                  <c:v>2.62135903731908</c:v>
                </c:pt>
                <c:pt idx="25">
                  <c:v>4.79517975770673</c:v>
                </c:pt>
                <c:pt idx="26">
                  <c:v>3.48799461714424</c:v>
                </c:pt>
                <c:pt idx="27">
                  <c:v>4.09242226418251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xVal>
          <c:yVal>
            <c:numRef>
              <c:f>'BH-04'!$AL$83:$AL$123</c:f>
              <c:numCache>
                <c:formatCode>General</c:formatCode>
                <c:ptCount val="41"/>
                <c:pt idx="0">
                  <c:v>0.75</c:v>
                </c:pt>
                <c:pt idx="1">
                  <c:v>2.25</c:v>
                </c:pt>
                <c:pt idx="2">
                  <c:v>4.25</c:v>
                </c:pt>
                <c:pt idx="3">
                  <c:v>5.75</c:v>
                </c:pt>
                <c:pt idx="4">
                  <c:v>6.75</c:v>
                </c:pt>
                <c:pt idx="5">
                  <c:v>8.25</c:v>
                </c:pt>
                <c:pt idx="6">
                  <c:v>9.75</c:v>
                </c:pt>
                <c:pt idx="7">
                  <c:v>11.25</c:v>
                </c:pt>
                <c:pt idx="8">
                  <c:v>12.75</c:v>
                </c:pt>
                <c:pt idx="9">
                  <c:v>14.25</c:v>
                </c:pt>
                <c:pt idx="10">
                  <c:v>15.75</c:v>
                </c:pt>
                <c:pt idx="11">
                  <c:v>17.25</c:v>
                </c:pt>
                <c:pt idx="12">
                  <c:v>18.75</c:v>
                </c:pt>
                <c:pt idx="13">
                  <c:v>20.25</c:v>
                </c:pt>
                <c:pt idx="14">
                  <c:v>21.75</c:v>
                </c:pt>
                <c:pt idx="15">
                  <c:v>23.25</c:v>
                </c:pt>
                <c:pt idx="16">
                  <c:v>24.75</c:v>
                </c:pt>
                <c:pt idx="17">
                  <c:v>26.25</c:v>
                </c:pt>
                <c:pt idx="18">
                  <c:v>27.75</c:v>
                </c:pt>
                <c:pt idx="19">
                  <c:v>29.25</c:v>
                </c:pt>
                <c:pt idx="20">
                  <c:v>30.75</c:v>
                </c:pt>
                <c:pt idx="21">
                  <c:v>32.25</c:v>
                </c:pt>
                <c:pt idx="22">
                  <c:v>33.75</c:v>
                </c:pt>
                <c:pt idx="23">
                  <c:v>35.25</c:v>
                </c:pt>
                <c:pt idx="24">
                  <c:v>36.75</c:v>
                </c:pt>
                <c:pt idx="25">
                  <c:v>38.25</c:v>
                </c:pt>
                <c:pt idx="26">
                  <c:v>39.75</c:v>
                </c:pt>
                <c:pt idx="27">
                  <c:v>41.25</c:v>
                </c:pt>
                <c:pt idx="28">
                  <c:v>42.75</c:v>
                </c:pt>
                <c:pt idx="29">
                  <c:v>44.25</c:v>
                </c:pt>
                <c:pt idx="30">
                  <c:v>45.75</c:v>
                </c:pt>
                <c:pt idx="31">
                  <c:v>47.25</c:v>
                </c:pt>
                <c:pt idx="32">
                  <c:v>48.75</c:v>
                </c:pt>
                <c:pt idx="33">
                  <c:v>50.25</c:v>
                </c:pt>
                <c:pt idx="34">
                  <c:v>51.75</c:v>
                </c:pt>
                <c:pt idx="35">
                  <c:v>53.25</c:v>
                </c:pt>
                <c:pt idx="36">
                  <c:v>54.75</c:v>
                </c:pt>
                <c:pt idx="37">
                  <c:v>56.25</c:v>
                </c:pt>
                <c:pt idx="38">
                  <c:v>57.75</c:v>
                </c:pt>
                <c:pt idx="39">
                  <c:v>59</c:v>
                </c:pt>
                <c:pt idx="40">
                  <c:v>59.75</c:v>
                </c:pt>
              </c:numCache>
            </c:numRef>
          </c:yVal>
          <c:smooth val="0"/>
        </c:ser>
        <c:axId val="57675390"/>
        <c:axId val="98501707"/>
      </c:scatterChart>
      <c:valAx>
        <c:axId val="57675390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lang="id-ID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id-ID" sz="1000" spc="-1" strike="noStrike">
                    <a:solidFill>
                      <a:srgbClr val="000000"/>
                    </a:solidFill>
                    <a:latin typeface="Calibri"/>
                  </a:rPr>
                  <a:t>Settlement per sub-layer (mm)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8501707"/>
        <c:crosses val="autoZero"/>
        <c:crossBetween val="midCat"/>
      </c:valAx>
      <c:valAx>
        <c:axId val="98501707"/>
        <c:scaling>
          <c:orientation val="maxMin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lang="id-ID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id-ID" sz="1000" spc="-1" strike="noStrike">
                    <a:solidFill>
                      <a:srgbClr val="000000"/>
                    </a:solidFill>
                    <a:latin typeface="Calibri"/>
                  </a:rPr>
                  <a:t>Depth (m)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7675390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1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0821333333333333"/>
          <c:y val="0.0618"/>
          <c:w val="0.886"/>
          <c:h val="0.91855"/>
        </c:manualLayout>
      </c:layout>
      <c:scatterChart>
        <c:scatterStyle val="lineMarker"/>
        <c:varyColors val="0"/>
        <c:ser>
          <c:idx val="0"/>
          <c:order val="0"/>
          <c:tx>
            <c:strRef>
              <c:f>"Immediate Si"</c:f>
              <c:strCache>
                <c:ptCount val="1"/>
                <c:pt idx="0">
                  <c:v>Immediate Si</c:v>
                </c:pt>
              </c:strCache>
            </c:strRef>
          </c:tx>
          <c:spPr>
            <a:solidFill>
              <a:srgbClr val="0072b2"/>
            </a:solidFill>
            <a:ln w="19080">
              <a:solidFill>
                <a:srgbClr val="0072b2"/>
              </a:solidFill>
              <a:round/>
            </a:ln>
          </c:spPr>
          <c:marker>
            <c:symbol val="circle"/>
            <c:size val="6"/>
            <c:spPr>
              <a:solidFill>
                <a:srgbClr val="0072b2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'BH-05'!$BG$83:$BG$123</c:f>
              <c:numCache>
                <c:formatCode>General</c:formatCode>
                <c:ptCount val="41"/>
                <c:pt idx="0">
                  <c:v>2.17319689364481</c:v>
                </c:pt>
                <c:pt idx="1">
                  <c:v>2.2602942257229</c:v>
                </c:pt>
                <c:pt idx="2">
                  <c:v>2.15797721925499</c:v>
                </c:pt>
                <c:pt idx="3">
                  <c:v>2.23383938530323</c:v>
                </c:pt>
                <c:pt idx="4">
                  <c:v>3.60331637704205</c:v>
                </c:pt>
                <c:pt idx="5">
                  <c:v>4.23929453286091</c:v>
                </c:pt>
                <c:pt idx="6">
                  <c:v>0.585750833483659</c:v>
                </c:pt>
                <c:pt idx="7">
                  <c:v>3.11744513601556</c:v>
                </c:pt>
                <c:pt idx="8">
                  <c:v>3.02986133852264</c:v>
                </c:pt>
                <c:pt idx="9">
                  <c:v>3.08324850156396</c:v>
                </c:pt>
                <c:pt idx="10">
                  <c:v>2.62837694336949</c:v>
                </c:pt>
                <c:pt idx="11">
                  <c:v>4.43406071399327</c:v>
                </c:pt>
                <c:pt idx="12">
                  <c:v>5.16581213108852</c:v>
                </c:pt>
                <c:pt idx="13">
                  <c:v>3.2999251651592</c:v>
                </c:pt>
                <c:pt idx="14">
                  <c:v>3.39982523896735</c:v>
                </c:pt>
                <c:pt idx="15">
                  <c:v>2.72831492085838</c:v>
                </c:pt>
                <c:pt idx="16">
                  <c:v>3.41458467785713</c:v>
                </c:pt>
                <c:pt idx="17">
                  <c:v>6.50072902825465</c:v>
                </c:pt>
                <c:pt idx="18">
                  <c:v>4.39456153566757</c:v>
                </c:pt>
                <c:pt idx="19">
                  <c:v>2.71503172231372</c:v>
                </c:pt>
                <c:pt idx="20">
                  <c:v>3.37738394955323</c:v>
                </c:pt>
                <c:pt idx="21">
                  <c:v>3.12282642634641</c:v>
                </c:pt>
                <c:pt idx="22">
                  <c:v>5.12800043661121</c:v>
                </c:pt>
                <c:pt idx="23">
                  <c:v>2.49531319528265</c:v>
                </c:pt>
                <c:pt idx="24">
                  <c:v>2.42718429381396</c:v>
                </c:pt>
                <c:pt idx="25">
                  <c:v>2.59583026334049</c:v>
                </c:pt>
                <c:pt idx="26">
                  <c:v>2.56871031205885</c:v>
                </c:pt>
                <c:pt idx="27">
                  <c:v>3.43275685371848</c:v>
                </c:pt>
                <c:pt idx="28">
                  <c:v>2.51063756754944</c:v>
                </c:pt>
                <c:pt idx="29">
                  <c:v>2.48009914347766</c:v>
                </c:pt>
                <c:pt idx="30">
                  <c:v>2.44880082658623</c:v>
                </c:pt>
                <c:pt idx="31">
                  <c:v>2.41689979101431</c:v>
                </c:pt>
                <c:pt idx="32">
                  <c:v>4.41580714624181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xVal>
          <c:yVal>
            <c:numRef>
              <c:f>'BH-05'!$AL$83:$AL$123</c:f>
              <c:numCache>
                <c:formatCode>General</c:formatCode>
                <c:ptCount val="41"/>
                <c:pt idx="0">
                  <c:v>0.75</c:v>
                </c:pt>
                <c:pt idx="1">
                  <c:v>2.25</c:v>
                </c:pt>
                <c:pt idx="2">
                  <c:v>3.75</c:v>
                </c:pt>
                <c:pt idx="3">
                  <c:v>5.25</c:v>
                </c:pt>
                <c:pt idx="4">
                  <c:v>6.75</c:v>
                </c:pt>
                <c:pt idx="5">
                  <c:v>8.25</c:v>
                </c:pt>
                <c:pt idx="6">
                  <c:v>9.75</c:v>
                </c:pt>
                <c:pt idx="7">
                  <c:v>11.25</c:v>
                </c:pt>
                <c:pt idx="8">
                  <c:v>12.75</c:v>
                </c:pt>
                <c:pt idx="9">
                  <c:v>14.25</c:v>
                </c:pt>
                <c:pt idx="10">
                  <c:v>15.75</c:v>
                </c:pt>
                <c:pt idx="11">
                  <c:v>17.25</c:v>
                </c:pt>
                <c:pt idx="12">
                  <c:v>18.75</c:v>
                </c:pt>
                <c:pt idx="13">
                  <c:v>20.25</c:v>
                </c:pt>
                <c:pt idx="14">
                  <c:v>21.75</c:v>
                </c:pt>
                <c:pt idx="15">
                  <c:v>23.25</c:v>
                </c:pt>
                <c:pt idx="16">
                  <c:v>24.75</c:v>
                </c:pt>
                <c:pt idx="17">
                  <c:v>26.25</c:v>
                </c:pt>
                <c:pt idx="18">
                  <c:v>27.75</c:v>
                </c:pt>
                <c:pt idx="19">
                  <c:v>29.25</c:v>
                </c:pt>
                <c:pt idx="20">
                  <c:v>30.75</c:v>
                </c:pt>
                <c:pt idx="21">
                  <c:v>32.25</c:v>
                </c:pt>
                <c:pt idx="22">
                  <c:v>33.75</c:v>
                </c:pt>
                <c:pt idx="23">
                  <c:v>35.25</c:v>
                </c:pt>
                <c:pt idx="24">
                  <c:v>36.75</c:v>
                </c:pt>
                <c:pt idx="25">
                  <c:v>38.25</c:v>
                </c:pt>
                <c:pt idx="26">
                  <c:v>39.75</c:v>
                </c:pt>
                <c:pt idx="27">
                  <c:v>41.25</c:v>
                </c:pt>
                <c:pt idx="28">
                  <c:v>42.75</c:v>
                </c:pt>
                <c:pt idx="29">
                  <c:v>44.25</c:v>
                </c:pt>
                <c:pt idx="30">
                  <c:v>45.75</c:v>
                </c:pt>
                <c:pt idx="31">
                  <c:v>47.25</c:v>
                </c:pt>
                <c:pt idx="32">
                  <c:v>48.75</c:v>
                </c:pt>
                <c:pt idx="33">
                  <c:v>50.25</c:v>
                </c:pt>
                <c:pt idx="34">
                  <c:v>51.75</c:v>
                </c:pt>
                <c:pt idx="35">
                  <c:v>53.25</c:v>
                </c:pt>
                <c:pt idx="36">
                  <c:v>54.75</c:v>
                </c:pt>
                <c:pt idx="37">
                  <c:v>56.25</c:v>
                </c:pt>
                <c:pt idx="38">
                  <c:v>57.75</c:v>
                </c:pt>
                <c:pt idx="39">
                  <c:v>59</c:v>
                </c:pt>
                <c:pt idx="40">
                  <c:v>59.75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"Consolidation Sc"</c:f>
              <c:strCache>
                <c:ptCount val="1"/>
                <c:pt idx="0">
                  <c:v>Consolidation Sc</c:v>
                </c:pt>
              </c:strCache>
            </c:strRef>
          </c:tx>
          <c:spPr>
            <a:solidFill>
              <a:srgbClr val="e69f00"/>
            </a:solidFill>
            <a:ln w="19080">
              <a:solidFill>
                <a:srgbClr val="e69f00"/>
              </a:solidFill>
              <a:round/>
            </a:ln>
          </c:spPr>
          <c:marker>
            <c:symbol val="square"/>
            <c:size val="6"/>
            <c:spPr>
              <a:solidFill>
                <a:srgbClr val="e69f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'BH-05'!$BK$83:$BK$123</c:f>
              <c:numCache>
                <c:formatCode>General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6.68955468279371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xVal>
          <c:yVal>
            <c:numRef>
              <c:f>'BH-05'!$AL$83:$AL$123</c:f>
              <c:numCache>
                <c:formatCode>General</c:formatCode>
                <c:ptCount val="41"/>
                <c:pt idx="0">
                  <c:v>0.75</c:v>
                </c:pt>
                <c:pt idx="1">
                  <c:v>2.25</c:v>
                </c:pt>
                <c:pt idx="2">
                  <c:v>3.75</c:v>
                </c:pt>
                <c:pt idx="3">
                  <c:v>5.25</c:v>
                </c:pt>
                <c:pt idx="4">
                  <c:v>6.75</c:v>
                </c:pt>
                <c:pt idx="5">
                  <c:v>8.25</c:v>
                </c:pt>
                <c:pt idx="6">
                  <c:v>9.75</c:v>
                </c:pt>
                <c:pt idx="7">
                  <c:v>11.25</c:v>
                </c:pt>
                <c:pt idx="8">
                  <c:v>12.75</c:v>
                </c:pt>
                <c:pt idx="9">
                  <c:v>14.25</c:v>
                </c:pt>
                <c:pt idx="10">
                  <c:v>15.75</c:v>
                </c:pt>
                <c:pt idx="11">
                  <c:v>17.25</c:v>
                </c:pt>
                <c:pt idx="12">
                  <c:v>18.75</c:v>
                </c:pt>
                <c:pt idx="13">
                  <c:v>20.25</c:v>
                </c:pt>
                <c:pt idx="14">
                  <c:v>21.75</c:v>
                </c:pt>
                <c:pt idx="15">
                  <c:v>23.25</c:v>
                </c:pt>
                <c:pt idx="16">
                  <c:v>24.75</c:v>
                </c:pt>
                <c:pt idx="17">
                  <c:v>26.25</c:v>
                </c:pt>
                <c:pt idx="18">
                  <c:v>27.75</c:v>
                </c:pt>
                <c:pt idx="19">
                  <c:v>29.25</c:v>
                </c:pt>
                <c:pt idx="20">
                  <c:v>30.75</c:v>
                </c:pt>
                <c:pt idx="21">
                  <c:v>32.25</c:v>
                </c:pt>
                <c:pt idx="22">
                  <c:v>33.75</c:v>
                </c:pt>
                <c:pt idx="23">
                  <c:v>35.25</c:v>
                </c:pt>
                <c:pt idx="24">
                  <c:v>36.75</c:v>
                </c:pt>
                <c:pt idx="25">
                  <c:v>38.25</c:v>
                </c:pt>
                <c:pt idx="26">
                  <c:v>39.75</c:v>
                </c:pt>
                <c:pt idx="27">
                  <c:v>41.25</c:v>
                </c:pt>
                <c:pt idx="28">
                  <c:v>42.75</c:v>
                </c:pt>
                <c:pt idx="29">
                  <c:v>44.25</c:v>
                </c:pt>
                <c:pt idx="30">
                  <c:v>45.75</c:v>
                </c:pt>
                <c:pt idx="31">
                  <c:v>47.25</c:v>
                </c:pt>
                <c:pt idx="32">
                  <c:v>48.75</c:v>
                </c:pt>
                <c:pt idx="33">
                  <c:v>50.25</c:v>
                </c:pt>
                <c:pt idx="34">
                  <c:v>51.75</c:v>
                </c:pt>
                <c:pt idx="35">
                  <c:v>53.25</c:v>
                </c:pt>
                <c:pt idx="36">
                  <c:v>54.75</c:v>
                </c:pt>
                <c:pt idx="37">
                  <c:v>56.25</c:v>
                </c:pt>
                <c:pt idx="38">
                  <c:v>57.75</c:v>
                </c:pt>
                <c:pt idx="39">
                  <c:v>59</c:v>
                </c:pt>
                <c:pt idx="40">
                  <c:v>59.75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"Total S = Si + Sc"</c:f>
              <c:strCache>
                <c:ptCount val="1"/>
                <c:pt idx="0">
                  <c:v>Total S = Si + Sc</c:v>
                </c:pt>
              </c:strCache>
            </c:strRef>
          </c:tx>
          <c:spPr>
            <a:solidFill>
              <a:srgbClr val="c00000"/>
            </a:solidFill>
            <a:ln w="28440">
              <a:solidFill>
                <a:srgbClr val="c00000"/>
              </a:solidFill>
              <a:round/>
            </a:ln>
          </c:spPr>
          <c:marker>
            <c:symbol val="triangle"/>
            <c:size val="6"/>
            <c:spPr>
              <a:solidFill>
                <a:srgbClr val="c0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'BH-05'!$BP$83:$BP$123</c:f>
              <c:numCache>
                <c:formatCode>General</c:formatCode>
                <c:ptCount val="41"/>
                <c:pt idx="0">
                  <c:v>2.17319689364481</c:v>
                </c:pt>
                <c:pt idx="1">
                  <c:v>2.2602942257229</c:v>
                </c:pt>
                <c:pt idx="2">
                  <c:v>2.15797721925499</c:v>
                </c:pt>
                <c:pt idx="3">
                  <c:v>2.23383938530323</c:v>
                </c:pt>
                <c:pt idx="4">
                  <c:v>3.60331637704205</c:v>
                </c:pt>
                <c:pt idx="5">
                  <c:v>4.23929453286091</c:v>
                </c:pt>
                <c:pt idx="6">
                  <c:v>7.27530551627737</c:v>
                </c:pt>
                <c:pt idx="7">
                  <c:v>3.11744513601556</c:v>
                </c:pt>
                <c:pt idx="8">
                  <c:v>3.02986133852264</c:v>
                </c:pt>
                <c:pt idx="9">
                  <c:v>3.08324850156396</c:v>
                </c:pt>
                <c:pt idx="10">
                  <c:v>2.62837694336949</c:v>
                </c:pt>
                <c:pt idx="11">
                  <c:v>4.43406071399327</c:v>
                </c:pt>
                <c:pt idx="12">
                  <c:v>5.16581213108852</c:v>
                </c:pt>
                <c:pt idx="13">
                  <c:v>3.2999251651592</c:v>
                </c:pt>
                <c:pt idx="14">
                  <c:v>3.39982523896735</c:v>
                </c:pt>
                <c:pt idx="15">
                  <c:v>2.72831492085838</c:v>
                </c:pt>
                <c:pt idx="16">
                  <c:v>3.41458467785713</c:v>
                </c:pt>
                <c:pt idx="17">
                  <c:v>6.50072902825465</c:v>
                </c:pt>
                <c:pt idx="18">
                  <c:v>4.39456153566757</c:v>
                </c:pt>
                <c:pt idx="19">
                  <c:v>2.71503172231372</c:v>
                </c:pt>
                <c:pt idx="20">
                  <c:v>3.37738394955323</c:v>
                </c:pt>
                <c:pt idx="21">
                  <c:v>3.12282642634641</c:v>
                </c:pt>
                <c:pt idx="22">
                  <c:v>5.12800043661121</c:v>
                </c:pt>
                <c:pt idx="23">
                  <c:v>2.49531319528265</c:v>
                </c:pt>
                <c:pt idx="24">
                  <c:v>2.42718429381396</c:v>
                </c:pt>
                <c:pt idx="25">
                  <c:v>2.59583026334049</c:v>
                </c:pt>
                <c:pt idx="26">
                  <c:v>2.56871031205885</c:v>
                </c:pt>
                <c:pt idx="27">
                  <c:v>3.43275685371848</c:v>
                </c:pt>
                <c:pt idx="28">
                  <c:v>2.51063756754944</c:v>
                </c:pt>
                <c:pt idx="29">
                  <c:v>2.48009914347766</c:v>
                </c:pt>
                <c:pt idx="30">
                  <c:v>2.44880082658623</c:v>
                </c:pt>
                <c:pt idx="31">
                  <c:v>2.41689979101431</c:v>
                </c:pt>
                <c:pt idx="32">
                  <c:v>4.41580714624181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xVal>
          <c:yVal>
            <c:numRef>
              <c:f>'BH-05'!$AL$83:$AL$123</c:f>
              <c:numCache>
                <c:formatCode>General</c:formatCode>
                <c:ptCount val="41"/>
                <c:pt idx="0">
                  <c:v>0.75</c:v>
                </c:pt>
                <c:pt idx="1">
                  <c:v>2.25</c:v>
                </c:pt>
                <c:pt idx="2">
                  <c:v>3.75</c:v>
                </c:pt>
                <c:pt idx="3">
                  <c:v>5.25</c:v>
                </c:pt>
                <c:pt idx="4">
                  <c:v>6.75</c:v>
                </c:pt>
                <c:pt idx="5">
                  <c:v>8.25</c:v>
                </c:pt>
                <c:pt idx="6">
                  <c:v>9.75</c:v>
                </c:pt>
                <c:pt idx="7">
                  <c:v>11.25</c:v>
                </c:pt>
                <c:pt idx="8">
                  <c:v>12.75</c:v>
                </c:pt>
                <c:pt idx="9">
                  <c:v>14.25</c:v>
                </c:pt>
                <c:pt idx="10">
                  <c:v>15.75</c:v>
                </c:pt>
                <c:pt idx="11">
                  <c:v>17.25</c:v>
                </c:pt>
                <c:pt idx="12">
                  <c:v>18.75</c:v>
                </c:pt>
                <c:pt idx="13">
                  <c:v>20.25</c:v>
                </c:pt>
                <c:pt idx="14">
                  <c:v>21.75</c:v>
                </c:pt>
                <c:pt idx="15">
                  <c:v>23.25</c:v>
                </c:pt>
                <c:pt idx="16">
                  <c:v>24.75</c:v>
                </c:pt>
                <c:pt idx="17">
                  <c:v>26.25</c:v>
                </c:pt>
                <c:pt idx="18">
                  <c:v>27.75</c:v>
                </c:pt>
                <c:pt idx="19">
                  <c:v>29.25</c:v>
                </c:pt>
                <c:pt idx="20">
                  <c:v>30.75</c:v>
                </c:pt>
                <c:pt idx="21">
                  <c:v>32.25</c:v>
                </c:pt>
                <c:pt idx="22">
                  <c:v>33.75</c:v>
                </c:pt>
                <c:pt idx="23">
                  <c:v>35.25</c:v>
                </c:pt>
                <c:pt idx="24">
                  <c:v>36.75</c:v>
                </c:pt>
                <c:pt idx="25">
                  <c:v>38.25</c:v>
                </c:pt>
                <c:pt idx="26">
                  <c:v>39.75</c:v>
                </c:pt>
                <c:pt idx="27">
                  <c:v>41.25</c:v>
                </c:pt>
                <c:pt idx="28">
                  <c:v>42.75</c:v>
                </c:pt>
                <c:pt idx="29">
                  <c:v>44.25</c:v>
                </c:pt>
                <c:pt idx="30">
                  <c:v>45.75</c:v>
                </c:pt>
                <c:pt idx="31">
                  <c:v>47.25</c:v>
                </c:pt>
                <c:pt idx="32">
                  <c:v>48.75</c:v>
                </c:pt>
                <c:pt idx="33">
                  <c:v>50.25</c:v>
                </c:pt>
                <c:pt idx="34">
                  <c:v>51.75</c:v>
                </c:pt>
                <c:pt idx="35">
                  <c:v>53.25</c:v>
                </c:pt>
                <c:pt idx="36">
                  <c:v>54.75</c:v>
                </c:pt>
                <c:pt idx="37">
                  <c:v>56.25</c:v>
                </c:pt>
                <c:pt idx="38">
                  <c:v>57.75</c:v>
                </c:pt>
                <c:pt idx="39">
                  <c:v>59</c:v>
                </c:pt>
                <c:pt idx="40">
                  <c:v>59.75</c:v>
                </c:pt>
              </c:numCache>
            </c:numRef>
          </c:yVal>
          <c:smooth val="0"/>
        </c:ser>
        <c:axId val="53294431"/>
        <c:axId val="27547059"/>
      </c:scatterChart>
      <c:valAx>
        <c:axId val="53294431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lang="id-ID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id-ID" sz="1000" spc="-1" strike="noStrike">
                    <a:solidFill>
                      <a:srgbClr val="000000"/>
                    </a:solidFill>
                    <a:latin typeface="Calibri"/>
                  </a:rPr>
                  <a:t>Settlement per sub-layer (mm)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7547059"/>
        <c:crosses val="autoZero"/>
        <c:crossBetween val="midCat"/>
      </c:valAx>
      <c:valAx>
        <c:axId val="27547059"/>
        <c:scaling>
          <c:orientation val="maxMin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lang="id-ID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id-ID" sz="1000" spc="-1" strike="noStrike">
                    <a:solidFill>
                      <a:srgbClr val="000000"/>
                    </a:solidFill>
                    <a:latin typeface="Calibri"/>
                  </a:rPr>
                  <a:t>Depth (m)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3294431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1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image1.png"/><Relationship Id="rId3" Type="http://schemas.openxmlformats.org/officeDocument/2006/relationships/image" Target="../media/image2.png"/><Relationship Id="rId4" Type="http://schemas.openxmlformats.org/officeDocument/2006/relationships/image" Target="../media/image3.png"/><Relationship Id="rId5" Type="http://schemas.openxmlformats.org/officeDocument/2006/relationships/image" Target="../media/image4.png"/><Relationship Id="rId6" Type="http://schemas.openxmlformats.org/officeDocument/2006/relationships/image" Target="../media/image5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image" Target="../media/image1.png"/><Relationship Id="rId3" Type="http://schemas.openxmlformats.org/officeDocument/2006/relationships/image" Target="../media/image2.png"/><Relationship Id="rId4" Type="http://schemas.openxmlformats.org/officeDocument/2006/relationships/image" Target="../media/image3.png"/><Relationship Id="rId5" Type="http://schemas.openxmlformats.org/officeDocument/2006/relationships/image" Target="../media/image4.png"/><Relationship Id="rId6" Type="http://schemas.openxmlformats.org/officeDocument/2006/relationships/image" Target="../media/image5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image" Target="../media/image1.png"/><Relationship Id="rId3" Type="http://schemas.openxmlformats.org/officeDocument/2006/relationships/image" Target="../media/image2.png"/><Relationship Id="rId4" Type="http://schemas.openxmlformats.org/officeDocument/2006/relationships/image" Target="../media/image3.png"/><Relationship Id="rId5" Type="http://schemas.openxmlformats.org/officeDocument/2006/relationships/image" Target="../media/image4.png"/><Relationship Id="rId6" Type="http://schemas.openxmlformats.org/officeDocument/2006/relationships/image" Target="../media/image5.pn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image" Target="../media/image1.png"/><Relationship Id="rId3" Type="http://schemas.openxmlformats.org/officeDocument/2006/relationships/image" Target="../media/image2.png"/><Relationship Id="rId4" Type="http://schemas.openxmlformats.org/officeDocument/2006/relationships/image" Target="../media/image3.png"/><Relationship Id="rId5" Type="http://schemas.openxmlformats.org/officeDocument/2006/relationships/image" Target="../media/image4.png"/><Relationship Id="rId6" Type="http://schemas.openxmlformats.org/officeDocument/2006/relationships/image" Target="../media/image5.png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image" Target="../media/image1.png"/><Relationship Id="rId3" Type="http://schemas.openxmlformats.org/officeDocument/2006/relationships/image" Target="../media/image2.png"/><Relationship Id="rId4" Type="http://schemas.openxmlformats.org/officeDocument/2006/relationships/image" Target="../media/image3.png"/><Relationship Id="rId5" Type="http://schemas.openxmlformats.org/officeDocument/2006/relationships/image" Target="../media/image4.png"/><Relationship Id="rId6" Type="http://schemas.openxmlformats.org/officeDocument/2006/relationships/image" Target="../media/image5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528</xdr:row>
      <xdr:rowOff>0</xdr:rowOff>
    </xdr:from>
    <xdr:to>
      <xdr:col>17</xdr:col>
      <xdr:colOff>370440</xdr:colOff>
      <xdr:row>567</xdr:row>
      <xdr:rowOff>141840</xdr:rowOff>
    </xdr:to>
    <xdr:graphicFrame>
      <xdr:nvGraphicFramePr>
        <xdr:cNvPr id="0" name="Chart 1"/>
        <xdr:cNvGraphicFramePr/>
      </xdr:nvGraphicFramePr>
      <xdr:xfrm>
        <a:off x="977760" y="95859720"/>
        <a:ext cx="5399640" cy="71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0</xdr:colOff>
      <xdr:row>24</xdr:row>
      <xdr:rowOff>0</xdr:rowOff>
    </xdr:from>
    <xdr:to>
      <xdr:col>24</xdr:col>
      <xdr:colOff>9720</xdr:colOff>
      <xdr:row>38</xdr:row>
      <xdr:rowOff>66240</xdr:rowOff>
    </xdr:to>
    <xdr:pic>
      <xdr:nvPicPr>
        <xdr:cNvPr id="1" name="Image 2" descr="Picture"/>
        <xdr:cNvPicPr/>
      </xdr:nvPicPr>
      <xdr:blipFill>
        <a:blip r:embed="rId2"/>
        <a:stretch/>
      </xdr:blipFill>
      <xdr:spPr>
        <a:xfrm>
          <a:off x="661680" y="4343400"/>
          <a:ext cx="8191080" cy="25999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0</xdr:colOff>
      <xdr:row>157</xdr:row>
      <xdr:rowOff>0</xdr:rowOff>
    </xdr:from>
    <xdr:to>
      <xdr:col>24</xdr:col>
      <xdr:colOff>9720</xdr:colOff>
      <xdr:row>167</xdr:row>
      <xdr:rowOff>114120</xdr:rowOff>
    </xdr:to>
    <xdr:pic>
      <xdr:nvPicPr>
        <xdr:cNvPr id="2" name="Image 3" descr="Picture"/>
        <xdr:cNvPicPr/>
      </xdr:nvPicPr>
      <xdr:blipFill>
        <a:blip r:embed="rId3"/>
        <a:stretch/>
      </xdr:blipFill>
      <xdr:spPr>
        <a:xfrm>
          <a:off x="661680" y="28575000"/>
          <a:ext cx="8191080" cy="1923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0</xdr:colOff>
      <xdr:row>232</xdr:row>
      <xdr:rowOff>0</xdr:rowOff>
    </xdr:from>
    <xdr:to>
      <xdr:col>24</xdr:col>
      <xdr:colOff>9720</xdr:colOff>
      <xdr:row>248</xdr:row>
      <xdr:rowOff>56880</xdr:rowOff>
    </xdr:to>
    <xdr:pic>
      <xdr:nvPicPr>
        <xdr:cNvPr id="3" name="Image 4" descr="Picture"/>
        <xdr:cNvPicPr/>
      </xdr:nvPicPr>
      <xdr:blipFill>
        <a:blip r:embed="rId4"/>
        <a:stretch/>
      </xdr:blipFill>
      <xdr:spPr>
        <a:xfrm>
          <a:off x="661680" y="42148080"/>
          <a:ext cx="8191080" cy="2952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0</xdr:colOff>
      <xdr:row>366</xdr:row>
      <xdr:rowOff>0</xdr:rowOff>
    </xdr:from>
    <xdr:to>
      <xdr:col>24</xdr:col>
      <xdr:colOff>9720</xdr:colOff>
      <xdr:row>382</xdr:row>
      <xdr:rowOff>171360</xdr:rowOff>
    </xdr:to>
    <xdr:pic>
      <xdr:nvPicPr>
        <xdr:cNvPr id="4" name="Image 5" descr="Picture"/>
        <xdr:cNvPicPr/>
      </xdr:nvPicPr>
      <xdr:blipFill>
        <a:blip r:embed="rId5"/>
        <a:stretch/>
      </xdr:blipFill>
      <xdr:spPr>
        <a:xfrm>
          <a:off x="661680" y="66560760"/>
          <a:ext cx="8191080" cy="3066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0</xdr:colOff>
      <xdr:row>391</xdr:row>
      <xdr:rowOff>0</xdr:rowOff>
    </xdr:from>
    <xdr:to>
      <xdr:col>22</xdr:col>
      <xdr:colOff>248760</xdr:colOff>
      <xdr:row>404</xdr:row>
      <xdr:rowOff>75960</xdr:rowOff>
    </xdr:to>
    <xdr:pic>
      <xdr:nvPicPr>
        <xdr:cNvPr id="5" name="Image 6" descr="Picture"/>
        <xdr:cNvPicPr/>
      </xdr:nvPicPr>
      <xdr:blipFill>
        <a:blip r:embed="rId6"/>
        <a:stretch/>
      </xdr:blipFill>
      <xdr:spPr>
        <a:xfrm>
          <a:off x="661680" y="71085240"/>
          <a:ext cx="7619760" cy="24285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528</xdr:row>
      <xdr:rowOff>0</xdr:rowOff>
    </xdr:from>
    <xdr:to>
      <xdr:col>17</xdr:col>
      <xdr:colOff>370440</xdr:colOff>
      <xdr:row>567</xdr:row>
      <xdr:rowOff>141840</xdr:rowOff>
    </xdr:to>
    <xdr:graphicFrame>
      <xdr:nvGraphicFramePr>
        <xdr:cNvPr id="6" name="Chart 1"/>
        <xdr:cNvGraphicFramePr/>
      </xdr:nvGraphicFramePr>
      <xdr:xfrm>
        <a:off x="977760" y="95859720"/>
        <a:ext cx="5399640" cy="71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0</xdr:colOff>
      <xdr:row>24</xdr:row>
      <xdr:rowOff>0</xdr:rowOff>
    </xdr:from>
    <xdr:to>
      <xdr:col>24</xdr:col>
      <xdr:colOff>9720</xdr:colOff>
      <xdr:row>38</xdr:row>
      <xdr:rowOff>66240</xdr:rowOff>
    </xdr:to>
    <xdr:pic>
      <xdr:nvPicPr>
        <xdr:cNvPr id="7" name="Image 2" descr="Picture"/>
        <xdr:cNvPicPr/>
      </xdr:nvPicPr>
      <xdr:blipFill>
        <a:blip r:embed="rId2"/>
        <a:stretch/>
      </xdr:blipFill>
      <xdr:spPr>
        <a:xfrm>
          <a:off x="661680" y="4343400"/>
          <a:ext cx="8191080" cy="25999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0</xdr:colOff>
      <xdr:row>157</xdr:row>
      <xdr:rowOff>0</xdr:rowOff>
    </xdr:from>
    <xdr:to>
      <xdr:col>24</xdr:col>
      <xdr:colOff>9720</xdr:colOff>
      <xdr:row>167</xdr:row>
      <xdr:rowOff>114120</xdr:rowOff>
    </xdr:to>
    <xdr:pic>
      <xdr:nvPicPr>
        <xdr:cNvPr id="8" name="Image 3" descr="Picture"/>
        <xdr:cNvPicPr/>
      </xdr:nvPicPr>
      <xdr:blipFill>
        <a:blip r:embed="rId3"/>
        <a:stretch/>
      </xdr:blipFill>
      <xdr:spPr>
        <a:xfrm>
          <a:off x="661680" y="28575000"/>
          <a:ext cx="8191080" cy="1923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0</xdr:colOff>
      <xdr:row>232</xdr:row>
      <xdr:rowOff>0</xdr:rowOff>
    </xdr:from>
    <xdr:to>
      <xdr:col>24</xdr:col>
      <xdr:colOff>9720</xdr:colOff>
      <xdr:row>248</xdr:row>
      <xdr:rowOff>56880</xdr:rowOff>
    </xdr:to>
    <xdr:pic>
      <xdr:nvPicPr>
        <xdr:cNvPr id="9" name="Image 4" descr="Picture"/>
        <xdr:cNvPicPr/>
      </xdr:nvPicPr>
      <xdr:blipFill>
        <a:blip r:embed="rId4"/>
        <a:stretch/>
      </xdr:blipFill>
      <xdr:spPr>
        <a:xfrm>
          <a:off x="661680" y="42148080"/>
          <a:ext cx="8191080" cy="2952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0</xdr:colOff>
      <xdr:row>366</xdr:row>
      <xdr:rowOff>0</xdr:rowOff>
    </xdr:from>
    <xdr:to>
      <xdr:col>24</xdr:col>
      <xdr:colOff>9720</xdr:colOff>
      <xdr:row>382</xdr:row>
      <xdr:rowOff>171360</xdr:rowOff>
    </xdr:to>
    <xdr:pic>
      <xdr:nvPicPr>
        <xdr:cNvPr id="10" name="Image 5" descr="Picture"/>
        <xdr:cNvPicPr/>
      </xdr:nvPicPr>
      <xdr:blipFill>
        <a:blip r:embed="rId5"/>
        <a:stretch/>
      </xdr:blipFill>
      <xdr:spPr>
        <a:xfrm>
          <a:off x="661680" y="66560760"/>
          <a:ext cx="8191080" cy="3066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0</xdr:colOff>
      <xdr:row>391</xdr:row>
      <xdr:rowOff>0</xdr:rowOff>
    </xdr:from>
    <xdr:to>
      <xdr:col>22</xdr:col>
      <xdr:colOff>248760</xdr:colOff>
      <xdr:row>404</xdr:row>
      <xdr:rowOff>75960</xdr:rowOff>
    </xdr:to>
    <xdr:pic>
      <xdr:nvPicPr>
        <xdr:cNvPr id="11" name="Image 6" descr="Picture"/>
        <xdr:cNvPicPr/>
      </xdr:nvPicPr>
      <xdr:blipFill>
        <a:blip r:embed="rId6"/>
        <a:stretch/>
      </xdr:blipFill>
      <xdr:spPr>
        <a:xfrm>
          <a:off x="661680" y="71085240"/>
          <a:ext cx="7619760" cy="24285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528</xdr:row>
      <xdr:rowOff>0</xdr:rowOff>
    </xdr:from>
    <xdr:to>
      <xdr:col>17</xdr:col>
      <xdr:colOff>370440</xdr:colOff>
      <xdr:row>567</xdr:row>
      <xdr:rowOff>141840</xdr:rowOff>
    </xdr:to>
    <xdr:graphicFrame>
      <xdr:nvGraphicFramePr>
        <xdr:cNvPr id="12" name="Chart 1"/>
        <xdr:cNvGraphicFramePr/>
      </xdr:nvGraphicFramePr>
      <xdr:xfrm>
        <a:off x="977760" y="95859720"/>
        <a:ext cx="5399640" cy="71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0</xdr:colOff>
      <xdr:row>24</xdr:row>
      <xdr:rowOff>0</xdr:rowOff>
    </xdr:from>
    <xdr:to>
      <xdr:col>24</xdr:col>
      <xdr:colOff>9720</xdr:colOff>
      <xdr:row>38</xdr:row>
      <xdr:rowOff>66240</xdr:rowOff>
    </xdr:to>
    <xdr:pic>
      <xdr:nvPicPr>
        <xdr:cNvPr id="13" name="Image 2" descr="Picture"/>
        <xdr:cNvPicPr/>
      </xdr:nvPicPr>
      <xdr:blipFill>
        <a:blip r:embed="rId2"/>
        <a:stretch/>
      </xdr:blipFill>
      <xdr:spPr>
        <a:xfrm>
          <a:off x="661680" y="4343400"/>
          <a:ext cx="8191080" cy="25999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0</xdr:colOff>
      <xdr:row>157</xdr:row>
      <xdr:rowOff>0</xdr:rowOff>
    </xdr:from>
    <xdr:to>
      <xdr:col>24</xdr:col>
      <xdr:colOff>9720</xdr:colOff>
      <xdr:row>167</xdr:row>
      <xdr:rowOff>114120</xdr:rowOff>
    </xdr:to>
    <xdr:pic>
      <xdr:nvPicPr>
        <xdr:cNvPr id="14" name="Image 3" descr="Picture"/>
        <xdr:cNvPicPr/>
      </xdr:nvPicPr>
      <xdr:blipFill>
        <a:blip r:embed="rId3"/>
        <a:stretch/>
      </xdr:blipFill>
      <xdr:spPr>
        <a:xfrm>
          <a:off x="661680" y="28575000"/>
          <a:ext cx="8191080" cy="1923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0</xdr:colOff>
      <xdr:row>232</xdr:row>
      <xdr:rowOff>0</xdr:rowOff>
    </xdr:from>
    <xdr:to>
      <xdr:col>24</xdr:col>
      <xdr:colOff>9720</xdr:colOff>
      <xdr:row>248</xdr:row>
      <xdr:rowOff>56880</xdr:rowOff>
    </xdr:to>
    <xdr:pic>
      <xdr:nvPicPr>
        <xdr:cNvPr id="15" name="Image 4" descr="Picture"/>
        <xdr:cNvPicPr/>
      </xdr:nvPicPr>
      <xdr:blipFill>
        <a:blip r:embed="rId4"/>
        <a:stretch/>
      </xdr:blipFill>
      <xdr:spPr>
        <a:xfrm>
          <a:off x="661680" y="42148080"/>
          <a:ext cx="8191080" cy="2952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0</xdr:colOff>
      <xdr:row>366</xdr:row>
      <xdr:rowOff>0</xdr:rowOff>
    </xdr:from>
    <xdr:to>
      <xdr:col>24</xdr:col>
      <xdr:colOff>9720</xdr:colOff>
      <xdr:row>382</xdr:row>
      <xdr:rowOff>171360</xdr:rowOff>
    </xdr:to>
    <xdr:pic>
      <xdr:nvPicPr>
        <xdr:cNvPr id="16" name="Image 5" descr="Picture"/>
        <xdr:cNvPicPr/>
      </xdr:nvPicPr>
      <xdr:blipFill>
        <a:blip r:embed="rId5"/>
        <a:stretch/>
      </xdr:blipFill>
      <xdr:spPr>
        <a:xfrm>
          <a:off x="661680" y="66560760"/>
          <a:ext cx="8191080" cy="3066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0</xdr:colOff>
      <xdr:row>391</xdr:row>
      <xdr:rowOff>0</xdr:rowOff>
    </xdr:from>
    <xdr:to>
      <xdr:col>22</xdr:col>
      <xdr:colOff>248760</xdr:colOff>
      <xdr:row>404</xdr:row>
      <xdr:rowOff>75960</xdr:rowOff>
    </xdr:to>
    <xdr:pic>
      <xdr:nvPicPr>
        <xdr:cNvPr id="17" name="Image 6" descr="Picture"/>
        <xdr:cNvPicPr/>
      </xdr:nvPicPr>
      <xdr:blipFill>
        <a:blip r:embed="rId6"/>
        <a:stretch/>
      </xdr:blipFill>
      <xdr:spPr>
        <a:xfrm>
          <a:off x="661680" y="71085240"/>
          <a:ext cx="7619760" cy="24285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528</xdr:row>
      <xdr:rowOff>0</xdr:rowOff>
    </xdr:from>
    <xdr:to>
      <xdr:col>17</xdr:col>
      <xdr:colOff>370440</xdr:colOff>
      <xdr:row>567</xdr:row>
      <xdr:rowOff>141840</xdr:rowOff>
    </xdr:to>
    <xdr:graphicFrame>
      <xdr:nvGraphicFramePr>
        <xdr:cNvPr id="18" name="Chart 1"/>
        <xdr:cNvGraphicFramePr/>
      </xdr:nvGraphicFramePr>
      <xdr:xfrm>
        <a:off x="977760" y="95859720"/>
        <a:ext cx="5399640" cy="71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0</xdr:colOff>
      <xdr:row>24</xdr:row>
      <xdr:rowOff>0</xdr:rowOff>
    </xdr:from>
    <xdr:to>
      <xdr:col>24</xdr:col>
      <xdr:colOff>9720</xdr:colOff>
      <xdr:row>38</xdr:row>
      <xdr:rowOff>66240</xdr:rowOff>
    </xdr:to>
    <xdr:pic>
      <xdr:nvPicPr>
        <xdr:cNvPr id="19" name="Image 2" descr="Picture"/>
        <xdr:cNvPicPr/>
      </xdr:nvPicPr>
      <xdr:blipFill>
        <a:blip r:embed="rId2"/>
        <a:stretch/>
      </xdr:blipFill>
      <xdr:spPr>
        <a:xfrm>
          <a:off x="661680" y="4343400"/>
          <a:ext cx="8191080" cy="25999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0</xdr:colOff>
      <xdr:row>157</xdr:row>
      <xdr:rowOff>0</xdr:rowOff>
    </xdr:from>
    <xdr:to>
      <xdr:col>24</xdr:col>
      <xdr:colOff>9720</xdr:colOff>
      <xdr:row>167</xdr:row>
      <xdr:rowOff>114120</xdr:rowOff>
    </xdr:to>
    <xdr:pic>
      <xdr:nvPicPr>
        <xdr:cNvPr id="20" name="Image 3" descr="Picture"/>
        <xdr:cNvPicPr/>
      </xdr:nvPicPr>
      <xdr:blipFill>
        <a:blip r:embed="rId3"/>
        <a:stretch/>
      </xdr:blipFill>
      <xdr:spPr>
        <a:xfrm>
          <a:off x="661680" y="28575000"/>
          <a:ext cx="8191080" cy="1923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0</xdr:colOff>
      <xdr:row>232</xdr:row>
      <xdr:rowOff>0</xdr:rowOff>
    </xdr:from>
    <xdr:to>
      <xdr:col>24</xdr:col>
      <xdr:colOff>9720</xdr:colOff>
      <xdr:row>248</xdr:row>
      <xdr:rowOff>56880</xdr:rowOff>
    </xdr:to>
    <xdr:pic>
      <xdr:nvPicPr>
        <xdr:cNvPr id="21" name="Image 4" descr="Picture"/>
        <xdr:cNvPicPr/>
      </xdr:nvPicPr>
      <xdr:blipFill>
        <a:blip r:embed="rId4"/>
        <a:stretch/>
      </xdr:blipFill>
      <xdr:spPr>
        <a:xfrm>
          <a:off x="661680" y="42148080"/>
          <a:ext cx="8191080" cy="2952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0</xdr:colOff>
      <xdr:row>366</xdr:row>
      <xdr:rowOff>0</xdr:rowOff>
    </xdr:from>
    <xdr:to>
      <xdr:col>24</xdr:col>
      <xdr:colOff>9720</xdr:colOff>
      <xdr:row>382</xdr:row>
      <xdr:rowOff>171360</xdr:rowOff>
    </xdr:to>
    <xdr:pic>
      <xdr:nvPicPr>
        <xdr:cNvPr id="22" name="Image 5" descr="Picture"/>
        <xdr:cNvPicPr/>
      </xdr:nvPicPr>
      <xdr:blipFill>
        <a:blip r:embed="rId5"/>
        <a:stretch/>
      </xdr:blipFill>
      <xdr:spPr>
        <a:xfrm>
          <a:off x="661680" y="66560760"/>
          <a:ext cx="8191080" cy="3066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0</xdr:colOff>
      <xdr:row>391</xdr:row>
      <xdr:rowOff>0</xdr:rowOff>
    </xdr:from>
    <xdr:to>
      <xdr:col>22</xdr:col>
      <xdr:colOff>248760</xdr:colOff>
      <xdr:row>404</xdr:row>
      <xdr:rowOff>75960</xdr:rowOff>
    </xdr:to>
    <xdr:pic>
      <xdr:nvPicPr>
        <xdr:cNvPr id="23" name="Image 6" descr="Picture"/>
        <xdr:cNvPicPr/>
      </xdr:nvPicPr>
      <xdr:blipFill>
        <a:blip r:embed="rId6"/>
        <a:stretch/>
      </xdr:blipFill>
      <xdr:spPr>
        <a:xfrm>
          <a:off x="661680" y="71085240"/>
          <a:ext cx="7619760" cy="24285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528</xdr:row>
      <xdr:rowOff>0</xdr:rowOff>
    </xdr:from>
    <xdr:to>
      <xdr:col>17</xdr:col>
      <xdr:colOff>370440</xdr:colOff>
      <xdr:row>567</xdr:row>
      <xdr:rowOff>141840</xdr:rowOff>
    </xdr:to>
    <xdr:graphicFrame>
      <xdr:nvGraphicFramePr>
        <xdr:cNvPr id="24" name="Chart 1"/>
        <xdr:cNvGraphicFramePr/>
      </xdr:nvGraphicFramePr>
      <xdr:xfrm>
        <a:off x="977760" y="95859720"/>
        <a:ext cx="5399640" cy="71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0</xdr:colOff>
      <xdr:row>24</xdr:row>
      <xdr:rowOff>0</xdr:rowOff>
    </xdr:from>
    <xdr:to>
      <xdr:col>24</xdr:col>
      <xdr:colOff>9720</xdr:colOff>
      <xdr:row>38</xdr:row>
      <xdr:rowOff>66240</xdr:rowOff>
    </xdr:to>
    <xdr:pic>
      <xdr:nvPicPr>
        <xdr:cNvPr id="25" name="Image 2" descr="Picture"/>
        <xdr:cNvPicPr/>
      </xdr:nvPicPr>
      <xdr:blipFill>
        <a:blip r:embed="rId2"/>
        <a:stretch/>
      </xdr:blipFill>
      <xdr:spPr>
        <a:xfrm>
          <a:off x="661680" y="4343400"/>
          <a:ext cx="8191080" cy="25999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0</xdr:colOff>
      <xdr:row>157</xdr:row>
      <xdr:rowOff>0</xdr:rowOff>
    </xdr:from>
    <xdr:to>
      <xdr:col>24</xdr:col>
      <xdr:colOff>9720</xdr:colOff>
      <xdr:row>167</xdr:row>
      <xdr:rowOff>114120</xdr:rowOff>
    </xdr:to>
    <xdr:pic>
      <xdr:nvPicPr>
        <xdr:cNvPr id="26" name="Image 3" descr="Picture"/>
        <xdr:cNvPicPr/>
      </xdr:nvPicPr>
      <xdr:blipFill>
        <a:blip r:embed="rId3"/>
        <a:stretch/>
      </xdr:blipFill>
      <xdr:spPr>
        <a:xfrm>
          <a:off x="661680" y="28575000"/>
          <a:ext cx="8191080" cy="1923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0</xdr:colOff>
      <xdr:row>232</xdr:row>
      <xdr:rowOff>0</xdr:rowOff>
    </xdr:from>
    <xdr:to>
      <xdr:col>24</xdr:col>
      <xdr:colOff>9720</xdr:colOff>
      <xdr:row>248</xdr:row>
      <xdr:rowOff>56880</xdr:rowOff>
    </xdr:to>
    <xdr:pic>
      <xdr:nvPicPr>
        <xdr:cNvPr id="27" name="Image 4" descr="Picture"/>
        <xdr:cNvPicPr/>
      </xdr:nvPicPr>
      <xdr:blipFill>
        <a:blip r:embed="rId4"/>
        <a:stretch/>
      </xdr:blipFill>
      <xdr:spPr>
        <a:xfrm>
          <a:off x="661680" y="42148080"/>
          <a:ext cx="8191080" cy="2952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0</xdr:colOff>
      <xdr:row>366</xdr:row>
      <xdr:rowOff>0</xdr:rowOff>
    </xdr:from>
    <xdr:to>
      <xdr:col>24</xdr:col>
      <xdr:colOff>9720</xdr:colOff>
      <xdr:row>382</xdr:row>
      <xdr:rowOff>171360</xdr:rowOff>
    </xdr:to>
    <xdr:pic>
      <xdr:nvPicPr>
        <xdr:cNvPr id="28" name="Image 5" descr="Picture"/>
        <xdr:cNvPicPr/>
      </xdr:nvPicPr>
      <xdr:blipFill>
        <a:blip r:embed="rId5"/>
        <a:stretch/>
      </xdr:blipFill>
      <xdr:spPr>
        <a:xfrm>
          <a:off x="661680" y="66560760"/>
          <a:ext cx="8191080" cy="3066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0</xdr:colOff>
      <xdr:row>391</xdr:row>
      <xdr:rowOff>0</xdr:rowOff>
    </xdr:from>
    <xdr:to>
      <xdr:col>22</xdr:col>
      <xdr:colOff>248760</xdr:colOff>
      <xdr:row>404</xdr:row>
      <xdr:rowOff>75960</xdr:rowOff>
    </xdr:to>
    <xdr:pic>
      <xdr:nvPicPr>
        <xdr:cNvPr id="29" name="Image 6" descr="Picture"/>
        <xdr:cNvPicPr/>
      </xdr:nvPicPr>
      <xdr:blipFill>
        <a:blip r:embed="rId6"/>
        <a:stretch/>
      </xdr:blipFill>
      <xdr:spPr>
        <a:xfrm>
          <a:off x="661680" y="71085240"/>
          <a:ext cx="7619760" cy="242856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AF73"/>
  <sheetViews>
    <sheetView showFormulas="false" showGridLines="false" showRowColHeaders="true" showZeros="true" rightToLeft="false" tabSelected="false" showOutlineSymbols="true" defaultGridColor="true" view="normal" topLeftCell="A10" colorId="64" zoomScale="85" zoomScaleNormal="85" zoomScalePageLayoutView="100" workbookViewId="0">
      <selection pane="topLeft" activeCell="A22" activeCellId="0" sqref="A22"/>
    </sheetView>
  </sheetViews>
  <sheetFormatPr defaultColWidth="8.5390625" defaultRowHeight="14.25" zeroHeight="false" outlineLevelRow="0" outlineLevelCol="0"/>
  <cols>
    <col collapsed="false" customWidth="true" hidden="false" outlineLevel="0" max="1" min="1" style="0" width="3.44"/>
    <col collapsed="false" customWidth="true" hidden="false" outlineLevel="0" max="2" min="2" style="0" width="4"/>
    <col collapsed="false" customWidth="true" hidden="false" outlineLevel="0" max="9" min="3" style="0" width="3.56"/>
    <col collapsed="false" customWidth="true" hidden="false" outlineLevel="0" max="10" min="10" style="0" width="3.89"/>
    <col collapsed="false" customWidth="true" hidden="false" outlineLevel="0" max="11" min="11" style="0" width="4"/>
    <col collapsed="false" customWidth="true" hidden="false" outlineLevel="0" max="31" min="12" style="0" width="4.56"/>
    <col collapsed="false" customWidth="true" hidden="false" outlineLevel="0" max="32" min="32" style="0" width="3.44"/>
  </cols>
  <sheetData>
    <row r="2" customFormat="false" ht="14.25" hidden="false" customHeight="true" outlineLevel="0" collapsed="false">
      <c r="B2" s="1"/>
      <c r="C2" s="2" t="s">
        <v>0</v>
      </c>
      <c r="D2" s="2"/>
      <c r="E2" s="2"/>
      <c r="F2" s="2"/>
      <c r="G2" s="2"/>
      <c r="H2" s="3" t="s">
        <v>1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4" t="s">
        <v>2</v>
      </c>
      <c r="Y2" s="4"/>
      <c r="Z2" s="4"/>
      <c r="AA2" s="4"/>
      <c r="AB2" s="5" t="s">
        <v>3</v>
      </c>
      <c r="AC2" s="5"/>
      <c r="AD2" s="5"/>
      <c r="AE2" s="5"/>
      <c r="AF2" s="6"/>
    </row>
    <row r="3" customFormat="false" ht="14.25" hidden="false" customHeight="true" outlineLevel="0" collapsed="false">
      <c r="B3" s="7"/>
      <c r="C3" s="8" t="s">
        <v>4</v>
      </c>
      <c r="D3" s="8"/>
      <c r="E3" s="8"/>
      <c r="F3" s="8"/>
      <c r="G3" s="8"/>
      <c r="H3" s="9" t="s">
        <v>5</v>
      </c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10" t="s">
        <v>6</v>
      </c>
      <c r="Y3" s="10"/>
      <c r="Z3" s="10"/>
      <c r="AA3" s="10"/>
      <c r="AB3" s="11" t="n">
        <v>46301</v>
      </c>
      <c r="AC3" s="11"/>
      <c r="AD3" s="11"/>
      <c r="AE3" s="11"/>
      <c r="AF3" s="12"/>
    </row>
    <row r="4" customFormat="false" ht="14.25" hidden="false" customHeight="true" outlineLevel="0" collapsed="false">
      <c r="B4" s="7"/>
      <c r="C4" s="8" t="s">
        <v>7</v>
      </c>
      <c r="D4" s="8"/>
      <c r="E4" s="8"/>
      <c r="F4" s="8"/>
      <c r="G4" s="8"/>
      <c r="H4" s="9" t="s">
        <v>8</v>
      </c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10" t="s">
        <v>9</v>
      </c>
      <c r="Y4" s="10"/>
      <c r="Z4" s="10"/>
      <c r="AA4" s="10"/>
      <c r="AB4" s="11" t="s">
        <v>3</v>
      </c>
      <c r="AC4" s="11"/>
      <c r="AD4" s="11"/>
      <c r="AE4" s="11"/>
      <c r="AF4" s="12"/>
    </row>
    <row r="5" customFormat="false" ht="14.25" hidden="false" customHeight="true" outlineLevel="0" collapsed="false">
      <c r="B5" s="13"/>
      <c r="C5" s="14" t="s">
        <v>10</v>
      </c>
      <c r="D5" s="14"/>
      <c r="E5" s="14"/>
      <c r="F5" s="14"/>
      <c r="G5" s="14"/>
      <c r="H5" s="15" t="s">
        <v>11</v>
      </c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6" t="s">
        <v>12</v>
      </c>
      <c r="Y5" s="16"/>
      <c r="Z5" s="16"/>
      <c r="AA5" s="16"/>
      <c r="AB5" s="17" t="n">
        <v>46301</v>
      </c>
      <c r="AC5" s="17"/>
      <c r="AD5" s="17"/>
      <c r="AE5" s="17"/>
      <c r="AF5" s="18"/>
    </row>
    <row r="6" customFormat="false" ht="14.25" hidden="false" customHeight="false" outlineLevel="0" collapsed="false">
      <c r="B6" s="7"/>
      <c r="AF6" s="12"/>
    </row>
    <row r="7" customFormat="false" ht="14.25" hidden="false" customHeight="false" outlineLevel="0" collapsed="false">
      <c r="B7" s="7"/>
      <c r="C7" s="9" t="s">
        <v>13</v>
      </c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12"/>
    </row>
    <row r="8" customFormat="false" ht="14.25" hidden="false" customHeight="false" outlineLevel="0" collapsed="false">
      <c r="B8" s="7"/>
      <c r="C8" s="19" t="s">
        <v>14</v>
      </c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2"/>
    </row>
    <row r="9" customFormat="false" ht="14.25" hidden="false" customHeight="false" outlineLevel="0" collapsed="false">
      <c r="B9" s="7"/>
      <c r="AF9" s="12"/>
    </row>
    <row r="10" customFormat="false" ht="14.25" hidden="false" customHeight="false" outlineLevel="0" collapsed="false">
      <c r="B10" s="7"/>
      <c r="C10" s="9" t="s">
        <v>15</v>
      </c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12"/>
    </row>
    <row r="11" customFormat="false" ht="14.25" hidden="false" customHeight="true" outlineLevel="0" collapsed="false">
      <c r="B11" s="7"/>
      <c r="C11" s="20" t="s">
        <v>16</v>
      </c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1" t="s">
        <v>17</v>
      </c>
      <c r="P11" s="21"/>
      <c r="Q11" s="21"/>
      <c r="R11" s="21"/>
      <c r="S11" s="21"/>
      <c r="T11" s="21"/>
      <c r="U11" s="21"/>
      <c r="V11" s="21"/>
      <c r="W11" s="21"/>
      <c r="X11" s="22" t="s">
        <v>18</v>
      </c>
      <c r="Y11" s="22"/>
      <c r="Z11" s="22"/>
      <c r="AA11" s="23" t="n">
        <v>2</v>
      </c>
      <c r="AB11" s="23"/>
      <c r="AC11" s="23"/>
      <c r="AD11" s="20" t="s">
        <v>19</v>
      </c>
      <c r="AE11" s="20"/>
      <c r="AF11" s="12"/>
    </row>
    <row r="12" customFormat="false" ht="14.25" hidden="false" customHeight="true" outlineLevel="0" collapsed="false">
      <c r="B12" s="7"/>
      <c r="C12" s="20" t="s">
        <v>20</v>
      </c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1" t="s">
        <v>21</v>
      </c>
      <c r="P12" s="21"/>
      <c r="Q12" s="21"/>
      <c r="R12" s="21"/>
      <c r="S12" s="21"/>
      <c r="T12" s="21"/>
      <c r="U12" s="21"/>
      <c r="V12" s="21"/>
      <c r="W12" s="21"/>
      <c r="X12" s="22" t="s">
        <v>22</v>
      </c>
      <c r="Y12" s="22"/>
      <c r="Z12" s="22"/>
      <c r="AA12" s="23" t="n">
        <v>18</v>
      </c>
      <c r="AB12" s="23"/>
      <c r="AC12" s="23"/>
      <c r="AD12" s="20" t="s">
        <v>23</v>
      </c>
      <c r="AE12" s="20"/>
      <c r="AF12" s="12"/>
    </row>
    <row r="13" customFormat="false" ht="14.25" hidden="false" customHeight="true" outlineLevel="0" collapsed="false">
      <c r="B13" s="7"/>
      <c r="C13" s="20" t="s">
        <v>24</v>
      </c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1" t="s">
        <v>17</v>
      </c>
      <c r="P13" s="21"/>
      <c r="Q13" s="21"/>
      <c r="R13" s="21"/>
      <c r="S13" s="21"/>
      <c r="T13" s="21"/>
      <c r="U13" s="21"/>
      <c r="V13" s="21"/>
      <c r="W13" s="21"/>
      <c r="X13" s="22" t="s">
        <v>25</v>
      </c>
      <c r="Y13" s="22"/>
      <c r="Z13" s="22"/>
      <c r="AA13" s="23" t="n">
        <v>100</v>
      </c>
      <c r="AB13" s="23"/>
      <c r="AC13" s="23"/>
      <c r="AD13" s="20" t="s">
        <v>26</v>
      </c>
      <c r="AE13" s="20"/>
      <c r="AF13" s="12"/>
    </row>
    <row r="14" customFormat="false" ht="14.25" hidden="false" customHeight="true" outlineLevel="0" collapsed="false">
      <c r="B14" s="7"/>
      <c r="C14" s="20" t="s">
        <v>27</v>
      </c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1" t="s">
        <v>28</v>
      </c>
      <c r="P14" s="21"/>
      <c r="Q14" s="21"/>
      <c r="R14" s="21"/>
      <c r="S14" s="21"/>
      <c r="T14" s="21"/>
      <c r="U14" s="21"/>
      <c r="V14" s="21"/>
      <c r="W14" s="21"/>
      <c r="X14" s="22" t="s">
        <v>29</v>
      </c>
      <c r="Y14" s="22"/>
      <c r="Z14" s="22"/>
      <c r="AA14" s="24" t="n">
        <f aca="false">$AA$11*$AA$12+$AA$13</f>
        <v>136</v>
      </c>
      <c r="AB14" s="24"/>
      <c r="AC14" s="24"/>
      <c r="AD14" s="20" t="s">
        <v>26</v>
      </c>
      <c r="AE14" s="20"/>
      <c r="AF14" s="12"/>
    </row>
    <row r="15" customFormat="false" ht="14.25" hidden="false" customHeight="true" outlineLevel="0" collapsed="false">
      <c r="B15" s="7"/>
      <c r="C15" s="20" t="s">
        <v>30</v>
      </c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1" t="s">
        <v>17</v>
      </c>
      <c r="P15" s="21"/>
      <c r="Q15" s="21"/>
      <c r="R15" s="21"/>
      <c r="S15" s="21"/>
      <c r="T15" s="21"/>
      <c r="U15" s="21"/>
      <c r="V15" s="21"/>
      <c r="W15" s="21"/>
      <c r="X15" s="22" t="s">
        <v>31</v>
      </c>
      <c r="Y15" s="22"/>
      <c r="Z15" s="22"/>
      <c r="AA15" s="23" t="n">
        <v>74</v>
      </c>
      <c r="AB15" s="23"/>
      <c r="AC15" s="23"/>
      <c r="AD15" s="20" t="s">
        <v>19</v>
      </c>
      <c r="AE15" s="20"/>
      <c r="AF15" s="12"/>
    </row>
    <row r="16" customFormat="false" ht="14.25" hidden="false" customHeight="true" outlineLevel="0" collapsed="false">
      <c r="B16" s="7"/>
      <c r="C16" s="20" t="s">
        <v>32</v>
      </c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1" t="s">
        <v>17</v>
      </c>
      <c r="P16" s="21"/>
      <c r="Q16" s="21"/>
      <c r="R16" s="21"/>
      <c r="S16" s="21"/>
      <c r="T16" s="21"/>
      <c r="U16" s="21"/>
      <c r="V16" s="21"/>
      <c r="W16" s="21"/>
      <c r="X16" s="22" t="s">
        <v>33</v>
      </c>
      <c r="Y16" s="22"/>
      <c r="Z16" s="22"/>
      <c r="AA16" s="23" t="n">
        <v>202</v>
      </c>
      <c r="AB16" s="23"/>
      <c r="AC16" s="23"/>
      <c r="AD16" s="20" t="s">
        <v>19</v>
      </c>
      <c r="AE16" s="20"/>
      <c r="AF16" s="12"/>
    </row>
    <row r="17" customFormat="false" ht="14.25" hidden="false" customHeight="false" outlineLevel="0" collapsed="false">
      <c r="B17" s="7"/>
      <c r="AF17" s="12"/>
    </row>
    <row r="18" customFormat="false" ht="14.25" hidden="false" customHeight="false" outlineLevel="0" collapsed="false">
      <c r="B18" s="7"/>
      <c r="C18" s="9" t="s">
        <v>34</v>
      </c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12"/>
    </row>
    <row r="19" customFormat="false" ht="14.25" hidden="false" customHeight="true" outlineLevel="0" collapsed="false">
      <c r="B19" s="7"/>
      <c r="C19" s="20" t="s">
        <v>35</v>
      </c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1" t="s">
        <v>36</v>
      </c>
      <c r="P19" s="21"/>
      <c r="Q19" s="21"/>
      <c r="R19" s="21"/>
      <c r="S19" s="21"/>
      <c r="T19" s="21"/>
      <c r="U19" s="21"/>
      <c r="V19" s="21"/>
      <c r="W19" s="21"/>
      <c r="X19" s="22" t="s">
        <v>37</v>
      </c>
      <c r="Y19" s="22"/>
      <c r="Z19" s="22"/>
      <c r="AA19" s="23" t="n">
        <v>3</v>
      </c>
      <c r="AB19" s="23"/>
      <c r="AC19" s="23"/>
      <c r="AD19" s="20" t="s">
        <v>38</v>
      </c>
      <c r="AE19" s="20"/>
      <c r="AF19" s="12"/>
    </row>
    <row r="20" customFormat="false" ht="14.25" hidden="false" customHeight="true" outlineLevel="0" collapsed="false">
      <c r="B20" s="7"/>
      <c r="C20" s="20" t="s">
        <v>39</v>
      </c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1"/>
      <c r="P20" s="21"/>
      <c r="Q20" s="21"/>
      <c r="R20" s="21"/>
      <c r="S20" s="21"/>
      <c r="T20" s="21"/>
      <c r="U20" s="21"/>
      <c r="V20" s="21"/>
      <c r="W20" s="21"/>
      <c r="X20" s="22" t="s">
        <v>40</v>
      </c>
      <c r="Y20" s="22"/>
      <c r="Z20" s="22"/>
      <c r="AA20" s="23" t="n">
        <v>5</v>
      </c>
      <c r="AB20" s="23"/>
      <c r="AC20" s="23"/>
      <c r="AD20" s="20" t="s">
        <v>19</v>
      </c>
      <c r="AE20" s="20"/>
      <c r="AF20" s="12"/>
    </row>
    <row r="21" customFormat="false" ht="14.25" hidden="false" customHeight="true" outlineLevel="0" collapsed="false">
      <c r="B21" s="7"/>
      <c r="C21" s="20" t="s">
        <v>41</v>
      </c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1"/>
      <c r="P21" s="21"/>
      <c r="Q21" s="21"/>
      <c r="R21" s="21"/>
      <c r="S21" s="21"/>
      <c r="T21" s="21"/>
      <c r="U21" s="21"/>
      <c r="V21" s="21"/>
      <c r="W21" s="21"/>
      <c r="X21" s="22" t="s">
        <v>42</v>
      </c>
      <c r="Y21" s="22"/>
      <c r="Z21" s="22"/>
      <c r="AA21" s="23" t="n">
        <v>0.2</v>
      </c>
      <c r="AB21" s="23"/>
      <c r="AC21" s="23"/>
      <c r="AD21" s="20" t="s">
        <v>38</v>
      </c>
      <c r="AE21" s="20"/>
      <c r="AF21" s="12"/>
    </row>
    <row r="22" customFormat="false" ht="14.25" hidden="true" customHeight="true" outlineLevel="0" collapsed="false">
      <c r="B22" s="7"/>
      <c r="C22" s="20" t="s">
        <v>43</v>
      </c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1"/>
      <c r="P22" s="21"/>
      <c r="Q22" s="21"/>
      <c r="R22" s="21"/>
      <c r="S22" s="21"/>
      <c r="T22" s="21"/>
      <c r="U22" s="21"/>
      <c r="V22" s="21"/>
      <c r="W22" s="21"/>
      <c r="X22" s="22" t="s">
        <v>44</v>
      </c>
      <c r="Y22" s="22"/>
      <c r="Z22" s="22"/>
      <c r="AA22" s="23" t="n">
        <v>100</v>
      </c>
      <c r="AB22" s="23"/>
      <c r="AC22" s="23"/>
      <c r="AD22" s="20" t="s">
        <v>45</v>
      </c>
      <c r="AE22" s="20"/>
      <c r="AF22" s="12"/>
    </row>
    <row r="23" customFormat="false" ht="14.25" hidden="false" customHeight="true" outlineLevel="0" collapsed="false">
      <c r="B23" s="7"/>
      <c r="C23" s="20" t="s">
        <v>46</v>
      </c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1" t="s">
        <v>47</v>
      </c>
      <c r="P23" s="21"/>
      <c r="Q23" s="21"/>
      <c r="R23" s="21"/>
      <c r="S23" s="21"/>
      <c r="T23" s="21"/>
      <c r="U23" s="21"/>
      <c r="V23" s="21"/>
      <c r="W23" s="21"/>
      <c r="X23" s="22" t="s">
        <v>48</v>
      </c>
      <c r="Y23" s="22"/>
      <c r="Z23" s="22"/>
      <c r="AA23" s="25" t="n">
        <v>2</v>
      </c>
      <c r="AB23" s="25"/>
      <c r="AC23" s="25"/>
      <c r="AD23" s="20" t="s">
        <v>38</v>
      </c>
      <c r="AE23" s="20"/>
      <c r="AF23" s="12"/>
    </row>
    <row r="24" customFormat="false" ht="14.25" hidden="false" customHeight="true" outlineLevel="0" collapsed="false">
      <c r="B24" s="7"/>
      <c r="C24" s="20" t="s">
        <v>49</v>
      </c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1" t="s">
        <v>50</v>
      </c>
      <c r="P24" s="21"/>
      <c r="Q24" s="21"/>
      <c r="R24" s="21"/>
      <c r="S24" s="21"/>
      <c r="T24" s="21"/>
      <c r="U24" s="21"/>
      <c r="V24" s="21"/>
      <c r="W24" s="21"/>
      <c r="X24" s="22" t="s">
        <v>51</v>
      </c>
      <c r="Y24" s="22"/>
      <c r="Z24" s="22"/>
      <c r="AA24" s="23" t="n">
        <v>1.5</v>
      </c>
      <c r="AB24" s="23"/>
      <c r="AC24" s="23"/>
      <c r="AD24" s="20" t="s">
        <v>38</v>
      </c>
      <c r="AE24" s="20"/>
      <c r="AF24" s="12"/>
    </row>
    <row r="25" customFormat="false" ht="14.25" hidden="false" customHeight="true" outlineLevel="0" collapsed="false">
      <c r="B25" s="7"/>
      <c r="C25" s="20" t="s">
        <v>52</v>
      </c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1" t="s">
        <v>53</v>
      </c>
      <c r="P25" s="21"/>
      <c r="Q25" s="21"/>
      <c r="R25" s="21"/>
      <c r="S25" s="21"/>
      <c r="T25" s="21"/>
      <c r="U25" s="21"/>
      <c r="V25" s="21"/>
      <c r="W25" s="21"/>
      <c r="X25" s="22" t="s">
        <v>54</v>
      </c>
      <c r="Y25" s="22"/>
      <c r="Z25" s="22"/>
      <c r="AA25" s="25" t="n">
        <v>0</v>
      </c>
      <c r="AB25" s="25"/>
      <c r="AC25" s="25"/>
      <c r="AD25" s="20" t="s">
        <v>38</v>
      </c>
      <c r="AE25" s="20"/>
      <c r="AF25" s="12"/>
    </row>
    <row r="26" customFormat="false" ht="14.25" hidden="false" customHeight="false" outlineLevel="0" collapsed="false">
      <c r="B26" s="7"/>
      <c r="AF26" s="12"/>
    </row>
    <row r="27" customFormat="false" ht="14.25" hidden="false" customHeight="false" outlineLevel="0" collapsed="false">
      <c r="B27" s="7"/>
      <c r="C27" s="9" t="s">
        <v>55</v>
      </c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12"/>
    </row>
    <row r="28" customFormat="false" ht="14.25" hidden="false" customHeight="true" outlineLevel="0" collapsed="false">
      <c r="B28" s="7"/>
      <c r="C28" s="20" t="s">
        <v>56</v>
      </c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1"/>
      <c r="P28" s="21"/>
      <c r="Q28" s="21"/>
      <c r="R28" s="21"/>
      <c r="S28" s="21"/>
      <c r="T28" s="21"/>
      <c r="U28" s="21"/>
      <c r="V28" s="21"/>
      <c r="W28" s="21"/>
      <c r="X28" s="22" t="s">
        <v>57</v>
      </c>
      <c r="Y28" s="22"/>
      <c r="Z28" s="22"/>
      <c r="AA28" s="23" t="n">
        <v>19</v>
      </c>
      <c r="AB28" s="23"/>
      <c r="AC28" s="23"/>
      <c r="AD28" s="20" t="s">
        <v>23</v>
      </c>
      <c r="AE28" s="20"/>
      <c r="AF28" s="12"/>
    </row>
    <row r="29" customFormat="false" ht="14.25" hidden="false" customHeight="true" outlineLevel="0" collapsed="false">
      <c r="B29" s="7"/>
      <c r="C29" s="20" t="s">
        <v>58</v>
      </c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1"/>
      <c r="P29" s="21"/>
      <c r="Q29" s="21"/>
      <c r="R29" s="21"/>
      <c r="S29" s="21"/>
      <c r="T29" s="21"/>
      <c r="U29" s="21"/>
      <c r="V29" s="21"/>
      <c r="W29" s="21"/>
      <c r="X29" s="22" t="s">
        <v>59</v>
      </c>
      <c r="Y29" s="22"/>
      <c r="Z29" s="22"/>
      <c r="AA29" s="23" t="n">
        <v>25</v>
      </c>
      <c r="AB29" s="23"/>
      <c r="AC29" s="23"/>
      <c r="AD29" s="20" t="s">
        <v>60</v>
      </c>
      <c r="AE29" s="20"/>
      <c r="AF29" s="12"/>
    </row>
    <row r="30" customFormat="false" ht="14.25" hidden="false" customHeight="false" outlineLevel="0" collapsed="false">
      <c r="B30" s="7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2"/>
    </row>
    <row r="31" customFormat="false" ht="14.25" hidden="false" customHeight="false" outlineLevel="0" collapsed="false">
      <c r="B31" s="7"/>
      <c r="AF31" s="12"/>
    </row>
    <row r="32" customFormat="false" ht="14.25" hidden="false" customHeight="false" outlineLevel="0" collapsed="false">
      <c r="B32" s="7"/>
      <c r="C32" s="9" t="s">
        <v>61</v>
      </c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12"/>
    </row>
    <row r="33" customFormat="false" ht="14.25" hidden="false" customHeight="false" outlineLevel="0" collapsed="false">
      <c r="B33" s="7"/>
      <c r="AF33" s="12"/>
    </row>
    <row r="34" customFormat="false" ht="14.25" hidden="false" customHeight="true" outlineLevel="0" collapsed="false">
      <c r="B34" s="7"/>
      <c r="C34" s="20" t="s">
        <v>62</v>
      </c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1" t="s">
        <v>63</v>
      </c>
      <c r="P34" s="21"/>
      <c r="Q34" s="21"/>
      <c r="R34" s="21"/>
      <c r="S34" s="21"/>
      <c r="T34" s="21"/>
      <c r="U34" s="21"/>
      <c r="V34" s="21"/>
      <c r="W34" s="21"/>
      <c r="X34" s="22" t="s">
        <v>64</v>
      </c>
      <c r="Y34" s="22"/>
      <c r="Z34" s="22"/>
      <c r="AA34" s="23" t="n">
        <v>5</v>
      </c>
      <c r="AB34" s="23"/>
      <c r="AC34" s="23"/>
      <c r="AD34" s="20" t="s">
        <v>26</v>
      </c>
      <c r="AE34" s="20"/>
      <c r="AF34" s="12"/>
    </row>
    <row r="35" customFormat="false" ht="14.25" hidden="false" customHeight="true" outlineLevel="0" collapsed="false">
      <c r="B35" s="7"/>
      <c r="C35" s="20" t="s">
        <v>65</v>
      </c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1" t="s">
        <v>66</v>
      </c>
      <c r="P35" s="21"/>
      <c r="Q35" s="21"/>
      <c r="R35" s="21"/>
      <c r="S35" s="21"/>
      <c r="T35" s="21"/>
      <c r="U35" s="21"/>
      <c r="V35" s="21"/>
      <c r="W35" s="21"/>
      <c r="X35" s="22" t="s">
        <v>67</v>
      </c>
      <c r="Y35" s="22"/>
      <c r="Z35" s="22"/>
      <c r="AA35" s="26" t="n">
        <v>1.083</v>
      </c>
      <c r="AB35" s="26"/>
      <c r="AC35" s="26"/>
      <c r="AD35" s="20" t="s">
        <v>38</v>
      </c>
      <c r="AE35" s="20"/>
      <c r="AF35" s="12"/>
    </row>
    <row r="36" customFormat="false" ht="14.25" hidden="false" customHeight="true" outlineLevel="0" collapsed="false">
      <c r="B36" s="7"/>
      <c r="C36" s="20" t="s">
        <v>68</v>
      </c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1" t="s">
        <v>69</v>
      </c>
      <c r="P36" s="21"/>
      <c r="Q36" s="21"/>
      <c r="R36" s="21"/>
      <c r="S36" s="21"/>
      <c r="T36" s="21"/>
      <c r="U36" s="21"/>
      <c r="V36" s="21"/>
      <c r="W36" s="21"/>
      <c r="X36" s="22" t="s">
        <v>64</v>
      </c>
      <c r="Y36" s="22"/>
      <c r="Z36" s="22"/>
      <c r="AA36" s="27" t="n">
        <v>1000</v>
      </c>
      <c r="AB36" s="27"/>
      <c r="AC36" s="27"/>
      <c r="AD36" s="20" t="s">
        <v>26</v>
      </c>
      <c r="AE36" s="20"/>
      <c r="AF36" s="12"/>
    </row>
    <row r="37" customFormat="false" ht="14.25" hidden="false" customHeight="true" outlineLevel="0" collapsed="false">
      <c r="B37" s="7"/>
      <c r="C37" s="20" t="s">
        <v>70</v>
      </c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1" t="s">
        <v>71</v>
      </c>
      <c r="P37" s="21"/>
      <c r="Q37" s="21"/>
      <c r="R37" s="21"/>
      <c r="S37" s="21"/>
      <c r="T37" s="21"/>
      <c r="U37" s="21"/>
      <c r="V37" s="21"/>
      <c r="W37" s="21"/>
      <c r="X37" s="22" t="s">
        <v>64</v>
      </c>
      <c r="Y37" s="22"/>
      <c r="Z37" s="22"/>
      <c r="AA37" s="27" t="n">
        <v>500</v>
      </c>
      <c r="AB37" s="27"/>
      <c r="AC37" s="27"/>
      <c r="AD37" s="20" t="s">
        <v>38</v>
      </c>
      <c r="AE37" s="20"/>
      <c r="AF37" s="12"/>
    </row>
    <row r="38" customFormat="false" ht="14.25" hidden="false" customHeight="true" outlineLevel="0" collapsed="false">
      <c r="B38" s="7"/>
      <c r="C38" s="20" t="s">
        <v>72</v>
      </c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1" t="s">
        <v>73</v>
      </c>
      <c r="P38" s="21"/>
      <c r="Q38" s="21"/>
      <c r="R38" s="21"/>
      <c r="S38" s="21"/>
      <c r="T38" s="21"/>
      <c r="U38" s="21"/>
      <c r="V38" s="21"/>
      <c r="W38" s="21"/>
      <c r="X38" s="22" t="s">
        <v>74</v>
      </c>
      <c r="Y38" s="22"/>
      <c r="Z38" s="22"/>
      <c r="AA38" s="23" t="n">
        <v>0.3</v>
      </c>
      <c r="AB38" s="23"/>
      <c r="AC38" s="23"/>
      <c r="AD38" s="20" t="s">
        <v>38</v>
      </c>
      <c r="AE38" s="20"/>
      <c r="AF38" s="12"/>
    </row>
    <row r="39" customFormat="false" ht="14.25" hidden="false" customHeight="true" outlineLevel="0" collapsed="false">
      <c r="B39" s="7"/>
      <c r="C39" s="20" t="s">
        <v>75</v>
      </c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1" t="s">
        <v>76</v>
      </c>
      <c r="P39" s="21"/>
      <c r="Q39" s="21"/>
      <c r="R39" s="21"/>
      <c r="S39" s="21"/>
      <c r="T39" s="21"/>
      <c r="U39" s="21"/>
      <c r="V39" s="21"/>
      <c r="W39" s="21"/>
      <c r="X39" s="22" t="s">
        <v>77</v>
      </c>
      <c r="Y39" s="22"/>
      <c r="Z39" s="22"/>
      <c r="AA39" s="23" t="n">
        <v>0.2</v>
      </c>
      <c r="AB39" s="23"/>
      <c r="AC39" s="23"/>
      <c r="AD39" s="20" t="s">
        <v>38</v>
      </c>
      <c r="AE39" s="20"/>
      <c r="AF39" s="12"/>
    </row>
    <row r="40" customFormat="false" ht="14.25" hidden="false" customHeight="true" outlineLevel="0" collapsed="false">
      <c r="B40" s="7"/>
      <c r="C40" s="20" t="s">
        <v>78</v>
      </c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1" t="s">
        <v>79</v>
      </c>
      <c r="P40" s="21"/>
      <c r="Q40" s="21"/>
      <c r="R40" s="21"/>
      <c r="S40" s="21"/>
      <c r="T40" s="21"/>
      <c r="U40" s="21"/>
      <c r="V40" s="21"/>
      <c r="W40" s="21"/>
      <c r="X40" s="22" t="s">
        <v>42</v>
      </c>
      <c r="Y40" s="22"/>
      <c r="Z40" s="22"/>
      <c r="AA40" s="23" t="n">
        <v>0.22</v>
      </c>
      <c r="AB40" s="23"/>
      <c r="AC40" s="23"/>
      <c r="AD40" s="20" t="s">
        <v>38</v>
      </c>
      <c r="AE40" s="20"/>
      <c r="AF40" s="12"/>
    </row>
    <row r="41" customFormat="false" ht="14.25" hidden="false" customHeight="true" outlineLevel="0" collapsed="false">
      <c r="B41" s="7"/>
      <c r="C41" s="20" t="s">
        <v>80</v>
      </c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1" t="s">
        <v>81</v>
      </c>
      <c r="P41" s="21"/>
      <c r="Q41" s="21"/>
      <c r="R41" s="21"/>
      <c r="S41" s="21"/>
      <c r="T41" s="21"/>
      <c r="U41" s="21"/>
      <c r="V41" s="21"/>
      <c r="W41" s="21"/>
      <c r="X41" s="22" t="s">
        <v>82</v>
      </c>
      <c r="Y41" s="22"/>
      <c r="Z41" s="22"/>
      <c r="AA41" s="26" t="n">
        <v>0.848</v>
      </c>
      <c r="AB41" s="26"/>
      <c r="AC41" s="26"/>
      <c r="AD41" s="20" t="s">
        <v>38</v>
      </c>
      <c r="AE41" s="20"/>
      <c r="AF41" s="12"/>
    </row>
    <row r="42" customFormat="false" ht="14.25" hidden="false" customHeight="false" outlineLevel="0" collapsed="false">
      <c r="B42" s="7"/>
      <c r="AF42" s="12"/>
    </row>
    <row r="43" customFormat="false" ht="14.25" hidden="false" customHeight="false" outlineLevel="0" collapsed="false">
      <c r="B43" s="7"/>
      <c r="C43" s="19" t="s">
        <v>83</v>
      </c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2"/>
    </row>
    <row r="44" customFormat="false" ht="14.25" hidden="false" customHeight="false" outlineLevel="0" collapsed="false">
      <c r="B44" s="7"/>
      <c r="C44" s="19" t="s">
        <v>84</v>
      </c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2"/>
    </row>
    <row r="45" customFormat="false" ht="14.25" hidden="false" customHeight="false" outlineLevel="0" collapsed="false">
      <c r="B45" s="7"/>
      <c r="C45" s="19" t="s">
        <v>85</v>
      </c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2"/>
    </row>
    <row r="46" customFormat="false" ht="14.25" hidden="false" customHeight="false" outlineLevel="0" collapsed="false">
      <c r="B46" s="7"/>
      <c r="C46" s="19" t="s">
        <v>86</v>
      </c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2"/>
    </row>
    <row r="47" customFormat="false" ht="14.25" hidden="false" customHeight="false" outlineLevel="0" collapsed="false">
      <c r="B47" s="7"/>
      <c r="AF47" s="12"/>
    </row>
    <row r="48" customFormat="false" ht="14.25" hidden="false" customHeight="false" outlineLevel="0" collapsed="false">
      <c r="B48" s="7"/>
      <c r="C48" s="9" t="s">
        <v>87</v>
      </c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12"/>
    </row>
    <row r="49" customFormat="false" ht="27" hidden="false" customHeight="true" outlineLevel="0" collapsed="false">
      <c r="B49" s="7"/>
      <c r="C49" s="28" t="s">
        <v>88</v>
      </c>
      <c r="D49" s="28"/>
      <c r="E49" s="28"/>
      <c r="F49" s="28"/>
      <c r="G49" s="28"/>
      <c r="H49" s="28"/>
      <c r="I49" s="28" t="s">
        <v>89</v>
      </c>
      <c r="J49" s="28"/>
      <c r="K49" s="28"/>
      <c r="L49" s="28"/>
      <c r="M49" s="28"/>
      <c r="N49" s="28"/>
      <c r="O49" s="28"/>
      <c r="P49" s="28"/>
      <c r="Q49" s="28" t="s">
        <v>90</v>
      </c>
      <c r="R49" s="28"/>
      <c r="S49" s="28"/>
      <c r="T49" s="28"/>
      <c r="U49" s="28"/>
      <c r="V49" s="28"/>
      <c r="W49" s="28"/>
      <c r="X49" s="28"/>
      <c r="AF49" s="12"/>
    </row>
    <row r="50" customFormat="false" ht="14.25" hidden="false" customHeight="true" outlineLevel="0" collapsed="false">
      <c r="B50" s="7"/>
      <c r="C50" s="29" t="s">
        <v>91</v>
      </c>
      <c r="D50" s="29"/>
      <c r="E50" s="29"/>
      <c r="F50" s="29"/>
      <c r="G50" s="29"/>
      <c r="H50" s="29"/>
      <c r="I50" s="29" t="s">
        <v>92</v>
      </c>
      <c r="J50" s="29"/>
      <c r="K50" s="29"/>
      <c r="L50" s="29"/>
      <c r="M50" s="29"/>
      <c r="N50" s="29"/>
      <c r="O50" s="29"/>
      <c r="P50" s="29"/>
      <c r="Q50" s="29" t="s">
        <v>38</v>
      </c>
      <c r="R50" s="29"/>
      <c r="S50" s="29"/>
      <c r="T50" s="29"/>
      <c r="U50" s="29"/>
      <c r="V50" s="29"/>
      <c r="W50" s="29"/>
      <c r="X50" s="29"/>
      <c r="AF50" s="12"/>
    </row>
    <row r="51" customFormat="false" ht="14.25" hidden="false" customHeight="false" outlineLevel="0" collapsed="false">
      <c r="B51" s="7"/>
      <c r="C51" s="30" t="n">
        <v>30</v>
      </c>
      <c r="D51" s="30"/>
      <c r="E51" s="30"/>
      <c r="F51" s="30"/>
      <c r="G51" s="30"/>
      <c r="H51" s="30"/>
      <c r="I51" s="31" t="n">
        <v>0.003</v>
      </c>
      <c r="J51" s="31"/>
      <c r="K51" s="31"/>
      <c r="L51" s="31"/>
      <c r="M51" s="31"/>
      <c r="N51" s="31"/>
      <c r="O51" s="31"/>
      <c r="P51" s="31"/>
      <c r="Q51" s="32" t="n">
        <f aca="false">LOG10(I51)</f>
        <v>-2.52287874528034</v>
      </c>
      <c r="R51" s="32"/>
      <c r="S51" s="32"/>
      <c r="T51" s="32"/>
      <c r="U51" s="32"/>
      <c r="V51" s="32"/>
      <c r="W51" s="32"/>
      <c r="X51" s="32"/>
      <c r="AF51" s="12"/>
    </row>
    <row r="52" customFormat="false" ht="14.25" hidden="false" customHeight="false" outlineLevel="0" collapsed="false">
      <c r="B52" s="7"/>
      <c r="C52" s="30" t="n">
        <v>40</v>
      </c>
      <c r="D52" s="30"/>
      <c r="E52" s="30"/>
      <c r="F52" s="30"/>
      <c r="G52" s="30"/>
      <c r="H52" s="30"/>
      <c r="I52" s="31" t="n">
        <v>0.0015</v>
      </c>
      <c r="J52" s="31"/>
      <c r="K52" s="31"/>
      <c r="L52" s="31"/>
      <c r="M52" s="31"/>
      <c r="N52" s="31"/>
      <c r="O52" s="31"/>
      <c r="P52" s="31"/>
      <c r="Q52" s="32" t="n">
        <f aca="false">LOG10(I52)</f>
        <v>-2.82390874094432</v>
      </c>
      <c r="R52" s="32"/>
      <c r="S52" s="32"/>
      <c r="T52" s="32"/>
      <c r="U52" s="32"/>
      <c r="V52" s="32"/>
      <c r="W52" s="32"/>
      <c r="X52" s="32"/>
      <c r="AF52" s="12"/>
    </row>
    <row r="53" customFormat="false" ht="14.25" hidden="false" customHeight="false" outlineLevel="0" collapsed="false">
      <c r="B53" s="7"/>
      <c r="C53" s="30" t="n">
        <v>50</v>
      </c>
      <c r="D53" s="30"/>
      <c r="E53" s="30"/>
      <c r="F53" s="30"/>
      <c r="G53" s="30"/>
      <c r="H53" s="30"/>
      <c r="I53" s="31" t="n">
        <v>0.0007</v>
      </c>
      <c r="J53" s="31"/>
      <c r="K53" s="31"/>
      <c r="L53" s="31"/>
      <c r="M53" s="31"/>
      <c r="N53" s="31"/>
      <c r="O53" s="31"/>
      <c r="P53" s="31"/>
      <c r="Q53" s="32" t="n">
        <f aca="false">LOG10(I53)</f>
        <v>-3.15490195998574</v>
      </c>
      <c r="R53" s="32"/>
      <c r="S53" s="32"/>
      <c r="T53" s="32"/>
      <c r="U53" s="32"/>
      <c r="V53" s="32"/>
      <c r="W53" s="32"/>
      <c r="X53" s="32"/>
      <c r="AF53" s="12"/>
    </row>
    <row r="54" customFormat="false" ht="14.25" hidden="false" customHeight="false" outlineLevel="0" collapsed="false">
      <c r="B54" s="7"/>
      <c r="C54" s="30" t="n">
        <v>60</v>
      </c>
      <c r="D54" s="30"/>
      <c r="E54" s="30"/>
      <c r="F54" s="30"/>
      <c r="G54" s="30"/>
      <c r="H54" s="30"/>
      <c r="I54" s="31" t="n">
        <v>0.0004</v>
      </c>
      <c r="J54" s="31"/>
      <c r="K54" s="31"/>
      <c r="L54" s="31"/>
      <c r="M54" s="31"/>
      <c r="N54" s="31"/>
      <c r="O54" s="31"/>
      <c r="P54" s="31"/>
      <c r="Q54" s="32" t="n">
        <f aca="false">LOG10(I54)</f>
        <v>-3.39794000867204</v>
      </c>
      <c r="R54" s="32"/>
      <c r="S54" s="32"/>
      <c r="T54" s="32"/>
      <c r="U54" s="32"/>
      <c r="V54" s="32"/>
      <c r="W54" s="32"/>
      <c r="X54" s="32"/>
      <c r="AF54" s="12"/>
    </row>
    <row r="55" customFormat="false" ht="14.25" hidden="false" customHeight="false" outlineLevel="0" collapsed="false">
      <c r="B55" s="7"/>
      <c r="C55" s="30" t="n">
        <v>80</v>
      </c>
      <c r="D55" s="30"/>
      <c r="E55" s="30"/>
      <c r="F55" s="30"/>
      <c r="G55" s="30"/>
      <c r="H55" s="30"/>
      <c r="I55" s="31" t="n">
        <v>0.0002</v>
      </c>
      <c r="J55" s="31"/>
      <c r="K55" s="31"/>
      <c r="L55" s="31"/>
      <c r="M55" s="31"/>
      <c r="N55" s="31"/>
      <c r="O55" s="31"/>
      <c r="P55" s="31"/>
      <c r="Q55" s="32" t="n">
        <f aca="false">LOG10(I55)</f>
        <v>-3.69897000433602</v>
      </c>
      <c r="R55" s="32"/>
      <c r="S55" s="32"/>
      <c r="T55" s="32"/>
      <c r="U55" s="32"/>
      <c r="V55" s="32"/>
      <c r="W55" s="32"/>
      <c r="X55" s="32"/>
      <c r="AF55" s="12"/>
    </row>
    <row r="56" customFormat="false" ht="14.25" hidden="false" customHeight="false" outlineLevel="0" collapsed="false">
      <c r="B56" s="7"/>
      <c r="C56" s="30" t="n">
        <v>100</v>
      </c>
      <c r="D56" s="30"/>
      <c r="E56" s="30"/>
      <c r="F56" s="30"/>
      <c r="G56" s="30"/>
      <c r="H56" s="30"/>
      <c r="I56" s="31" t="n">
        <v>0.00012</v>
      </c>
      <c r="J56" s="31"/>
      <c r="K56" s="31"/>
      <c r="L56" s="31"/>
      <c r="M56" s="31"/>
      <c r="N56" s="31"/>
      <c r="O56" s="31"/>
      <c r="P56" s="31"/>
      <c r="Q56" s="32" t="n">
        <f aca="false">LOG10(I56)</f>
        <v>-3.92081875395238</v>
      </c>
      <c r="R56" s="32"/>
      <c r="S56" s="32"/>
      <c r="T56" s="32"/>
      <c r="U56" s="32"/>
      <c r="V56" s="32"/>
      <c r="W56" s="32"/>
      <c r="X56" s="32"/>
      <c r="AF56" s="12"/>
    </row>
    <row r="57" customFormat="false" ht="14.25" hidden="false" customHeight="false" outlineLevel="0" collapsed="false">
      <c r="B57" s="7"/>
      <c r="C57" s="33" t="n">
        <v>120</v>
      </c>
      <c r="D57" s="33"/>
      <c r="E57" s="33"/>
      <c r="F57" s="33"/>
      <c r="G57" s="33"/>
      <c r="H57" s="33"/>
      <c r="I57" s="34" t="n">
        <v>8E-005</v>
      </c>
      <c r="J57" s="34"/>
      <c r="K57" s="34"/>
      <c r="L57" s="34"/>
      <c r="M57" s="34"/>
      <c r="N57" s="34"/>
      <c r="O57" s="34"/>
      <c r="P57" s="34"/>
      <c r="Q57" s="35" t="n">
        <f aca="false">LOG10(I57)</f>
        <v>-4.09691001300806</v>
      </c>
      <c r="R57" s="35"/>
      <c r="S57" s="35"/>
      <c r="T57" s="35"/>
      <c r="U57" s="35"/>
      <c r="V57" s="35"/>
      <c r="W57" s="35"/>
      <c r="X57" s="35"/>
      <c r="AF57" s="12"/>
    </row>
    <row r="58" customFormat="false" ht="14.25" hidden="false" customHeight="false" outlineLevel="0" collapsed="false">
      <c r="B58" s="7"/>
      <c r="AF58" s="12"/>
    </row>
    <row r="59" customFormat="false" ht="14.25" hidden="false" customHeight="false" outlineLevel="0" collapsed="false">
      <c r="B59" s="7"/>
      <c r="AF59" s="12"/>
    </row>
    <row r="60" customFormat="false" ht="14.25" hidden="false" customHeight="false" outlineLevel="0" collapsed="false">
      <c r="B60" s="7"/>
      <c r="AF60" s="12"/>
    </row>
    <row r="61" customFormat="false" ht="14.25" hidden="false" customHeight="false" outlineLevel="0" collapsed="false">
      <c r="B61" s="7"/>
      <c r="AF61" s="12"/>
    </row>
    <row r="62" customFormat="false" ht="14.25" hidden="false" customHeight="false" outlineLevel="0" collapsed="false">
      <c r="B62" s="7"/>
      <c r="AF62" s="12"/>
    </row>
    <row r="63" customFormat="false" ht="14.25" hidden="false" customHeight="false" outlineLevel="0" collapsed="false">
      <c r="B63" s="7"/>
      <c r="AF63" s="12"/>
    </row>
    <row r="64" customFormat="false" ht="14.25" hidden="false" customHeight="false" outlineLevel="0" collapsed="false">
      <c r="B64" s="7"/>
      <c r="AF64" s="12"/>
    </row>
    <row r="65" customFormat="false" ht="14.25" hidden="false" customHeight="false" outlineLevel="0" collapsed="false">
      <c r="B65" s="7"/>
      <c r="AF65" s="12"/>
    </row>
    <row r="66" customFormat="false" ht="14.25" hidden="false" customHeight="false" outlineLevel="0" collapsed="false">
      <c r="B66" s="7"/>
      <c r="AF66" s="12"/>
    </row>
    <row r="67" customFormat="false" ht="14.25" hidden="false" customHeight="false" outlineLevel="0" collapsed="false">
      <c r="B67" s="7"/>
      <c r="AF67" s="12"/>
    </row>
    <row r="68" customFormat="false" ht="14.25" hidden="false" customHeight="false" outlineLevel="0" collapsed="false">
      <c r="B68" s="7"/>
      <c r="AF68" s="12"/>
    </row>
    <row r="69" customFormat="false" ht="14.25" hidden="false" customHeight="false" outlineLevel="0" collapsed="false">
      <c r="B69" s="7"/>
      <c r="AF69" s="12"/>
    </row>
    <row r="70" customFormat="false" ht="14.25" hidden="false" customHeight="false" outlineLevel="0" collapsed="false">
      <c r="B70" s="7"/>
      <c r="AF70" s="12"/>
    </row>
    <row r="71" customFormat="false" ht="14.25" hidden="false" customHeight="false" outlineLevel="0" collapsed="false">
      <c r="B71" s="7"/>
      <c r="AF71" s="12"/>
    </row>
    <row r="72" customFormat="false" ht="14.25" hidden="false" customHeight="false" outlineLevel="0" collapsed="false">
      <c r="B72" s="7"/>
      <c r="AF72" s="12"/>
    </row>
    <row r="73" customFormat="false" ht="14.25" hidden="false" customHeight="true" outlineLevel="0" collapsed="false">
      <c r="B73" s="36"/>
      <c r="C73" s="37"/>
      <c r="D73" s="37"/>
      <c r="E73" s="37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8" t="s">
        <v>93</v>
      </c>
      <c r="Y73" s="38"/>
      <c r="Z73" s="38"/>
      <c r="AA73" s="38"/>
      <c r="AB73" s="38" t="n">
        <v>1</v>
      </c>
      <c r="AC73" s="38"/>
      <c r="AD73" s="38"/>
      <c r="AE73" s="38"/>
      <c r="AF73" s="39"/>
    </row>
  </sheetData>
  <mergeCells count="172">
    <mergeCell ref="C2:G2"/>
    <mergeCell ref="H2:W2"/>
    <mergeCell ref="X2:AA2"/>
    <mergeCell ref="AB2:AE2"/>
    <mergeCell ref="C3:G3"/>
    <mergeCell ref="H3:W3"/>
    <mergeCell ref="X3:AA3"/>
    <mergeCell ref="AB3:AE3"/>
    <mergeCell ref="C4:G4"/>
    <mergeCell ref="H4:W4"/>
    <mergeCell ref="X4:AA4"/>
    <mergeCell ref="AB4:AE4"/>
    <mergeCell ref="C5:G5"/>
    <mergeCell ref="H5:W5"/>
    <mergeCell ref="X5:AA5"/>
    <mergeCell ref="AB5:AE5"/>
    <mergeCell ref="C7:AE7"/>
    <mergeCell ref="C8:AE8"/>
    <mergeCell ref="C10:AE10"/>
    <mergeCell ref="C11:N11"/>
    <mergeCell ref="O11:W11"/>
    <mergeCell ref="X11:Z11"/>
    <mergeCell ref="AA11:AC11"/>
    <mergeCell ref="AD11:AE11"/>
    <mergeCell ref="C12:N12"/>
    <mergeCell ref="O12:W12"/>
    <mergeCell ref="X12:Z12"/>
    <mergeCell ref="AA12:AC12"/>
    <mergeCell ref="AD12:AE12"/>
    <mergeCell ref="C13:N13"/>
    <mergeCell ref="O13:W13"/>
    <mergeCell ref="X13:Z13"/>
    <mergeCell ref="AA13:AC13"/>
    <mergeCell ref="AD13:AE13"/>
    <mergeCell ref="C14:N14"/>
    <mergeCell ref="O14:W14"/>
    <mergeCell ref="X14:Z14"/>
    <mergeCell ref="AA14:AC14"/>
    <mergeCell ref="AD14:AE14"/>
    <mergeCell ref="C15:N15"/>
    <mergeCell ref="O15:W15"/>
    <mergeCell ref="X15:Z15"/>
    <mergeCell ref="AA15:AC15"/>
    <mergeCell ref="AD15:AE15"/>
    <mergeCell ref="C16:N16"/>
    <mergeCell ref="O16:W16"/>
    <mergeCell ref="X16:Z16"/>
    <mergeCell ref="AA16:AC16"/>
    <mergeCell ref="AD16:AE16"/>
    <mergeCell ref="C18:AE18"/>
    <mergeCell ref="C19:N19"/>
    <mergeCell ref="O19:W19"/>
    <mergeCell ref="X19:Z19"/>
    <mergeCell ref="AA19:AC19"/>
    <mergeCell ref="AD19:AE19"/>
    <mergeCell ref="C20:N20"/>
    <mergeCell ref="O20:W20"/>
    <mergeCell ref="X20:Z20"/>
    <mergeCell ref="AA20:AC20"/>
    <mergeCell ref="AD20:AE20"/>
    <mergeCell ref="C21:N21"/>
    <mergeCell ref="O21:W21"/>
    <mergeCell ref="X21:Z21"/>
    <mergeCell ref="AA21:AC21"/>
    <mergeCell ref="AD21:AE21"/>
    <mergeCell ref="C22:N22"/>
    <mergeCell ref="O22:W22"/>
    <mergeCell ref="X22:Z22"/>
    <mergeCell ref="AA22:AC22"/>
    <mergeCell ref="AD22:AE22"/>
    <mergeCell ref="C23:N23"/>
    <mergeCell ref="O23:W23"/>
    <mergeCell ref="X23:Z23"/>
    <mergeCell ref="AA23:AC23"/>
    <mergeCell ref="AD23:AE23"/>
    <mergeCell ref="C24:N24"/>
    <mergeCell ref="O24:W24"/>
    <mergeCell ref="X24:Z24"/>
    <mergeCell ref="AA24:AC24"/>
    <mergeCell ref="AD24:AE24"/>
    <mergeCell ref="C25:N25"/>
    <mergeCell ref="O25:W25"/>
    <mergeCell ref="X25:Z25"/>
    <mergeCell ref="AA25:AC25"/>
    <mergeCell ref="AD25:AE25"/>
    <mergeCell ref="C27:AE27"/>
    <mergeCell ref="C28:N28"/>
    <mergeCell ref="O28:W28"/>
    <mergeCell ref="X28:Z28"/>
    <mergeCell ref="AA28:AC28"/>
    <mergeCell ref="AD28:AE28"/>
    <mergeCell ref="C29:N29"/>
    <mergeCell ref="O29:W29"/>
    <mergeCell ref="X29:Z29"/>
    <mergeCell ref="AA29:AC29"/>
    <mergeCell ref="AD29:AE29"/>
    <mergeCell ref="C30:AE30"/>
    <mergeCell ref="C32:AE32"/>
    <mergeCell ref="C34:N34"/>
    <mergeCell ref="O34:W34"/>
    <mergeCell ref="X34:Z34"/>
    <mergeCell ref="AA34:AC34"/>
    <mergeCell ref="AD34:AE34"/>
    <mergeCell ref="C35:N35"/>
    <mergeCell ref="O35:W35"/>
    <mergeCell ref="X35:Z35"/>
    <mergeCell ref="AA35:AC35"/>
    <mergeCell ref="AD35:AE35"/>
    <mergeCell ref="C36:N36"/>
    <mergeCell ref="O36:W36"/>
    <mergeCell ref="X36:Z36"/>
    <mergeCell ref="AA36:AC36"/>
    <mergeCell ref="AD36:AE36"/>
    <mergeCell ref="C37:N37"/>
    <mergeCell ref="O37:W37"/>
    <mergeCell ref="X37:Z37"/>
    <mergeCell ref="AA37:AC37"/>
    <mergeCell ref="AD37:AE37"/>
    <mergeCell ref="C38:N38"/>
    <mergeCell ref="O38:W38"/>
    <mergeCell ref="X38:Z38"/>
    <mergeCell ref="AA38:AC38"/>
    <mergeCell ref="AD38:AE38"/>
    <mergeCell ref="C39:N39"/>
    <mergeCell ref="O39:W39"/>
    <mergeCell ref="X39:Z39"/>
    <mergeCell ref="AA39:AC39"/>
    <mergeCell ref="AD39:AE39"/>
    <mergeCell ref="C40:N40"/>
    <mergeCell ref="O40:W40"/>
    <mergeCell ref="X40:Z40"/>
    <mergeCell ref="AA40:AC40"/>
    <mergeCell ref="AD40:AE40"/>
    <mergeCell ref="C41:N41"/>
    <mergeCell ref="O41:W41"/>
    <mergeCell ref="X41:Z41"/>
    <mergeCell ref="AA41:AC41"/>
    <mergeCell ref="AD41:AE41"/>
    <mergeCell ref="C43:AE43"/>
    <mergeCell ref="C44:AE44"/>
    <mergeCell ref="C45:AE45"/>
    <mergeCell ref="C46:AE46"/>
    <mergeCell ref="C48:AE48"/>
    <mergeCell ref="C49:H49"/>
    <mergeCell ref="I49:P49"/>
    <mergeCell ref="Q49:X49"/>
    <mergeCell ref="C50:H50"/>
    <mergeCell ref="I50:P50"/>
    <mergeCell ref="Q50:X50"/>
    <mergeCell ref="C51:H51"/>
    <mergeCell ref="I51:P51"/>
    <mergeCell ref="Q51:X51"/>
    <mergeCell ref="C52:H52"/>
    <mergeCell ref="I52:P52"/>
    <mergeCell ref="Q52:X52"/>
    <mergeCell ref="C53:H53"/>
    <mergeCell ref="I53:P53"/>
    <mergeCell ref="Q53:X53"/>
    <mergeCell ref="C54:H54"/>
    <mergeCell ref="I54:P54"/>
    <mergeCell ref="Q54:X54"/>
    <mergeCell ref="C55:H55"/>
    <mergeCell ref="I55:P55"/>
    <mergeCell ref="Q55:X55"/>
    <mergeCell ref="C56:H56"/>
    <mergeCell ref="I56:P56"/>
    <mergeCell ref="Q56:X56"/>
    <mergeCell ref="C57:H57"/>
    <mergeCell ref="I57:P57"/>
    <mergeCell ref="Q57:X57"/>
    <mergeCell ref="X73:AA73"/>
    <mergeCell ref="AB73:AE73"/>
  </mergeCells>
  <printOptions headings="false" gridLines="false" gridLinesSet="true" horizontalCentered="true" verticalCentered="false"/>
  <pageMargins left="0.5" right="0.5" top="0.6" bottom="0.6" header="0.511811023622047" footer="0.511811023622047"/>
  <pageSetup paperSize="9" scale="66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AF73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H21" activeCellId="0" sqref="AH21"/>
    </sheetView>
  </sheetViews>
  <sheetFormatPr defaultColWidth="8.5390625" defaultRowHeight="14.25" zeroHeight="false" outlineLevelRow="0" outlineLevelCol="0"/>
  <cols>
    <col collapsed="false" customWidth="true" hidden="false" outlineLevel="0" max="1" min="1" style="0" width="3.44"/>
    <col collapsed="false" customWidth="true" hidden="false" outlineLevel="0" max="2" min="2" style="0" width="4"/>
    <col collapsed="false" customWidth="true" hidden="false" outlineLevel="0" max="9" min="3" style="0" width="3.56"/>
    <col collapsed="false" customWidth="true" hidden="false" outlineLevel="0" max="10" min="10" style="0" width="3.89"/>
    <col collapsed="false" customWidth="true" hidden="false" outlineLevel="0" max="11" min="11" style="0" width="4"/>
    <col collapsed="false" customWidth="true" hidden="false" outlineLevel="0" max="15" min="12" style="0" width="4.56"/>
    <col collapsed="false" customWidth="true" hidden="false" outlineLevel="0" max="30" min="16" style="0" width="5.88"/>
    <col collapsed="false" customWidth="true" hidden="false" outlineLevel="0" max="31" min="31" style="0" width="4.56"/>
    <col collapsed="false" customWidth="true" hidden="false" outlineLevel="0" max="32" min="32" style="0" width="3.44"/>
  </cols>
  <sheetData>
    <row r="2" customFormat="false" ht="14.25" hidden="false" customHeight="true" outlineLevel="0" collapsed="false">
      <c r="B2" s="1"/>
      <c r="C2" s="2" t="s">
        <v>0</v>
      </c>
      <c r="D2" s="2"/>
      <c r="E2" s="2"/>
      <c r="F2" s="2"/>
      <c r="G2" s="2"/>
      <c r="H2" s="3" t="s">
        <v>1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4" t="s">
        <v>2</v>
      </c>
      <c r="Y2" s="4"/>
      <c r="Z2" s="4"/>
      <c r="AA2" s="4"/>
      <c r="AB2" s="5" t="s">
        <v>3</v>
      </c>
      <c r="AC2" s="5"/>
      <c r="AD2" s="5"/>
      <c r="AE2" s="5"/>
      <c r="AF2" s="6"/>
    </row>
    <row r="3" customFormat="false" ht="14.25" hidden="false" customHeight="true" outlineLevel="0" collapsed="false">
      <c r="B3" s="7"/>
      <c r="C3" s="8" t="s">
        <v>4</v>
      </c>
      <c r="D3" s="8"/>
      <c r="E3" s="8"/>
      <c r="F3" s="8"/>
      <c r="G3" s="8"/>
      <c r="H3" s="9" t="s">
        <v>5</v>
      </c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10" t="s">
        <v>6</v>
      </c>
      <c r="Y3" s="10"/>
      <c r="Z3" s="10"/>
      <c r="AA3" s="10"/>
      <c r="AB3" s="11" t="n">
        <v>46301</v>
      </c>
      <c r="AC3" s="11"/>
      <c r="AD3" s="11"/>
      <c r="AE3" s="11"/>
      <c r="AF3" s="12"/>
    </row>
    <row r="4" customFormat="false" ht="14.25" hidden="false" customHeight="true" outlineLevel="0" collapsed="false">
      <c r="B4" s="7"/>
      <c r="C4" s="8" t="s">
        <v>7</v>
      </c>
      <c r="D4" s="8"/>
      <c r="E4" s="8"/>
      <c r="F4" s="8"/>
      <c r="G4" s="8"/>
      <c r="H4" s="9" t="s">
        <v>8</v>
      </c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10" t="s">
        <v>9</v>
      </c>
      <c r="Y4" s="10"/>
      <c r="Z4" s="10"/>
      <c r="AA4" s="10"/>
      <c r="AB4" s="11" t="s">
        <v>3</v>
      </c>
      <c r="AC4" s="11"/>
      <c r="AD4" s="11"/>
      <c r="AE4" s="11"/>
      <c r="AF4" s="12"/>
    </row>
    <row r="5" customFormat="false" ht="14.25" hidden="false" customHeight="true" outlineLevel="0" collapsed="false">
      <c r="B5" s="13"/>
      <c r="C5" s="14" t="s">
        <v>10</v>
      </c>
      <c r="D5" s="14"/>
      <c r="E5" s="14"/>
      <c r="F5" s="14"/>
      <c r="G5" s="14"/>
      <c r="H5" s="15" t="s">
        <v>94</v>
      </c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6" t="s">
        <v>12</v>
      </c>
      <c r="Y5" s="16"/>
      <c r="Z5" s="16"/>
      <c r="AA5" s="16"/>
      <c r="AB5" s="17" t="n">
        <v>46301</v>
      </c>
      <c r="AC5" s="17"/>
      <c r="AD5" s="17"/>
      <c r="AE5" s="17"/>
      <c r="AF5" s="18"/>
    </row>
    <row r="6" customFormat="false" ht="14.25" hidden="false" customHeight="false" outlineLevel="0" collapsed="false">
      <c r="B6" s="7"/>
      <c r="AF6" s="12"/>
    </row>
    <row r="7" customFormat="false" ht="14.25" hidden="false" customHeight="false" outlineLevel="0" collapsed="false">
      <c r="B7" s="7"/>
      <c r="C7" s="9" t="s">
        <v>95</v>
      </c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12"/>
    </row>
    <row r="8" customFormat="false" ht="14.25" hidden="false" customHeight="false" outlineLevel="0" collapsed="false">
      <c r="B8" s="7"/>
      <c r="C8" s="20" t="str">
        <f aca="false">"Load: "&amp;TEXT(Input!$AA$11,"0.0")&amp;" m embankment fill + "&amp;TEXT(Input!$AA$13,"0")&amp;" kPa uniform surcharge  →  q = "&amp;TEXT(Input!$AA$14,"0")&amp;" kPa;  loaded area "&amp;TEXT(Input!$AA$15,"0")&amp;" m × "&amp;TEXT(Input!$AA$16,"0")&amp;" m"</f>
        <v>Load: 2.0 m embankment fill + 100 kPa uniform surcharge  →  q = 136 kPa;  loaded area 74 m × 202 m</v>
      </c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12"/>
    </row>
    <row r="9" customFormat="false" ht="14.25" hidden="false" customHeight="false" outlineLevel="0" collapsed="false">
      <c r="B9" s="7"/>
      <c r="AF9" s="12"/>
    </row>
    <row r="10" customFormat="false" ht="27" hidden="false" customHeight="true" outlineLevel="0" collapsed="false">
      <c r="B10" s="7"/>
      <c r="C10" s="28" t="s">
        <v>96</v>
      </c>
      <c r="D10" s="28"/>
      <c r="E10" s="28"/>
      <c r="F10" s="28"/>
      <c r="G10" s="28"/>
      <c r="H10" s="28"/>
      <c r="I10" s="28"/>
      <c r="J10" s="28"/>
      <c r="K10" s="28"/>
      <c r="L10" s="28"/>
      <c r="M10" s="28" t="s">
        <v>97</v>
      </c>
      <c r="N10" s="28"/>
      <c r="O10" s="28"/>
      <c r="P10" s="28" t="s">
        <v>98</v>
      </c>
      <c r="Q10" s="28"/>
      <c r="R10" s="28"/>
      <c r="S10" s="28" t="s">
        <v>99</v>
      </c>
      <c r="T10" s="28"/>
      <c r="U10" s="28"/>
      <c r="V10" s="28" t="s">
        <v>100</v>
      </c>
      <c r="W10" s="28"/>
      <c r="X10" s="28"/>
      <c r="Y10" s="28" t="s">
        <v>101</v>
      </c>
      <c r="Z10" s="28"/>
      <c r="AA10" s="28"/>
      <c r="AB10" s="28" t="s">
        <v>102</v>
      </c>
      <c r="AC10" s="28"/>
      <c r="AD10" s="28"/>
      <c r="AF10" s="12"/>
    </row>
    <row r="11" customFormat="false" ht="14.25" hidden="false" customHeight="true" outlineLevel="0" collapsed="false">
      <c r="B11" s="7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 t="s">
        <v>103</v>
      </c>
      <c r="Q11" s="29"/>
      <c r="R11" s="29"/>
      <c r="S11" s="29" t="s">
        <v>104</v>
      </c>
      <c r="T11" s="29"/>
      <c r="U11" s="29"/>
      <c r="V11" s="29" t="s">
        <v>105</v>
      </c>
      <c r="W11" s="29"/>
      <c r="X11" s="29"/>
      <c r="Y11" s="29" t="s">
        <v>103</v>
      </c>
      <c r="Z11" s="29"/>
      <c r="AA11" s="29"/>
      <c r="AB11" s="29" t="s">
        <v>104</v>
      </c>
      <c r="AC11" s="29"/>
      <c r="AD11" s="29"/>
      <c r="AF11" s="12"/>
    </row>
    <row r="12" customFormat="false" ht="14.25" hidden="false" customHeight="true" outlineLevel="0" collapsed="false">
      <c r="B12" s="7"/>
      <c r="C12" s="40" t="s">
        <v>106</v>
      </c>
      <c r="D12" s="40"/>
      <c r="E12" s="40"/>
      <c r="F12" s="40"/>
      <c r="G12" s="40"/>
      <c r="H12" s="40"/>
      <c r="I12" s="40"/>
      <c r="J12" s="40"/>
      <c r="K12" s="40"/>
      <c r="L12" s="40"/>
      <c r="M12" s="41" t="s">
        <v>19</v>
      </c>
      <c r="N12" s="41"/>
      <c r="O12" s="41"/>
      <c r="P12" s="42" t="n">
        <f aca="false">'BH-01'!$AA$173</f>
        <v>3</v>
      </c>
      <c r="Q12" s="42"/>
      <c r="R12" s="42"/>
      <c r="S12" s="42" t="n">
        <f aca="false">'BH-02'!$AA$173</f>
        <v>0</v>
      </c>
      <c r="T12" s="42"/>
      <c r="U12" s="42"/>
      <c r="V12" s="42" t="n">
        <f aca="false">'BH-03'!$AA$173</f>
        <v>0</v>
      </c>
      <c r="W12" s="42"/>
      <c r="X12" s="42"/>
      <c r="Y12" s="42" t="n">
        <f aca="false">'BH-04'!$AA$173</f>
        <v>3</v>
      </c>
      <c r="Z12" s="42"/>
      <c r="AA12" s="42"/>
      <c r="AB12" s="42" t="n">
        <f aca="false">'BH-05'!$AA$173</f>
        <v>0</v>
      </c>
      <c r="AC12" s="42"/>
      <c r="AD12" s="42"/>
      <c r="AF12" s="12"/>
    </row>
    <row r="13" customFormat="false" ht="14.25" hidden="false" customHeight="true" outlineLevel="0" collapsed="false">
      <c r="B13" s="7"/>
      <c r="C13" s="40" t="s">
        <v>107</v>
      </c>
      <c r="D13" s="40"/>
      <c r="E13" s="40"/>
      <c r="F13" s="40"/>
      <c r="G13" s="40"/>
      <c r="H13" s="40"/>
      <c r="I13" s="40"/>
      <c r="J13" s="40"/>
      <c r="K13" s="40"/>
      <c r="L13" s="40"/>
      <c r="M13" s="41" t="s">
        <v>26</v>
      </c>
      <c r="N13" s="41"/>
      <c r="O13" s="41"/>
      <c r="P13" s="42" t="n">
        <f aca="false">'BH-01'!$AA$174</f>
        <v>25</v>
      </c>
      <c r="Q13" s="42"/>
      <c r="R13" s="42"/>
      <c r="S13" s="42" t="n">
        <f aca="false">'BH-02'!$AA$174</f>
        <v>0</v>
      </c>
      <c r="T13" s="42"/>
      <c r="U13" s="42"/>
      <c r="V13" s="42" t="n">
        <f aca="false">'BH-03'!$AA$174</f>
        <v>0</v>
      </c>
      <c r="W13" s="42"/>
      <c r="X13" s="42"/>
      <c r="Y13" s="42" t="n">
        <f aca="false">'BH-04'!$AA$174</f>
        <v>25</v>
      </c>
      <c r="Z13" s="42"/>
      <c r="AA13" s="42"/>
      <c r="AB13" s="42" t="n">
        <f aca="false">'BH-05'!$AA$174</f>
        <v>0</v>
      </c>
      <c r="AC13" s="42"/>
      <c r="AD13" s="42"/>
      <c r="AF13" s="12"/>
    </row>
    <row r="14" customFormat="false" ht="14.25" hidden="false" customHeight="true" outlineLevel="0" collapsed="false">
      <c r="B14" s="7"/>
      <c r="C14" s="40" t="s">
        <v>108</v>
      </c>
      <c r="D14" s="40"/>
      <c r="E14" s="40"/>
      <c r="F14" s="40"/>
      <c r="G14" s="40"/>
      <c r="H14" s="40"/>
      <c r="I14" s="40"/>
      <c r="J14" s="40"/>
      <c r="K14" s="40"/>
      <c r="L14" s="40"/>
      <c r="M14" s="41" t="s">
        <v>60</v>
      </c>
      <c r="N14" s="41"/>
      <c r="O14" s="41"/>
      <c r="P14" s="42" t="n">
        <f aca="false">'BH-01'!$AA$175</f>
        <v>31.097196536224</v>
      </c>
      <c r="Q14" s="42"/>
      <c r="R14" s="42"/>
      <c r="S14" s="42" t="n">
        <f aca="false">'BH-02'!$AA$175</f>
        <v>41.521062038914</v>
      </c>
      <c r="T14" s="42"/>
      <c r="U14" s="42"/>
      <c r="V14" s="42" t="n">
        <f aca="false">'BH-03'!$AA$175</f>
        <v>31.115962013554</v>
      </c>
      <c r="W14" s="42"/>
      <c r="X14" s="42"/>
      <c r="Y14" s="42" t="n">
        <f aca="false">'BH-04'!$AA$175</f>
        <v>34.599760998376</v>
      </c>
      <c r="Z14" s="42"/>
      <c r="AA14" s="42"/>
      <c r="AB14" s="42" t="n">
        <f aca="false">'BH-05'!$AA$175</f>
        <v>41.127766007824</v>
      </c>
      <c r="AC14" s="42"/>
      <c r="AD14" s="42"/>
      <c r="AF14" s="12"/>
    </row>
    <row r="15" customFormat="false" ht="14.25" hidden="false" customHeight="true" outlineLevel="0" collapsed="false">
      <c r="B15" s="7"/>
      <c r="C15" s="40" t="s">
        <v>109</v>
      </c>
      <c r="D15" s="40"/>
      <c r="E15" s="40"/>
      <c r="F15" s="40"/>
      <c r="G15" s="40"/>
      <c r="H15" s="40"/>
      <c r="I15" s="40"/>
      <c r="J15" s="40"/>
      <c r="K15" s="40"/>
      <c r="L15" s="40"/>
      <c r="M15" s="41" t="s">
        <v>26</v>
      </c>
      <c r="N15" s="41"/>
      <c r="O15" s="41"/>
      <c r="P15" s="43" t="n">
        <f aca="false">'BH-01'!$AA$185</f>
        <v>147.335753575358</v>
      </c>
      <c r="Q15" s="43"/>
      <c r="R15" s="43"/>
      <c r="S15" s="43" t="n">
        <f aca="false">'BH-02'!$AA$185</f>
        <v>16903.5636440004</v>
      </c>
      <c r="T15" s="43"/>
      <c r="U15" s="43"/>
      <c r="V15" s="43" t="n">
        <f aca="false">'BH-03'!$AA$185</f>
        <v>2792.74220809861</v>
      </c>
      <c r="W15" s="43"/>
      <c r="X15" s="43"/>
      <c r="Y15" s="43" t="n">
        <f aca="false">'BH-04'!$AA$185</f>
        <v>147.335753575358</v>
      </c>
      <c r="Z15" s="43"/>
      <c r="AA15" s="43"/>
      <c r="AB15" s="43" t="n">
        <f aca="false">'BH-05'!$AA$185</f>
        <v>15595.9992784325</v>
      </c>
      <c r="AC15" s="43"/>
      <c r="AD15" s="43"/>
      <c r="AF15" s="12"/>
    </row>
    <row r="16" customFormat="false" ht="14.25" hidden="false" customHeight="true" outlineLevel="0" collapsed="false">
      <c r="B16" s="7"/>
      <c r="C16" s="40" t="s">
        <v>110</v>
      </c>
      <c r="D16" s="40"/>
      <c r="E16" s="40"/>
      <c r="F16" s="40"/>
      <c r="G16" s="40"/>
      <c r="H16" s="40"/>
      <c r="I16" s="40"/>
      <c r="J16" s="40"/>
      <c r="K16" s="40"/>
      <c r="L16" s="40"/>
      <c r="M16" s="41" t="s">
        <v>38</v>
      </c>
      <c r="N16" s="41"/>
      <c r="O16" s="41"/>
      <c r="P16" s="44" t="n">
        <f aca="false">'BH-01'!$AA$187</f>
        <v>3.25005338769171</v>
      </c>
      <c r="Q16" s="44"/>
      <c r="R16" s="44"/>
      <c r="S16" s="44" t="n">
        <f aca="false">'BH-02'!$AA$187</f>
        <v>372.872727441185</v>
      </c>
      <c r="T16" s="44"/>
      <c r="U16" s="44"/>
      <c r="V16" s="44" t="n">
        <f aca="false">'BH-03'!$AA$187</f>
        <v>61.604607531587</v>
      </c>
      <c r="W16" s="44"/>
      <c r="X16" s="44"/>
      <c r="Y16" s="44" t="n">
        <f aca="false">'BH-04'!$AA$187</f>
        <v>3.25005338769171</v>
      </c>
      <c r="Z16" s="44"/>
      <c r="AA16" s="44"/>
      <c r="AB16" s="44" t="n">
        <f aca="false">'BH-05'!$AA$187</f>
        <v>344.029395847775</v>
      </c>
      <c r="AC16" s="44"/>
      <c r="AD16" s="44"/>
      <c r="AF16" s="12"/>
    </row>
    <row r="17" customFormat="false" ht="14.25" hidden="false" customHeight="false" outlineLevel="0" collapsed="false">
      <c r="B17" s="7"/>
      <c r="C17" s="40" t="s">
        <v>111</v>
      </c>
      <c r="D17" s="40"/>
      <c r="E17" s="40"/>
      <c r="F17" s="40"/>
      <c r="G17" s="40"/>
      <c r="H17" s="40"/>
      <c r="I17" s="40"/>
      <c r="J17" s="40"/>
      <c r="K17" s="40"/>
      <c r="L17" s="40"/>
      <c r="M17" s="41"/>
      <c r="N17" s="41"/>
      <c r="O17" s="41"/>
      <c r="P17" s="45" t="str">
        <f aca="false">'BH-01'!$X$189</f>
        <v>qall ≥ q …. OK!!</v>
      </c>
      <c r="Q17" s="45"/>
      <c r="R17" s="45"/>
      <c r="S17" s="45" t="str">
        <f aca="false">'BH-02'!$X$189</f>
        <v>qall ≥ q …. OK!!</v>
      </c>
      <c r="T17" s="45"/>
      <c r="U17" s="45"/>
      <c r="V17" s="45" t="str">
        <f aca="false">'BH-03'!$X$189</f>
        <v>qall ≥ q …. OK!!</v>
      </c>
      <c r="W17" s="45"/>
      <c r="X17" s="45"/>
      <c r="Y17" s="45" t="str">
        <f aca="false">'BH-04'!$X$189</f>
        <v>qall ≥ q …. OK!!</v>
      </c>
      <c r="Z17" s="45"/>
      <c r="AA17" s="45"/>
      <c r="AB17" s="45" t="str">
        <f aca="false">'BH-05'!$X$189</f>
        <v>qall ≥ q …. OK!!</v>
      </c>
      <c r="AC17" s="45"/>
      <c r="AD17" s="45"/>
      <c r="AF17" s="12"/>
    </row>
    <row r="18" customFormat="false" ht="14.25" hidden="false" customHeight="true" outlineLevel="0" collapsed="false">
      <c r="B18" s="7"/>
      <c r="C18" s="40" t="s">
        <v>112</v>
      </c>
      <c r="D18" s="40"/>
      <c r="E18" s="40"/>
      <c r="F18" s="40"/>
      <c r="G18" s="40"/>
      <c r="H18" s="40"/>
      <c r="I18" s="40"/>
      <c r="J18" s="40"/>
      <c r="K18" s="40"/>
      <c r="L18" s="40"/>
      <c r="M18" s="41" t="s">
        <v>19</v>
      </c>
      <c r="N18" s="41"/>
      <c r="O18" s="41"/>
      <c r="P18" s="42" t="n">
        <f aca="false">'BH-01'!$AA$23</f>
        <v>0.5</v>
      </c>
      <c r="Q18" s="42"/>
      <c r="R18" s="42"/>
      <c r="S18" s="42" t="n">
        <f aca="false">'BH-02'!$AA$23</f>
        <v>0</v>
      </c>
      <c r="T18" s="42"/>
      <c r="U18" s="42"/>
      <c r="V18" s="42" t="n">
        <f aca="false">'BH-03'!$AA$23</f>
        <v>0</v>
      </c>
      <c r="W18" s="42"/>
      <c r="X18" s="42"/>
      <c r="Y18" s="42" t="n">
        <f aca="false">'BH-04'!$AA$23</f>
        <v>0.5</v>
      </c>
      <c r="Z18" s="42"/>
      <c r="AA18" s="42"/>
      <c r="AB18" s="42" t="n">
        <f aca="false">'BH-05'!$AA$23</f>
        <v>0</v>
      </c>
      <c r="AC18" s="42"/>
      <c r="AD18" s="42"/>
      <c r="AF18" s="12"/>
    </row>
    <row r="19" customFormat="false" ht="14.25" hidden="false" customHeight="true" outlineLevel="0" collapsed="false">
      <c r="B19" s="7"/>
      <c r="C19" s="40" t="s">
        <v>113</v>
      </c>
      <c r="D19" s="40"/>
      <c r="E19" s="40"/>
      <c r="F19" s="40"/>
      <c r="G19" s="40"/>
      <c r="H19" s="40"/>
      <c r="I19" s="40"/>
      <c r="J19" s="40"/>
      <c r="K19" s="40"/>
      <c r="L19" s="40"/>
      <c r="M19" s="41" t="s">
        <v>26</v>
      </c>
      <c r="N19" s="41"/>
      <c r="O19" s="41"/>
      <c r="P19" s="43" t="n">
        <f aca="false">'BH-01'!$AA$204</f>
        <v>169.397359735974</v>
      </c>
      <c r="Q19" s="43"/>
      <c r="R19" s="43"/>
      <c r="S19" s="43" t="n">
        <f aca="false">'BH-02'!$AA$204</f>
        <v>16903.5636440004</v>
      </c>
      <c r="T19" s="43"/>
      <c r="U19" s="43"/>
      <c r="V19" s="43" t="n">
        <f aca="false">'BH-03'!$AA$204</f>
        <v>2792.74220809861</v>
      </c>
      <c r="W19" s="43"/>
      <c r="X19" s="43"/>
      <c r="Y19" s="43" t="n">
        <f aca="false">'BH-04'!$AA$204</f>
        <v>169.397359735974</v>
      </c>
      <c r="Z19" s="43"/>
      <c r="AA19" s="43"/>
      <c r="AB19" s="43" t="n">
        <f aca="false">'BH-05'!$AA$204</f>
        <v>15595.9992784325</v>
      </c>
      <c r="AC19" s="43"/>
      <c r="AD19" s="43"/>
      <c r="AF19" s="12"/>
    </row>
    <row r="20" customFormat="false" ht="14.25" hidden="false" customHeight="true" outlineLevel="0" collapsed="false">
      <c r="B20" s="7"/>
      <c r="C20" s="40" t="s">
        <v>114</v>
      </c>
      <c r="D20" s="40"/>
      <c r="E20" s="40"/>
      <c r="F20" s="40"/>
      <c r="G20" s="40"/>
      <c r="H20" s="40"/>
      <c r="I20" s="40"/>
      <c r="J20" s="40"/>
      <c r="K20" s="40"/>
      <c r="L20" s="40"/>
      <c r="M20" s="41" t="s">
        <v>38</v>
      </c>
      <c r="N20" s="41"/>
      <c r="O20" s="41"/>
      <c r="P20" s="44" t="n">
        <f aca="false">'BH-01'!$AA$206</f>
        <v>3.73670646476412</v>
      </c>
      <c r="Q20" s="44"/>
      <c r="R20" s="44"/>
      <c r="S20" s="44" t="n">
        <f aca="false">'BH-02'!$AA$206</f>
        <v>372.872727441185</v>
      </c>
      <c r="T20" s="44"/>
      <c r="U20" s="44"/>
      <c r="V20" s="44" t="n">
        <f aca="false">'BH-03'!$AA$206</f>
        <v>61.604607531587</v>
      </c>
      <c r="W20" s="44"/>
      <c r="X20" s="44"/>
      <c r="Y20" s="44" t="n">
        <f aca="false">'BH-04'!$AA$206</f>
        <v>3.73670646476412</v>
      </c>
      <c r="Z20" s="44"/>
      <c r="AA20" s="44"/>
      <c r="AB20" s="44" t="n">
        <f aca="false">'BH-05'!$AA$206</f>
        <v>344.029395847775</v>
      </c>
      <c r="AC20" s="44"/>
      <c r="AD20" s="44"/>
      <c r="AF20" s="12"/>
    </row>
    <row r="21" customFormat="false" ht="14.25" hidden="false" customHeight="false" outlineLevel="0" collapsed="false">
      <c r="B21" s="7"/>
      <c r="C21" s="40" t="s">
        <v>115</v>
      </c>
      <c r="D21" s="40"/>
      <c r="E21" s="40"/>
      <c r="F21" s="40"/>
      <c r="G21" s="40"/>
      <c r="H21" s="40"/>
      <c r="I21" s="40"/>
      <c r="J21" s="40"/>
      <c r="K21" s="40"/>
      <c r="L21" s="40"/>
      <c r="M21" s="41"/>
      <c r="N21" s="41"/>
      <c r="O21" s="41"/>
      <c r="P21" s="45" t="str">
        <f aca="false">'BH-01'!$X$208</f>
        <v>qall ≥ q …. OK!!</v>
      </c>
      <c r="Q21" s="45"/>
      <c r="R21" s="45"/>
      <c r="S21" s="45" t="str">
        <f aca="false">'BH-02'!$X$208</f>
        <v>qall ≥ q …. OK!!</v>
      </c>
      <c r="T21" s="45"/>
      <c r="U21" s="45"/>
      <c r="V21" s="45" t="str">
        <f aca="false">'BH-03'!$X$208</f>
        <v>qall ≥ q …. OK!!</v>
      </c>
      <c r="W21" s="45"/>
      <c r="X21" s="45"/>
      <c r="Y21" s="45" t="str">
        <f aca="false">'BH-04'!$X$208</f>
        <v>qall ≥ q …. OK!!</v>
      </c>
      <c r="Z21" s="45"/>
      <c r="AA21" s="45"/>
      <c r="AB21" s="45" t="str">
        <f aca="false">'BH-05'!$X$208</f>
        <v>qall ≥ q …. OK!!</v>
      </c>
      <c r="AC21" s="45"/>
      <c r="AD21" s="45"/>
      <c r="AF21" s="12"/>
    </row>
    <row r="22" customFormat="false" ht="14.25" hidden="false" customHeight="true" outlineLevel="0" collapsed="false">
      <c r="B22" s="7"/>
      <c r="C22" s="40" t="s">
        <v>116</v>
      </c>
      <c r="D22" s="40"/>
      <c r="E22" s="40"/>
      <c r="F22" s="40"/>
      <c r="G22" s="40"/>
      <c r="H22" s="40"/>
      <c r="I22" s="40"/>
      <c r="J22" s="40"/>
      <c r="K22" s="40"/>
      <c r="L22" s="40"/>
      <c r="M22" s="41" t="s">
        <v>38</v>
      </c>
      <c r="N22" s="41"/>
      <c r="O22" s="41"/>
      <c r="P22" s="44" t="n">
        <f aca="false">'BH-01'!$AA$196</f>
        <v>18.94</v>
      </c>
      <c r="Q22" s="44"/>
      <c r="R22" s="44"/>
      <c r="S22" s="44" t="n">
        <f aca="false">'BH-02'!$AA$196</f>
        <v>5.14</v>
      </c>
      <c r="T22" s="44"/>
      <c r="U22" s="44"/>
      <c r="V22" s="44" t="n">
        <f aca="false">'BH-03'!$AA$196</f>
        <v>5.14</v>
      </c>
      <c r="W22" s="44"/>
      <c r="X22" s="44"/>
      <c r="Y22" s="44" t="n">
        <f aca="false">'BH-04'!$AA$196</f>
        <v>18.94</v>
      </c>
      <c r="Z22" s="44"/>
      <c r="AA22" s="44"/>
      <c r="AB22" s="44" t="n">
        <f aca="false">'BH-05'!$AA$196</f>
        <v>5.14</v>
      </c>
      <c r="AC22" s="44"/>
      <c r="AD22" s="44"/>
      <c r="AF22" s="12"/>
    </row>
    <row r="23" customFormat="false" ht="14.25" hidden="false" customHeight="true" outlineLevel="0" collapsed="false">
      <c r="B23" s="7"/>
      <c r="C23" s="40" t="s">
        <v>117</v>
      </c>
      <c r="D23" s="40"/>
      <c r="E23" s="40"/>
      <c r="F23" s="40"/>
      <c r="G23" s="40"/>
      <c r="H23" s="40"/>
      <c r="I23" s="40"/>
      <c r="J23" s="40"/>
      <c r="K23" s="40"/>
      <c r="L23" s="40"/>
      <c r="M23" s="41" t="s">
        <v>38</v>
      </c>
      <c r="N23" s="41"/>
      <c r="O23" s="41"/>
      <c r="P23" s="44" t="n">
        <f aca="false">'BH-01'!$AA$259</f>
        <v>2.98325163398693</v>
      </c>
      <c r="Q23" s="44"/>
      <c r="R23" s="44"/>
      <c r="S23" s="44" t="str">
        <f aca="false">'BH-02'!$AA$259</f>
        <v>n/a</v>
      </c>
      <c r="T23" s="44"/>
      <c r="U23" s="44"/>
      <c r="V23" s="44" t="str">
        <f aca="false">'BH-03'!$AA$259</f>
        <v>n/a</v>
      </c>
      <c r="W23" s="44"/>
      <c r="X23" s="44"/>
      <c r="Y23" s="44" t="n">
        <f aca="false">'BH-04'!$AA$259</f>
        <v>2.98325163398693</v>
      </c>
      <c r="Z23" s="44"/>
      <c r="AA23" s="44"/>
      <c r="AB23" s="44" t="str">
        <f aca="false">'BH-05'!$AA$259</f>
        <v>n/a</v>
      </c>
      <c r="AC23" s="44"/>
      <c r="AD23" s="44"/>
      <c r="AF23" s="12"/>
    </row>
    <row r="24" customFormat="false" ht="14.25" hidden="false" customHeight="false" outlineLevel="0" collapsed="false">
      <c r="B24" s="7"/>
      <c r="C24" s="40" t="s">
        <v>118</v>
      </c>
      <c r="D24" s="40"/>
      <c r="E24" s="40"/>
      <c r="F24" s="40"/>
      <c r="G24" s="40"/>
      <c r="H24" s="40"/>
      <c r="I24" s="40"/>
      <c r="J24" s="40"/>
      <c r="K24" s="40"/>
      <c r="L24" s="40"/>
      <c r="M24" s="41"/>
      <c r="N24" s="41"/>
      <c r="O24" s="41"/>
      <c r="P24" s="45" t="str">
        <f aca="false">'BH-01'!$X$260</f>
        <v>FS ≥ FS req …. OK!!</v>
      </c>
      <c r="Q24" s="45"/>
      <c r="R24" s="45"/>
      <c r="S24" s="45" t="str">
        <f aca="false">'BH-02'!$X$260</f>
        <v>No soft layer - n/a</v>
      </c>
      <c r="T24" s="45"/>
      <c r="U24" s="45"/>
      <c r="V24" s="45" t="str">
        <f aca="false">'BH-03'!$X$260</f>
        <v>No soft layer - n/a</v>
      </c>
      <c r="W24" s="45"/>
      <c r="X24" s="45"/>
      <c r="Y24" s="45" t="str">
        <f aca="false">'BH-04'!$X$260</f>
        <v>FS ≥ FS req …. OK!!</v>
      </c>
      <c r="Z24" s="45"/>
      <c r="AA24" s="45"/>
      <c r="AB24" s="45" t="str">
        <f aca="false">'BH-05'!$X$260</f>
        <v>No soft layer - n/a</v>
      </c>
      <c r="AC24" s="45"/>
      <c r="AD24" s="45"/>
      <c r="AF24" s="12"/>
    </row>
    <row r="25" customFormat="false" ht="14.25" hidden="false" customHeight="true" outlineLevel="0" collapsed="false">
      <c r="B25" s="7"/>
      <c r="C25" s="40" t="s">
        <v>119</v>
      </c>
      <c r="D25" s="40"/>
      <c r="E25" s="40"/>
      <c r="F25" s="40"/>
      <c r="G25" s="40"/>
      <c r="H25" s="40"/>
      <c r="I25" s="40"/>
      <c r="J25" s="40"/>
      <c r="K25" s="40"/>
      <c r="L25" s="40"/>
      <c r="M25" s="41" t="s">
        <v>19</v>
      </c>
      <c r="N25" s="41"/>
      <c r="O25" s="41"/>
      <c r="P25" s="42" t="n">
        <f aca="false">'BH-01'!$AA$207</f>
        <v>3.85540887422076</v>
      </c>
      <c r="Q25" s="42"/>
      <c r="R25" s="42"/>
      <c r="S25" s="42" t="n">
        <f aca="false">'BH-02'!$AA$207</f>
        <v>933.531313555576</v>
      </c>
      <c r="T25" s="42"/>
      <c r="U25" s="42"/>
      <c r="V25" s="42" t="n">
        <f aca="false">'BH-03'!$AA$207</f>
        <v>149.596789338812</v>
      </c>
      <c r="W25" s="42"/>
      <c r="X25" s="42"/>
      <c r="Y25" s="42" t="n">
        <f aca="false">'BH-04'!$AA$207</f>
        <v>3.85540887422076</v>
      </c>
      <c r="Z25" s="42"/>
      <c r="AA25" s="42"/>
      <c r="AB25" s="42" t="n">
        <f aca="false">'BH-05'!$AA$207</f>
        <v>860.888848801804</v>
      </c>
      <c r="AC25" s="42"/>
      <c r="AD25" s="42"/>
      <c r="AF25" s="12"/>
    </row>
    <row r="26" customFormat="false" ht="14.25" hidden="false" customHeight="true" outlineLevel="0" collapsed="false">
      <c r="B26" s="7"/>
      <c r="C26" s="40" t="s">
        <v>120</v>
      </c>
      <c r="D26" s="40"/>
      <c r="E26" s="40"/>
      <c r="F26" s="40"/>
      <c r="G26" s="40"/>
      <c r="H26" s="40"/>
      <c r="I26" s="40"/>
      <c r="J26" s="40"/>
      <c r="K26" s="40"/>
      <c r="L26" s="40"/>
      <c r="M26" s="41" t="s">
        <v>26</v>
      </c>
      <c r="N26" s="41"/>
      <c r="O26" s="41"/>
      <c r="P26" s="46" t="n">
        <f aca="false">'BH-01'!$AA$225</f>
        <v>267.986997958032</v>
      </c>
      <c r="Q26" s="46"/>
      <c r="R26" s="46"/>
      <c r="S26" s="46" t="n">
        <f aca="false">'BH-02'!$AA$225</f>
        <v>731.008977763298</v>
      </c>
      <c r="T26" s="46"/>
      <c r="U26" s="46"/>
      <c r="V26" s="46" t="n">
        <f aca="false">'BH-03'!$AA$225</f>
        <v>189.079715225945</v>
      </c>
      <c r="W26" s="46"/>
      <c r="X26" s="46"/>
      <c r="Y26" s="46" t="n">
        <f aca="false">'BH-04'!$AA$225</f>
        <v>729.520161107975</v>
      </c>
      <c r="Z26" s="46"/>
      <c r="AA26" s="46"/>
      <c r="AB26" s="46" t="n">
        <f aca="false">'BH-05'!$AA$225</f>
        <v>708.676727933462</v>
      </c>
      <c r="AC26" s="46"/>
      <c r="AD26" s="46"/>
      <c r="AF26" s="12"/>
    </row>
    <row r="27" customFormat="false" ht="14.25" hidden="false" customHeight="true" outlineLevel="0" collapsed="false">
      <c r="B27" s="7"/>
      <c r="C27" s="40" t="s">
        <v>121</v>
      </c>
      <c r="D27" s="40"/>
      <c r="E27" s="40"/>
      <c r="F27" s="40"/>
      <c r="G27" s="40"/>
      <c r="H27" s="40"/>
      <c r="I27" s="40"/>
      <c r="J27" s="40"/>
      <c r="K27" s="40"/>
      <c r="L27" s="40"/>
      <c r="M27" s="41" t="s">
        <v>45</v>
      </c>
      <c r="N27" s="41"/>
      <c r="O27" s="41"/>
      <c r="P27" s="42" t="n">
        <f aca="false">'BH-01'!$AA$345</f>
        <v>93.5629597592608</v>
      </c>
      <c r="Q27" s="42"/>
      <c r="R27" s="42"/>
      <c r="S27" s="42" t="n">
        <f aca="false">'BH-02'!$AA$345</f>
        <v>130.959809219777</v>
      </c>
      <c r="T27" s="42"/>
      <c r="U27" s="42"/>
      <c r="V27" s="42" t="n">
        <f aca="false">'BH-03'!$AA$345</f>
        <v>138.716503245378</v>
      </c>
      <c r="W27" s="42"/>
      <c r="X27" s="42"/>
      <c r="Y27" s="42" t="n">
        <f aca="false">'BH-04'!$AA$345</f>
        <v>61.5402263521212</v>
      </c>
      <c r="Z27" s="42"/>
      <c r="AA27" s="42"/>
      <c r="AB27" s="42" t="n">
        <f aca="false">'BH-05'!$AA$345</f>
        <v>104.585696726539</v>
      </c>
      <c r="AC27" s="42"/>
      <c r="AD27" s="42"/>
      <c r="AF27" s="12"/>
    </row>
    <row r="28" customFormat="false" ht="14.25" hidden="false" customHeight="true" outlineLevel="0" collapsed="false">
      <c r="B28" s="7"/>
      <c r="C28" s="40" t="s">
        <v>122</v>
      </c>
      <c r="D28" s="40"/>
      <c r="E28" s="40"/>
      <c r="F28" s="40"/>
      <c r="G28" s="40"/>
      <c r="H28" s="40"/>
      <c r="I28" s="40"/>
      <c r="J28" s="40"/>
      <c r="K28" s="40"/>
      <c r="L28" s="40"/>
      <c r="M28" s="41" t="s">
        <v>45</v>
      </c>
      <c r="N28" s="41"/>
      <c r="O28" s="41"/>
      <c r="P28" s="42" t="n">
        <f aca="false">'BH-01'!$AA$484</f>
        <v>139.187395629002</v>
      </c>
      <c r="Q28" s="42"/>
      <c r="R28" s="42"/>
      <c r="S28" s="42" t="n">
        <f aca="false">'BH-02'!$AA$484</f>
        <v>0</v>
      </c>
      <c r="T28" s="42"/>
      <c r="U28" s="42"/>
      <c r="V28" s="42" t="n">
        <f aca="false">'BH-03'!$AA$484</f>
        <v>67.0756461262632</v>
      </c>
      <c r="W28" s="42"/>
      <c r="X28" s="42"/>
      <c r="Y28" s="42" t="n">
        <f aca="false">'BH-04'!$AA$484</f>
        <v>178.416638547899</v>
      </c>
      <c r="Z28" s="42"/>
      <c r="AA28" s="42"/>
      <c r="AB28" s="42" t="n">
        <f aca="false">'BH-05'!$AA$484</f>
        <v>6.68955468279371</v>
      </c>
      <c r="AC28" s="42"/>
      <c r="AD28" s="42"/>
      <c r="AF28" s="12"/>
    </row>
    <row r="29" customFormat="false" ht="14.25" hidden="false" customHeight="true" outlineLevel="0" collapsed="false">
      <c r="B29" s="7"/>
      <c r="C29" s="40" t="s">
        <v>123</v>
      </c>
      <c r="D29" s="40"/>
      <c r="E29" s="40"/>
      <c r="F29" s="40"/>
      <c r="G29" s="40"/>
      <c r="H29" s="40"/>
      <c r="I29" s="40"/>
      <c r="J29" s="40"/>
      <c r="K29" s="40"/>
      <c r="L29" s="40"/>
      <c r="M29" s="41" t="s">
        <v>124</v>
      </c>
      <c r="N29" s="41"/>
      <c r="O29" s="41"/>
      <c r="P29" s="44" t="n">
        <f aca="false">'BH-01'!$AA$485</f>
        <v>0.122561700249364</v>
      </c>
      <c r="Q29" s="44"/>
      <c r="R29" s="44"/>
      <c r="S29" s="44" t="n">
        <f aca="false">'BH-02'!$AA$485</f>
        <v>0</v>
      </c>
      <c r="T29" s="44"/>
      <c r="U29" s="44"/>
      <c r="V29" s="44" t="n">
        <f aca="false">'BH-03'!$AA$485</f>
        <v>0.0785142858186227</v>
      </c>
      <c r="W29" s="44"/>
      <c r="X29" s="44"/>
      <c r="Y29" s="44" t="n">
        <f aca="false">'BH-04'!$AA$485</f>
        <v>0.122561700249364</v>
      </c>
      <c r="Z29" s="44"/>
      <c r="AA29" s="44"/>
      <c r="AB29" s="44" t="n">
        <f aca="false">'BH-05'!$AA$485</f>
        <v>0.0504185692541857</v>
      </c>
      <c r="AC29" s="44"/>
      <c r="AD29" s="44"/>
      <c r="AF29" s="12"/>
    </row>
    <row r="30" customFormat="false" ht="14.25" hidden="false" customHeight="true" outlineLevel="0" collapsed="false">
      <c r="B30" s="7"/>
      <c r="C30" s="47" t="s">
        <v>125</v>
      </c>
      <c r="D30" s="47"/>
      <c r="E30" s="47"/>
      <c r="F30" s="47"/>
      <c r="G30" s="47"/>
      <c r="H30" s="47"/>
      <c r="I30" s="47"/>
      <c r="J30" s="47"/>
      <c r="K30" s="47"/>
      <c r="L30" s="47"/>
      <c r="M30" s="48" t="s">
        <v>45</v>
      </c>
      <c r="N30" s="48"/>
      <c r="O30" s="48"/>
      <c r="P30" s="49" t="n">
        <f aca="false">'BH-01'!$AA$522</f>
        <v>232.750355388263</v>
      </c>
      <c r="Q30" s="49"/>
      <c r="R30" s="49"/>
      <c r="S30" s="49" t="n">
        <f aca="false">'BH-02'!$AA$522</f>
        <v>130.959809219777</v>
      </c>
      <c r="T30" s="49"/>
      <c r="U30" s="49"/>
      <c r="V30" s="49" t="n">
        <f aca="false">'BH-03'!$AA$522</f>
        <v>205.792149371642</v>
      </c>
      <c r="W30" s="49"/>
      <c r="X30" s="49"/>
      <c r="Y30" s="49" t="n">
        <f aca="false">'BH-04'!$AA$522</f>
        <v>239.956864900021</v>
      </c>
      <c r="Z30" s="49"/>
      <c r="AA30" s="49"/>
      <c r="AB30" s="49" t="n">
        <f aca="false">'BH-05'!$AA$522</f>
        <v>111.275251409332</v>
      </c>
      <c r="AC30" s="49"/>
      <c r="AD30" s="49"/>
      <c r="AF30" s="12"/>
    </row>
    <row r="31" customFormat="false" ht="14.25" hidden="false" customHeight="false" outlineLevel="0" collapsed="false">
      <c r="B31" s="7"/>
      <c r="AF31" s="12"/>
    </row>
    <row r="32" customFormat="false" ht="14.25" hidden="false" customHeight="false" outlineLevel="0" collapsed="false">
      <c r="B32" s="7"/>
      <c r="C32" s="9" t="s">
        <v>126</v>
      </c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12"/>
    </row>
    <row r="33" customFormat="false" ht="14.25" hidden="false" customHeight="false" outlineLevel="0" collapsed="false">
      <c r="B33" s="7"/>
      <c r="C33" s="19" t="s">
        <v>127</v>
      </c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2"/>
    </row>
    <row r="34" customFormat="false" ht="14.25" hidden="false" customHeight="false" outlineLevel="0" collapsed="false">
      <c r="B34" s="7"/>
      <c r="C34" s="19" t="s">
        <v>128</v>
      </c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2"/>
    </row>
    <row r="35" customFormat="false" ht="14.25" hidden="false" customHeight="false" outlineLevel="0" collapsed="false">
      <c r="B35" s="7"/>
      <c r="C35" s="19" t="s">
        <v>129</v>
      </c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2"/>
    </row>
    <row r="36" customFormat="false" ht="14.25" hidden="false" customHeight="false" outlineLevel="0" collapsed="false">
      <c r="B36" s="7"/>
      <c r="C36" s="19" t="s">
        <v>130</v>
      </c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2"/>
    </row>
    <row r="37" customFormat="false" ht="14.25" hidden="false" customHeight="false" outlineLevel="0" collapsed="false">
      <c r="B37" s="7"/>
      <c r="C37" s="19" t="s">
        <v>131</v>
      </c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2"/>
    </row>
    <row r="38" customFormat="false" ht="14.25" hidden="false" customHeight="false" outlineLevel="0" collapsed="false">
      <c r="B38" s="7"/>
      <c r="C38" s="19" t="s">
        <v>132</v>
      </c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2"/>
    </row>
    <row r="39" customFormat="false" ht="14.25" hidden="false" customHeight="false" outlineLevel="0" collapsed="false">
      <c r="B39" s="7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2"/>
    </row>
    <row r="40" customFormat="false" ht="14.25" hidden="false" customHeight="false" outlineLevel="0" collapsed="false">
      <c r="B40" s="7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2"/>
    </row>
    <row r="41" customFormat="false" ht="14.25" hidden="false" customHeight="false" outlineLevel="0" collapsed="false">
      <c r="B41" s="7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2"/>
    </row>
    <row r="42" customFormat="false" ht="14.25" hidden="false" customHeight="false" outlineLevel="0" collapsed="false">
      <c r="B42" s="7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2"/>
    </row>
    <row r="43" customFormat="false" ht="14.25" hidden="false" customHeight="false" outlineLevel="0" collapsed="false">
      <c r="B43" s="7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2"/>
    </row>
    <row r="44" customFormat="false" ht="14.25" hidden="false" customHeight="false" outlineLevel="0" collapsed="false">
      <c r="B44" s="7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2"/>
    </row>
    <row r="45" customFormat="false" ht="14.25" hidden="false" customHeight="false" outlineLevel="0" collapsed="false">
      <c r="B45" s="7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2"/>
    </row>
    <row r="46" customFormat="false" ht="14.25" hidden="false" customHeight="false" outlineLevel="0" collapsed="false">
      <c r="B46" s="7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2"/>
    </row>
    <row r="47" customFormat="false" ht="14.25" hidden="false" customHeight="false" outlineLevel="0" collapsed="false">
      <c r="B47" s="7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2"/>
    </row>
    <row r="48" customFormat="false" ht="14.25" hidden="false" customHeight="false" outlineLevel="0" collapsed="false">
      <c r="B48" s="7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2"/>
    </row>
    <row r="49" customFormat="false" ht="14.25" hidden="false" customHeight="false" outlineLevel="0" collapsed="false">
      <c r="B49" s="7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2"/>
    </row>
    <row r="50" customFormat="false" ht="14.25" hidden="false" customHeight="false" outlineLevel="0" collapsed="false">
      <c r="B50" s="7"/>
      <c r="AF50" s="12"/>
    </row>
    <row r="51" customFormat="false" ht="14.25" hidden="false" customHeight="false" outlineLevel="0" collapsed="false">
      <c r="B51" s="7"/>
      <c r="AF51" s="12"/>
    </row>
    <row r="52" customFormat="false" ht="14.25" hidden="false" customHeight="false" outlineLevel="0" collapsed="false">
      <c r="B52" s="7"/>
      <c r="AF52" s="12"/>
    </row>
    <row r="53" customFormat="false" ht="14.25" hidden="false" customHeight="false" outlineLevel="0" collapsed="false">
      <c r="B53" s="7"/>
      <c r="AF53" s="12"/>
    </row>
    <row r="54" customFormat="false" ht="14.25" hidden="false" customHeight="false" outlineLevel="0" collapsed="false">
      <c r="B54" s="7"/>
      <c r="AF54" s="12"/>
    </row>
    <row r="55" customFormat="false" ht="14.25" hidden="false" customHeight="false" outlineLevel="0" collapsed="false">
      <c r="B55" s="7"/>
      <c r="AF55" s="12"/>
    </row>
    <row r="56" customFormat="false" ht="14.25" hidden="false" customHeight="false" outlineLevel="0" collapsed="false">
      <c r="B56" s="7"/>
      <c r="AF56" s="12"/>
    </row>
    <row r="57" customFormat="false" ht="14.25" hidden="false" customHeight="false" outlineLevel="0" collapsed="false">
      <c r="B57" s="7"/>
      <c r="AF57" s="12"/>
    </row>
    <row r="58" customFormat="false" ht="14.25" hidden="false" customHeight="false" outlineLevel="0" collapsed="false">
      <c r="B58" s="7"/>
      <c r="AF58" s="12"/>
    </row>
    <row r="59" customFormat="false" ht="14.25" hidden="false" customHeight="false" outlineLevel="0" collapsed="false">
      <c r="B59" s="7"/>
      <c r="AF59" s="12"/>
    </row>
    <row r="60" customFormat="false" ht="14.25" hidden="false" customHeight="false" outlineLevel="0" collapsed="false">
      <c r="B60" s="7"/>
      <c r="AF60" s="12"/>
    </row>
    <row r="61" customFormat="false" ht="14.25" hidden="false" customHeight="false" outlineLevel="0" collapsed="false">
      <c r="B61" s="7"/>
      <c r="AF61" s="12"/>
    </row>
    <row r="62" customFormat="false" ht="14.25" hidden="false" customHeight="false" outlineLevel="0" collapsed="false">
      <c r="B62" s="7"/>
      <c r="AF62" s="12"/>
    </row>
    <row r="63" customFormat="false" ht="14.25" hidden="false" customHeight="false" outlineLevel="0" collapsed="false">
      <c r="B63" s="7"/>
      <c r="AF63" s="12"/>
    </row>
    <row r="64" customFormat="false" ht="14.25" hidden="false" customHeight="false" outlineLevel="0" collapsed="false">
      <c r="B64" s="7"/>
      <c r="AF64" s="12"/>
    </row>
    <row r="65" customFormat="false" ht="14.25" hidden="false" customHeight="false" outlineLevel="0" collapsed="false">
      <c r="B65" s="7"/>
      <c r="AF65" s="12"/>
    </row>
    <row r="66" customFormat="false" ht="14.25" hidden="false" customHeight="false" outlineLevel="0" collapsed="false">
      <c r="B66" s="7"/>
      <c r="AF66" s="12"/>
    </row>
    <row r="67" customFormat="false" ht="14.25" hidden="false" customHeight="false" outlineLevel="0" collapsed="false">
      <c r="B67" s="7"/>
      <c r="AF67" s="12"/>
    </row>
    <row r="68" customFormat="false" ht="14.25" hidden="false" customHeight="false" outlineLevel="0" collapsed="false">
      <c r="B68" s="7"/>
      <c r="AF68" s="12"/>
    </row>
    <row r="69" customFormat="false" ht="14.25" hidden="false" customHeight="false" outlineLevel="0" collapsed="false">
      <c r="B69" s="7"/>
      <c r="AF69" s="12"/>
    </row>
    <row r="70" customFormat="false" ht="14.25" hidden="false" customHeight="false" outlineLevel="0" collapsed="false">
      <c r="B70" s="7"/>
      <c r="AF70" s="12"/>
    </row>
    <row r="71" customFormat="false" ht="14.25" hidden="false" customHeight="false" outlineLevel="0" collapsed="false">
      <c r="B71" s="7"/>
      <c r="AF71" s="12"/>
    </row>
    <row r="72" customFormat="false" ht="14.25" hidden="false" customHeight="false" outlineLevel="0" collapsed="false">
      <c r="B72" s="7"/>
      <c r="AF72" s="12"/>
    </row>
    <row r="73" customFormat="false" ht="14.25" hidden="false" customHeight="true" outlineLevel="0" collapsed="false">
      <c r="B73" s="36"/>
      <c r="C73" s="37"/>
      <c r="D73" s="37"/>
      <c r="E73" s="37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8" t="s">
        <v>93</v>
      </c>
      <c r="Y73" s="38"/>
      <c r="Z73" s="38"/>
      <c r="AA73" s="38"/>
      <c r="AB73" s="38" t="n">
        <v>1</v>
      </c>
      <c r="AC73" s="38"/>
      <c r="AD73" s="38"/>
      <c r="AE73" s="38"/>
      <c r="AF73" s="39"/>
    </row>
  </sheetData>
  <mergeCells count="185">
    <mergeCell ref="C2:G2"/>
    <mergeCell ref="H2:W2"/>
    <mergeCell ref="X2:AA2"/>
    <mergeCell ref="AB2:AE2"/>
    <mergeCell ref="C3:G3"/>
    <mergeCell ref="H3:W3"/>
    <mergeCell ref="X3:AA3"/>
    <mergeCell ref="AB3:AE3"/>
    <mergeCell ref="C4:G4"/>
    <mergeCell ref="H4:W4"/>
    <mergeCell ref="X4:AA4"/>
    <mergeCell ref="AB4:AE4"/>
    <mergeCell ref="C5:G5"/>
    <mergeCell ref="H5:W5"/>
    <mergeCell ref="X5:AA5"/>
    <mergeCell ref="AB5:AE5"/>
    <mergeCell ref="C7:AE7"/>
    <mergeCell ref="C8:AE8"/>
    <mergeCell ref="C10:L10"/>
    <mergeCell ref="M10:O10"/>
    <mergeCell ref="P10:R10"/>
    <mergeCell ref="S10:U10"/>
    <mergeCell ref="V10:X10"/>
    <mergeCell ref="Y10:AA10"/>
    <mergeCell ref="AB10:AD10"/>
    <mergeCell ref="C11:L11"/>
    <mergeCell ref="M11:O11"/>
    <mergeCell ref="P11:R11"/>
    <mergeCell ref="S11:U11"/>
    <mergeCell ref="V11:X11"/>
    <mergeCell ref="Y11:AA11"/>
    <mergeCell ref="AB11:AD11"/>
    <mergeCell ref="C12:L12"/>
    <mergeCell ref="M12:O12"/>
    <mergeCell ref="P12:R12"/>
    <mergeCell ref="S12:U12"/>
    <mergeCell ref="V12:X12"/>
    <mergeCell ref="Y12:AA12"/>
    <mergeCell ref="AB12:AD12"/>
    <mergeCell ref="C13:L13"/>
    <mergeCell ref="M13:O13"/>
    <mergeCell ref="P13:R13"/>
    <mergeCell ref="S13:U13"/>
    <mergeCell ref="V13:X13"/>
    <mergeCell ref="Y13:AA13"/>
    <mergeCell ref="AB13:AD13"/>
    <mergeCell ref="C14:L14"/>
    <mergeCell ref="M14:O14"/>
    <mergeCell ref="P14:R14"/>
    <mergeCell ref="S14:U14"/>
    <mergeCell ref="V14:X14"/>
    <mergeCell ref="Y14:AA14"/>
    <mergeCell ref="AB14:AD14"/>
    <mergeCell ref="C15:L15"/>
    <mergeCell ref="M15:O15"/>
    <mergeCell ref="P15:R15"/>
    <mergeCell ref="S15:U15"/>
    <mergeCell ref="V15:X15"/>
    <mergeCell ref="Y15:AA15"/>
    <mergeCell ref="AB15:AD15"/>
    <mergeCell ref="C16:L16"/>
    <mergeCell ref="M16:O16"/>
    <mergeCell ref="P16:R16"/>
    <mergeCell ref="S16:U16"/>
    <mergeCell ref="V16:X16"/>
    <mergeCell ref="Y16:AA16"/>
    <mergeCell ref="AB16:AD16"/>
    <mergeCell ref="C17:L17"/>
    <mergeCell ref="M17:O17"/>
    <mergeCell ref="P17:R17"/>
    <mergeCell ref="S17:U17"/>
    <mergeCell ref="V17:X17"/>
    <mergeCell ref="Y17:AA17"/>
    <mergeCell ref="AB17:AD17"/>
    <mergeCell ref="C18:L18"/>
    <mergeCell ref="M18:O18"/>
    <mergeCell ref="P18:R18"/>
    <mergeCell ref="S18:U18"/>
    <mergeCell ref="V18:X18"/>
    <mergeCell ref="Y18:AA18"/>
    <mergeCell ref="AB18:AD18"/>
    <mergeCell ref="C19:L19"/>
    <mergeCell ref="M19:O19"/>
    <mergeCell ref="P19:R19"/>
    <mergeCell ref="S19:U19"/>
    <mergeCell ref="V19:X19"/>
    <mergeCell ref="Y19:AA19"/>
    <mergeCell ref="AB19:AD19"/>
    <mergeCell ref="C20:L20"/>
    <mergeCell ref="M20:O20"/>
    <mergeCell ref="P20:R20"/>
    <mergeCell ref="S20:U20"/>
    <mergeCell ref="V20:X20"/>
    <mergeCell ref="Y20:AA20"/>
    <mergeCell ref="AB20:AD20"/>
    <mergeCell ref="C21:L21"/>
    <mergeCell ref="M21:O21"/>
    <mergeCell ref="P21:R21"/>
    <mergeCell ref="S21:U21"/>
    <mergeCell ref="V21:X21"/>
    <mergeCell ref="Y21:AA21"/>
    <mergeCell ref="AB21:AD21"/>
    <mergeCell ref="C22:L22"/>
    <mergeCell ref="M22:O22"/>
    <mergeCell ref="P22:R22"/>
    <mergeCell ref="S22:U22"/>
    <mergeCell ref="V22:X22"/>
    <mergeCell ref="Y22:AA22"/>
    <mergeCell ref="AB22:AD22"/>
    <mergeCell ref="C23:L23"/>
    <mergeCell ref="M23:O23"/>
    <mergeCell ref="P23:R23"/>
    <mergeCell ref="S23:U23"/>
    <mergeCell ref="V23:X23"/>
    <mergeCell ref="Y23:AA23"/>
    <mergeCell ref="AB23:AD23"/>
    <mergeCell ref="C24:L24"/>
    <mergeCell ref="M24:O24"/>
    <mergeCell ref="P24:R24"/>
    <mergeCell ref="S24:U24"/>
    <mergeCell ref="V24:X24"/>
    <mergeCell ref="Y24:AA24"/>
    <mergeCell ref="AB24:AD24"/>
    <mergeCell ref="C25:L25"/>
    <mergeCell ref="M25:O25"/>
    <mergeCell ref="P25:R25"/>
    <mergeCell ref="S25:U25"/>
    <mergeCell ref="V25:X25"/>
    <mergeCell ref="Y25:AA25"/>
    <mergeCell ref="AB25:AD25"/>
    <mergeCell ref="C26:L26"/>
    <mergeCell ref="M26:O26"/>
    <mergeCell ref="P26:R26"/>
    <mergeCell ref="S26:U26"/>
    <mergeCell ref="V26:X26"/>
    <mergeCell ref="Y26:AA26"/>
    <mergeCell ref="AB26:AD26"/>
    <mergeCell ref="C27:L27"/>
    <mergeCell ref="M27:O27"/>
    <mergeCell ref="P27:R27"/>
    <mergeCell ref="S27:U27"/>
    <mergeCell ref="V27:X27"/>
    <mergeCell ref="Y27:AA27"/>
    <mergeCell ref="AB27:AD27"/>
    <mergeCell ref="C28:L28"/>
    <mergeCell ref="M28:O28"/>
    <mergeCell ref="P28:R28"/>
    <mergeCell ref="S28:U28"/>
    <mergeCell ref="V28:X28"/>
    <mergeCell ref="Y28:AA28"/>
    <mergeCell ref="AB28:AD28"/>
    <mergeCell ref="C29:L29"/>
    <mergeCell ref="M29:O29"/>
    <mergeCell ref="P29:R29"/>
    <mergeCell ref="S29:U29"/>
    <mergeCell ref="V29:X29"/>
    <mergeCell ref="Y29:AA29"/>
    <mergeCell ref="AB29:AD29"/>
    <mergeCell ref="C30:L30"/>
    <mergeCell ref="M30:O30"/>
    <mergeCell ref="P30:R30"/>
    <mergeCell ref="S30:U30"/>
    <mergeCell ref="V30:X30"/>
    <mergeCell ref="Y30:AA30"/>
    <mergeCell ref="AB30:AD30"/>
    <mergeCell ref="C32:AE32"/>
    <mergeCell ref="C33:AE33"/>
    <mergeCell ref="C34:AE34"/>
    <mergeCell ref="C35:AE35"/>
    <mergeCell ref="C36:AE36"/>
    <mergeCell ref="C37:AE37"/>
    <mergeCell ref="C38:AE38"/>
    <mergeCell ref="C39:AE39"/>
    <mergeCell ref="C40:AE40"/>
    <mergeCell ref="C41:AE41"/>
    <mergeCell ref="C42:AE42"/>
    <mergeCell ref="C43:AE43"/>
    <mergeCell ref="C44:AE44"/>
    <mergeCell ref="C45:AE45"/>
    <mergeCell ref="C46:AE46"/>
    <mergeCell ref="C47:AE47"/>
    <mergeCell ref="C48:AE48"/>
    <mergeCell ref="C49:AE49"/>
    <mergeCell ref="X73:AA73"/>
    <mergeCell ref="AB73:AE73"/>
  </mergeCells>
  <printOptions headings="false" gridLines="false" gridLinesSet="true" horizontalCentered="true" verticalCentered="false"/>
  <pageMargins left="0.5" right="0.5" top="0.6" bottom="0.6" header="0.511811023622047" footer="0.511811023622047"/>
  <pageSetup paperSize="9" scale="66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Q577"/>
  <sheetViews>
    <sheetView showFormulas="false" showGridLines="false" showRowColHeaders="true" showZeros="true" rightToLeft="false" tabSelected="true" showOutlineSymbols="true" defaultGridColor="true" view="normal" topLeftCell="A1" colorId="64" zoomScale="70" zoomScaleNormal="70" zoomScalePageLayoutView="100" workbookViewId="0">
      <selection pane="topLeft" activeCell="C39" activeCellId="0" sqref="C39"/>
    </sheetView>
  </sheetViews>
  <sheetFormatPr defaultColWidth="8.5390625" defaultRowHeight="14.25" zeroHeight="false" outlineLevelRow="0" outlineLevelCol="0"/>
  <cols>
    <col collapsed="false" customWidth="true" hidden="false" outlineLevel="0" max="1" min="1" style="0" width="3.44"/>
    <col collapsed="false" customWidth="true" hidden="false" outlineLevel="0" max="2" min="2" style="0" width="4"/>
    <col collapsed="false" customWidth="true" hidden="false" outlineLevel="0" max="9" min="3" style="0" width="3.56"/>
    <col collapsed="false" customWidth="true" hidden="false" outlineLevel="0" max="10" min="10" style="0" width="3.89"/>
    <col collapsed="false" customWidth="true" hidden="false" outlineLevel="0" max="11" min="11" style="0" width="4"/>
    <col collapsed="false" customWidth="true" hidden="false" outlineLevel="0" max="31" min="12" style="0" width="4.56"/>
    <col collapsed="false" customWidth="true" hidden="false" outlineLevel="0" max="32" min="32" style="0" width="3.44"/>
    <col collapsed="false" customWidth="true" hidden="false" outlineLevel="0" max="68" min="35" style="0" width="9"/>
    <col collapsed="false" customWidth="true" hidden="false" outlineLevel="0" max="69" min="69" style="0" width="40"/>
  </cols>
  <sheetData>
    <row r="2" customFormat="false" ht="14.25" hidden="false" customHeight="true" outlineLevel="0" collapsed="false">
      <c r="B2" s="1"/>
      <c r="C2" s="2" t="s">
        <v>0</v>
      </c>
      <c r="D2" s="2"/>
      <c r="E2" s="2"/>
      <c r="F2" s="2"/>
      <c r="G2" s="2"/>
      <c r="H2" s="3" t="s">
        <v>1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4" t="s">
        <v>2</v>
      </c>
      <c r="Y2" s="4"/>
      <c r="Z2" s="4"/>
      <c r="AA2" s="4"/>
      <c r="AB2" s="5" t="s">
        <v>3</v>
      </c>
      <c r="AC2" s="5"/>
      <c r="AD2" s="5"/>
      <c r="AE2" s="5"/>
      <c r="AF2" s="6"/>
    </row>
    <row r="3" customFormat="false" ht="14.25" hidden="false" customHeight="true" outlineLevel="0" collapsed="false">
      <c r="B3" s="7"/>
      <c r="C3" s="8" t="s">
        <v>4</v>
      </c>
      <c r="D3" s="8"/>
      <c r="E3" s="8"/>
      <c r="F3" s="8"/>
      <c r="G3" s="8"/>
      <c r="H3" s="9" t="s">
        <v>5</v>
      </c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10" t="s">
        <v>6</v>
      </c>
      <c r="Y3" s="10"/>
      <c r="Z3" s="10"/>
      <c r="AA3" s="10"/>
      <c r="AB3" s="11" t="n">
        <v>46301</v>
      </c>
      <c r="AC3" s="11"/>
      <c r="AD3" s="11"/>
      <c r="AE3" s="11"/>
      <c r="AF3" s="12"/>
    </row>
    <row r="4" customFormat="false" ht="14.25" hidden="false" customHeight="true" outlineLevel="0" collapsed="false">
      <c r="B4" s="7"/>
      <c r="C4" s="8" t="s">
        <v>7</v>
      </c>
      <c r="D4" s="8"/>
      <c r="E4" s="8"/>
      <c r="F4" s="8"/>
      <c r="G4" s="8"/>
      <c r="H4" s="9" t="s">
        <v>133</v>
      </c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10" t="s">
        <v>9</v>
      </c>
      <c r="Y4" s="10"/>
      <c r="Z4" s="10"/>
      <c r="AA4" s="10"/>
      <c r="AB4" s="11" t="s">
        <v>3</v>
      </c>
      <c r="AC4" s="11"/>
      <c r="AD4" s="11"/>
      <c r="AE4" s="11"/>
      <c r="AF4" s="12"/>
    </row>
    <row r="5" customFormat="false" ht="14.25" hidden="false" customHeight="true" outlineLevel="0" collapsed="false">
      <c r="B5" s="13"/>
      <c r="C5" s="14" t="s">
        <v>10</v>
      </c>
      <c r="D5" s="14"/>
      <c r="E5" s="14"/>
      <c r="F5" s="14"/>
      <c r="G5" s="14"/>
      <c r="H5" s="15" t="s">
        <v>134</v>
      </c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6" t="s">
        <v>12</v>
      </c>
      <c r="Y5" s="16"/>
      <c r="Z5" s="16"/>
      <c r="AA5" s="16"/>
      <c r="AB5" s="17" t="n">
        <v>46301</v>
      </c>
      <c r="AC5" s="17"/>
      <c r="AD5" s="17"/>
      <c r="AE5" s="17"/>
      <c r="AF5" s="18"/>
    </row>
    <row r="6" customFormat="false" ht="14.25" hidden="false" customHeight="false" outlineLevel="0" collapsed="false">
      <c r="B6" s="7"/>
      <c r="AF6" s="12"/>
    </row>
    <row r="7" customFormat="false" ht="14.25" hidden="false" customHeight="false" outlineLevel="0" collapsed="false">
      <c r="B7" s="7"/>
      <c r="C7" s="9" t="s">
        <v>135</v>
      </c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12"/>
    </row>
    <row r="8" customFormat="false" ht="14.25" hidden="false" customHeight="false" outlineLevel="0" collapsed="false">
      <c r="B8" s="7"/>
      <c r="C8" s="20" t="s">
        <v>136</v>
      </c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12"/>
    </row>
    <row r="9" customFormat="false" ht="14.25" hidden="false" customHeight="false" outlineLevel="0" collapsed="false">
      <c r="B9" s="7"/>
      <c r="C9" s="20" t="s">
        <v>137</v>
      </c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12"/>
    </row>
    <row r="10" customFormat="false" ht="14.25" hidden="false" customHeight="false" outlineLevel="0" collapsed="false">
      <c r="B10" s="7"/>
      <c r="AF10" s="12"/>
    </row>
    <row r="11" customFormat="false" ht="14.25" hidden="false" customHeight="false" outlineLevel="0" collapsed="false">
      <c r="B11" s="7"/>
      <c r="C11" s="9" t="s">
        <v>138</v>
      </c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12"/>
    </row>
    <row r="12" customFormat="false" ht="14.25" hidden="false" customHeight="true" outlineLevel="0" collapsed="false">
      <c r="B12" s="7"/>
      <c r="C12" s="20" t="s">
        <v>16</v>
      </c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1"/>
      <c r="P12" s="21"/>
      <c r="Q12" s="21"/>
      <c r="R12" s="21"/>
      <c r="S12" s="21"/>
      <c r="T12" s="21"/>
      <c r="U12" s="21"/>
      <c r="V12" s="21"/>
      <c r="W12" s="21"/>
      <c r="X12" s="22" t="s">
        <v>18</v>
      </c>
      <c r="Y12" s="22"/>
      <c r="Z12" s="22"/>
      <c r="AA12" s="50" t="n">
        <f aca="false">Input!$AA$11</f>
        <v>2</v>
      </c>
      <c r="AB12" s="50"/>
      <c r="AC12" s="50"/>
      <c r="AD12" s="20" t="s">
        <v>19</v>
      </c>
      <c r="AE12" s="20"/>
      <c r="AF12" s="12"/>
    </row>
    <row r="13" customFormat="false" ht="14.25" hidden="false" customHeight="true" outlineLevel="0" collapsed="false">
      <c r="B13" s="7"/>
      <c r="C13" s="20" t="s">
        <v>139</v>
      </c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1"/>
      <c r="P13" s="21"/>
      <c r="Q13" s="21"/>
      <c r="R13" s="21"/>
      <c r="S13" s="21"/>
      <c r="T13" s="21"/>
      <c r="U13" s="21"/>
      <c r="V13" s="21"/>
      <c r="W13" s="21"/>
      <c r="X13" s="22" t="s">
        <v>25</v>
      </c>
      <c r="Y13" s="22"/>
      <c r="Z13" s="22"/>
      <c r="AA13" s="51" t="n">
        <f aca="false">Input!$AA$13</f>
        <v>100</v>
      </c>
      <c r="AB13" s="51"/>
      <c r="AC13" s="51"/>
      <c r="AD13" s="20" t="s">
        <v>26</v>
      </c>
      <c r="AE13" s="20"/>
      <c r="AF13" s="12"/>
    </row>
    <row r="14" customFormat="false" ht="14.25" hidden="false" customHeight="true" outlineLevel="0" collapsed="false">
      <c r="B14" s="7"/>
      <c r="C14" s="20" t="s">
        <v>27</v>
      </c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1" t="s">
        <v>28</v>
      </c>
      <c r="P14" s="21"/>
      <c r="Q14" s="21"/>
      <c r="R14" s="21"/>
      <c r="S14" s="21"/>
      <c r="T14" s="21"/>
      <c r="U14" s="21"/>
      <c r="V14" s="21"/>
      <c r="W14" s="21"/>
      <c r="X14" s="22" t="s">
        <v>29</v>
      </c>
      <c r="Y14" s="22"/>
      <c r="Z14" s="22"/>
      <c r="AA14" s="51" t="n">
        <f aca="false">Input!$AA$14</f>
        <v>136</v>
      </c>
      <c r="AB14" s="51"/>
      <c r="AC14" s="51"/>
      <c r="AD14" s="20" t="s">
        <v>26</v>
      </c>
      <c r="AE14" s="20"/>
      <c r="AF14" s="12"/>
    </row>
    <row r="15" customFormat="false" ht="14.25" hidden="false" customHeight="true" outlineLevel="0" collapsed="false">
      <c r="B15" s="7"/>
      <c r="C15" s="20" t="s">
        <v>140</v>
      </c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1" t="s">
        <v>141</v>
      </c>
      <c r="P15" s="21"/>
      <c r="Q15" s="21"/>
      <c r="R15" s="21"/>
      <c r="S15" s="21"/>
      <c r="T15" s="21"/>
      <c r="U15" s="21"/>
      <c r="V15" s="21"/>
      <c r="W15" s="21"/>
      <c r="X15" s="22" t="s">
        <v>31</v>
      </c>
      <c r="Y15" s="22"/>
      <c r="Z15" s="22"/>
      <c r="AA15" s="51" t="n">
        <f aca="false">Input!$AA$15</f>
        <v>74</v>
      </c>
      <c r="AB15" s="51"/>
      <c r="AC15" s="51"/>
      <c r="AD15" s="20" t="s">
        <v>19</v>
      </c>
      <c r="AE15" s="20"/>
      <c r="AF15" s="12"/>
    </row>
    <row r="16" customFormat="false" ht="14.25" hidden="false" customHeight="true" outlineLevel="0" collapsed="false">
      <c r="B16" s="7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1"/>
      <c r="P16" s="21"/>
      <c r="Q16" s="21"/>
      <c r="R16" s="21"/>
      <c r="S16" s="21"/>
      <c r="T16" s="21"/>
      <c r="U16" s="21"/>
      <c r="V16" s="21"/>
      <c r="W16" s="21"/>
      <c r="X16" s="22" t="s">
        <v>33</v>
      </c>
      <c r="Y16" s="22"/>
      <c r="Z16" s="22"/>
      <c r="AA16" s="51" t="n">
        <f aca="false">Input!$AA$16</f>
        <v>202</v>
      </c>
      <c r="AB16" s="51"/>
      <c r="AC16" s="51"/>
      <c r="AD16" s="20" t="s">
        <v>19</v>
      </c>
      <c r="AE16" s="20"/>
      <c r="AF16" s="12"/>
    </row>
    <row r="17" customFormat="false" ht="14.25" hidden="false" customHeight="true" outlineLevel="0" collapsed="false">
      <c r="B17" s="7"/>
      <c r="C17" s="20" t="s">
        <v>142</v>
      </c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1" t="s">
        <v>47</v>
      </c>
      <c r="P17" s="21"/>
      <c r="Q17" s="21"/>
      <c r="R17" s="21"/>
      <c r="S17" s="21"/>
      <c r="T17" s="21"/>
      <c r="U17" s="21"/>
      <c r="V17" s="21"/>
      <c r="W17" s="21"/>
      <c r="X17" s="22" t="s">
        <v>48</v>
      </c>
      <c r="Y17" s="22"/>
      <c r="Z17" s="22"/>
      <c r="AA17" s="51" t="n">
        <f aca="false">Input!$AA$23</f>
        <v>2</v>
      </c>
      <c r="AB17" s="51"/>
      <c r="AC17" s="51"/>
      <c r="AD17" s="20" t="s">
        <v>38</v>
      </c>
      <c r="AE17" s="20"/>
      <c r="AF17" s="12"/>
    </row>
    <row r="18" customFormat="false" ht="14.25" hidden="false" customHeight="false" outlineLevel="0" collapsed="false">
      <c r="B18" s="7"/>
      <c r="AF18" s="12"/>
    </row>
    <row r="19" customFormat="false" ht="14.25" hidden="false" customHeight="false" outlineLevel="0" collapsed="false">
      <c r="B19" s="7"/>
      <c r="C19" s="9" t="s">
        <v>143</v>
      </c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12"/>
    </row>
    <row r="20" customFormat="false" ht="14.25" hidden="false" customHeight="true" outlineLevel="0" collapsed="false">
      <c r="B20" s="7"/>
      <c r="C20" s="20" t="s">
        <v>144</v>
      </c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1"/>
      <c r="P20" s="21"/>
      <c r="Q20" s="21"/>
      <c r="R20" s="21"/>
      <c r="S20" s="21"/>
      <c r="T20" s="21"/>
      <c r="U20" s="21"/>
      <c r="V20" s="21"/>
      <c r="W20" s="21"/>
      <c r="X20" s="22" t="s">
        <v>145</v>
      </c>
      <c r="Y20" s="22"/>
      <c r="Z20" s="22"/>
      <c r="AA20" s="25" t="n">
        <v>9</v>
      </c>
      <c r="AB20" s="25"/>
      <c r="AC20" s="25"/>
      <c r="AD20" s="20" t="s">
        <v>19</v>
      </c>
      <c r="AE20" s="20"/>
      <c r="AF20" s="12"/>
    </row>
    <row r="21" customFormat="false" ht="14.25" hidden="false" customHeight="true" outlineLevel="0" collapsed="false">
      <c r="B21" s="7"/>
      <c r="C21" s="20" t="s">
        <v>146</v>
      </c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1"/>
      <c r="P21" s="21"/>
      <c r="Q21" s="21"/>
      <c r="R21" s="21"/>
      <c r="S21" s="21"/>
      <c r="T21" s="21"/>
      <c r="U21" s="21"/>
      <c r="V21" s="21"/>
      <c r="W21" s="21"/>
      <c r="X21" s="22" t="s">
        <v>147</v>
      </c>
      <c r="Y21" s="22"/>
      <c r="Z21" s="22"/>
      <c r="AA21" s="25" t="n">
        <v>17.8</v>
      </c>
      <c r="AB21" s="25"/>
      <c r="AC21" s="25"/>
      <c r="AD21" s="20" t="s">
        <v>23</v>
      </c>
      <c r="AE21" s="20"/>
      <c r="AF21" s="12"/>
    </row>
    <row r="22" customFormat="false" ht="14.25" hidden="false" customHeight="true" outlineLevel="0" collapsed="false">
      <c r="B22" s="7"/>
      <c r="C22" s="20" t="s">
        <v>148</v>
      </c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1"/>
      <c r="P22" s="21"/>
      <c r="Q22" s="21"/>
      <c r="R22" s="21"/>
      <c r="S22" s="21"/>
      <c r="T22" s="21"/>
      <c r="U22" s="21"/>
      <c r="V22" s="21"/>
      <c r="W22" s="21"/>
      <c r="X22" s="22" t="s">
        <v>149</v>
      </c>
      <c r="Y22" s="22"/>
      <c r="Z22" s="22"/>
      <c r="AA22" s="25" t="n">
        <v>19.2</v>
      </c>
      <c r="AB22" s="25"/>
      <c r="AC22" s="25"/>
      <c r="AD22" s="20" t="s">
        <v>23</v>
      </c>
      <c r="AE22" s="20"/>
      <c r="AF22" s="12"/>
    </row>
    <row r="23" customFormat="false" ht="14.25" hidden="false" customHeight="true" outlineLevel="0" collapsed="false">
      <c r="B23" s="7"/>
      <c r="C23" s="20" t="s">
        <v>150</v>
      </c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1" t="s">
        <v>151</v>
      </c>
      <c r="P23" s="21"/>
      <c r="Q23" s="21"/>
      <c r="R23" s="21"/>
      <c r="S23" s="21"/>
      <c r="T23" s="21"/>
      <c r="U23" s="21"/>
      <c r="V23" s="21"/>
      <c r="W23" s="21"/>
      <c r="X23" s="22" t="s">
        <v>152</v>
      </c>
      <c r="Y23" s="22"/>
      <c r="Z23" s="22"/>
      <c r="AA23" s="25" t="n">
        <v>1.5</v>
      </c>
      <c r="AB23" s="25"/>
      <c r="AC23" s="25"/>
      <c r="AD23" s="20" t="s">
        <v>19</v>
      </c>
      <c r="AE23" s="20"/>
      <c r="AF23" s="12"/>
    </row>
    <row r="24" customFormat="false" ht="14.25" hidden="false" customHeight="false" outlineLevel="0" collapsed="false">
      <c r="B24" s="7"/>
      <c r="AF24" s="12"/>
    </row>
    <row r="25" customFormat="false" ht="14.25" hidden="false" customHeight="false" outlineLevel="0" collapsed="false">
      <c r="B25" s="7"/>
      <c r="AF25" s="12"/>
    </row>
    <row r="26" customFormat="false" ht="14.25" hidden="false" customHeight="false" outlineLevel="0" collapsed="false">
      <c r="B26" s="7"/>
      <c r="AF26" s="12"/>
    </row>
    <row r="27" customFormat="false" ht="14.25" hidden="false" customHeight="false" outlineLevel="0" collapsed="false">
      <c r="B27" s="7"/>
      <c r="AF27" s="12"/>
    </row>
    <row r="28" customFormat="false" ht="14.25" hidden="false" customHeight="false" outlineLevel="0" collapsed="false">
      <c r="B28" s="7"/>
      <c r="AF28" s="12"/>
    </row>
    <row r="29" customFormat="false" ht="14.25" hidden="false" customHeight="false" outlineLevel="0" collapsed="false">
      <c r="B29" s="7"/>
      <c r="AF29" s="12"/>
    </row>
    <row r="30" customFormat="false" ht="14.25" hidden="false" customHeight="false" outlineLevel="0" collapsed="false">
      <c r="B30" s="7"/>
      <c r="AF30" s="12"/>
    </row>
    <row r="31" customFormat="false" ht="14.25" hidden="false" customHeight="false" outlineLevel="0" collapsed="false">
      <c r="B31" s="7"/>
      <c r="AF31" s="12"/>
    </row>
    <row r="32" customFormat="false" ht="14.25" hidden="false" customHeight="false" outlineLevel="0" collapsed="false">
      <c r="B32" s="7"/>
      <c r="AF32" s="12"/>
    </row>
    <row r="33" customFormat="false" ht="14.25" hidden="false" customHeight="false" outlineLevel="0" collapsed="false">
      <c r="B33" s="7"/>
      <c r="AF33" s="12"/>
    </row>
    <row r="34" customFormat="false" ht="14.25" hidden="false" customHeight="false" outlineLevel="0" collapsed="false">
      <c r="B34" s="7"/>
      <c r="AF34" s="12"/>
    </row>
    <row r="35" customFormat="false" ht="14.25" hidden="false" customHeight="false" outlineLevel="0" collapsed="false">
      <c r="B35" s="7"/>
      <c r="AF35" s="12"/>
    </row>
    <row r="36" customFormat="false" ht="14.25" hidden="false" customHeight="false" outlineLevel="0" collapsed="false">
      <c r="B36" s="7"/>
      <c r="AF36" s="12"/>
    </row>
    <row r="37" customFormat="false" ht="14.25" hidden="false" customHeight="false" outlineLevel="0" collapsed="false">
      <c r="B37" s="7"/>
      <c r="AF37" s="12"/>
    </row>
    <row r="38" customFormat="false" ht="14.25" hidden="false" customHeight="false" outlineLevel="0" collapsed="false">
      <c r="B38" s="7"/>
      <c r="AF38" s="12"/>
    </row>
    <row r="39" customFormat="false" ht="14.25" hidden="false" customHeight="false" outlineLevel="0" collapsed="false">
      <c r="B39" s="7"/>
      <c r="AF39" s="12"/>
    </row>
    <row r="40" customFormat="false" ht="14.25" hidden="false" customHeight="false" outlineLevel="0" collapsed="false">
      <c r="B40" s="7"/>
      <c r="AF40" s="12"/>
    </row>
    <row r="41" customFormat="false" ht="14.25" hidden="false" customHeight="false" outlineLevel="0" collapsed="false">
      <c r="B41" s="7"/>
      <c r="C41" s="52" t="s">
        <v>153</v>
      </c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  <c r="AA41" s="52"/>
      <c r="AB41" s="52"/>
      <c r="AC41" s="52"/>
      <c r="AD41" s="52"/>
      <c r="AE41" s="52"/>
      <c r="AF41" s="12"/>
    </row>
    <row r="42" customFormat="false" ht="14.25" hidden="false" customHeight="false" outlineLevel="0" collapsed="false">
      <c r="B42" s="7"/>
      <c r="AF42" s="12"/>
    </row>
    <row r="43" customFormat="false" ht="14.25" hidden="false" customHeight="false" outlineLevel="0" collapsed="false">
      <c r="B43" s="7"/>
      <c r="AF43" s="12"/>
    </row>
    <row r="44" customFormat="false" ht="14.25" hidden="false" customHeight="false" outlineLevel="0" collapsed="false">
      <c r="B44" s="7"/>
      <c r="AF44" s="12"/>
    </row>
    <row r="45" customFormat="false" ht="14.25" hidden="false" customHeight="false" outlineLevel="0" collapsed="false">
      <c r="B45" s="7"/>
      <c r="AF45" s="12"/>
    </row>
    <row r="46" customFormat="false" ht="14.25" hidden="false" customHeight="false" outlineLevel="0" collapsed="false">
      <c r="B46" s="7"/>
      <c r="AF46" s="12"/>
    </row>
    <row r="47" customFormat="false" ht="14.25" hidden="false" customHeight="false" outlineLevel="0" collapsed="false">
      <c r="B47" s="7"/>
      <c r="AF47" s="12"/>
    </row>
    <row r="48" customFormat="false" ht="14.25" hidden="false" customHeight="false" outlineLevel="0" collapsed="false">
      <c r="B48" s="7"/>
      <c r="AF48" s="12"/>
    </row>
    <row r="49" customFormat="false" ht="14.25" hidden="false" customHeight="false" outlineLevel="0" collapsed="false">
      <c r="B49" s="7"/>
      <c r="AF49" s="12"/>
    </row>
    <row r="50" customFormat="false" ht="14.25" hidden="false" customHeight="false" outlineLevel="0" collapsed="false">
      <c r="B50" s="7"/>
      <c r="AF50" s="12"/>
    </row>
    <row r="51" customFormat="false" ht="14.25" hidden="false" customHeight="false" outlineLevel="0" collapsed="false">
      <c r="B51" s="7"/>
      <c r="AF51" s="12"/>
    </row>
    <row r="52" customFormat="false" ht="14.25" hidden="false" customHeight="false" outlineLevel="0" collapsed="false">
      <c r="B52" s="7"/>
      <c r="AF52" s="12"/>
    </row>
    <row r="53" customFormat="false" ht="14.25" hidden="false" customHeight="false" outlineLevel="0" collapsed="false">
      <c r="B53" s="7"/>
      <c r="AF53" s="12"/>
    </row>
    <row r="54" customFormat="false" ht="14.25" hidden="false" customHeight="false" outlineLevel="0" collapsed="false">
      <c r="B54" s="7"/>
      <c r="AF54" s="12"/>
    </row>
    <row r="55" customFormat="false" ht="14.25" hidden="false" customHeight="false" outlineLevel="0" collapsed="false">
      <c r="B55" s="7"/>
      <c r="AF55" s="12"/>
    </row>
    <row r="56" customFormat="false" ht="14.25" hidden="false" customHeight="false" outlineLevel="0" collapsed="false">
      <c r="B56" s="7"/>
      <c r="AF56" s="12"/>
    </row>
    <row r="57" customFormat="false" ht="14.25" hidden="false" customHeight="false" outlineLevel="0" collapsed="false">
      <c r="B57" s="7"/>
      <c r="AF57" s="12"/>
    </row>
    <row r="58" customFormat="false" ht="14.25" hidden="false" customHeight="false" outlineLevel="0" collapsed="false">
      <c r="B58" s="7"/>
      <c r="AF58" s="12"/>
    </row>
    <row r="59" customFormat="false" ht="14.25" hidden="false" customHeight="false" outlineLevel="0" collapsed="false">
      <c r="B59" s="7"/>
      <c r="AF59" s="12"/>
    </row>
    <row r="60" customFormat="false" ht="14.25" hidden="false" customHeight="false" outlineLevel="0" collapsed="false">
      <c r="B60" s="7"/>
      <c r="AF60" s="12"/>
    </row>
    <row r="61" customFormat="false" ht="14.25" hidden="false" customHeight="false" outlineLevel="0" collapsed="false">
      <c r="B61" s="7"/>
      <c r="AF61" s="12"/>
    </row>
    <row r="62" customFormat="false" ht="14.25" hidden="false" customHeight="false" outlineLevel="0" collapsed="false">
      <c r="B62" s="7"/>
      <c r="AF62" s="12"/>
    </row>
    <row r="63" customFormat="false" ht="14.25" hidden="false" customHeight="false" outlineLevel="0" collapsed="false">
      <c r="B63" s="7"/>
      <c r="AF63" s="12"/>
    </row>
    <row r="64" customFormat="false" ht="14.25" hidden="false" customHeight="false" outlineLevel="0" collapsed="false">
      <c r="B64" s="7"/>
      <c r="AF64" s="12"/>
    </row>
    <row r="65" customFormat="false" ht="14.25" hidden="false" customHeight="false" outlineLevel="0" collapsed="false">
      <c r="B65" s="7"/>
      <c r="AF65" s="12"/>
    </row>
    <row r="66" customFormat="false" ht="14.25" hidden="false" customHeight="false" outlineLevel="0" collapsed="false">
      <c r="B66" s="7"/>
      <c r="AF66" s="12"/>
    </row>
    <row r="67" customFormat="false" ht="14.25" hidden="false" customHeight="false" outlineLevel="0" collapsed="false">
      <c r="B67" s="7"/>
      <c r="AF67" s="12"/>
    </row>
    <row r="68" customFormat="false" ht="14.25" hidden="false" customHeight="false" outlineLevel="0" collapsed="false">
      <c r="B68" s="7"/>
      <c r="AF68" s="12"/>
    </row>
    <row r="69" customFormat="false" ht="14.25" hidden="false" customHeight="false" outlineLevel="0" collapsed="false">
      <c r="B69" s="7"/>
      <c r="AF69" s="12"/>
    </row>
    <row r="70" customFormat="false" ht="14.25" hidden="false" customHeight="false" outlineLevel="0" collapsed="false">
      <c r="B70" s="7"/>
      <c r="AF70" s="12"/>
    </row>
    <row r="71" customFormat="false" ht="14.25" hidden="false" customHeight="false" outlineLevel="0" collapsed="false">
      <c r="B71" s="7"/>
      <c r="AF71" s="12"/>
    </row>
    <row r="72" customFormat="false" ht="14.25" hidden="false" customHeight="false" outlineLevel="0" collapsed="false">
      <c r="B72" s="7"/>
      <c r="AF72" s="12"/>
    </row>
    <row r="73" customFormat="false" ht="14.25" hidden="false" customHeight="true" outlineLevel="0" collapsed="false">
      <c r="B73" s="36"/>
      <c r="C73" s="37"/>
      <c r="D73" s="37"/>
      <c r="E73" s="37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8" t="s">
        <v>93</v>
      </c>
      <c r="Y73" s="38"/>
      <c r="Z73" s="38"/>
      <c r="AA73" s="38"/>
      <c r="AB73" s="38" t="n">
        <v>1</v>
      </c>
      <c r="AC73" s="38"/>
      <c r="AD73" s="38"/>
      <c r="AE73" s="38"/>
      <c r="AF73" s="39"/>
    </row>
    <row r="74" customFormat="false" ht="14.25" hidden="false" customHeight="true" outlineLevel="0" collapsed="false">
      <c r="B74" s="1"/>
      <c r="C74" s="2" t="s">
        <v>0</v>
      </c>
      <c r="D74" s="2"/>
      <c r="E74" s="2"/>
      <c r="F74" s="2"/>
      <c r="G74" s="2"/>
      <c r="H74" s="3" t="s">
        <v>1</v>
      </c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4" t="s">
        <v>2</v>
      </c>
      <c r="Y74" s="4"/>
      <c r="Z74" s="4"/>
      <c r="AA74" s="4"/>
      <c r="AB74" s="5" t="s">
        <v>3</v>
      </c>
      <c r="AC74" s="5"/>
      <c r="AD74" s="5"/>
      <c r="AE74" s="5"/>
      <c r="AF74" s="6"/>
    </row>
    <row r="75" customFormat="false" ht="14.25" hidden="false" customHeight="true" outlineLevel="0" collapsed="false">
      <c r="B75" s="7"/>
      <c r="C75" s="8" t="s">
        <v>4</v>
      </c>
      <c r="D75" s="8"/>
      <c r="E75" s="8"/>
      <c r="F75" s="8"/>
      <c r="G75" s="8"/>
      <c r="H75" s="9" t="s">
        <v>5</v>
      </c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10" t="s">
        <v>6</v>
      </c>
      <c r="Y75" s="10"/>
      <c r="Z75" s="10"/>
      <c r="AA75" s="10"/>
      <c r="AB75" s="11" t="n">
        <v>46301</v>
      </c>
      <c r="AC75" s="11"/>
      <c r="AD75" s="11"/>
      <c r="AE75" s="11"/>
      <c r="AF75" s="12"/>
    </row>
    <row r="76" customFormat="false" ht="14.25" hidden="false" customHeight="true" outlineLevel="0" collapsed="false">
      <c r="B76" s="7"/>
      <c r="C76" s="8" t="s">
        <v>7</v>
      </c>
      <c r="D76" s="8"/>
      <c r="E76" s="8"/>
      <c r="F76" s="8"/>
      <c r="G76" s="8"/>
      <c r="H76" s="9" t="s">
        <v>133</v>
      </c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10" t="s">
        <v>9</v>
      </c>
      <c r="Y76" s="10"/>
      <c r="Z76" s="10"/>
      <c r="AA76" s="10"/>
      <c r="AB76" s="11" t="s">
        <v>3</v>
      </c>
      <c r="AC76" s="11"/>
      <c r="AD76" s="11"/>
      <c r="AE76" s="11"/>
      <c r="AF76" s="12"/>
    </row>
    <row r="77" customFormat="false" ht="14.25" hidden="false" customHeight="true" outlineLevel="0" collapsed="false">
      <c r="B77" s="13"/>
      <c r="C77" s="14" t="s">
        <v>10</v>
      </c>
      <c r="D77" s="14"/>
      <c r="E77" s="14"/>
      <c r="F77" s="14"/>
      <c r="G77" s="14"/>
      <c r="H77" s="15" t="s">
        <v>134</v>
      </c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6" t="s">
        <v>12</v>
      </c>
      <c r="Y77" s="16"/>
      <c r="Z77" s="16"/>
      <c r="AA77" s="16"/>
      <c r="AB77" s="17" t="n">
        <v>46301</v>
      </c>
      <c r="AC77" s="17"/>
      <c r="AD77" s="17"/>
      <c r="AE77" s="17"/>
      <c r="AF77" s="18"/>
    </row>
    <row r="78" customFormat="false" ht="14.25" hidden="false" customHeight="false" outlineLevel="0" collapsed="false">
      <c r="B78" s="7"/>
      <c r="AF78" s="12"/>
    </row>
    <row r="79" customFormat="false" ht="14.25" hidden="false" customHeight="false" outlineLevel="0" collapsed="false">
      <c r="B79" s="7"/>
      <c r="C79" s="9" t="s">
        <v>154</v>
      </c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12"/>
    </row>
    <row r="80" customFormat="false" ht="14.25" hidden="false" customHeight="false" outlineLevel="0" collapsed="false">
      <c r="B80" s="7"/>
      <c r="C80" s="20" t="s">
        <v>155</v>
      </c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12"/>
      <c r="AI80" s="53" t="s">
        <v>156</v>
      </c>
    </row>
    <row r="81" customFormat="false" ht="27" hidden="false" customHeight="true" outlineLevel="0" collapsed="false">
      <c r="B81" s="7"/>
      <c r="C81" s="28" t="s">
        <v>157</v>
      </c>
      <c r="D81" s="28"/>
      <c r="E81" s="28" t="s">
        <v>158</v>
      </c>
      <c r="F81" s="28"/>
      <c r="G81" s="28"/>
      <c r="H81" s="28" t="s">
        <v>159</v>
      </c>
      <c r="I81" s="28"/>
      <c r="J81" s="28"/>
      <c r="K81" s="28" t="s">
        <v>160</v>
      </c>
      <c r="L81" s="28"/>
      <c r="M81" s="28"/>
      <c r="N81" s="28" t="s">
        <v>161</v>
      </c>
      <c r="O81" s="28"/>
      <c r="P81" s="28"/>
      <c r="Q81" s="28" t="s">
        <v>162</v>
      </c>
      <c r="R81" s="28"/>
      <c r="S81" s="28"/>
      <c r="T81" s="28" t="s">
        <v>88</v>
      </c>
      <c r="U81" s="28"/>
      <c r="V81" s="28" t="s">
        <v>163</v>
      </c>
      <c r="W81" s="28"/>
      <c r="X81" s="28" t="s">
        <v>164</v>
      </c>
      <c r="Y81" s="28"/>
      <c r="Z81" s="28" t="s">
        <v>165</v>
      </c>
      <c r="AA81" s="28"/>
      <c r="AB81" s="28"/>
      <c r="AC81" s="28" t="s">
        <v>166</v>
      </c>
      <c r="AD81" s="28"/>
      <c r="AE81" s="28"/>
      <c r="AF81" s="12"/>
      <c r="AI81" s="54" t="s">
        <v>167</v>
      </c>
      <c r="AJ81" s="54" t="s">
        <v>168</v>
      </c>
      <c r="AK81" s="54" t="s">
        <v>169</v>
      </c>
      <c r="AL81" s="54" t="s">
        <v>170</v>
      </c>
      <c r="AM81" s="54" t="s">
        <v>171</v>
      </c>
      <c r="AN81" s="54" t="s">
        <v>172</v>
      </c>
      <c r="AO81" s="54" t="s">
        <v>173</v>
      </c>
      <c r="AP81" s="54" t="s">
        <v>174</v>
      </c>
      <c r="AQ81" s="54" t="s">
        <v>175</v>
      </c>
      <c r="AR81" s="54" t="s">
        <v>88</v>
      </c>
      <c r="AS81" s="54" t="s">
        <v>176</v>
      </c>
      <c r="AT81" s="54" t="s">
        <v>163</v>
      </c>
      <c r="AU81" s="54" t="s">
        <v>164</v>
      </c>
      <c r="AV81" s="54" t="s">
        <v>165</v>
      </c>
      <c r="AW81" s="54" t="s">
        <v>177</v>
      </c>
      <c r="AX81" s="54" t="s">
        <v>178</v>
      </c>
      <c r="AY81" s="54" t="s">
        <v>179</v>
      </c>
      <c r="AZ81" s="54" t="s">
        <v>19</v>
      </c>
      <c r="BA81" s="54" t="s">
        <v>180</v>
      </c>
      <c r="BB81" s="54" t="s">
        <v>181</v>
      </c>
      <c r="BC81" s="54" t="s">
        <v>182</v>
      </c>
      <c r="BD81" s="54" t="s">
        <v>183</v>
      </c>
      <c r="BE81" s="54" t="s">
        <v>184</v>
      </c>
      <c r="BF81" s="54" t="s">
        <v>185</v>
      </c>
      <c r="BG81" s="54" t="s">
        <v>186</v>
      </c>
      <c r="BH81" s="54" t="s">
        <v>187</v>
      </c>
      <c r="BI81" s="54" t="s">
        <v>188</v>
      </c>
      <c r="BJ81" s="54" t="s">
        <v>189</v>
      </c>
      <c r="BK81" s="54" t="s">
        <v>190</v>
      </c>
      <c r="BL81" s="54" t="s">
        <v>89</v>
      </c>
      <c r="BM81" s="54" t="s">
        <v>191</v>
      </c>
      <c r="BN81" s="54" t="s">
        <v>192</v>
      </c>
      <c r="BO81" s="54" t="s">
        <v>193</v>
      </c>
      <c r="BP81" s="54" t="s">
        <v>194</v>
      </c>
      <c r="BQ81" s="54" t="s">
        <v>195</v>
      </c>
    </row>
    <row r="82" customFormat="false" ht="14.25" hidden="false" customHeight="true" outlineLevel="0" collapsed="false">
      <c r="B82" s="7"/>
      <c r="C82" s="29"/>
      <c r="D82" s="29"/>
      <c r="E82" s="29" t="s">
        <v>19</v>
      </c>
      <c r="F82" s="29"/>
      <c r="G82" s="29"/>
      <c r="H82" s="29" t="s">
        <v>19</v>
      </c>
      <c r="I82" s="29"/>
      <c r="J82" s="29"/>
      <c r="K82" s="29"/>
      <c r="L82" s="29"/>
      <c r="M82" s="29"/>
      <c r="N82" s="29"/>
      <c r="O82" s="29"/>
      <c r="P82" s="29"/>
      <c r="Q82" s="29" t="s">
        <v>23</v>
      </c>
      <c r="R82" s="29"/>
      <c r="S82" s="29"/>
      <c r="T82" s="29" t="s">
        <v>91</v>
      </c>
      <c r="U82" s="29"/>
      <c r="V82" s="29" t="s">
        <v>91</v>
      </c>
      <c r="W82" s="29"/>
      <c r="X82" s="29" t="s">
        <v>38</v>
      </c>
      <c r="Y82" s="29"/>
      <c r="Z82" s="29" t="s">
        <v>26</v>
      </c>
      <c r="AA82" s="29"/>
      <c r="AB82" s="29"/>
      <c r="AC82" s="29" t="s">
        <v>60</v>
      </c>
      <c r="AD82" s="29"/>
      <c r="AE82" s="29"/>
      <c r="AF82" s="12"/>
    </row>
    <row r="83" customFormat="false" ht="14.25" hidden="false" customHeight="false" outlineLevel="0" collapsed="false">
      <c r="B83" s="7"/>
      <c r="C83" s="46" t="n">
        <v>1</v>
      </c>
      <c r="D83" s="46"/>
      <c r="E83" s="44" t="n">
        <f aca="false">AI83</f>
        <v>0</v>
      </c>
      <c r="F83" s="44"/>
      <c r="G83" s="44"/>
      <c r="H83" s="44" t="n">
        <f aca="false">AJ83</f>
        <v>1.5</v>
      </c>
      <c r="I83" s="44"/>
      <c r="J83" s="44"/>
      <c r="K83" s="41" t="str">
        <f aca="false">AM83</f>
        <v>Clay</v>
      </c>
      <c r="L83" s="41"/>
      <c r="M83" s="41"/>
      <c r="N83" s="46" t="n">
        <f aca="false">AN83</f>
        <v>5</v>
      </c>
      <c r="O83" s="46"/>
      <c r="P83" s="46"/>
      <c r="Q83" s="42" t="n">
        <f aca="false">AO83</f>
        <v>17.8</v>
      </c>
      <c r="R83" s="42"/>
      <c r="S83" s="42"/>
      <c r="T83" s="46" t="n">
        <f aca="false">IF(AR83="","-",AR83)</f>
        <v>29.665</v>
      </c>
      <c r="U83" s="46"/>
      <c r="V83" s="46" t="n">
        <f aca="false">IF(AT83="","-",AT83)</f>
        <v>9.859</v>
      </c>
      <c r="W83" s="46"/>
      <c r="X83" s="44" t="n">
        <f aca="false">AU83</f>
        <v>0.681</v>
      </c>
      <c r="Y83" s="44"/>
      <c r="Z83" s="55" t="n">
        <f aca="false">AV83</f>
        <v>25</v>
      </c>
      <c r="AA83" s="55"/>
      <c r="AB83" s="55"/>
      <c r="AC83" s="42" t="n">
        <f aca="false">AW83</f>
        <v>30</v>
      </c>
      <c r="AD83" s="42"/>
      <c r="AE83" s="42"/>
      <c r="AF83" s="12"/>
      <c r="AI83" s="56" t="n">
        <v>0</v>
      </c>
      <c r="AJ83" s="56" t="n">
        <v>1.5</v>
      </c>
      <c r="AK83" s="57" t="n">
        <f aca="false">AJ83-AI83</f>
        <v>1.5</v>
      </c>
      <c r="AL83" s="57" t="n">
        <f aca="false">(AI83+AJ83)/2</f>
        <v>0.75</v>
      </c>
      <c r="AM83" s="56" t="s">
        <v>196</v>
      </c>
      <c r="AN83" s="56" t="n">
        <v>5</v>
      </c>
      <c r="AO83" s="58" t="n">
        <f aca="false">IF(AL83&gt;$AA$20,$AA$22,$AA$21)</f>
        <v>17.8</v>
      </c>
      <c r="AP83" s="57" t="n">
        <f aca="false">AO83*AK83</f>
        <v>26.7</v>
      </c>
      <c r="AQ83" s="57" t="n">
        <f aca="false">AP83-AO83*AK83/2-10*MAX(AL83-$AA$20,0)</f>
        <v>13.35</v>
      </c>
      <c r="AR83" s="56" t="n">
        <v>29.665</v>
      </c>
      <c r="AS83" s="56" t="n">
        <v>19.806</v>
      </c>
      <c r="AT83" s="57" t="n">
        <f aca="false">IF(AR83="","",AR83-AS83)</f>
        <v>9.859</v>
      </c>
      <c r="AU83" s="56" t="n">
        <v>0.681</v>
      </c>
      <c r="AV83" s="57" t="n">
        <f aca="false">IF(AM83="Sand",0,Input!$AA$34*AN83)</f>
        <v>25</v>
      </c>
      <c r="AW83" s="57" t="n">
        <f aca="false">IF(AM83="Sand",27.1+0.3*MIN(Input!$AA$35*AN83,60)-0.00054*MIN(Input!$AA$35*AN83,60)^2,MIN(MAX(DEGREES(ASIN(0.8-0.094*LN(MAX(IF(AT83="",10,AT83),5)))),20),30))</f>
        <v>30</v>
      </c>
      <c r="AX83" s="57" t="n">
        <f aca="false">IF(AM83="Sand",Input!$AA$36*Input!$AA$35*AN83,Input!$AA$37*AV83)</f>
        <v>12500</v>
      </c>
      <c r="AY83" s="57" t="n">
        <f aca="false">IF(AM83="Sand",Input!$AA$38,0.5)</f>
        <v>0.5</v>
      </c>
      <c r="AZ83" s="57" t="n">
        <f aca="false">Input!$AA$15/2/AL83</f>
        <v>49.3333333333333</v>
      </c>
      <c r="BA83" s="57" t="n">
        <f aca="false">Input!$AA$16/2/AL83</f>
        <v>134.666666666667</v>
      </c>
      <c r="BB83" s="57" t="n">
        <f aca="false">1/(4*PI())*(2*AZ83*BA83*SQRT(AZ83^2+BA83^2+1)/(AZ83^2+BA83^2+1+AZ83^2*BA83^2)*(AZ83^2+BA83^2+2)/(AZ83^2+BA83^2+1)+ATAN2(AZ83^2+BA83^2+1-AZ83^2*BA83^2,2*AZ83*BA83*SQRT(AZ83^2+BA83^2+1)))</f>
        <v>0.249999100034729</v>
      </c>
      <c r="BC83" s="57" t="n">
        <f aca="false">4*Input!$AA$14*BB83</f>
        <v>135.999510418892</v>
      </c>
      <c r="BD83" s="57" t="n">
        <f aca="false">((Input!$AA$16/Input!$AA$15)*LN((1+SQRT((Input!$AA$16/Input!$AA$15)^2+1))*SQRT((Input!$AA$16/Input!$AA$15)^2+(AJ83/(Input!$AA$15/2))^2)/((Input!$AA$16/Input!$AA$15)*(1+SQRT((Input!$AA$16/Input!$AA$15)^2+(AJ83/(Input!$AA$15/2))^2+1))))+LN(((Input!$AA$16/Input!$AA$15)+SQRT((Input!$AA$16/Input!$AA$15)^2+1))*SQRT(1+(AJ83/(Input!$AA$15/2))^2)/((Input!$AA$16/Input!$AA$15)+SQRT((Input!$AA$16/Input!$AA$15)^2+(AJ83/(Input!$AA$15/2))^2+1))))/PI()</f>
        <v>0.000278357738281407</v>
      </c>
      <c r="BE83" s="57" t="n">
        <f aca="false">(AJ83/(Input!$AA$15/2))/(2*PI())*ATAN((Input!$AA$16/Input!$AA$15)/((AJ83/(Input!$AA$15/2))*SQRT((Input!$AA$16/Input!$AA$15)^2+(AJ83/(Input!$AA$15/2))^2+1)))</f>
        <v>0.00985670448566872</v>
      </c>
      <c r="BF83" s="57" t="n">
        <f aca="false">MAX(0,AJ83-MAX(AI83,$AA$23))/AK83*IF(BC83&gt;=Input!$AA$21*AQ83,1,0)</f>
        <v>0.666666666666667</v>
      </c>
      <c r="BG83" s="57" t="n">
        <f aca="false">4*Input!$AA$14*(Input!$AA$15/2)*(1-AY83^2)/AX83*((BD83-0)+(1-2*AY83)/(1-AY83)*(BE83-0))*1000*BF83</f>
        <v>0.224111382245126</v>
      </c>
      <c r="BH83" s="57" t="n">
        <f aca="false">IF(AM83="Sand",0,0.009*(AR83-10))</f>
        <v>0.176985</v>
      </c>
      <c r="BI83" s="57" t="n">
        <f aca="false">BH83*Input!$AA$39</f>
        <v>0.035397</v>
      </c>
      <c r="BJ83" s="57" t="n">
        <f aca="false">IF(AM83="Sand",0,MAX(AV83/Input!$AA$40,AQ83))</f>
        <v>113.636363636364</v>
      </c>
      <c r="BK83" s="57" t="n">
        <f aca="false">IF(AM83="Sand",0,1000*AK83/(1+AU83)*IF(AQ83+BC83&lt;=BJ83,BI83*LOG10((AQ83+BC83)/AQ83),BI83*LOG10(BJ83/AQ83)+BH83*LOG10((AQ83+BC83)/BJ83)))*BF83</f>
        <v>32.0798407775112</v>
      </c>
      <c r="BL83" s="57" t="n">
        <f aca="false">IF(AM83="Sand",0,10^(INDEX(Input!$Q$51:$Q$57,MIN(MATCH(MIN(MAX(AR83,30),120),Input!$C$51:$C$57,1),6))+(MIN(MAX(AR83,30),120)-INDEX(Input!$C$51:$C$57,MIN(MATCH(MIN(MAX(AR83,30),120),Input!$C$51:$C$57,1),6)))/(INDEX(Input!$C$51:$C$57,MIN(MATCH(MIN(MAX(AR83,30),120),Input!$C$51:$C$57,1),6)+1)-INDEX(Input!$C$51:$C$57,MIN(MATCH(MIN(MAX(AR83,30),120),Input!$C$51:$C$57,1),6)))*(INDEX(Input!$Q$51:$Q$57,MIN(MATCH(MIN(MAX(AR83,30),120),Input!$C$51:$C$57,1),6)+1)-INDEX(Input!$Q$51:$Q$57,MIN(MATCH(MIN(MAX(AR83,30),120),Input!$C$51:$C$57,1),6)))))</f>
        <v>0.003</v>
      </c>
      <c r="BM83" s="57" t="n">
        <f aca="false">IF(OR(AM83="Sand",BF83=0),0,Input!$AA$41*(AK83/2)^2/(BL83*0.0001*31536000))</f>
        <v>0.0504185692541857</v>
      </c>
      <c r="BN83" s="57" t="n">
        <f aca="false">MAX(0,MIN(AJ83,Input!$AA$20)-AI83)</f>
        <v>1.5</v>
      </c>
      <c r="BO83" s="57" t="n">
        <f aca="false">MAX(0,MIN(AJ83,Input!$AA$20)-MAX(AI83,$AA$23))</f>
        <v>1</v>
      </c>
      <c r="BP83" s="57" t="n">
        <f aca="false">BG83+BK83</f>
        <v>32.3039521597563</v>
      </c>
      <c r="BQ83" s="57" t="s">
        <v>197</v>
      </c>
    </row>
    <row r="84" customFormat="false" ht="14.25" hidden="false" customHeight="false" outlineLevel="0" collapsed="false">
      <c r="B84" s="7"/>
      <c r="C84" s="46" t="n">
        <v>2</v>
      </c>
      <c r="D84" s="46"/>
      <c r="E84" s="44" t="n">
        <f aca="false">AI84</f>
        <v>1.5</v>
      </c>
      <c r="F84" s="44"/>
      <c r="G84" s="44"/>
      <c r="H84" s="44" t="n">
        <f aca="false">AJ84</f>
        <v>3</v>
      </c>
      <c r="I84" s="44"/>
      <c r="J84" s="44"/>
      <c r="K84" s="41" t="str">
        <f aca="false">AM84</f>
        <v>Clay</v>
      </c>
      <c r="L84" s="41"/>
      <c r="M84" s="41"/>
      <c r="N84" s="46" t="n">
        <f aca="false">AN84</f>
        <v>5</v>
      </c>
      <c r="O84" s="46"/>
      <c r="P84" s="46"/>
      <c r="Q84" s="42" t="n">
        <f aca="false">AO84</f>
        <v>17.8</v>
      </c>
      <c r="R84" s="42"/>
      <c r="S84" s="42"/>
      <c r="T84" s="46" t="n">
        <f aca="false">IF(AR84="","-",AR84)</f>
        <v>29.665</v>
      </c>
      <c r="U84" s="46"/>
      <c r="V84" s="46" t="n">
        <f aca="false">IF(AT84="","-",AT84)</f>
        <v>9.859</v>
      </c>
      <c r="W84" s="46"/>
      <c r="X84" s="44" t="n">
        <f aca="false">AU84</f>
        <v>0.952</v>
      </c>
      <c r="Y84" s="44"/>
      <c r="Z84" s="55" t="n">
        <f aca="false">AV84</f>
        <v>25</v>
      </c>
      <c r="AA84" s="55"/>
      <c r="AB84" s="55"/>
      <c r="AC84" s="42" t="n">
        <f aca="false">AW84</f>
        <v>30</v>
      </c>
      <c r="AD84" s="42"/>
      <c r="AE84" s="42"/>
      <c r="AF84" s="12"/>
      <c r="AI84" s="56" t="n">
        <v>1.5</v>
      </c>
      <c r="AJ84" s="56" t="n">
        <v>3</v>
      </c>
      <c r="AK84" s="57" t="n">
        <f aca="false">AJ84-AI84</f>
        <v>1.5</v>
      </c>
      <c r="AL84" s="57" t="n">
        <f aca="false">(AI84+AJ84)/2</f>
        <v>2.25</v>
      </c>
      <c r="AM84" s="56" t="s">
        <v>196</v>
      </c>
      <c r="AN84" s="56" t="n">
        <v>5</v>
      </c>
      <c r="AO84" s="58" t="n">
        <f aca="false">IF(AL84&gt;$AA$20,$AA$22,$AA$21)</f>
        <v>17.8</v>
      </c>
      <c r="AP84" s="57" t="n">
        <f aca="false">AP83+AO84*AK84</f>
        <v>53.4</v>
      </c>
      <c r="AQ84" s="57" t="n">
        <f aca="false">AP84-AO84*AK84/2-10*MAX(AL84-$AA$20,0)</f>
        <v>40.05</v>
      </c>
      <c r="AR84" s="56" t="n">
        <v>29.665</v>
      </c>
      <c r="AS84" s="56" t="n">
        <v>19.806</v>
      </c>
      <c r="AT84" s="57" t="n">
        <f aca="false">IF(AR84="","",AR84-AS84)</f>
        <v>9.859</v>
      </c>
      <c r="AU84" s="56" t="n">
        <v>0.952</v>
      </c>
      <c r="AV84" s="57" t="n">
        <f aca="false">IF(AM84="Sand",0,Input!$AA$34*AN84)</f>
        <v>25</v>
      </c>
      <c r="AW84" s="57" t="n">
        <f aca="false">IF(AM84="Sand",27.1+0.3*MIN(Input!$AA$35*AN84,60)-0.00054*MIN(Input!$AA$35*AN84,60)^2,MIN(MAX(DEGREES(ASIN(0.8-0.094*LN(MAX(IF(AT84="",10,AT84),5)))),20),30))</f>
        <v>30</v>
      </c>
      <c r="AX84" s="57" t="n">
        <f aca="false">IF(AM84="Sand",Input!$AA$36*Input!$AA$35*AN84,Input!$AA$37*AV84)</f>
        <v>12500</v>
      </c>
      <c r="AY84" s="57" t="n">
        <f aca="false">IF(AM84="Sand",Input!$AA$38,0.5)</f>
        <v>0.5</v>
      </c>
      <c r="AZ84" s="57" t="n">
        <f aca="false">Input!$AA$15/2/AL84</f>
        <v>16.4444444444444</v>
      </c>
      <c r="BA84" s="57" t="n">
        <f aca="false">Input!$AA$16/2/AL84</f>
        <v>44.8888888888889</v>
      </c>
      <c r="BB84" s="57" t="n">
        <f aca="false">1/(4*PI())*(2*AZ84*BA84*SQRT(AZ84^2+BA84^2+1)/(AZ84^2+BA84^2+1+AZ84^2*BA84^2)*(AZ84^2+BA84^2+2)/(AZ84^2+BA84^2+1)+ATAN2(AZ84^2+BA84^2+1-AZ84^2*BA84^2,2*AZ84*BA84*SQRT(AZ84^2+BA84^2+1)))</f>
        <v>0.249975794959289</v>
      </c>
      <c r="BC84" s="57" t="n">
        <f aca="false">4*Input!$AA$14*BB84</f>
        <v>135.986832457853</v>
      </c>
      <c r="BD84" s="57" t="n">
        <f aca="false">((Input!$AA$16/Input!$AA$15)*LN((1+SQRT((Input!$AA$16/Input!$AA$15)^2+1))*SQRT((Input!$AA$16/Input!$AA$15)^2+(AJ84/(Input!$AA$15/2))^2)/((Input!$AA$16/Input!$AA$15)*(1+SQRT((Input!$AA$16/Input!$AA$15)^2+(AJ84/(Input!$AA$15/2))^2+1))))+LN(((Input!$AA$16/Input!$AA$15)+SQRT((Input!$AA$16/Input!$AA$15)^2+1))*SQRT(1+(AJ84/(Input!$AA$15/2))^2)/((Input!$AA$16/Input!$AA$15)+SQRT((Input!$AA$16/Input!$AA$15)^2+(AJ84/(Input!$AA$15/2))^2+1))))/PI()</f>
        <v>0.0011108168584366</v>
      </c>
      <c r="BE84" s="57" t="n">
        <f aca="false">(AJ84/(Input!$AA$15/2))/(2*PI())*ATAN((Input!$AA$16/Input!$AA$15)/((AJ84/(Input!$AA$15/2))*SQRT((Input!$AA$16/Input!$AA$15)^2+(AJ84/(Input!$AA$15/2))^2+1)))</f>
        <v>0.0191582913405592</v>
      </c>
      <c r="BF84" s="57" t="n">
        <f aca="false">MAX(0,AJ84-MAX(AI84,$AA$23))/AK84*IF(BC84&gt;=Input!$AA$21*AQ84,1,0)</f>
        <v>1</v>
      </c>
      <c r="BG84" s="57" t="n">
        <f aca="false">4*Input!$AA$14*(Input!$AA$15/2)*(1-AY84^2)/AX84*((BD84-BD83)+(1-2*AY84)/(1-AY84)*(BE84-BE83))*1000*BF84</f>
        <v>1.00534423022902</v>
      </c>
      <c r="BH84" s="57" t="n">
        <f aca="false">IF(AM84="Sand",0,0.009*(AR84-10))</f>
        <v>0.176985</v>
      </c>
      <c r="BI84" s="57" t="n">
        <f aca="false">BH84*Input!$AA$39</f>
        <v>0.035397</v>
      </c>
      <c r="BJ84" s="57" t="n">
        <f aca="false">IF(AM84="Sand",0,MAX(AV84/Input!$AA$40,AQ84))</f>
        <v>113.636363636364</v>
      </c>
      <c r="BK84" s="57" t="n">
        <f aca="false">IF(AM84="Sand",0,1000*AK84/(1+AU84)*IF(AQ84+BC84&lt;=BJ84,BI84*LOG10((AQ84+BC84)/AQ84),BI84*LOG10(BJ84/AQ84)+BH84*LOG10((AQ84+BC84)/BJ84)))*BF84</f>
        <v>38.1717991723256</v>
      </c>
      <c r="BL84" s="57" t="n">
        <f aca="false">IF(AM84="Sand",0,10^(INDEX(Input!$Q$51:$Q$57,MIN(MATCH(MIN(MAX(AR84,30),120),Input!$C$51:$C$57,1),6))+(MIN(MAX(AR84,30),120)-INDEX(Input!$C$51:$C$57,MIN(MATCH(MIN(MAX(AR84,30),120),Input!$C$51:$C$57,1),6)))/(INDEX(Input!$C$51:$C$57,MIN(MATCH(MIN(MAX(AR84,30),120),Input!$C$51:$C$57,1),6)+1)-INDEX(Input!$C$51:$C$57,MIN(MATCH(MIN(MAX(AR84,30),120),Input!$C$51:$C$57,1),6)))*(INDEX(Input!$Q$51:$Q$57,MIN(MATCH(MIN(MAX(AR84,30),120),Input!$C$51:$C$57,1),6)+1)-INDEX(Input!$Q$51:$Q$57,MIN(MATCH(MIN(MAX(AR84,30),120),Input!$C$51:$C$57,1),6)))))</f>
        <v>0.003</v>
      </c>
      <c r="BM84" s="57" t="n">
        <f aca="false">IF(OR(AM84="Sand",BF84=0),0,Input!$AA$41*(AK84/2)^2/(BL84*0.0001*31536000))</f>
        <v>0.0504185692541857</v>
      </c>
      <c r="BN84" s="57" t="n">
        <f aca="false">MAX(0,MIN(AJ84,Input!$AA$20)-AI84)</f>
        <v>1.5</v>
      </c>
      <c r="BO84" s="57" t="n">
        <f aca="false">MAX(0,MIN(AJ84,Input!$AA$20)-MAX(AI84,$AA$23))</f>
        <v>1.5</v>
      </c>
      <c r="BP84" s="57" t="n">
        <f aca="false">BG84+BK84</f>
        <v>39.1771434025546</v>
      </c>
      <c r="BQ84" s="57" t="s">
        <v>198</v>
      </c>
    </row>
    <row r="85" customFormat="false" ht="14.25" hidden="false" customHeight="false" outlineLevel="0" collapsed="false">
      <c r="B85" s="7"/>
      <c r="C85" s="46" t="n">
        <v>3</v>
      </c>
      <c r="D85" s="46"/>
      <c r="E85" s="44" t="n">
        <f aca="false">AI85</f>
        <v>3</v>
      </c>
      <c r="F85" s="44"/>
      <c r="G85" s="44"/>
      <c r="H85" s="44" t="n">
        <f aca="false">AJ85</f>
        <v>5.5</v>
      </c>
      <c r="I85" s="44"/>
      <c r="J85" s="44"/>
      <c r="K85" s="41" t="str">
        <f aca="false">AM85</f>
        <v>Sand</v>
      </c>
      <c r="L85" s="41"/>
      <c r="M85" s="41"/>
      <c r="N85" s="46" t="n">
        <f aca="false">AN85</f>
        <v>18</v>
      </c>
      <c r="O85" s="46"/>
      <c r="P85" s="46"/>
      <c r="Q85" s="42" t="n">
        <f aca="false">AO85</f>
        <v>17.8</v>
      </c>
      <c r="R85" s="42"/>
      <c r="S85" s="42"/>
      <c r="T85" s="46" t="str">
        <f aca="false">IF(AR85="","-",AR85)</f>
        <v>-</v>
      </c>
      <c r="U85" s="46"/>
      <c r="V85" s="46" t="str">
        <f aca="false">IF(AT85="","-",AT85)</f>
        <v>-</v>
      </c>
      <c r="W85" s="46"/>
      <c r="X85" s="44" t="n">
        <f aca="false">AU85</f>
        <v>0.759</v>
      </c>
      <c r="Y85" s="44"/>
      <c r="Z85" s="55" t="n">
        <f aca="false">AV85</f>
        <v>0</v>
      </c>
      <c r="AA85" s="55"/>
      <c r="AB85" s="55"/>
      <c r="AC85" s="42" t="n">
        <f aca="false">AW85</f>
        <v>32.74299134056</v>
      </c>
      <c r="AD85" s="42"/>
      <c r="AE85" s="42"/>
      <c r="AF85" s="12"/>
      <c r="AI85" s="56" t="n">
        <v>3</v>
      </c>
      <c r="AJ85" s="56" t="n">
        <v>5.5</v>
      </c>
      <c r="AK85" s="57" t="n">
        <f aca="false">AJ85-AI85</f>
        <v>2.5</v>
      </c>
      <c r="AL85" s="57" t="n">
        <f aca="false">(AI85+AJ85)/2</f>
        <v>4.25</v>
      </c>
      <c r="AM85" s="56" t="s">
        <v>199</v>
      </c>
      <c r="AN85" s="56" t="n">
        <v>18</v>
      </c>
      <c r="AO85" s="58" t="n">
        <f aca="false">IF(AL85&gt;$AA$20,$AA$22,$AA$21)</f>
        <v>17.8</v>
      </c>
      <c r="AP85" s="57" t="n">
        <f aca="false">AP84+AO85*AK85</f>
        <v>97.9</v>
      </c>
      <c r="AQ85" s="57" t="n">
        <f aca="false">AP85-AO85*AK85/2-10*MAX(AL85-$AA$20,0)</f>
        <v>75.65</v>
      </c>
      <c r="AR85" s="56"/>
      <c r="AS85" s="56"/>
      <c r="AT85" s="57" t="str">
        <f aca="false">IF(AR85="","",AR85-AS85)</f>
        <v/>
      </c>
      <c r="AU85" s="56" t="n">
        <v>0.759</v>
      </c>
      <c r="AV85" s="57" t="n">
        <f aca="false">IF(AM85="Sand",0,Input!$AA$34*AN85)</f>
        <v>0</v>
      </c>
      <c r="AW85" s="57" t="n">
        <f aca="false">IF(AM85="Sand",27.1+0.3*MIN(Input!$AA$35*AN85,60)-0.00054*MIN(Input!$AA$35*AN85,60)^2,MIN(MAX(DEGREES(ASIN(0.8-0.094*LN(MAX(IF(AT85="",10,AT85),5)))),20),30))</f>
        <v>32.74299134056</v>
      </c>
      <c r="AX85" s="57" t="n">
        <f aca="false">IF(AM85="Sand",Input!$AA$36*Input!$AA$35*AN85,Input!$AA$37*AV85)</f>
        <v>19494</v>
      </c>
      <c r="AY85" s="59" t="n">
        <f aca="false">IF(AM85="Sand",Input!$AA$38,0.5)</f>
        <v>0.3</v>
      </c>
      <c r="AZ85" s="57" t="n">
        <f aca="false">Input!$AA$15/2/AL85</f>
        <v>8.70588235294118</v>
      </c>
      <c r="BA85" s="57" t="n">
        <f aca="false">Input!$AA$16/2/AL85</f>
        <v>23.7647058823529</v>
      </c>
      <c r="BB85" s="57" t="n">
        <f aca="false">1/(4*PI())*(2*AZ85*BA85*SQRT(AZ85^2+BA85^2+1)/(AZ85^2+BA85^2+1+AZ85^2*BA85^2)*(AZ85^2+BA85^2+2)/(AZ85^2+BA85^2+1)+ATAN2(AZ85^2+BA85^2+1-AZ85^2*BA85^2,2*AZ85*BA85*SQRT(AZ85^2+BA85^2+1)))</f>
        <v>0.249838679167168</v>
      </c>
      <c r="BC85" s="57" t="n">
        <f aca="false">4*Input!$AA$14*BB85</f>
        <v>135.912241466939</v>
      </c>
      <c r="BD85" s="57" t="n">
        <f aca="false">((Input!$AA$16/Input!$AA$15)*LN((1+SQRT((Input!$AA$16/Input!$AA$15)^2+1))*SQRT((Input!$AA$16/Input!$AA$15)^2+(AJ85/(Input!$AA$15/2))^2)/((Input!$AA$16/Input!$AA$15)*(1+SQRT((Input!$AA$16/Input!$AA$15)^2+(AJ85/(Input!$AA$15/2))^2+1))))+LN(((Input!$AA$16/Input!$AA$15)+SQRT((Input!$AA$16/Input!$AA$15)^2+1))*SQRT(1+(AJ85/(Input!$AA$15/2))^2)/((Input!$AA$16/Input!$AA$15)+SQRT((Input!$AA$16/Input!$AA$15)^2+(AJ85/(Input!$AA$15/2))^2+1))))/PI()</f>
        <v>0.00370628354440385</v>
      </c>
      <c r="BE85" s="57" t="n">
        <f aca="false">(AJ85/(Input!$AA$15/2))/(2*PI())*ATAN((Input!$AA$16/Input!$AA$15)/((AJ85/(Input!$AA$15/2))*SQRT((Input!$AA$16/Input!$AA$15)^2+(AJ85/(Input!$AA$15/2))^2+1)))</f>
        <v>0.0334429083554106</v>
      </c>
      <c r="BF85" s="57" t="n">
        <f aca="false">MAX(0,AJ85-MAX(AI85,$AA$23))/AK85*IF(BC85&gt;=Input!$AA$21*AQ85,1,0)</f>
        <v>1</v>
      </c>
      <c r="BG85" s="57" t="n">
        <f aca="false">4*Input!$AA$14*(Input!$AA$15/2)*(1-AY85^2)/AX85*((BD85-BD84)+(1-2*AY85)/(1-AY85)*(BE85-BE84))*1000*BF85</f>
        <v>10.1082699654841</v>
      </c>
      <c r="BH85" s="57" t="n">
        <f aca="false">IF(AM85="Sand",0,0.009*(AR85-10))</f>
        <v>0</v>
      </c>
      <c r="BI85" s="57" t="n">
        <f aca="false">BH85*Input!$AA$39</f>
        <v>0</v>
      </c>
      <c r="BJ85" s="57" t="n">
        <f aca="false">IF(AM85="Sand",0,MAX(AV85/Input!$AA$40,AQ85))</f>
        <v>0</v>
      </c>
      <c r="BK85" s="57" t="n">
        <f aca="false">IF(AM85="Sand",0,1000*AK85/(1+AU85)*IF(AQ85+BC85&lt;=BJ85,BI85*LOG10((AQ85+BC85)/AQ85),BI85*LOG10(BJ85/AQ85)+BH85*LOG10((AQ85+BC85)/BJ85)))*BF85</f>
        <v>0</v>
      </c>
      <c r="BL85" s="57" t="n">
        <f aca="false">IF(AM85="Sand",0,10^(INDEX(Input!$Q$51:$Q$57,MIN(MATCH(MIN(MAX(AR85,30),120),Input!$C$51:$C$57,1),6))+(MIN(MAX(AR85,30),120)-INDEX(Input!$C$51:$C$57,MIN(MATCH(MIN(MAX(AR85,30),120),Input!$C$51:$C$57,1),6)))/(INDEX(Input!$C$51:$C$57,MIN(MATCH(MIN(MAX(AR85,30),120),Input!$C$51:$C$57,1),6)+1)-INDEX(Input!$C$51:$C$57,MIN(MATCH(MIN(MAX(AR85,30),120),Input!$C$51:$C$57,1),6)))*(INDEX(Input!$Q$51:$Q$57,MIN(MATCH(MIN(MAX(AR85,30),120),Input!$C$51:$C$57,1),6)+1)-INDEX(Input!$Q$51:$Q$57,MIN(MATCH(MIN(MAX(AR85,30),120),Input!$C$51:$C$57,1),6)))))</f>
        <v>0</v>
      </c>
      <c r="BM85" s="57" t="n">
        <f aca="false">IF(OR(AM85="Sand",BF85=0),0,Input!$AA$41*(AK85/2)^2/(BL85*0.0001*31536000))</f>
        <v>0</v>
      </c>
      <c r="BN85" s="57" t="n">
        <f aca="false">MAX(0,MIN(AJ85,Input!$AA$20)-AI85)</f>
        <v>2</v>
      </c>
      <c r="BO85" s="57" t="n">
        <f aca="false">MAX(0,MIN(AJ85,Input!$AA$20)-MAX(AI85,$AA$23))</f>
        <v>2</v>
      </c>
      <c r="BP85" s="57" t="n">
        <f aca="false">BG85+BK85</f>
        <v>10.1082699654841</v>
      </c>
      <c r="BQ85" s="57"/>
    </row>
    <row r="86" customFormat="false" ht="14.25" hidden="false" customHeight="false" outlineLevel="0" collapsed="false">
      <c r="B86" s="7"/>
      <c r="C86" s="46" t="n">
        <v>4</v>
      </c>
      <c r="D86" s="46"/>
      <c r="E86" s="44" t="n">
        <f aca="false">AI86</f>
        <v>5.5</v>
      </c>
      <c r="F86" s="44"/>
      <c r="G86" s="44"/>
      <c r="H86" s="44" t="n">
        <f aca="false">AJ86</f>
        <v>6</v>
      </c>
      <c r="I86" s="44"/>
      <c r="J86" s="44"/>
      <c r="K86" s="41" t="str">
        <f aca="false">AM86</f>
        <v>Silt</v>
      </c>
      <c r="L86" s="41"/>
      <c r="M86" s="41"/>
      <c r="N86" s="46" t="n">
        <f aca="false">AN86</f>
        <v>28</v>
      </c>
      <c r="O86" s="46"/>
      <c r="P86" s="46"/>
      <c r="Q86" s="42" t="n">
        <f aca="false">AO86</f>
        <v>17.8</v>
      </c>
      <c r="R86" s="42"/>
      <c r="S86" s="42"/>
      <c r="T86" s="46" t="n">
        <f aca="false">IF(AR86="","-",AR86)</f>
        <v>29.665</v>
      </c>
      <c r="U86" s="46"/>
      <c r="V86" s="46" t="n">
        <f aca="false">IF(AT86="","-",AT86)</f>
        <v>9.859</v>
      </c>
      <c r="W86" s="46"/>
      <c r="X86" s="44" t="n">
        <f aca="false">AU86</f>
        <v>0.681</v>
      </c>
      <c r="Y86" s="44"/>
      <c r="Z86" s="55" t="n">
        <f aca="false">AV86</f>
        <v>140</v>
      </c>
      <c r="AA86" s="55"/>
      <c r="AB86" s="55"/>
      <c r="AC86" s="42" t="n">
        <f aca="false">AW86</f>
        <v>30</v>
      </c>
      <c r="AD86" s="42"/>
      <c r="AE86" s="42"/>
      <c r="AF86" s="12"/>
      <c r="AI86" s="56" t="n">
        <v>5.5</v>
      </c>
      <c r="AJ86" s="56" t="n">
        <v>6</v>
      </c>
      <c r="AK86" s="57" t="n">
        <f aca="false">AJ86-AI86</f>
        <v>0.5</v>
      </c>
      <c r="AL86" s="57" t="n">
        <f aca="false">(AI86+AJ86)/2</f>
        <v>5.75</v>
      </c>
      <c r="AM86" s="56" t="s">
        <v>200</v>
      </c>
      <c r="AN86" s="56" t="n">
        <v>28</v>
      </c>
      <c r="AO86" s="58" t="n">
        <f aca="false">IF(AL86&gt;$AA$20,$AA$22,$AA$21)</f>
        <v>17.8</v>
      </c>
      <c r="AP86" s="57" t="n">
        <f aca="false">AP85+AO86*AK86</f>
        <v>106.8</v>
      </c>
      <c r="AQ86" s="57" t="n">
        <f aca="false">AP86-AO86*AK86/2-10*MAX(AL86-$AA$20,0)</f>
        <v>102.35</v>
      </c>
      <c r="AR86" s="56" t="n">
        <v>29.665</v>
      </c>
      <c r="AS86" s="56" t="n">
        <v>19.806</v>
      </c>
      <c r="AT86" s="57" t="n">
        <f aca="false">IF(AR86="","",AR86-AS86)</f>
        <v>9.859</v>
      </c>
      <c r="AU86" s="56" t="n">
        <v>0.681</v>
      </c>
      <c r="AV86" s="57" t="n">
        <f aca="false">IF(AM86="Sand",0,Input!$AA$34*AN86)</f>
        <v>140</v>
      </c>
      <c r="AW86" s="57" t="n">
        <f aca="false">IF(AM86="Sand",27.1+0.3*MIN(Input!$AA$35*AN86,60)-0.00054*MIN(Input!$AA$35*AN86,60)^2,MIN(MAX(DEGREES(ASIN(0.8-0.094*LN(MAX(IF(AT86="",10,AT86),5)))),20),30))</f>
        <v>30</v>
      </c>
      <c r="AX86" s="57" t="n">
        <f aca="false">IF(AM86="Sand",Input!$AA$36*Input!$AA$35*AN86,Input!$AA$37*AV86)</f>
        <v>70000</v>
      </c>
      <c r="AY86" s="57" t="n">
        <f aca="false">IF(AM86="Sand",Input!$AA$38,0.5)</f>
        <v>0.5</v>
      </c>
      <c r="AZ86" s="57" t="n">
        <f aca="false">Input!$AA$15/2/AL86</f>
        <v>6.43478260869565</v>
      </c>
      <c r="BA86" s="57" t="n">
        <f aca="false">Input!$AA$16/2/AL86</f>
        <v>17.5652173913043</v>
      </c>
      <c r="BB86" s="57" t="n">
        <f aca="false">1/(4*PI())*(2*AZ86*BA86*SQRT(AZ86^2+BA86^2+1)/(AZ86^2+BA86^2+1+AZ86^2*BA86^2)*(AZ86^2+BA86^2+2)/(AZ86^2+BA86^2+1)+ATAN2(AZ86^2+BA86^2+1-AZ86^2*BA86^2,2*AZ86*BA86*SQRT(AZ86^2+BA86^2+1)))</f>
        <v>0.249605540605244</v>
      </c>
      <c r="BC86" s="57" t="n">
        <f aca="false">4*Input!$AA$14*BB86</f>
        <v>135.785414089253</v>
      </c>
      <c r="BD86" s="57" t="n">
        <f aca="false">((Input!$AA$16/Input!$AA$15)*LN((1+SQRT((Input!$AA$16/Input!$AA$15)^2+1))*SQRT((Input!$AA$16/Input!$AA$15)^2+(AJ86/(Input!$AA$15/2))^2)/((Input!$AA$16/Input!$AA$15)*(1+SQRT((Input!$AA$16/Input!$AA$15)^2+(AJ86/(Input!$AA$15/2))^2+1))))+LN(((Input!$AA$16/Input!$AA$15)+SQRT((Input!$AA$16/Input!$AA$15)^2+1))*SQRT(1+(AJ86/(Input!$AA$15/2))^2)/((Input!$AA$16/Input!$AA$15)+SQRT((Input!$AA$16/Input!$AA$15)^2+(AJ86/(Input!$AA$15/2))^2+1))))/PI()</f>
        <v>0.00440210534422831</v>
      </c>
      <c r="BE86" s="57" t="n">
        <f aca="false">(AJ86/(Input!$AA$15/2))/(2*PI())*ATAN((Input!$AA$16/Input!$AA$15)/((AJ86/(Input!$AA$15/2))*SQRT((Input!$AA$16/Input!$AA$15)^2+(AJ86/(Input!$AA$15/2))^2+1)))</f>
        <v>0.0361201249719141</v>
      </c>
      <c r="BF86" s="57" t="n">
        <f aca="false">MAX(0,AJ86-MAX(AI86,$AA$23))/AK86*IF(BC86&gt;=Input!$AA$21*AQ86,1,0)</f>
        <v>1</v>
      </c>
      <c r="BG86" s="57" t="n">
        <f aca="false">4*Input!$AA$14*(Input!$AA$15/2)*(1-AY86^2)/AX86*((BD86-BD85)+(1-2*AY86)/(1-AY86)*(BE86-BE85))*1000*BF86</f>
        <v>0.150058941287856</v>
      </c>
      <c r="BH86" s="57" t="n">
        <f aca="false">IF(AM86="Sand",0,0.009*(AR86-10))</f>
        <v>0.176985</v>
      </c>
      <c r="BI86" s="57" t="n">
        <f aca="false">BH86*Input!$AA$39</f>
        <v>0.035397</v>
      </c>
      <c r="BJ86" s="57" t="n">
        <f aca="false">IF(AM86="Sand",0,MAX(AV86/Input!$AA$40,AQ86))</f>
        <v>636.363636363636</v>
      </c>
      <c r="BK86" s="57" t="n">
        <f aca="false">IF(AM86="Sand",0,1000*AK86/(1+AU86)*IF(AQ86+BC86&lt;=BJ86,BI86*LOG10((AQ86+BC86)/AQ86),BI86*LOG10(BJ86/AQ86)+BH86*LOG10((AQ86+BC86)/BJ86)))*BF86</f>
        <v>3.86120140069547</v>
      </c>
      <c r="BL86" s="57" t="n">
        <f aca="false">IF(AM86="Sand",0,10^(INDEX(Input!$Q$51:$Q$57,MIN(MATCH(MIN(MAX(AR86,30),120),Input!$C$51:$C$57,1),6))+(MIN(MAX(AR86,30),120)-INDEX(Input!$C$51:$C$57,MIN(MATCH(MIN(MAX(AR86,30),120),Input!$C$51:$C$57,1),6)))/(INDEX(Input!$C$51:$C$57,MIN(MATCH(MIN(MAX(AR86,30),120),Input!$C$51:$C$57,1),6)+1)-INDEX(Input!$C$51:$C$57,MIN(MATCH(MIN(MAX(AR86,30),120),Input!$C$51:$C$57,1),6)))*(INDEX(Input!$Q$51:$Q$57,MIN(MATCH(MIN(MAX(AR86,30),120),Input!$C$51:$C$57,1),6)+1)-INDEX(Input!$Q$51:$Q$57,MIN(MATCH(MIN(MAX(AR86,30),120),Input!$C$51:$C$57,1),6)))))</f>
        <v>0.003</v>
      </c>
      <c r="BM86" s="57" t="n">
        <f aca="false">IF(OR(AM86="Sand",BF86=0),0,Input!$AA$41*(AK86/2)^2/(BL86*0.0001*31536000))</f>
        <v>0.00560206325046508</v>
      </c>
      <c r="BN86" s="57" t="n">
        <f aca="false">MAX(0,MIN(AJ86,Input!$AA$20)-AI86)</f>
        <v>0</v>
      </c>
      <c r="BO86" s="57" t="n">
        <f aca="false">MAX(0,MIN(AJ86,Input!$AA$20)-MAX(AI86,$AA$23))</f>
        <v>0</v>
      </c>
      <c r="BP86" s="57" t="n">
        <f aca="false">BG86+BK86</f>
        <v>4.01126034198332</v>
      </c>
      <c r="BQ86" s="57" t="s">
        <v>198</v>
      </c>
    </row>
    <row r="87" customFormat="false" ht="14.25" hidden="false" customHeight="false" outlineLevel="0" collapsed="false">
      <c r="B87" s="7"/>
      <c r="C87" s="46" t="n">
        <v>5</v>
      </c>
      <c r="D87" s="46"/>
      <c r="E87" s="44" t="n">
        <f aca="false">AI87</f>
        <v>6</v>
      </c>
      <c r="F87" s="44"/>
      <c r="G87" s="44"/>
      <c r="H87" s="44" t="n">
        <f aca="false">AJ87</f>
        <v>7.5</v>
      </c>
      <c r="I87" s="44"/>
      <c r="J87" s="44"/>
      <c r="K87" s="41" t="str">
        <f aca="false">AM87</f>
        <v>Silt</v>
      </c>
      <c r="L87" s="41"/>
      <c r="M87" s="41"/>
      <c r="N87" s="46" t="n">
        <f aca="false">AN87</f>
        <v>30</v>
      </c>
      <c r="O87" s="46"/>
      <c r="P87" s="46"/>
      <c r="Q87" s="42" t="n">
        <f aca="false">AO87</f>
        <v>17.8</v>
      </c>
      <c r="R87" s="42"/>
      <c r="S87" s="42"/>
      <c r="T87" s="46" t="n">
        <f aca="false">IF(AR87="","-",AR87)</f>
        <v>29.665</v>
      </c>
      <c r="U87" s="46"/>
      <c r="V87" s="46" t="n">
        <f aca="false">IF(AT87="","-",AT87)</f>
        <v>9.859</v>
      </c>
      <c r="W87" s="46"/>
      <c r="X87" s="44" t="n">
        <f aca="false">AU87</f>
        <v>0.681</v>
      </c>
      <c r="Y87" s="44"/>
      <c r="Z87" s="55" t="n">
        <f aca="false">AV87</f>
        <v>150</v>
      </c>
      <c r="AA87" s="55"/>
      <c r="AB87" s="55"/>
      <c r="AC87" s="42" t="n">
        <f aca="false">AW87</f>
        <v>30</v>
      </c>
      <c r="AD87" s="42"/>
      <c r="AE87" s="42"/>
      <c r="AF87" s="12"/>
      <c r="AI87" s="56" t="n">
        <v>6</v>
      </c>
      <c r="AJ87" s="56" t="n">
        <v>7.5</v>
      </c>
      <c r="AK87" s="57" t="n">
        <f aca="false">AJ87-AI87</f>
        <v>1.5</v>
      </c>
      <c r="AL87" s="57" t="n">
        <f aca="false">(AI87+AJ87)/2</f>
        <v>6.75</v>
      </c>
      <c r="AM87" s="56" t="s">
        <v>200</v>
      </c>
      <c r="AN87" s="56" t="n">
        <v>30</v>
      </c>
      <c r="AO87" s="58" t="n">
        <f aca="false">IF(AL87&gt;$AA$20,$AA$22,$AA$21)</f>
        <v>17.8</v>
      </c>
      <c r="AP87" s="57" t="n">
        <f aca="false">AP86+AO87*AK87</f>
        <v>133.5</v>
      </c>
      <c r="AQ87" s="57" t="n">
        <f aca="false">AP87-AO87*AK87/2-10*MAX(AL87-$AA$20,0)</f>
        <v>120.15</v>
      </c>
      <c r="AR87" s="56" t="n">
        <v>29.665</v>
      </c>
      <c r="AS87" s="56" t="n">
        <v>19.806</v>
      </c>
      <c r="AT87" s="57" t="n">
        <f aca="false">IF(AR87="","",AR87-AS87)</f>
        <v>9.859</v>
      </c>
      <c r="AU87" s="56" t="n">
        <v>0.681</v>
      </c>
      <c r="AV87" s="57" t="n">
        <f aca="false">IF(AM87="Sand",0,Input!$AA$34*AN87)</f>
        <v>150</v>
      </c>
      <c r="AW87" s="57" t="n">
        <f aca="false">IF(AM87="Sand",27.1+0.3*MIN(Input!$AA$35*AN87,60)-0.00054*MIN(Input!$AA$35*AN87,60)^2,MIN(MAX(DEGREES(ASIN(0.8-0.094*LN(MAX(IF(AT87="",10,AT87),5)))),20),30))</f>
        <v>30</v>
      </c>
      <c r="AX87" s="57" t="n">
        <f aca="false">IF(AM87="Sand",Input!$AA$36*Input!$AA$35*AN87,Input!$AA$37*AV87)</f>
        <v>75000</v>
      </c>
      <c r="AY87" s="57" t="n">
        <f aca="false">IF(AM87="Sand",Input!$AA$38,0.5)</f>
        <v>0.5</v>
      </c>
      <c r="AZ87" s="57" t="n">
        <f aca="false">Input!$AA$15/2/AL87</f>
        <v>5.48148148148148</v>
      </c>
      <c r="BA87" s="57" t="n">
        <f aca="false">Input!$AA$16/2/AL87</f>
        <v>14.962962962963</v>
      </c>
      <c r="BB87" s="57" t="n">
        <f aca="false">1/(4*PI())*(2*AZ87*BA87*SQRT(AZ87^2+BA87^2+1)/(AZ87^2+BA87^2+1+AZ87^2*BA87^2)*(AZ87^2+BA87^2+2)/(AZ87^2+BA87^2+1)+ATAN2(AZ87^2+BA87^2+1-AZ87^2*BA87^2,2*AZ87*BA87*SQRT(AZ87^2+BA87^2+1)))</f>
        <v>0.249368535461671</v>
      </c>
      <c r="BC87" s="57" t="n">
        <f aca="false">4*Input!$AA$14*BB87</f>
        <v>135.656483291149</v>
      </c>
      <c r="BD87" s="57" t="n">
        <f aca="false">((Input!$AA$16/Input!$AA$15)*LN((1+SQRT((Input!$AA$16/Input!$AA$15)^2+1))*SQRT((Input!$AA$16/Input!$AA$15)^2+(AJ87/(Input!$AA$15/2))^2)/((Input!$AA$16/Input!$AA$15)*(1+SQRT((Input!$AA$16/Input!$AA$15)^2+(AJ87/(Input!$AA$15/2))^2+1))))+LN(((Input!$AA$16/Input!$AA$15)+SQRT((Input!$AA$16/Input!$AA$15)^2+1))*SQRT(1+(AJ87/(Input!$AA$15/2))^2)/((Input!$AA$16/Input!$AA$15)+SQRT((Input!$AA$16/Input!$AA$15)^2+(AJ87/(Input!$AA$15/2))^2+1))))/PI()</f>
        <v>0.00683111017475556</v>
      </c>
      <c r="BE87" s="57" t="n">
        <f aca="false">(AJ87/(Input!$AA$15/2))/(2*PI())*ATAN((Input!$AA$16/Input!$AA$15)/((AJ87/(Input!$AA$15/2))*SQRT((Input!$AA$16/Input!$AA$15)^2+(AJ87/(Input!$AA$15/2))^2+1)))</f>
        <v>0.0438003669964678</v>
      </c>
      <c r="BF87" s="57" t="n">
        <f aca="false">MAX(0,AJ87-MAX(AI87,$AA$23))/AK87*IF(BC87&gt;=Input!$AA$21*AQ87,1,0)</f>
        <v>1</v>
      </c>
      <c r="BG87" s="57" t="n">
        <f aca="false">4*Input!$AA$14*(Input!$AA$15/2)*(1-AY87^2)/AX87*((BD87-BD86)+(1-2*AY87)/(1-AY87)*(BE87-BE86))*1000*BF87</f>
        <v>0.488910092288526</v>
      </c>
      <c r="BH87" s="57" t="n">
        <f aca="false">IF(AM87="Sand",0,0.009*(AR87-10))</f>
        <v>0.176985</v>
      </c>
      <c r="BI87" s="57" t="n">
        <f aca="false">BH87*Input!$AA$39</f>
        <v>0.035397</v>
      </c>
      <c r="BJ87" s="57" t="n">
        <f aca="false">IF(AM87="Sand",0,MAX(AV87/Input!$AA$40,AQ87))</f>
        <v>681.818181818182</v>
      </c>
      <c r="BK87" s="57" t="n">
        <f aca="false">IF(AM87="Sand",0,1000*AK87/(1+AU87)*IF(AQ87+BC87&lt;=BJ87,BI87*LOG10((AQ87+BC87)/AQ87),BI87*LOG10(BJ87/AQ87)+BH87*LOG10((AQ87+BC87)/BJ87)))*BF87</f>
        <v>10.3660284680933</v>
      </c>
      <c r="BL87" s="57" t="n">
        <f aca="false">IF(AM87="Sand",0,10^(INDEX(Input!$Q$51:$Q$57,MIN(MATCH(MIN(MAX(AR87,30),120),Input!$C$51:$C$57,1),6))+(MIN(MAX(AR87,30),120)-INDEX(Input!$C$51:$C$57,MIN(MATCH(MIN(MAX(AR87,30),120),Input!$C$51:$C$57,1),6)))/(INDEX(Input!$C$51:$C$57,MIN(MATCH(MIN(MAX(AR87,30),120),Input!$C$51:$C$57,1),6)+1)-INDEX(Input!$C$51:$C$57,MIN(MATCH(MIN(MAX(AR87,30),120),Input!$C$51:$C$57,1),6)))*(INDEX(Input!$Q$51:$Q$57,MIN(MATCH(MIN(MAX(AR87,30),120),Input!$C$51:$C$57,1),6)+1)-INDEX(Input!$Q$51:$Q$57,MIN(MATCH(MIN(MAX(AR87,30),120),Input!$C$51:$C$57,1),6)))))</f>
        <v>0.003</v>
      </c>
      <c r="BM87" s="57" t="n">
        <f aca="false">IF(OR(AM87="Sand",BF87=0),0,Input!$AA$41*(AK87/2)^2/(BL87*0.0001*31536000))</f>
        <v>0.0504185692541857</v>
      </c>
      <c r="BN87" s="57" t="n">
        <f aca="false">MAX(0,MIN(AJ87,Input!$AA$20)-AI87)</f>
        <v>0</v>
      </c>
      <c r="BO87" s="57" t="n">
        <f aca="false">MAX(0,MIN(AJ87,Input!$AA$20)-MAX(AI87,$AA$23))</f>
        <v>0</v>
      </c>
      <c r="BP87" s="57" t="n">
        <f aca="false">BG87+BK87</f>
        <v>10.8549385603818</v>
      </c>
      <c r="BQ87" s="57" t="s">
        <v>198</v>
      </c>
    </row>
    <row r="88" customFormat="false" ht="14.25" hidden="false" customHeight="false" outlineLevel="0" collapsed="false">
      <c r="B88" s="7"/>
      <c r="C88" s="46" t="n">
        <v>6</v>
      </c>
      <c r="D88" s="46"/>
      <c r="E88" s="44" t="n">
        <f aca="false">AI88</f>
        <v>7.5</v>
      </c>
      <c r="F88" s="44"/>
      <c r="G88" s="44"/>
      <c r="H88" s="44" t="n">
        <f aca="false">AJ88</f>
        <v>9</v>
      </c>
      <c r="I88" s="44"/>
      <c r="J88" s="44"/>
      <c r="K88" s="41" t="str">
        <f aca="false">AM88</f>
        <v>Sand</v>
      </c>
      <c r="L88" s="41"/>
      <c r="M88" s="41"/>
      <c r="N88" s="46" t="n">
        <f aca="false">AN88</f>
        <v>35</v>
      </c>
      <c r="O88" s="46"/>
      <c r="P88" s="46"/>
      <c r="Q88" s="42" t="n">
        <f aca="false">AO88</f>
        <v>17.8</v>
      </c>
      <c r="R88" s="42"/>
      <c r="S88" s="42"/>
      <c r="T88" s="46" t="str">
        <f aca="false">IF(AR88="","-",AR88)</f>
        <v>-</v>
      </c>
      <c r="U88" s="46"/>
      <c r="V88" s="46" t="str">
        <f aca="false">IF(AT88="","-",AT88)</f>
        <v>-</v>
      </c>
      <c r="W88" s="46"/>
      <c r="X88" s="44" t="n">
        <f aca="false">AU88</f>
        <v>0.65</v>
      </c>
      <c r="Y88" s="44"/>
      <c r="Z88" s="55" t="n">
        <f aca="false">AV88</f>
        <v>0</v>
      </c>
      <c r="AA88" s="55"/>
      <c r="AB88" s="55"/>
      <c r="AC88" s="42" t="n">
        <f aca="false">AW88</f>
        <v>37.6956339265</v>
      </c>
      <c r="AD88" s="42"/>
      <c r="AE88" s="42"/>
      <c r="AF88" s="12"/>
      <c r="AI88" s="56" t="n">
        <v>7.5</v>
      </c>
      <c r="AJ88" s="56" t="n">
        <v>9</v>
      </c>
      <c r="AK88" s="57" t="n">
        <f aca="false">AJ88-AI88</f>
        <v>1.5</v>
      </c>
      <c r="AL88" s="57" t="n">
        <f aca="false">(AI88+AJ88)/2</f>
        <v>8.25</v>
      </c>
      <c r="AM88" s="56" t="s">
        <v>199</v>
      </c>
      <c r="AN88" s="56" t="n">
        <v>35</v>
      </c>
      <c r="AO88" s="58" t="n">
        <f aca="false">IF(AL88&gt;$AA$20,$AA$22,$AA$21)</f>
        <v>17.8</v>
      </c>
      <c r="AP88" s="57" t="n">
        <f aca="false">AP87+AO88*AK88</f>
        <v>160.2</v>
      </c>
      <c r="AQ88" s="57" t="n">
        <f aca="false">AP88-AO88*AK88/2-10*MAX(AL88-$AA$20,0)</f>
        <v>146.85</v>
      </c>
      <c r="AR88" s="56"/>
      <c r="AS88" s="56"/>
      <c r="AT88" s="57" t="str">
        <f aca="false">IF(AR88="","",AR88-AS88)</f>
        <v/>
      </c>
      <c r="AU88" s="56" t="n">
        <v>0.65</v>
      </c>
      <c r="AV88" s="57" t="n">
        <f aca="false">IF(AM88="Sand",0,Input!$AA$34*AN88)</f>
        <v>0</v>
      </c>
      <c r="AW88" s="57" t="n">
        <f aca="false">IF(AM88="Sand",27.1+0.3*MIN(Input!$AA$35*AN88,60)-0.00054*MIN(Input!$AA$35*AN88,60)^2,MIN(MAX(DEGREES(ASIN(0.8-0.094*LN(MAX(IF(AT88="",10,AT88),5)))),20),30))</f>
        <v>37.6956339265</v>
      </c>
      <c r="AX88" s="57" t="n">
        <f aca="false">IF(AM88="Sand",Input!$AA$36*Input!$AA$35*AN88,Input!$AA$37*AV88)</f>
        <v>37905</v>
      </c>
      <c r="AY88" s="59" t="n">
        <f aca="false">IF(AM88="Sand",Input!$AA$38,0.5)</f>
        <v>0.3</v>
      </c>
      <c r="AZ88" s="57" t="n">
        <f aca="false">Input!$AA$15/2/AL88</f>
        <v>4.48484848484848</v>
      </c>
      <c r="BA88" s="57" t="n">
        <f aca="false">Input!$AA$16/2/AL88</f>
        <v>12.2424242424242</v>
      </c>
      <c r="BB88" s="57" t="n">
        <f aca="false">1/(4*PI())*(2*AZ88*BA88*SQRT(AZ88^2+BA88^2+1)/(AZ88^2+BA88^2+1+AZ88^2*BA88^2)*(AZ88^2+BA88^2+2)/(AZ88^2+BA88^2+1)+ATAN2(AZ88^2+BA88^2+1-AZ88^2*BA88^2,2*AZ88*BA88*SQRT(AZ88^2+BA88^2+1)))</f>
        <v>0.248868419003298</v>
      </c>
      <c r="BC88" s="57" t="n">
        <f aca="false">4*Input!$AA$14*BB88</f>
        <v>135.384419937794</v>
      </c>
      <c r="BD88" s="57" t="n">
        <f aca="false">((Input!$AA$16/Input!$AA$15)*LN((1+SQRT((Input!$AA$16/Input!$AA$15)^2+1))*SQRT((Input!$AA$16/Input!$AA$15)^2+(AJ88/(Input!$AA$15/2))^2)/((Input!$AA$16/Input!$AA$15)*(1+SQRT((Input!$AA$16/Input!$AA$15)^2+(AJ88/(Input!$AA$15/2))^2+1))))+LN(((Input!$AA$16/Input!$AA$15)+SQRT((Input!$AA$16/Input!$AA$15)^2+1))*SQRT(1+(AJ88/(Input!$AA$15/2))^2)/((Input!$AA$16/Input!$AA$15)+SQRT((Input!$AA$16/Input!$AA$15)^2+(AJ88/(Input!$AA$15/2))^2+1))))/PI()</f>
        <v>0.00975546893705105</v>
      </c>
      <c r="BE88" s="57" t="n">
        <f aca="false">(AJ88/(Input!$AA$15/2))/(2*PI())*ATAN((Input!$AA$16/Input!$AA$15)/((AJ88/(Input!$AA$15/2))*SQRT((Input!$AA$16/Input!$AA$15)^2+(AJ88/(Input!$AA$15/2))^2+1)))</f>
        <v>0.0509649376512068</v>
      </c>
      <c r="BF88" s="57" t="n">
        <f aca="false">MAX(0,AJ88-MAX(AI88,$AA$23))/AK88*IF(BC88&gt;=Input!$AA$21*AQ88,1,0)</f>
        <v>1</v>
      </c>
      <c r="BG88" s="57" t="n">
        <f aca="false">4*Input!$AA$14*(Input!$AA$15/2)*(1-AY88^2)/AX88*((BD88-BD87)+(1-2*AY88)/(1-AY88)*(BE88-BE87))*1000*BF88</f>
        <v>3.39143562628873</v>
      </c>
      <c r="BH88" s="57" t="n">
        <f aca="false">IF(AM88="Sand",0,0.009*(AR88-10))</f>
        <v>0</v>
      </c>
      <c r="BI88" s="57" t="n">
        <f aca="false">BH88*Input!$AA$39</f>
        <v>0</v>
      </c>
      <c r="BJ88" s="57" t="n">
        <f aca="false">IF(AM88="Sand",0,MAX(AV88/Input!$AA$40,AQ88))</f>
        <v>0</v>
      </c>
      <c r="BK88" s="57" t="n">
        <f aca="false">IF(AM88="Sand",0,1000*AK88/(1+AU88)*IF(AQ88+BC88&lt;=BJ88,BI88*LOG10((AQ88+BC88)/AQ88),BI88*LOG10(BJ88/AQ88)+BH88*LOG10((AQ88+BC88)/BJ88)))*BF88</f>
        <v>0</v>
      </c>
      <c r="BL88" s="57" t="n">
        <f aca="false">IF(AM88="Sand",0,10^(INDEX(Input!$Q$51:$Q$57,MIN(MATCH(MIN(MAX(AR88,30),120),Input!$C$51:$C$57,1),6))+(MIN(MAX(AR88,30),120)-INDEX(Input!$C$51:$C$57,MIN(MATCH(MIN(MAX(AR88,30),120),Input!$C$51:$C$57,1),6)))/(INDEX(Input!$C$51:$C$57,MIN(MATCH(MIN(MAX(AR88,30),120),Input!$C$51:$C$57,1),6)+1)-INDEX(Input!$C$51:$C$57,MIN(MATCH(MIN(MAX(AR88,30),120),Input!$C$51:$C$57,1),6)))*(INDEX(Input!$Q$51:$Q$57,MIN(MATCH(MIN(MAX(AR88,30),120),Input!$C$51:$C$57,1),6)+1)-INDEX(Input!$Q$51:$Q$57,MIN(MATCH(MIN(MAX(AR88,30),120),Input!$C$51:$C$57,1),6)))))</f>
        <v>0</v>
      </c>
      <c r="BM88" s="57" t="n">
        <f aca="false">IF(OR(AM88="Sand",BF88=0),0,Input!$AA$41*(AK88/2)^2/(BL88*0.0001*31536000))</f>
        <v>0</v>
      </c>
      <c r="BN88" s="57" t="n">
        <f aca="false">MAX(0,MIN(AJ88,Input!$AA$20)-AI88)</f>
        <v>0</v>
      </c>
      <c r="BO88" s="57" t="n">
        <f aca="false">MAX(0,MIN(AJ88,Input!$AA$20)-MAX(AI88,$AA$23))</f>
        <v>0</v>
      </c>
      <c r="BP88" s="57" t="n">
        <f aca="false">BG88+BK88</f>
        <v>3.39143562628873</v>
      </c>
      <c r="BQ88" s="57"/>
    </row>
    <row r="89" customFormat="false" ht="14.25" hidden="false" customHeight="false" outlineLevel="0" collapsed="false">
      <c r="B89" s="7"/>
      <c r="C89" s="46" t="n">
        <v>7</v>
      </c>
      <c r="D89" s="46"/>
      <c r="E89" s="44" t="n">
        <f aca="false">AI89</f>
        <v>9</v>
      </c>
      <c r="F89" s="44"/>
      <c r="G89" s="44"/>
      <c r="H89" s="44" t="n">
        <f aca="false">AJ89</f>
        <v>10.5</v>
      </c>
      <c r="I89" s="44"/>
      <c r="J89" s="44"/>
      <c r="K89" s="41" t="str">
        <f aca="false">AM89</f>
        <v>Sand</v>
      </c>
      <c r="L89" s="41"/>
      <c r="M89" s="41"/>
      <c r="N89" s="46" t="n">
        <f aca="false">AN89</f>
        <v>34</v>
      </c>
      <c r="O89" s="46"/>
      <c r="P89" s="46"/>
      <c r="Q89" s="42" t="n">
        <f aca="false">AO89</f>
        <v>19.2</v>
      </c>
      <c r="R89" s="42"/>
      <c r="S89" s="42"/>
      <c r="T89" s="46" t="str">
        <f aca="false">IF(AR89="","-",AR89)</f>
        <v>-</v>
      </c>
      <c r="U89" s="46"/>
      <c r="V89" s="46" t="str">
        <f aca="false">IF(AT89="","-",AT89)</f>
        <v>-</v>
      </c>
      <c r="W89" s="46"/>
      <c r="X89" s="44" t="n">
        <f aca="false">AU89</f>
        <v>0.465</v>
      </c>
      <c r="Y89" s="44"/>
      <c r="Z89" s="55" t="n">
        <f aca="false">AV89</f>
        <v>0</v>
      </c>
      <c r="AA89" s="55"/>
      <c r="AB89" s="55"/>
      <c r="AC89" s="42" t="n">
        <f aca="false">AW89</f>
        <v>37.41443577064</v>
      </c>
      <c r="AD89" s="42"/>
      <c r="AE89" s="42"/>
      <c r="AF89" s="12"/>
      <c r="AI89" s="56" t="n">
        <v>9</v>
      </c>
      <c r="AJ89" s="56" t="n">
        <v>10.5</v>
      </c>
      <c r="AK89" s="57" t="n">
        <f aca="false">AJ89-AI89</f>
        <v>1.5</v>
      </c>
      <c r="AL89" s="57" t="n">
        <f aca="false">(AI89+AJ89)/2</f>
        <v>9.75</v>
      </c>
      <c r="AM89" s="56" t="s">
        <v>199</v>
      </c>
      <c r="AN89" s="56" t="n">
        <v>34</v>
      </c>
      <c r="AO89" s="58" t="n">
        <f aca="false">IF(AL89&gt;$AA$20,$AA$22,$AA$21)</f>
        <v>19.2</v>
      </c>
      <c r="AP89" s="57" t="n">
        <f aca="false">AP88+AO89*AK89</f>
        <v>189</v>
      </c>
      <c r="AQ89" s="57" t="n">
        <f aca="false">AP89-AO89*AK89/2-10*MAX(AL89-$AA$20,0)</f>
        <v>167.1</v>
      </c>
      <c r="AR89" s="56"/>
      <c r="AS89" s="56"/>
      <c r="AT89" s="57" t="str">
        <f aca="false">IF(AR89="","",AR89-AS89)</f>
        <v/>
      </c>
      <c r="AU89" s="56" t="n">
        <v>0.465</v>
      </c>
      <c r="AV89" s="57" t="n">
        <f aca="false">IF(AM89="Sand",0,Input!$AA$34*AN89)</f>
        <v>0</v>
      </c>
      <c r="AW89" s="57" t="n">
        <f aca="false">IF(AM89="Sand",27.1+0.3*MIN(Input!$AA$35*AN89,60)-0.00054*MIN(Input!$AA$35*AN89,60)^2,MIN(MAX(DEGREES(ASIN(0.8-0.094*LN(MAX(IF(AT89="",10,AT89),5)))),20),30))</f>
        <v>37.41443577064</v>
      </c>
      <c r="AX89" s="57" t="n">
        <f aca="false">IF(AM89="Sand",Input!$AA$36*Input!$AA$35*AN89,Input!$AA$37*AV89)</f>
        <v>36822</v>
      </c>
      <c r="AY89" s="59" t="n">
        <f aca="false">IF(AM89="Sand",Input!$AA$38,0.5)</f>
        <v>0.3</v>
      </c>
      <c r="AZ89" s="57" t="n">
        <f aca="false">Input!$AA$15/2/AL89</f>
        <v>3.79487179487179</v>
      </c>
      <c r="BA89" s="57" t="n">
        <f aca="false">Input!$AA$16/2/AL89</f>
        <v>10.3589743589744</v>
      </c>
      <c r="BB89" s="57" t="n">
        <f aca="false">1/(4*PI())*(2*AZ89*BA89*SQRT(AZ89^2+BA89^2+1)/(AZ89^2+BA89^2+1+AZ89^2*BA89^2)*(AZ89^2+BA89^2+2)/(AZ89^2+BA89^2+1)+ATAN2(AZ89^2+BA89^2+1-AZ89^2*BA89^2,2*AZ89*BA89*SQRT(AZ89^2+BA89^2+1)))</f>
        <v>0.248172910952305</v>
      </c>
      <c r="BC89" s="57" t="n">
        <f aca="false">4*Input!$AA$14*BB89</f>
        <v>135.006063558054</v>
      </c>
      <c r="BD89" s="57" t="n">
        <f aca="false">((Input!$AA$16/Input!$AA$15)*LN((1+SQRT((Input!$AA$16/Input!$AA$15)^2+1))*SQRT((Input!$AA$16/Input!$AA$15)^2+(AJ89/(Input!$AA$15/2))^2)/((Input!$AA$16/Input!$AA$15)*(1+SQRT((Input!$AA$16/Input!$AA$15)^2+(AJ89/(Input!$AA$15/2))^2+1))))+LN(((Input!$AA$16/Input!$AA$15)+SQRT((Input!$AA$16/Input!$AA$15)^2+1))*SQRT(1+(AJ89/(Input!$AA$15/2))^2)/((Input!$AA$16/Input!$AA$15)+SQRT((Input!$AA$16/Input!$AA$15)^2+(AJ89/(Input!$AA$15/2))^2+1))))/PI()</f>
        <v>0.0131506198333031</v>
      </c>
      <c r="BE89" s="57" t="n">
        <f aca="false">(AJ89/(Input!$AA$15/2))/(2*PI())*ATAN((Input!$AA$16/Input!$AA$15)/((AJ89/(Input!$AA$15/2))*SQRT((Input!$AA$16/Input!$AA$15)^2+(AJ89/(Input!$AA$15/2))^2+1)))</f>
        <v>0.0576304881402393</v>
      </c>
      <c r="BF89" s="57" t="n">
        <f aca="false">MAX(0,AJ89-MAX(AI89,$AA$23))/AK89*IF(BC89&gt;=Input!$AA$21*AQ89,1,0)</f>
        <v>1</v>
      </c>
      <c r="BG89" s="57" t="n">
        <f aca="false">4*Input!$AA$14*(Input!$AA$15/2)*(1-AY89^2)/AX89*((BD89-BD88)+(1-2*AY89)/(1-AY89)*(BE89-BE88))*1000*BF89</f>
        <v>3.5835260880634</v>
      </c>
      <c r="BH89" s="57" t="n">
        <f aca="false">IF(AM89="Sand",0,0.009*(AR89-10))</f>
        <v>0</v>
      </c>
      <c r="BI89" s="57" t="n">
        <f aca="false">BH89*Input!$AA$39</f>
        <v>0</v>
      </c>
      <c r="BJ89" s="57" t="n">
        <f aca="false">IF(AM89="Sand",0,MAX(AV89/Input!$AA$40,AQ89))</f>
        <v>0</v>
      </c>
      <c r="BK89" s="57" t="n">
        <f aca="false">IF(AM89="Sand",0,1000*AK89/(1+AU89)*IF(AQ89+BC89&lt;=BJ89,BI89*LOG10((AQ89+BC89)/AQ89),BI89*LOG10(BJ89/AQ89)+BH89*LOG10((AQ89+BC89)/BJ89)))*BF89</f>
        <v>0</v>
      </c>
      <c r="BL89" s="57" t="n">
        <f aca="false">IF(AM89="Sand",0,10^(INDEX(Input!$Q$51:$Q$57,MIN(MATCH(MIN(MAX(AR89,30),120),Input!$C$51:$C$57,1),6))+(MIN(MAX(AR89,30),120)-INDEX(Input!$C$51:$C$57,MIN(MATCH(MIN(MAX(AR89,30),120),Input!$C$51:$C$57,1),6)))/(INDEX(Input!$C$51:$C$57,MIN(MATCH(MIN(MAX(AR89,30),120),Input!$C$51:$C$57,1),6)+1)-INDEX(Input!$C$51:$C$57,MIN(MATCH(MIN(MAX(AR89,30),120),Input!$C$51:$C$57,1),6)))*(INDEX(Input!$Q$51:$Q$57,MIN(MATCH(MIN(MAX(AR89,30),120),Input!$C$51:$C$57,1),6)+1)-INDEX(Input!$Q$51:$Q$57,MIN(MATCH(MIN(MAX(AR89,30),120),Input!$C$51:$C$57,1),6)))))</f>
        <v>0</v>
      </c>
      <c r="BM89" s="57" t="n">
        <f aca="false">IF(OR(AM89="Sand",BF89=0),0,Input!$AA$41*(AK89/2)^2/(BL89*0.0001*31536000))</f>
        <v>0</v>
      </c>
      <c r="BN89" s="57" t="n">
        <f aca="false">MAX(0,MIN(AJ89,Input!$AA$20)-AI89)</f>
        <v>0</v>
      </c>
      <c r="BO89" s="57" t="n">
        <f aca="false">MAX(0,MIN(AJ89,Input!$AA$20)-MAX(AI89,$AA$23))</f>
        <v>0</v>
      </c>
      <c r="BP89" s="57" t="n">
        <f aca="false">BG89+BK89</f>
        <v>3.5835260880634</v>
      </c>
      <c r="BQ89" s="57"/>
    </row>
    <row r="90" customFormat="false" ht="14.25" hidden="false" customHeight="false" outlineLevel="0" collapsed="false">
      <c r="B90" s="7"/>
      <c r="C90" s="46" t="n">
        <v>8</v>
      </c>
      <c r="D90" s="46"/>
      <c r="E90" s="44" t="n">
        <f aca="false">AI90</f>
        <v>10.5</v>
      </c>
      <c r="F90" s="44"/>
      <c r="G90" s="44"/>
      <c r="H90" s="44" t="n">
        <f aca="false">AJ90</f>
        <v>12</v>
      </c>
      <c r="I90" s="44"/>
      <c r="J90" s="44"/>
      <c r="K90" s="41" t="str">
        <f aca="false">AM90</f>
        <v>Sand</v>
      </c>
      <c r="L90" s="41"/>
      <c r="M90" s="41"/>
      <c r="N90" s="46" t="n">
        <f aca="false">AN90</f>
        <v>13</v>
      </c>
      <c r="O90" s="46"/>
      <c r="P90" s="46"/>
      <c r="Q90" s="42" t="n">
        <f aca="false">AO90</f>
        <v>19.2</v>
      </c>
      <c r="R90" s="42"/>
      <c r="S90" s="42"/>
      <c r="T90" s="46" t="str">
        <f aca="false">IF(AR90="","-",AR90)</f>
        <v>-</v>
      </c>
      <c r="U90" s="46"/>
      <c r="V90" s="46" t="str">
        <f aca="false">IF(AT90="","-",AT90)</f>
        <v>-</v>
      </c>
      <c r="W90" s="46"/>
      <c r="X90" s="44" t="n">
        <f aca="false">AU90</f>
        <v>0.65</v>
      </c>
      <c r="Y90" s="44"/>
      <c r="Z90" s="55" t="n">
        <f aca="false">AV90</f>
        <v>0</v>
      </c>
      <c r="AA90" s="55"/>
      <c r="AB90" s="55"/>
      <c r="AC90" s="42" t="n">
        <f aca="false">AW90</f>
        <v>31.21666214986</v>
      </c>
      <c r="AD90" s="42"/>
      <c r="AE90" s="42"/>
      <c r="AF90" s="12"/>
      <c r="AI90" s="56" t="n">
        <v>10.5</v>
      </c>
      <c r="AJ90" s="56" t="n">
        <v>12</v>
      </c>
      <c r="AK90" s="57" t="n">
        <f aca="false">AJ90-AI90</f>
        <v>1.5</v>
      </c>
      <c r="AL90" s="57" t="n">
        <f aca="false">(AI90+AJ90)/2</f>
        <v>11.25</v>
      </c>
      <c r="AM90" s="56" t="s">
        <v>199</v>
      </c>
      <c r="AN90" s="56" t="n">
        <v>13</v>
      </c>
      <c r="AO90" s="58" t="n">
        <f aca="false">IF(AL90&gt;$AA$20,$AA$22,$AA$21)</f>
        <v>19.2</v>
      </c>
      <c r="AP90" s="57" t="n">
        <f aca="false">AP89+AO90*AK90</f>
        <v>217.8</v>
      </c>
      <c r="AQ90" s="57" t="n">
        <f aca="false">AP90-AO90*AK90/2-10*MAX(AL90-$AA$20,0)</f>
        <v>180.9</v>
      </c>
      <c r="AR90" s="56"/>
      <c r="AS90" s="56"/>
      <c r="AT90" s="57" t="str">
        <f aca="false">IF(AR90="","",AR90-AS90)</f>
        <v/>
      </c>
      <c r="AU90" s="56" t="n">
        <v>0.65</v>
      </c>
      <c r="AV90" s="57" t="n">
        <f aca="false">IF(AM90="Sand",0,Input!$AA$34*AN90)</f>
        <v>0</v>
      </c>
      <c r="AW90" s="57" t="n">
        <f aca="false">IF(AM90="Sand",27.1+0.3*MIN(Input!$AA$35*AN90,60)-0.00054*MIN(Input!$AA$35*AN90,60)^2,MIN(MAX(DEGREES(ASIN(0.8-0.094*LN(MAX(IF(AT90="",10,AT90),5)))),20),30))</f>
        <v>31.21666214986</v>
      </c>
      <c r="AX90" s="57" t="n">
        <f aca="false">IF(AM90="Sand",Input!$AA$36*Input!$AA$35*AN90,Input!$AA$37*AV90)</f>
        <v>14079</v>
      </c>
      <c r="AY90" s="59" t="n">
        <f aca="false">IF(AM90="Sand",Input!$AA$38,0.5)</f>
        <v>0.3</v>
      </c>
      <c r="AZ90" s="57" t="n">
        <f aca="false">Input!$AA$15/2/AL90</f>
        <v>3.28888888888889</v>
      </c>
      <c r="BA90" s="57" t="n">
        <f aca="false">Input!$AA$16/2/AL90</f>
        <v>8.97777777777778</v>
      </c>
      <c r="BB90" s="57" t="n">
        <f aca="false">1/(4*PI())*(2*AZ90*BA90*SQRT(AZ90^2+BA90^2+1)/(AZ90^2+BA90^2+1+AZ90^2*BA90^2)*(AZ90^2+BA90^2+2)/(AZ90^2+BA90^2+1)+ATAN2(AZ90^2+BA90^2+1-AZ90^2*BA90^2,2*AZ90*BA90*SQRT(AZ90^2+BA90^2+1)))</f>
        <v>0.247263218088384</v>
      </c>
      <c r="BC90" s="57" t="n">
        <f aca="false">4*Input!$AA$14*BB90</f>
        <v>134.511190640081</v>
      </c>
      <c r="BD90" s="57" t="n">
        <f aca="false">((Input!$AA$16/Input!$AA$15)*LN((1+SQRT((Input!$AA$16/Input!$AA$15)^2+1))*SQRT((Input!$AA$16/Input!$AA$15)^2+(AJ90/(Input!$AA$15/2))^2)/((Input!$AA$16/Input!$AA$15)*(1+SQRT((Input!$AA$16/Input!$AA$15)^2+(AJ90/(Input!$AA$15/2))^2+1))))+LN(((Input!$AA$16/Input!$AA$15)+SQRT((Input!$AA$16/Input!$AA$15)^2+1))*SQRT(1+(AJ90/(Input!$AA$15/2))^2)/((Input!$AA$16/Input!$AA$15)+SQRT((Input!$AA$16/Input!$AA$15)^2+(AJ90/(Input!$AA$15/2))^2+1))))/PI()</f>
        <v>0.0169892586870808</v>
      </c>
      <c r="BE90" s="57" t="n">
        <f aca="false">(AJ90/(Input!$AA$15/2))/(2*PI())*ATAN((Input!$AA$16/Input!$AA$15)/((AJ90/(Input!$AA$15/2))*SQRT((Input!$AA$16/Input!$AA$15)^2+(AJ90/(Input!$AA$15/2))^2+1)))</f>
        <v>0.063815650361614</v>
      </c>
      <c r="BF90" s="57" t="n">
        <f aca="false">MAX(0,AJ90-MAX(AI90,$AA$23))/AK90*IF(BC90&gt;=Input!$AA$21*AQ90,1,0)</f>
        <v>1</v>
      </c>
      <c r="BG90" s="57" t="n">
        <f aca="false">4*Input!$AA$14*(Input!$AA$15/2)*(1-AY90^2)/AX90*((BD90-BD89)+(1-2*AY90)/(1-AY90)*(BE90-BE89))*1000*BF90</f>
        <v>9.59213888004789</v>
      </c>
      <c r="BH90" s="57" t="n">
        <f aca="false">IF(AM90="Sand",0,0.009*(AR90-10))</f>
        <v>0</v>
      </c>
      <c r="BI90" s="57" t="n">
        <f aca="false">BH90*Input!$AA$39</f>
        <v>0</v>
      </c>
      <c r="BJ90" s="57" t="n">
        <f aca="false">IF(AM90="Sand",0,MAX(AV90/Input!$AA$40,AQ90))</f>
        <v>0</v>
      </c>
      <c r="BK90" s="57" t="n">
        <f aca="false">IF(AM90="Sand",0,1000*AK90/(1+AU90)*IF(AQ90+BC90&lt;=BJ90,BI90*LOG10((AQ90+BC90)/AQ90),BI90*LOG10(BJ90/AQ90)+BH90*LOG10((AQ90+BC90)/BJ90)))*BF90</f>
        <v>0</v>
      </c>
      <c r="BL90" s="57" t="n">
        <f aca="false">IF(AM90="Sand",0,10^(INDEX(Input!$Q$51:$Q$57,MIN(MATCH(MIN(MAX(AR90,30),120),Input!$C$51:$C$57,1),6))+(MIN(MAX(AR90,30),120)-INDEX(Input!$C$51:$C$57,MIN(MATCH(MIN(MAX(AR90,30),120),Input!$C$51:$C$57,1),6)))/(INDEX(Input!$C$51:$C$57,MIN(MATCH(MIN(MAX(AR90,30),120),Input!$C$51:$C$57,1),6)+1)-INDEX(Input!$C$51:$C$57,MIN(MATCH(MIN(MAX(AR90,30),120),Input!$C$51:$C$57,1),6)))*(INDEX(Input!$Q$51:$Q$57,MIN(MATCH(MIN(MAX(AR90,30),120),Input!$C$51:$C$57,1),6)+1)-INDEX(Input!$Q$51:$Q$57,MIN(MATCH(MIN(MAX(AR90,30),120),Input!$C$51:$C$57,1),6)))))</f>
        <v>0</v>
      </c>
      <c r="BM90" s="57" t="n">
        <f aca="false">IF(OR(AM90="Sand",BF90=0),0,Input!$AA$41*(AK90/2)^2/(BL90*0.0001*31536000))</f>
        <v>0</v>
      </c>
      <c r="BN90" s="57" t="n">
        <f aca="false">MAX(0,MIN(AJ90,Input!$AA$20)-AI90)</f>
        <v>0</v>
      </c>
      <c r="BO90" s="57" t="n">
        <f aca="false">MAX(0,MIN(AJ90,Input!$AA$20)-MAX(AI90,$AA$23))</f>
        <v>0</v>
      </c>
      <c r="BP90" s="57" t="n">
        <f aca="false">BG90+BK90</f>
        <v>9.59213888004789</v>
      </c>
      <c r="BQ90" s="57"/>
    </row>
    <row r="91" customFormat="false" ht="14.25" hidden="false" customHeight="false" outlineLevel="0" collapsed="false">
      <c r="B91" s="7"/>
      <c r="C91" s="46" t="n">
        <v>9</v>
      </c>
      <c r="D91" s="46"/>
      <c r="E91" s="44" t="n">
        <f aca="false">AI91</f>
        <v>12</v>
      </c>
      <c r="F91" s="44"/>
      <c r="G91" s="44"/>
      <c r="H91" s="44" t="n">
        <f aca="false">AJ91</f>
        <v>13.5</v>
      </c>
      <c r="I91" s="44"/>
      <c r="J91" s="44"/>
      <c r="K91" s="41" t="str">
        <f aca="false">AM91</f>
        <v>Sand</v>
      </c>
      <c r="L91" s="41"/>
      <c r="M91" s="41"/>
      <c r="N91" s="46" t="n">
        <f aca="false">AN91</f>
        <v>17</v>
      </c>
      <c r="O91" s="46"/>
      <c r="P91" s="46"/>
      <c r="Q91" s="42" t="n">
        <f aca="false">AO91</f>
        <v>19.2</v>
      </c>
      <c r="R91" s="42"/>
      <c r="S91" s="42"/>
      <c r="T91" s="46" t="str">
        <f aca="false">IF(AR91="","-",AR91)</f>
        <v>-</v>
      </c>
      <c r="U91" s="46"/>
      <c r="V91" s="46" t="str">
        <f aca="false">IF(AT91="","-",AT91)</f>
        <v>-</v>
      </c>
      <c r="W91" s="46"/>
      <c r="X91" s="44" t="n">
        <f aca="false">AU91</f>
        <v>0.414</v>
      </c>
      <c r="Y91" s="44"/>
      <c r="Z91" s="55" t="n">
        <f aca="false">AV91</f>
        <v>0</v>
      </c>
      <c r="AA91" s="55"/>
      <c r="AB91" s="55"/>
      <c r="AC91" s="42" t="n">
        <f aca="false">AW91</f>
        <v>32.44025894266</v>
      </c>
      <c r="AD91" s="42"/>
      <c r="AE91" s="42"/>
      <c r="AF91" s="12"/>
      <c r="AI91" s="56" t="n">
        <v>12</v>
      </c>
      <c r="AJ91" s="56" t="n">
        <v>13.5</v>
      </c>
      <c r="AK91" s="57" t="n">
        <f aca="false">AJ91-AI91</f>
        <v>1.5</v>
      </c>
      <c r="AL91" s="57" t="n">
        <f aca="false">(AI91+AJ91)/2</f>
        <v>12.75</v>
      </c>
      <c r="AM91" s="56" t="s">
        <v>199</v>
      </c>
      <c r="AN91" s="56" t="n">
        <v>17</v>
      </c>
      <c r="AO91" s="58" t="n">
        <f aca="false">IF(AL91&gt;$AA$20,$AA$22,$AA$21)</f>
        <v>19.2</v>
      </c>
      <c r="AP91" s="57" t="n">
        <f aca="false">AP90+AO91*AK91</f>
        <v>246.6</v>
      </c>
      <c r="AQ91" s="57" t="n">
        <f aca="false">AP91-AO91*AK91/2-10*MAX(AL91-$AA$20,0)</f>
        <v>194.7</v>
      </c>
      <c r="AR91" s="56"/>
      <c r="AS91" s="56"/>
      <c r="AT91" s="57" t="str">
        <f aca="false">IF(AR91="","",AR91-AS91)</f>
        <v/>
      </c>
      <c r="AU91" s="56" t="n">
        <v>0.414</v>
      </c>
      <c r="AV91" s="57" t="n">
        <f aca="false">IF(AM91="Sand",0,Input!$AA$34*AN91)</f>
        <v>0</v>
      </c>
      <c r="AW91" s="57" t="n">
        <f aca="false">IF(AM91="Sand",27.1+0.3*MIN(Input!$AA$35*AN91,60)-0.00054*MIN(Input!$AA$35*AN91,60)^2,MIN(MAX(DEGREES(ASIN(0.8-0.094*LN(MAX(IF(AT91="",10,AT91),5)))),20),30))</f>
        <v>32.44025894266</v>
      </c>
      <c r="AX91" s="57" t="n">
        <f aca="false">IF(AM91="Sand",Input!$AA$36*Input!$AA$35*AN91,Input!$AA$37*AV91)</f>
        <v>18411</v>
      </c>
      <c r="AY91" s="59" t="n">
        <f aca="false">IF(AM91="Sand",Input!$AA$38,0.5)</f>
        <v>0.3</v>
      </c>
      <c r="AZ91" s="57" t="n">
        <f aca="false">Input!$AA$15/2/AL91</f>
        <v>2.90196078431373</v>
      </c>
      <c r="BA91" s="57" t="n">
        <f aca="false">Input!$AA$16/2/AL91</f>
        <v>7.92156862745098</v>
      </c>
      <c r="BB91" s="57" t="n">
        <f aca="false">1/(4*PI())*(2*AZ91*BA91*SQRT(AZ91^2+BA91^2+1)/(AZ91^2+BA91^2+1+AZ91^2*BA91^2)*(AZ91^2+BA91^2+2)/(AZ91^2+BA91^2+1)+ATAN2(AZ91^2+BA91^2+1-AZ91^2*BA91^2,2*AZ91*BA91*SQRT(AZ91^2+BA91^2+1)))</f>
        <v>0.246126971244543</v>
      </c>
      <c r="BC91" s="57" t="n">
        <f aca="false">4*Input!$AA$14*BB91</f>
        <v>133.893072357031</v>
      </c>
      <c r="BD91" s="57" t="n">
        <f aca="false">((Input!$AA$16/Input!$AA$15)*LN((1+SQRT((Input!$AA$16/Input!$AA$15)^2+1))*SQRT((Input!$AA$16/Input!$AA$15)^2+(AJ91/(Input!$AA$15/2))^2)/((Input!$AA$16/Input!$AA$15)*(1+SQRT((Input!$AA$16/Input!$AA$15)^2+(AJ91/(Input!$AA$15/2))^2+1))))+LN(((Input!$AA$16/Input!$AA$15)+SQRT((Input!$AA$16/Input!$AA$15)^2+1))*SQRT(1+(AJ91/(Input!$AA$15/2))^2)/((Input!$AA$16/Input!$AA$15)+SQRT((Input!$AA$16/Input!$AA$15)^2+(AJ91/(Input!$AA$15/2))^2+1))))/PI()</f>
        <v>0.0212420151090567</v>
      </c>
      <c r="BE91" s="57" t="n">
        <f aca="false">(AJ91/(Input!$AA$15/2))/(2*PI())*ATAN((Input!$AA$16/Input!$AA$15)/((AJ91/(Input!$AA$15/2))*SQRT((Input!$AA$16/Input!$AA$15)^2+(AJ91/(Input!$AA$15/2))^2+1)))</f>
        <v>0.0695406206380035</v>
      </c>
      <c r="BF91" s="57" t="n">
        <f aca="false">MAX(0,AJ91-MAX(AI91,$AA$23))/AK91*IF(BC91&gt;=Input!$AA$21*AQ91,1,0)</f>
        <v>1</v>
      </c>
      <c r="BG91" s="57" t="n">
        <f aca="false">4*Input!$AA$14*(Input!$AA$15/2)*(1-AY91^2)/AX91*((BD91-BD90)+(1-2*AY91)/(1-AY91)*(BE91-BE90))*1000*BF91</f>
        <v>7.48553977752651</v>
      </c>
      <c r="BH91" s="57" t="n">
        <f aca="false">IF(AM91="Sand",0,0.009*(AR91-10))</f>
        <v>0</v>
      </c>
      <c r="BI91" s="57" t="n">
        <f aca="false">BH91*Input!$AA$39</f>
        <v>0</v>
      </c>
      <c r="BJ91" s="57" t="n">
        <f aca="false">IF(AM91="Sand",0,MAX(AV91/Input!$AA$40,AQ91))</f>
        <v>0</v>
      </c>
      <c r="BK91" s="57" t="n">
        <f aca="false">IF(AM91="Sand",0,1000*AK91/(1+AU91)*IF(AQ91+BC91&lt;=BJ91,BI91*LOG10((AQ91+BC91)/AQ91),BI91*LOG10(BJ91/AQ91)+BH91*LOG10((AQ91+BC91)/BJ91)))*BF91</f>
        <v>0</v>
      </c>
      <c r="BL91" s="57" t="n">
        <f aca="false">IF(AM91="Sand",0,10^(INDEX(Input!$Q$51:$Q$57,MIN(MATCH(MIN(MAX(AR91,30),120),Input!$C$51:$C$57,1),6))+(MIN(MAX(AR91,30),120)-INDEX(Input!$C$51:$C$57,MIN(MATCH(MIN(MAX(AR91,30),120),Input!$C$51:$C$57,1),6)))/(INDEX(Input!$C$51:$C$57,MIN(MATCH(MIN(MAX(AR91,30),120),Input!$C$51:$C$57,1),6)+1)-INDEX(Input!$C$51:$C$57,MIN(MATCH(MIN(MAX(AR91,30),120),Input!$C$51:$C$57,1),6)))*(INDEX(Input!$Q$51:$Q$57,MIN(MATCH(MIN(MAX(AR91,30),120),Input!$C$51:$C$57,1),6)+1)-INDEX(Input!$Q$51:$Q$57,MIN(MATCH(MIN(MAX(AR91,30),120),Input!$C$51:$C$57,1),6)))))</f>
        <v>0</v>
      </c>
      <c r="BM91" s="57" t="n">
        <f aca="false">IF(OR(AM91="Sand",BF91=0),0,Input!$AA$41*(AK91/2)^2/(BL91*0.0001*31536000))</f>
        <v>0</v>
      </c>
      <c r="BN91" s="57" t="n">
        <f aca="false">MAX(0,MIN(AJ91,Input!$AA$20)-AI91)</f>
        <v>0</v>
      </c>
      <c r="BO91" s="57" t="n">
        <f aca="false">MAX(0,MIN(AJ91,Input!$AA$20)-MAX(AI91,$AA$23))</f>
        <v>0</v>
      </c>
      <c r="BP91" s="57" t="n">
        <f aca="false">BG91+BK91</f>
        <v>7.48553977752651</v>
      </c>
      <c r="BQ91" s="57"/>
    </row>
    <row r="92" customFormat="false" ht="14.25" hidden="false" customHeight="false" outlineLevel="0" collapsed="false">
      <c r="B92" s="7"/>
      <c r="C92" s="46" t="n">
        <v>10</v>
      </c>
      <c r="D92" s="46"/>
      <c r="E92" s="44" t="n">
        <f aca="false">AI92</f>
        <v>13.5</v>
      </c>
      <c r="F92" s="44"/>
      <c r="G92" s="44"/>
      <c r="H92" s="44" t="n">
        <f aca="false">AJ92</f>
        <v>15</v>
      </c>
      <c r="I92" s="44"/>
      <c r="J92" s="44"/>
      <c r="K92" s="41" t="str">
        <f aca="false">AM92</f>
        <v>Sand</v>
      </c>
      <c r="L92" s="41"/>
      <c r="M92" s="41"/>
      <c r="N92" s="46" t="n">
        <f aca="false">AN92</f>
        <v>18</v>
      </c>
      <c r="O92" s="46"/>
      <c r="P92" s="46"/>
      <c r="Q92" s="42" t="n">
        <f aca="false">AO92</f>
        <v>19.2</v>
      </c>
      <c r="R92" s="42"/>
      <c r="S92" s="42"/>
      <c r="T92" s="46" t="str">
        <f aca="false">IF(AR92="","-",AR92)</f>
        <v>-</v>
      </c>
      <c r="U92" s="46"/>
      <c r="V92" s="46" t="str">
        <f aca="false">IF(AT92="","-",AT92)</f>
        <v>-</v>
      </c>
      <c r="W92" s="46"/>
      <c r="X92" s="44" t="n">
        <f aca="false">AU92</f>
        <v>0.747</v>
      </c>
      <c r="Y92" s="44"/>
      <c r="Z92" s="55" t="n">
        <f aca="false">AV92</f>
        <v>0</v>
      </c>
      <c r="AA92" s="55"/>
      <c r="AB92" s="55"/>
      <c r="AC92" s="42" t="n">
        <f aca="false">AW92</f>
        <v>32.74299134056</v>
      </c>
      <c r="AD92" s="42"/>
      <c r="AE92" s="42"/>
      <c r="AF92" s="12"/>
      <c r="AI92" s="56" t="n">
        <v>13.5</v>
      </c>
      <c r="AJ92" s="56" t="n">
        <v>15</v>
      </c>
      <c r="AK92" s="57" t="n">
        <f aca="false">AJ92-AI92</f>
        <v>1.5</v>
      </c>
      <c r="AL92" s="57" t="n">
        <f aca="false">(AI92+AJ92)/2</f>
        <v>14.25</v>
      </c>
      <c r="AM92" s="56" t="s">
        <v>199</v>
      </c>
      <c r="AN92" s="56" t="n">
        <v>18</v>
      </c>
      <c r="AO92" s="58" t="n">
        <f aca="false">IF(AL92&gt;$AA$20,$AA$22,$AA$21)</f>
        <v>19.2</v>
      </c>
      <c r="AP92" s="57" t="n">
        <f aca="false">AP91+AO92*AK92</f>
        <v>275.4</v>
      </c>
      <c r="AQ92" s="57" t="n">
        <f aca="false">AP92-AO92*AK92/2-10*MAX(AL92-$AA$20,0)</f>
        <v>208.5</v>
      </c>
      <c r="AR92" s="56"/>
      <c r="AS92" s="56"/>
      <c r="AT92" s="57" t="str">
        <f aca="false">IF(AR92="","",AR92-AS92)</f>
        <v/>
      </c>
      <c r="AU92" s="56" t="n">
        <v>0.747</v>
      </c>
      <c r="AV92" s="57" t="n">
        <f aca="false">IF(AM92="Sand",0,Input!$AA$34*AN92)</f>
        <v>0</v>
      </c>
      <c r="AW92" s="57" t="n">
        <f aca="false">IF(AM92="Sand",27.1+0.3*MIN(Input!$AA$35*AN92,60)-0.00054*MIN(Input!$AA$35*AN92,60)^2,MIN(MAX(DEGREES(ASIN(0.8-0.094*LN(MAX(IF(AT92="",10,AT92),5)))),20),30))</f>
        <v>32.74299134056</v>
      </c>
      <c r="AX92" s="57" t="n">
        <f aca="false">IF(AM92="Sand",Input!$AA$36*Input!$AA$35*AN92,Input!$AA$37*AV92)</f>
        <v>19494</v>
      </c>
      <c r="AY92" s="59" t="n">
        <f aca="false">IF(AM92="Sand",Input!$AA$38,0.5)</f>
        <v>0.3</v>
      </c>
      <c r="AZ92" s="57" t="n">
        <f aca="false">Input!$AA$15/2/AL92</f>
        <v>2.59649122807018</v>
      </c>
      <c r="BA92" s="57" t="n">
        <f aca="false">Input!$AA$16/2/AL92</f>
        <v>7.08771929824561</v>
      </c>
      <c r="BB92" s="57" t="n">
        <f aca="false">1/(4*PI())*(2*AZ92*BA92*SQRT(AZ92^2+BA92^2+1)/(AZ92^2+BA92^2+1+AZ92^2*BA92^2)*(AZ92^2+BA92^2+2)/(AZ92^2+BA92^2+1)+ATAN2(AZ92^2+BA92^2+1-AZ92^2*BA92^2,2*AZ92*BA92*SQRT(AZ92^2+BA92^2+1)))</f>
        <v>0.244758030634215</v>
      </c>
      <c r="BC92" s="57" t="n">
        <f aca="false">4*Input!$AA$14*BB92</f>
        <v>133.148368665013</v>
      </c>
      <c r="BD92" s="57" t="n">
        <f aca="false">((Input!$AA$16/Input!$AA$15)*LN((1+SQRT((Input!$AA$16/Input!$AA$15)^2+1))*SQRT((Input!$AA$16/Input!$AA$15)^2+(AJ92/(Input!$AA$15/2))^2)/((Input!$AA$16/Input!$AA$15)*(1+SQRT((Input!$AA$16/Input!$AA$15)^2+(AJ92/(Input!$AA$15/2))^2+1))))+LN(((Input!$AA$16/Input!$AA$15)+SQRT((Input!$AA$16/Input!$AA$15)^2+1))*SQRT(1+(AJ92/(Input!$AA$15/2))^2)/((Input!$AA$16/Input!$AA$15)+SQRT((Input!$AA$16/Input!$AA$15)^2+(AJ92/(Input!$AA$15/2))^2+1))))/PI()</f>
        <v>0.0258781185005073</v>
      </c>
      <c r="BE92" s="57" t="n">
        <f aca="false">(AJ92/(Input!$AA$15/2))/(2*PI())*ATAN((Input!$AA$16/Input!$AA$15)/((AJ92/(Input!$AA$15/2))*SQRT((Input!$AA$16/Input!$AA$15)^2+(AJ92/(Input!$AA$15/2))^2+1)))</f>
        <v>0.0748267458113844</v>
      </c>
      <c r="BF92" s="57" t="n">
        <f aca="false">MAX(0,AJ92-MAX(AI92,$AA$23))/AK92*IF(BC92&gt;=Input!$AA$21*AQ92,1,0)</f>
        <v>1</v>
      </c>
      <c r="BG92" s="57" t="n">
        <f aca="false">4*Input!$AA$14*(Input!$AA$15/2)*(1-AY92^2)/AX92*((BD92-BD91)+(1-2*AY92)/(1-AY92)*(BE92-BE91))*1000*BF92</f>
        <v>7.19424650364924</v>
      </c>
      <c r="BH92" s="57" t="n">
        <f aca="false">IF(AM92="Sand",0,0.009*(AR92-10))</f>
        <v>0</v>
      </c>
      <c r="BI92" s="57" t="n">
        <f aca="false">BH92*Input!$AA$39</f>
        <v>0</v>
      </c>
      <c r="BJ92" s="57" t="n">
        <f aca="false">IF(AM92="Sand",0,MAX(AV92/Input!$AA$40,AQ92))</f>
        <v>0</v>
      </c>
      <c r="BK92" s="57" t="n">
        <f aca="false">IF(AM92="Sand",0,1000*AK92/(1+AU92)*IF(AQ92+BC92&lt;=BJ92,BI92*LOG10((AQ92+BC92)/AQ92),BI92*LOG10(BJ92/AQ92)+BH92*LOG10((AQ92+BC92)/BJ92)))*BF92</f>
        <v>0</v>
      </c>
      <c r="BL92" s="57" t="n">
        <f aca="false">IF(AM92="Sand",0,10^(INDEX(Input!$Q$51:$Q$57,MIN(MATCH(MIN(MAX(AR92,30),120),Input!$C$51:$C$57,1),6))+(MIN(MAX(AR92,30),120)-INDEX(Input!$C$51:$C$57,MIN(MATCH(MIN(MAX(AR92,30),120),Input!$C$51:$C$57,1),6)))/(INDEX(Input!$C$51:$C$57,MIN(MATCH(MIN(MAX(AR92,30),120),Input!$C$51:$C$57,1),6)+1)-INDEX(Input!$C$51:$C$57,MIN(MATCH(MIN(MAX(AR92,30),120),Input!$C$51:$C$57,1),6)))*(INDEX(Input!$Q$51:$Q$57,MIN(MATCH(MIN(MAX(AR92,30),120),Input!$C$51:$C$57,1),6)+1)-INDEX(Input!$Q$51:$Q$57,MIN(MATCH(MIN(MAX(AR92,30),120),Input!$C$51:$C$57,1),6)))))</f>
        <v>0</v>
      </c>
      <c r="BM92" s="57" t="n">
        <f aca="false">IF(OR(AM92="Sand",BF92=0),0,Input!$AA$41*(AK92/2)^2/(BL92*0.0001*31536000))</f>
        <v>0</v>
      </c>
      <c r="BN92" s="57" t="n">
        <f aca="false">MAX(0,MIN(AJ92,Input!$AA$20)-AI92)</f>
        <v>0</v>
      </c>
      <c r="BO92" s="57" t="n">
        <f aca="false">MAX(0,MIN(AJ92,Input!$AA$20)-MAX(AI92,$AA$23))</f>
        <v>0</v>
      </c>
      <c r="BP92" s="57" t="n">
        <f aca="false">BG92+BK92</f>
        <v>7.19424650364924</v>
      </c>
      <c r="BQ92" s="57"/>
    </row>
    <row r="93" customFormat="false" ht="14.25" hidden="false" customHeight="false" outlineLevel="0" collapsed="false">
      <c r="B93" s="7"/>
      <c r="C93" s="46" t="n">
        <v>11</v>
      </c>
      <c r="D93" s="46"/>
      <c r="E93" s="44" t="n">
        <f aca="false">AI93</f>
        <v>15</v>
      </c>
      <c r="F93" s="44"/>
      <c r="G93" s="44"/>
      <c r="H93" s="44" t="n">
        <f aca="false">AJ93</f>
        <v>16.5</v>
      </c>
      <c r="I93" s="44"/>
      <c r="J93" s="44"/>
      <c r="K93" s="41" t="str">
        <f aca="false">AM93</f>
        <v>Sand</v>
      </c>
      <c r="L93" s="41"/>
      <c r="M93" s="41"/>
      <c r="N93" s="46" t="n">
        <f aca="false">AN93</f>
        <v>19</v>
      </c>
      <c r="O93" s="46"/>
      <c r="P93" s="46"/>
      <c r="Q93" s="42" t="n">
        <f aca="false">AO93</f>
        <v>19.2</v>
      </c>
      <c r="R93" s="42"/>
      <c r="S93" s="42"/>
      <c r="T93" s="46" t="str">
        <f aca="false">IF(AR93="","-",AR93)</f>
        <v>-</v>
      </c>
      <c r="U93" s="46"/>
      <c r="V93" s="46" t="str">
        <f aca="false">IF(AT93="","-",AT93)</f>
        <v>-</v>
      </c>
      <c r="W93" s="46"/>
      <c r="X93" s="44" t="n">
        <f aca="false">AU93</f>
        <v>0.65</v>
      </c>
      <c r="Y93" s="44"/>
      <c r="Z93" s="55" t="n">
        <f aca="false">AV93</f>
        <v>0</v>
      </c>
      <c r="AA93" s="55"/>
      <c r="AB93" s="55"/>
      <c r="AC93" s="42" t="n">
        <f aca="false">AW93</f>
        <v>33.04445701834</v>
      </c>
      <c r="AD93" s="42"/>
      <c r="AE93" s="42"/>
      <c r="AF93" s="12"/>
      <c r="AI93" s="56" t="n">
        <v>15</v>
      </c>
      <c r="AJ93" s="56" t="n">
        <v>16.5</v>
      </c>
      <c r="AK93" s="57" t="n">
        <f aca="false">AJ93-AI93</f>
        <v>1.5</v>
      </c>
      <c r="AL93" s="57" t="n">
        <f aca="false">(AI93+AJ93)/2</f>
        <v>15.75</v>
      </c>
      <c r="AM93" s="56" t="s">
        <v>199</v>
      </c>
      <c r="AN93" s="56" t="n">
        <v>19</v>
      </c>
      <c r="AO93" s="58" t="n">
        <f aca="false">IF(AL93&gt;$AA$20,$AA$22,$AA$21)</f>
        <v>19.2</v>
      </c>
      <c r="AP93" s="57" t="n">
        <f aca="false">AP92+AO93*AK93</f>
        <v>304.2</v>
      </c>
      <c r="AQ93" s="57" t="n">
        <f aca="false">AP93-AO93*AK93/2-10*MAX(AL93-$AA$20,0)</f>
        <v>222.3</v>
      </c>
      <c r="AR93" s="56"/>
      <c r="AS93" s="56"/>
      <c r="AT93" s="57" t="str">
        <f aca="false">IF(AR93="","",AR93-AS93)</f>
        <v/>
      </c>
      <c r="AU93" s="56" t="n">
        <v>0.65</v>
      </c>
      <c r="AV93" s="57" t="n">
        <f aca="false">IF(AM93="Sand",0,Input!$AA$34*AN93)</f>
        <v>0</v>
      </c>
      <c r="AW93" s="57" t="n">
        <f aca="false">IF(AM93="Sand",27.1+0.3*MIN(Input!$AA$35*AN93,60)-0.00054*MIN(Input!$AA$35*AN93,60)^2,MIN(MAX(DEGREES(ASIN(0.8-0.094*LN(MAX(IF(AT93="",10,AT93),5)))),20),30))</f>
        <v>33.04445701834</v>
      </c>
      <c r="AX93" s="57" t="n">
        <f aca="false">IF(AM93="Sand",Input!$AA$36*Input!$AA$35*AN93,Input!$AA$37*AV93)</f>
        <v>20577</v>
      </c>
      <c r="AY93" s="59" t="n">
        <f aca="false">IF(AM93="Sand",Input!$AA$38,0.5)</f>
        <v>0.3</v>
      </c>
      <c r="AZ93" s="57" t="n">
        <f aca="false">Input!$AA$15/2/AL93</f>
        <v>2.34920634920635</v>
      </c>
      <c r="BA93" s="57" t="n">
        <f aca="false">Input!$AA$16/2/AL93</f>
        <v>6.41269841269841</v>
      </c>
      <c r="BB93" s="57" t="n">
        <f aca="false">1/(4*PI())*(2*AZ93*BA93*SQRT(AZ93^2+BA93^2+1)/(AZ93^2+BA93^2+1+AZ93^2*BA93^2)*(AZ93^2+BA93^2+2)/(AZ93^2+BA93^2+1)+ATAN2(AZ93^2+BA93^2+1-AZ93^2*BA93^2,2*AZ93*BA93*SQRT(AZ93^2+BA93^2+1)))</f>
        <v>0.243156029012353</v>
      </c>
      <c r="BC93" s="57" t="n">
        <f aca="false">4*Input!$AA$14*BB93</f>
        <v>132.27687978272</v>
      </c>
      <c r="BD93" s="57" t="n">
        <f aca="false">((Input!$AA$16/Input!$AA$15)*LN((1+SQRT((Input!$AA$16/Input!$AA$15)^2+1))*SQRT((Input!$AA$16/Input!$AA$15)^2+(AJ93/(Input!$AA$15/2))^2)/((Input!$AA$16/Input!$AA$15)*(1+SQRT((Input!$AA$16/Input!$AA$15)^2+(AJ93/(Input!$AA$15/2))^2+1))))+LN(((Input!$AA$16/Input!$AA$15)+SQRT((Input!$AA$16/Input!$AA$15)^2+1))*SQRT(1+(AJ93/(Input!$AA$15/2))^2)/((Input!$AA$16/Input!$AA$15)+SQRT((Input!$AA$16/Input!$AA$15)^2+(AJ93/(Input!$AA$15/2))^2+1))))/PI()</f>
        <v>0.0308660275726865</v>
      </c>
      <c r="BE93" s="57" t="n">
        <f aca="false">(AJ93/(Input!$AA$15/2))/(2*PI())*ATAN((Input!$AA$16/Input!$AA$15)/((AJ93/(Input!$AA$15/2))*SQRT((Input!$AA$16/Input!$AA$15)^2+(AJ93/(Input!$AA$15/2))^2+1)))</f>
        <v>0.0796961274153755</v>
      </c>
      <c r="BF93" s="57" t="n">
        <f aca="false">MAX(0,AJ93-MAX(AI93,$AA$23))/AK93*IF(BC93&gt;=Input!$AA$21*AQ93,1,0)</f>
        <v>1</v>
      </c>
      <c r="BG93" s="57" t="n">
        <f aca="false">4*Input!$AA$14*(Input!$AA$15/2)*(1-AY93^2)/AX93*((BD93-BD92)+(1-2*AY93)/(1-AY93)*(BE93-BE92))*1000*BF93</f>
        <v>6.91678142991971</v>
      </c>
      <c r="BH93" s="57" t="n">
        <f aca="false">IF(AM93="Sand",0,0.009*(AR93-10))</f>
        <v>0</v>
      </c>
      <c r="BI93" s="57" t="n">
        <f aca="false">BH93*Input!$AA$39</f>
        <v>0</v>
      </c>
      <c r="BJ93" s="57" t="n">
        <f aca="false">IF(AM93="Sand",0,MAX(AV93/Input!$AA$40,AQ93))</f>
        <v>0</v>
      </c>
      <c r="BK93" s="57" t="n">
        <f aca="false">IF(AM93="Sand",0,1000*AK93/(1+AU93)*IF(AQ93+BC93&lt;=BJ93,BI93*LOG10((AQ93+BC93)/AQ93),BI93*LOG10(BJ93/AQ93)+BH93*LOG10((AQ93+BC93)/BJ93)))*BF93</f>
        <v>0</v>
      </c>
      <c r="BL93" s="57" t="n">
        <f aca="false">IF(AM93="Sand",0,10^(INDEX(Input!$Q$51:$Q$57,MIN(MATCH(MIN(MAX(AR93,30),120),Input!$C$51:$C$57,1),6))+(MIN(MAX(AR93,30),120)-INDEX(Input!$C$51:$C$57,MIN(MATCH(MIN(MAX(AR93,30),120),Input!$C$51:$C$57,1),6)))/(INDEX(Input!$C$51:$C$57,MIN(MATCH(MIN(MAX(AR93,30),120),Input!$C$51:$C$57,1),6)+1)-INDEX(Input!$C$51:$C$57,MIN(MATCH(MIN(MAX(AR93,30),120),Input!$C$51:$C$57,1),6)))*(INDEX(Input!$Q$51:$Q$57,MIN(MATCH(MIN(MAX(AR93,30),120),Input!$C$51:$C$57,1),6)+1)-INDEX(Input!$Q$51:$Q$57,MIN(MATCH(MIN(MAX(AR93,30),120),Input!$C$51:$C$57,1),6)))))</f>
        <v>0</v>
      </c>
      <c r="BM93" s="57" t="n">
        <f aca="false">IF(OR(AM93="Sand",BF93=0),0,Input!$AA$41*(AK93/2)^2/(BL93*0.0001*31536000))</f>
        <v>0</v>
      </c>
      <c r="BN93" s="57" t="n">
        <f aca="false">MAX(0,MIN(AJ93,Input!$AA$20)-AI93)</f>
        <v>0</v>
      </c>
      <c r="BO93" s="57" t="n">
        <f aca="false">MAX(0,MIN(AJ93,Input!$AA$20)-MAX(AI93,$AA$23))</f>
        <v>0</v>
      </c>
      <c r="BP93" s="57" t="n">
        <f aca="false">BG93+BK93</f>
        <v>6.91678142991971</v>
      </c>
      <c r="BQ93" s="57"/>
    </row>
    <row r="94" customFormat="false" ht="14.25" hidden="false" customHeight="false" outlineLevel="0" collapsed="false">
      <c r="B94" s="7"/>
      <c r="C94" s="46" t="n">
        <v>12</v>
      </c>
      <c r="D94" s="46"/>
      <c r="E94" s="44" t="n">
        <f aca="false">AI94</f>
        <v>16.5</v>
      </c>
      <c r="F94" s="44"/>
      <c r="G94" s="44"/>
      <c r="H94" s="44" t="n">
        <f aca="false">AJ94</f>
        <v>18</v>
      </c>
      <c r="I94" s="44"/>
      <c r="J94" s="44"/>
      <c r="K94" s="41" t="str">
        <f aca="false">AM94</f>
        <v>Sand</v>
      </c>
      <c r="L94" s="41"/>
      <c r="M94" s="41"/>
      <c r="N94" s="46" t="n">
        <f aca="false">AN94</f>
        <v>12</v>
      </c>
      <c r="O94" s="46"/>
      <c r="P94" s="46"/>
      <c r="Q94" s="42" t="n">
        <f aca="false">AO94</f>
        <v>19.2</v>
      </c>
      <c r="R94" s="42"/>
      <c r="S94" s="42"/>
      <c r="T94" s="46" t="str">
        <f aca="false">IF(AR94="","-",AR94)</f>
        <v>-</v>
      </c>
      <c r="U94" s="46"/>
      <c r="V94" s="46" t="str">
        <f aca="false">IF(AT94="","-",AT94)</f>
        <v>-</v>
      </c>
      <c r="W94" s="46"/>
      <c r="X94" s="44" t="n">
        <f aca="false">AU94</f>
        <v>0.48</v>
      </c>
      <c r="Y94" s="44"/>
      <c r="Z94" s="55" t="n">
        <f aca="false">AV94</f>
        <v>0</v>
      </c>
      <c r="AA94" s="55"/>
      <c r="AB94" s="55"/>
      <c r="AC94" s="42" t="n">
        <f aca="false">AW94</f>
        <v>30.90759615136</v>
      </c>
      <c r="AD94" s="42"/>
      <c r="AE94" s="42"/>
      <c r="AF94" s="12"/>
      <c r="AI94" s="56" t="n">
        <v>16.5</v>
      </c>
      <c r="AJ94" s="56" t="n">
        <v>18</v>
      </c>
      <c r="AK94" s="57" t="n">
        <f aca="false">AJ94-AI94</f>
        <v>1.5</v>
      </c>
      <c r="AL94" s="57" t="n">
        <f aca="false">(AI94+AJ94)/2</f>
        <v>17.25</v>
      </c>
      <c r="AM94" s="56" t="s">
        <v>199</v>
      </c>
      <c r="AN94" s="56" t="n">
        <v>12</v>
      </c>
      <c r="AO94" s="58" t="n">
        <f aca="false">IF(AL94&gt;$AA$20,$AA$22,$AA$21)</f>
        <v>19.2</v>
      </c>
      <c r="AP94" s="57" t="n">
        <f aca="false">AP93+AO94*AK94</f>
        <v>333</v>
      </c>
      <c r="AQ94" s="57" t="n">
        <f aca="false">AP94-AO94*AK94/2-10*MAX(AL94-$AA$20,0)</f>
        <v>236.1</v>
      </c>
      <c r="AR94" s="56"/>
      <c r="AS94" s="56"/>
      <c r="AT94" s="57" t="str">
        <f aca="false">IF(AR94="","",AR94-AS94)</f>
        <v/>
      </c>
      <c r="AU94" s="56" t="n">
        <v>0.48</v>
      </c>
      <c r="AV94" s="57" t="n">
        <f aca="false">IF(AM94="Sand",0,Input!$AA$34*AN94)</f>
        <v>0</v>
      </c>
      <c r="AW94" s="57" t="n">
        <f aca="false">IF(AM94="Sand",27.1+0.3*MIN(Input!$AA$35*AN94,60)-0.00054*MIN(Input!$AA$35*AN94,60)^2,MIN(MAX(DEGREES(ASIN(0.8-0.094*LN(MAX(IF(AT94="",10,AT94),5)))),20),30))</f>
        <v>30.90759615136</v>
      </c>
      <c r="AX94" s="57" t="n">
        <f aca="false">IF(AM94="Sand",Input!$AA$36*Input!$AA$35*AN94,Input!$AA$37*AV94)</f>
        <v>12996</v>
      </c>
      <c r="AY94" s="59" t="n">
        <f aca="false">IF(AM94="Sand",Input!$AA$38,0.5)</f>
        <v>0.3</v>
      </c>
      <c r="AZ94" s="57" t="n">
        <f aca="false">Input!$AA$15/2/AL94</f>
        <v>2.14492753623188</v>
      </c>
      <c r="BA94" s="57" t="n">
        <f aca="false">Input!$AA$16/2/AL94</f>
        <v>5.85507246376812</v>
      </c>
      <c r="BB94" s="57" t="n">
        <f aca="false">1/(4*PI())*(2*AZ94*BA94*SQRT(AZ94^2+BA94^2+1)/(AZ94^2+BA94^2+1+AZ94^2*BA94^2)*(AZ94^2+BA94^2+2)/(AZ94^2+BA94^2+1)+ATAN2(AZ94^2+BA94^2+1-AZ94^2*BA94^2,2*AZ94*BA94*SQRT(AZ94^2+BA94^2+1)))</f>
        <v>0.2413257195439</v>
      </c>
      <c r="BC94" s="57" t="n">
        <f aca="false">4*Input!$AA$14*BB94</f>
        <v>131.281191431882</v>
      </c>
      <c r="BD94" s="57" t="n">
        <f aca="false">((Input!$AA$16/Input!$AA$15)*LN((1+SQRT((Input!$AA$16/Input!$AA$15)^2+1))*SQRT((Input!$AA$16/Input!$AA$15)^2+(AJ94/(Input!$AA$15/2))^2)/((Input!$AA$16/Input!$AA$15)*(1+SQRT((Input!$AA$16/Input!$AA$15)^2+(AJ94/(Input!$AA$15/2))^2+1))))+LN(((Input!$AA$16/Input!$AA$15)+SQRT((Input!$AA$16/Input!$AA$15)^2+1))*SQRT(1+(AJ94/(Input!$AA$15/2))^2)/((Input!$AA$16/Input!$AA$15)+SQRT((Input!$AA$16/Input!$AA$15)^2+(AJ94/(Input!$AA$15/2))^2+1))))/PI()</f>
        <v>0.0361740031105239</v>
      </c>
      <c r="BE94" s="57" t="n">
        <f aca="false">(AJ94/(Input!$AA$15/2))/(2*PI())*ATAN((Input!$AA$16/Input!$AA$15)/((AJ94/(Input!$AA$15/2))*SQRT((Input!$AA$16/Input!$AA$15)^2+(AJ94/(Input!$AA$15/2))^2+1)))</f>
        <v>0.0841712562846844</v>
      </c>
      <c r="BF94" s="57" t="n">
        <f aca="false">MAX(0,AJ94-MAX(AI94,$AA$23))/AK94*IF(BC94&gt;=Input!$AA$21*AQ94,1,0)</f>
        <v>1</v>
      </c>
      <c r="BG94" s="57" t="n">
        <f aca="false">4*Input!$AA$14*(Input!$AA$15/2)*(1-AY94^2)/AX94*((BD94-BD93)+(1-2*AY94)/(1-AY94)*(BE94-BE93))*1000*BF94</f>
        <v>11.0851517849832</v>
      </c>
      <c r="BH94" s="57" t="n">
        <f aca="false">IF(AM94="Sand",0,0.009*(AR94-10))</f>
        <v>0</v>
      </c>
      <c r="BI94" s="57" t="n">
        <f aca="false">BH94*Input!$AA$39</f>
        <v>0</v>
      </c>
      <c r="BJ94" s="57" t="n">
        <f aca="false">IF(AM94="Sand",0,MAX(AV94/Input!$AA$40,AQ94))</f>
        <v>0</v>
      </c>
      <c r="BK94" s="57" t="n">
        <f aca="false">IF(AM94="Sand",0,1000*AK94/(1+AU94)*IF(AQ94+BC94&lt;=BJ94,BI94*LOG10((AQ94+BC94)/AQ94),BI94*LOG10(BJ94/AQ94)+BH94*LOG10((AQ94+BC94)/BJ94)))*BF94</f>
        <v>0</v>
      </c>
      <c r="BL94" s="57" t="n">
        <f aca="false">IF(AM94="Sand",0,10^(INDEX(Input!$Q$51:$Q$57,MIN(MATCH(MIN(MAX(AR94,30),120),Input!$C$51:$C$57,1),6))+(MIN(MAX(AR94,30),120)-INDEX(Input!$C$51:$C$57,MIN(MATCH(MIN(MAX(AR94,30),120),Input!$C$51:$C$57,1),6)))/(INDEX(Input!$C$51:$C$57,MIN(MATCH(MIN(MAX(AR94,30),120),Input!$C$51:$C$57,1),6)+1)-INDEX(Input!$C$51:$C$57,MIN(MATCH(MIN(MAX(AR94,30),120),Input!$C$51:$C$57,1),6)))*(INDEX(Input!$Q$51:$Q$57,MIN(MATCH(MIN(MAX(AR94,30),120),Input!$C$51:$C$57,1),6)+1)-INDEX(Input!$Q$51:$Q$57,MIN(MATCH(MIN(MAX(AR94,30),120),Input!$C$51:$C$57,1),6)))))</f>
        <v>0</v>
      </c>
      <c r="BM94" s="57" t="n">
        <f aca="false">IF(OR(AM94="Sand",BF94=0),0,Input!$AA$41*(AK94/2)^2/(BL94*0.0001*31536000))</f>
        <v>0</v>
      </c>
      <c r="BN94" s="57" t="n">
        <f aca="false">MAX(0,MIN(AJ94,Input!$AA$20)-AI94)</f>
        <v>0</v>
      </c>
      <c r="BO94" s="57" t="n">
        <f aca="false">MAX(0,MIN(AJ94,Input!$AA$20)-MAX(AI94,$AA$23))</f>
        <v>0</v>
      </c>
      <c r="BP94" s="57" t="n">
        <f aca="false">BG94+BK94</f>
        <v>11.0851517849832</v>
      </c>
      <c r="BQ94" s="57"/>
    </row>
    <row r="95" customFormat="false" ht="14.25" hidden="false" customHeight="false" outlineLevel="0" collapsed="false">
      <c r="B95" s="7"/>
      <c r="C95" s="46" t="n">
        <v>13</v>
      </c>
      <c r="D95" s="46"/>
      <c r="E95" s="44" t="n">
        <f aca="false">AI95</f>
        <v>18</v>
      </c>
      <c r="F95" s="44"/>
      <c r="G95" s="44"/>
      <c r="H95" s="44" t="n">
        <f aca="false">AJ95</f>
        <v>19.5</v>
      </c>
      <c r="I95" s="44"/>
      <c r="J95" s="44"/>
      <c r="K95" s="41" t="str">
        <f aca="false">AM95</f>
        <v>Sand</v>
      </c>
      <c r="L95" s="41"/>
      <c r="M95" s="41"/>
      <c r="N95" s="46" t="n">
        <f aca="false">AN95</f>
        <v>42</v>
      </c>
      <c r="O95" s="46"/>
      <c r="P95" s="46"/>
      <c r="Q95" s="42" t="n">
        <f aca="false">AO95</f>
        <v>19.2</v>
      </c>
      <c r="R95" s="42"/>
      <c r="S95" s="42"/>
      <c r="T95" s="46" t="str">
        <f aca="false">IF(AR95="","-",AR95)</f>
        <v>-</v>
      </c>
      <c r="U95" s="46"/>
      <c r="V95" s="46" t="str">
        <f aca="false">IF(AT95="","-",AT95)</f>
        <v>-</v>
      </c>
      <c r="W95" s="46"/>
      <c r="X95" s="44" t="n">
        <f aca="false">AU95</f>
        <v>0.65</v>
      </c>
      <c r="Y95" s="44"/>
      <c r="Z95" s="55" t="n">
        <f aca="false">AV95</f>
        <v>0</v>
      </c>
      <c r="AA95" s="55"/>
      <c r="AB95" s="55"/>
      <c r="AC95" s="42" t="n">
        <f aca="false">AW95</f>
        <v>39.62855285416</v>
      </c>
      <c r="AD95" s="42"/>
      <c r="AE95" s="42"/>
      <c r="AF95" s="12"/>
      <c r="AI95" s="56" t="n">
        <v>18</v>
      </c>
      <c r="AJ95" s="56" t="n">
        <v>19.5</v>
      </c>
      <c r="AK95" s="57" t="n">
        <f aca="false">AJ95-AI95</f>
        <v>1.5</v>
      </c>
      <c r="AL95" s="57" t="n">
        <f aca="false">(AI95+AJ95)/2</f>
        <v>18.75</v>
      </c>
      <c r="AM95" s="56" t="s">
        <v>199</v>
      </c>
      <c r="AN95" s="56" t="n">
        <v>42</v>
      </c>
      <c r="AO95" s="58" t="n">
        <f aca="false">IF(AL95&gt;$AA$20,$AA$22,$AA$21)</f>
        <v>19.2</v>
      </c>
      <c r="AP95" s="57" t="n">
        <f aca="false">AP94+AO95*AK95</f>
        <v>361.8</v>
      </c>
      <c r="AQ95" s="57" t="n">
        <f aca="false">AP95-AO95*AK95/2-10*MAX(AL95-$AA$20,0)</f>
        <v>249.9</v>
      </c>
      <c r="AR95" s="56"/>
      <c r="AS95" s="56"/>
      <c r="AT95" s="57" t="str">
        <f aca="false">IF(AR95="","",AR95-AS95)</f>
        <v/>
      </c>
      <c r="AU95" s="56" t="n">
        <v>0.65</v>
      </c>
      <c r="AV95" s="57" t="n">
        <f aca="false">IF(AM95="Sand",0,Input!$AA$34*AN95)</f>
        <v>0</v>
      </c>
      <c r="AW95" s="57" t="n">
        <f aca="false">IF(AM95="Sand",27.1+0.3*MIN(Input!$AA$35*AN95,60)-0.00054*MIN(Input!$AA$35*AN95,60)^2,MIN(MAX(DEGREES(ASIN(0.8-0.094*LN(MAX(IF(AT95="",10,AT95),5)))),20),30))</f>
        <v>39.62855285416</v>
      </c>
      <c r="AX95" s="57" t="n">
        <f aca="false">IF(AM95="Sand",Input!$AA$36*Input!$AA$35*AN95,Input!$AA$37*AV95)</f>
        <v>45486</v>
      </c>
      <c r="AY95" s="59" t="n">
        <f aca="false">IF(AM95="Sand",Input!$AA$38,0.5)</f>
        <v>0.3</v>
      </c>
      <c r="AZ95" s="57" t="n">
        <f aca="false">Input!$AA$15/2/AL95</f>
        <v>1.97333333333333</v>
      </c>
      <c r="BA95" s="57" t="n">
        <f aca="false">Input!$AA$16/2/AL95</f>
        <v>5.38666666666667</v>
      </c>
      <c r="BB95" s="57" t="n">
        <f aca="false">1/(4*PI())*(2*AZ95*BA95*SQRT(AZ95^2+BA95^2+1)/(AZ95^2+BA95^2+1+AZ95^2*BA95^2)*(AZ95^2+BA95^2+2)/(AZ95^2+BA95^2+1)+ATAN2(AZ95^2+BA95^2+1-AZ95^2*BA95^2,2*AZ95*BA95*SQRT(AZ95^2+BA95^2+1)))</f>
        <v>0.239276198425064</v>
      </c>
      <c r="BC95" s="57" t="n">
        <f aca="false">4*Input!$AA$14*BB95</f>
        <v>130.166251943235</v>
      </c>
      <c r="BD95" s="57" t="n">
        <f aca="false">((Input!$AA$16/Input!$AA$15)*LN((1+SQRT((Input!$AA$16/Input!$AA$15)^2+1))*SQRT((Input!$AA$16/Input!$AA$15)^2+(AJ95/(Input!$AA$15/2))^2)/((Input!$AA$16/Input!$AA$15)*(1+SQRT((Input!$AA$16/Input!$AA$15)^2+(AJ95/(Input!$AA$15/2))^2+1))))+LN(((Input!$AA$16/Input!$AA$15)+SQRT((Input!$AA$16/Input!$AA$15)^2+1))*SQRT(1+(AJ95/(Input!$AA$15/2))^2)/((Input!$AA$16/Input!$AA$15)+SQRT((Input!$AA$16/Input!$AA$15)^2+(AJ95/(Input!$AA$15/2))^2+1))))/PI()</f>
        <v>0.0417706101655238</v>
      </c>
      <c r="BE95" s="57" t="n">
        <f aca="false">(AJ95/(Input!$AA$15/2))/(2*PI())*ATAN((Input!$AA$16/Input!$AA$15)/((AJ95/(Input!$AA$15/2))*SQRT((Input!$AA$16/Input!$AA$15)^2+(AJ95/(Input!$AA$15/2))^2+1)))</f>
        <v>0.0882746863320375</v>
      </c>
      <c r="BF95" s="57" t="n">
        <f aca="false">MAX(0,AJ95-MAX(AI95,$AA$23))/AK95*IF(BC95&gt;=Input!$AA$21*AQ95,1,0)</f>
        <v>1</v>
      </c>
      <c r="BG95" s="57" t="n">
        <f aca="false">4*Input!$AA$14*(Input!$AA$15/2)*(1-AY95^2)/AX95*((BD95-BD94)+(1-2*AY95)/(1-AY95)*(BE95-BE94))*1000*BF95</f>
        <v>3.19788370019766</v>
      </c>
      <c r="BH95" s="57" t="n">
        <f aca="false">IF(AM95="Sand",0,0.009*(AR95-10))</f>
        <v>0</v>
      </c>
      <c r="BI95" s="57" t="n">
        <f aca="false">BH95*Input!$AA$39</f>
        <v>0</v>
      </c>
      <c r="BJ95" s="57" t="n">
        <f aca="false">IF(AM95="Sand",0,MAX(AV95/Input!$AA$40,AQ95))</f>
        <v>0</v>
      </c>
      <c r="BK95" s="57" t="n">
        <f aca="false">IF(AM95="Sand",0,1000*AK95/(1+AU95)*IF(AQ95+BC95&lt;=BJ95,BI95*LOG10((AQ95+BC95)/AQ95),BI95*LOG10(BJ95/AQ95)+BH95*LOG10((AQ95+BC95)/BJ95)))*BF95</f>
        <v>0</v>
      </c>
      <c r="BL95" s="57" t="n">
        <f aca="false">IF(AM95="Sand",0,10^(INDEX(Input!$Q$51:$Q$57,MIN(MATCH(MIN(MAX(AR95,30),120),Input!$C$51:$C$57,1),6))+(MIN(MAX(AR95,30),120)-INDEX(Input!$C$51:$C$57,MIN(MATCH(MIN(MAX(AR95,30),120),Input!$C$51:$C$57,1),6)))/(INDEX(Input!$C$51:$C$57,MIN(MATCH(MIN(MAX(AR95,30),120),Input!$C$51:$C$57,1),6)+1)-INDEX(Input!$C$51:$C$57,MIN(MATCH(MIN(MAX(AR95,30),120),Input!$C$51:$C$57,1),6)))*(INDEX(Input!$Q$51:$Q$57,MIN(MATCH(MIN(MAX(AR95,30),120),Input!$C$51:$C$57,1),6)+1)-INDEX(Input!$Q$51:$Q$57,MIN(MATCH(MIN(MAX(AR95,30),120),Input!$C$51:$C$57,1),6)))))</f>
        <v>0</v>
      </c>
      <c r="BM95" s="57" t="n">
        <f aca="false">IF(OR(AM95="Sand",BF95=0),0,Input!$AA$41*(AK95/2)^2/(BL95*0.0001*31536000))</f>
        <v>0</v>
      </c>
      <c r="BN95" s="57" t="n">
        <f aca="false">MAX(0,MIN(AJ95,Input!$AA$20)-AI95)</f>
        <v>0</v>
      </c>
      <c r="BO95" s="57" t="n">
        <f aca="false">MAX(0,MIN(AJ95,Input!$AA$20)-MAX(AI95,$AA$23))</f>
        <v>0</v>
      </c>
      <c r="BP95" s="57" t="n">
        <f aca="false">BG95+BK95</f>
        <v>3.19788370019766</v>
      </c>
      <c r="BQ95" s="57"/>
    </row>
    <row r="96" customFormat="false" ht="14.25" hidden="false" customHeight="false" outlineLevel="0" collapsed="false">
      <c r="B96" s="7"/>
      <c r="C96" s="46" t="n">
        <v>14</v>
      </c>
      <c r="D96" s="46"/>
      <c r="E96" s="44" t="n">
        <f aca="false">AI96</f>
        <v>19.5</v>
      </c>
      <c r="F96" s="44"/>
      <c r="G96" s="44"/>
      <c r="H96" s="44" t="n">
        <f aca="false">AJ96</f>
        <v>21</v>
      </c>
      <c r="I96" s="44"/>
      <c r="J96" s="44"/>
      <c r="K96" s="41" t="str">
        <f aca="false">AM96</f>
        <v>Sand</v>
      </c>
      <c r="L96" s="41"/>
      <c r="M96" s="41"/>
      <c r="N96" s="46" t="n">
        <f aca="false">AN96</f>
        <v>49</v>
      </c>
      <c r="O96" s="46"/>
      <c r="P96" s="46"/>
      <c r="Q96" s="42" t="n">
        <f aca="false">AO96</f>
        <v>19.2</v>
      </c>
      <c r="R96" s="42"/>
      <c r="S96" s="42"/>
      <c r="T96" s="46" t="str">
        <f aca="false">IF(AR96="","-",AR96)</f>
        <v>-</v>
      </c>
      <c r="U96" s="46"/>
      <c r="V96" s="46" t="str">
        <f aca="false">IF(AT96="","-",AT96)</f>
        <v>-</v>
      </c>
      <c r="W96" s="46"/>
      <c r="X96" s="44" t="n">
        <f aca="false">AU96</f>
        <v>0.848</v>
      </c>
      <c r="Y96" s="44"/>
      <c r="Z96" s="55" t="n">
        <f aca="false">AV96</f>
        <v>0</v>
      </c>
      <c r="AA96" s="55"/>
      <c r="AB96" s="55"/>
      <c r="AC96" s="42" t="n">
        <f aca="false">AW96</f>
        <v>41.49940249594</v>
      </c>
      <c r="AD96" s="42"/>
      <c r="AE96" s="42"/>
      <c r="AF96" s="12"/>
      <c r="AI96" s="56" t="n">
        <v>19.5</v>
      </c>
      <c r="AJ96" s="56" t="n">
        <v>21</v>
      </c>
      <c r="AK96" s="57" t="n">
        <f aca="false">AJ96-AI96</f>
        <v>1.5</v>
      </c>
      <c r="AL96" s="57" t="n">
        <f aca="false">(AI96+AJ96)/2</f>
        <v>20.25</v>
      </c>
      <c r="AM96" s="56" t="s">
        <v>199</v>
      </c>
      <c r="AN96" s="56" t="n">
        <v>49</v>
      </c>
      <c r="AO96" s="58" t="n">
        <f aca="false">IF(AL96&gt;$AA$20,$AA$22,$AA$21)</f>
        <v>19.2</v>
      </c>
      <c r="AP96" s="57" t="n">
        <f aca="false">AP95+AO96*AK96</f>
        <v>390.6</v>
      </c>
      <c r="AQ96" s="57" t="n">
        <f aca="false">AP96-AO96*AK96/2-10*MAX(AL96-$AA$20,0)</f>
        <v>263.7</v>
      </c>
      <c r="AR96" s="56"/>
      <c r="AS96" s="56"/>
      <c r="AT96" s="57" t="str">
        <f aca="false">IF(AR96="","",AR96-AS96)</f>
        <v/>
      </c>
      <c r="AU96" s="56" t="n">
        <v>0.848</v>
      </c>
      <c r="AV96" s="57" t="n">
        <f aca="false">IF(AM96="Sand",0,Input!$AA$34*AN96)</f>
        <v>0</v>
      </c>
      <c r="AW96" s="57" t="n">
        <f aca="false">IF(AM96="Sand",27.1+0.3*MIN(Input!$AA$35*AN96,60)-0.00054*MIN(Input!$AA$35*AN96,60)^2,MIN(MAX(DEGREES(ASIN(0.8-0.094*LN(MAX(IF(AT96="",10,AT96),5)))),20),30))</f>
        <v>41.49940249594</v>
      </c>
      <c r="AX96" s="57" t="n">
        <f aca="false">IF(AM96="Sand",Input!$AA$36*Input!$AA$35*AN96,Input!$AA$37*AV96)</f>
        <v>53067</v>
      </c>
      <c r="AY96" s="59" t="n">
        <f aca="false">IF(AM96="Sand",Input!$AA$38,0.5)</f>
        <v>0.3</v>
      </c>
      <c r="AZ96" s="57" t="n">
        <f aca="false">Input!$AA$15/2/AL96</f>
        <v>1.82716049382716</v>
      </c>
      <c r="BA96" s="57" t="n">
        <f aca="false">Input!$AA$16/2/AL96</f>
        <v>4.98765432098765</v>
      </c>
      <c r="BB96" s="57" t="n">
        <f aca="false">1/(4*PI())*(2*AZ96*BA96*SQRT(AZ96^2+BA96^2+1)/(AZ96^2+BA96^2+1+AZ96^2*BA96^2)*(AZ96^2+BA96^2+2)/(AZ96^2+BA96^2+1)+ATAN2(AZ96^2+BA96^2+1-AZ96^2*BA96^2,2*AZ96*BA96*SQRT(AZ96^2+BA96^2+1)))</f>
        <v>0.237020068220603</v>
      </c>
      <c r="BC96" s="57" t="n">
        <f aca="false">4*Input!$AA$14*BB96</f>
        <v>128.938917112008</v>
      </c>
      <c r="BD96" s="57" t="n">
        <f aca="false">((Input!$AA$16/Input!$AA$15)*LN((1+SQRT((Input!$AA$16/Input!$AA$15)^2+1))*SQRT((Input!$AA$16/Input!$AA$15)^2+(AJ96/(Input!$AA$15/2))^2)/((Input!$AA$16/Input!$AA$15)*(1+SQRT((Input!$AA$16/Input!$AA$15)^2+(AJ96/(Input!$AA$15/2))^2+1))))+LN(((Input!$AA$16/Input!$AA$15)+SQRT((Input!$AA$16/Input!$AA$15)^2+1))*SQRT(1+(AJ96/(Input!$AA$15/2))^2)/((Input!$AA$16/Input!$AA$15)+SQRT((Input!$AA$16/Input!$AA$15)^2+(AJ96/(Input!$AA$15/2))^2+1))))/PI()</f>
        <v>0.0476251420550853</v>
      </c>
      <c r="BE96" s="57" t="n">
        <f aca="false">(AJ96/(Input!$AA$15/2))/(2*PI())*ATAN((Input!$AA$16/Input!$AA$15)/((AJ96/(Input!$AA$15/2))*SQRT((Input!$AA$16/Input!$AA$15)^2+(AJ96/(Input!$AA$15/2))^2+1)))</f>
        <v>0.0920287526961581</v>
      </c>
      <c r="BF96" s="57" t="n">
        <f aca="false">MAX(0,AJ96-MAX(AI96,$AA$23))/AK96*IF(BC96&gt;=Input!$AA$21*AQ96,1,0)</f>
        <v>1</v>
      </c>
      <c r="BG96" s="57" t="n">
        <f aca="false">4*Input!$AA$14*(Input!$AA$15/2)*(1-AY96^2)/AX96*((BD96-BD95)+(1-2*AY96)/(1-AY96)*(BE96-BE95))*1000*BF96</f>
        <v>2.76116187288831</v>
      </c>
      <c r="BH96" s="57" t="n">
        <f aca="false">IF(AM96="Sand",0,0.009*(AR96-10))</f>
        <v>0</v>
      </c>
      <c r="BI96" s="57" t="n">
        <f aca="false">BH96*Input!$AA$39</f>
        <v>0</v>
      </c>
      <c r="BJ96" s="57" t="n">
        <f aca="false">IF(AM96="Sand",0,MAX(AV96/Input!$AA$40,AQ96))</f>
        <v>0</v>
      </c>
      <c r="BK96" s="57" t="n">
        <f aca="false">IF(AM96="Sand",0,1000*AK96/(1+AU96)*IF(AQ96+BC96&lt;=BJ96,BI96*LOG10((AQ96+BC96)/AQ96),BI96*LOG10(BJ96/AQ96)+BH96*LOG10((AQ96+BC96)/BJ96)))*BF96</f>
        <v>0</v>
      </c>
      <c r="BL96" s="57" t="n">
        <f aca="false">IF(AM96="Sand",0,10^(INDEX(Input!$Q$51:$Q$57,MIN(MATCH(MIN(MAX(AR96,30),120),Input!$C$51:$C$57,1),6))+(MIN(MAX(AR96,30),120)-INDEX(Input!$C$51:$C$57,MIN(MATCH(MIN(MAX(AR96,30),120),Input!$C$51:$C$57,1),6)))/(INDEX(Input!$C$51:$C$57,MIN(MATCH(MIN(MAX(AR96,30),120),Input!$C$51:$C$57,1),6)+1)-INDEX(Input!$C$51:$C$57,MIN(MATCH(MIN(MAX(AR96,30),120),Input!$C$51:$C$57,1),6)))*(INDEX(Input!$Q$51:$Q$57,MIN(MATCH(MIN(MAX(AR96,30),120),Input!$C$51:$C$57,1),6)+1)-INDEX(Input!$Q$51:$Q$57,MIN(MATCH(MIN(MAX(AR96,30),120),Input!$C$51:$C$57,1),6)))))</f>
        <v>0</v>
      </c>
      <c r="BM96" s="57" t="n">
        <f aca="false">IF(OR(AM96="Sand",BF96=0),0,Input!$AA$41*(AK96/2)^2/(BL96*0.0001*31536000))</f>
        <v>0</v>
      </c>
      <c r="BN96" s="57" t="n">
        <f aca="false">MAX(0,MIN(AJ96,Input!$AA$20)-AI96)</f>
        <v>0</v>
      </c>
      <c r="BO96" s="57" t="n">
        <f aca="false">MAX(0,MIN(AJ96,Input!$AA$20)-MAX(AI96,$AA$23))</f>
        <v>0</v>
      </c>
      <c r="BP96" s="57" t="n">
        <f aca="false">BG96+BK96</f>
        <v>2.76116187288831</v>
      </c>
      <c r="BQ96" s="57"/>
    </row>
    <row r="97" customFormat="false" ht="14.25" hidden="false" customHeight="false" outlineLevel="0" collapsed="false">
      <c r="B97" s="7"/>
      <c r="C97" s="46" t="n">
        <v>15</v>
      </c>
      <c r="D97" s="46"/>
      <c r="E97" s="44" t="n">
        <f aca="false">AI97</f>
        <v>21</v>
      </c>
      <c r="F97" s="44"/>
      <c r="G97" s="44"/>
      <c r="H97" s="44" t="n">
        <f aca="false">AJ97</f>
        <v>22.5</v>
      </c>
      <c r="I97" s="44"/>
      <c r="J97" s="44"/>
      <c r="K97" s="41" t="str">
        <f aca="false">AM97</f>
        <v>Sand</v>
      </c>
      <c r="L97" s="41"/>
      <c r="M97" s="41"/>
      <c r="N97" s="46" t="n">
        <f aca="false">AN97</f>
        <v>49</v>
      </c>
      <c r="O97" s="46"/>
      <c r="P97" s="46"/>
      <c r="Q97" s="42" t="n">
        <f aca="false">AO97</f>
        <v>19.2</v>
      </c>
      <c r="R97" s="42"/>
      <c r="S97" s="42"/>
      <c r="T97" s="46" t="str">
        <f aca="false">IF(AR97="","-",AR97)</f>
        <v>-</v>
      </c>
      <c r="U97" s="46"/>
      <c r="V97" s="46" t="str">
        <f aca="false">IF(AT97="","-",AT97)</f>
        <v>-</v>
      </c>
      <c r="W97" s="46"/>
      <c r="X97" s="44" t="n">
        <f aca="false">AU97</f>
        <v>0.65</v>
      </c>
      <c r="Y97" s="44"/>
      <c r="Z97" s="55" t="n">
        <f aca="false">AV97</f>
        <v>0</v>
      </c>
      <c r="AA97" s="55"/>
      <c r="AB97" s="55"/>
      <c r="AC97" s="42" t="n">
        <f aca="false">AW97</f>
        <v>41.49940249594</v>
      </c>
      <c r="AD97" s="42"/>
      <c r="AE97" s="42"/>
      <c r="AF97" s="12"/>
      <c r="AI97" s="56" t="n">
        <v>21</v>
      </c>
      <c r="AJ97" s="56" t="n">
        <v>22.5</v>
      </c>
      <c r="AK97" s="57" t="n">
        <f aca="false">AJ97-AI97</f>
        <v>1.5</v>
      </c>
      <c r="AL97" s="57" t="n">
        <f aca="false">(AI97+AJ97)/2</f>
        <v>21.75</v>
      </c>
      <c r="AM97" s="56" t="s">
        <v>199</v>
      </c>
      <c r="AN97" s="56" t="n">
        <v>49</v>
      </c>
      <c r="AO97" s="58" t="n">
        <f aca="false">IF(AL97&gt;$AA$20,$AA$22,$AA$21)</f>
        <v>19.2</v>
      </c>
      <c r="AP97" s="57" t="n">
        <f aca="false">AP96+AO97*AK97</f>
        <v>419.4</v>
      </c>
      <c r="AQ97" s="57" t="n">
        <f aca="false">AP97-AO97*AK97/2-10*MAX(AL97-$AA$20,0)</f>
        <v>277.5</v>
      </c>
      <c r="AR97" s="56"/>
      <c r="AS97" s="56"/>
      <c r="AT97" s="57" t="str">
        <f aca="false">IF(AR97="","",AR97-AS97)</f>
        <v/>
      </c>
      <c r="AU97" s="56" t="n">
        <v>0.65</v>
      </c>
      <c r="AV97" s="57" t="n">
        <f aca="false">IF(AM97="Sand",0,Input!$AA$34*AN97)</f>
        <v>0</v>
      </c>
      <c r="AW97" s="57" t="n">
        <f aca="false">IF(AM97="Sand",27.1+0.3*MIN(Input!$AA$35*AN97,60)-0.00054*MIN(Input!$AA$35*AN97,60)^2,MIN(MAX(DEGREES(ASIN(0.8-0.094*LN(MAX(IF(AT97="",10,AT97),5)))),20),30))</f>
        <v>41.49940249594</v>
      </c>
      <c r="AX97" s="57" t="n">
        <f aca="false">IF(AM97="Sand",Input!$AA$36*Input!$AA$35*AN97,Input!$AA$37*AV97)</f>
        <v>53067</v>
      </c>
      <c r="AY97" s="59" t="n">
        <f aca="false">IF(AM97="Sand",Input!$AA$38,0.5)</f>
        <v>0.3</v>
      </c>
      <c r="AZ97" s="57" t="n">
        <f aca="false">Input!$AA$15/2/AL97</f>
        <v>1.70114942528736</v>
      </c>
      <c r="BA97" s="57" t="n">
        <f aca="false">Input!$AA$16/2/AL97</f>
        <v>4.64367816091954</v>
      </c>
      <c r="BB97" s="57" t="n">
        <f aca="false">1/(4*PI())*(2*AZ97*BA97*SQRT(AZ97^2+BA97^2+1)/(AZ97^2+BA97^2+1+AZ97^2*BA97^2)*(AZ97^2+BA97^2+2)/(AZ97^2+BA97^2+1)+ATAN2(AZ97^2+BA97^2+1-AZ97^2*BA97^2,2*AZ97*BA97*SQRT(AZ97^2+BA97^2+1)))</f>
        <v>0.234572598682726</v>
      </c>
      <c r="BC97" s="57" t="n">
        <f aca="false">4*Input!$AA$14*BB97</f>
        <v>127.607493683403</v>
      </c>
      <c r="BD97" s="57" t="n">
        <f aca="false">((Input!$AA$16/Input!$AA$15)*LN((1+SQRT((Input!$AA$16/Input!$AA$15)^2+1))*SQRT((Input!$AA$16/Input!$AA$15)^2+(AJ97/(Input!$AA$15/2))^2)/((Input!$AA$16/Input!$AA$15)*(1+SQRT((Input!$AA$16/Input!$AA$15)^2+(AJ97/(Input!$AA$15/2))^2+1))))+LN(((Input!$AA$16/Input!$AA$15)+SQRT((Input!$AA$16/Input!$AA$15)^2+1))*SQRT(1+(AJ97/(Input!$AA$15/2))^2)/((Input!$AA$16/Input!$AA$15)+SQRT((Input!$AA$16/Input!$AA$15)^2+(AJ97/(Input!$AA$15/2))^2+1))))/PI()</f>
        <v>0.0537079639877145</v>
      </c>
      <c r="BE97" s="57" t="n">
        <f aca="false">(AJ97/(Input!$AA$15/2))/(2*PI())*ATAN((Input!$AA$16/Input!$AA$15)/((AJ97/(Input!$AA$15/2))*SQRT((Input!$AA$16/Input!$AA$15)^2+(AJ97/(Input!$AA$15/2))^2+1)))</f>
        <v>0.0954553363186186</v>
      </c>
      <c r="BF97" s="57" t="n">
        <f aca="false">MAX(0,AJ97-MAX(AI97,$AA$23))/AK97*IF(BC97&gt;=Input!$AA$21*AQ97,1,0)</f>
        <v>1</v>
      </c>
      <c r="BG97" s="57" t="n">
        <f aca="false">4*Input!$AA$14*(Input!$AA$15/2)*(1-AY97^2)/AX97*((BD97-BD96)+(1-2*AY97)/(1-AY97)*(BE97-BE96))*1000*BF97</f>
        <v>2.77536754201417</v>
      </c>
      <c r="BH97" s="57" t="n">
        <f aca="false">IF(AM97="Sand",0,0.009*(AR97-10))</f>
        <v>0</v>
      </c>
      <c r="BI97" s="57" t="n">
        <f aca="false">BH97*Input!$AA$39</f>
        <v>0</v>
      </c>
      <c r="BJ97" s="57" t="n">
        <f aca="false">IF(AM97="Sand",0,MAX(AV97/Input!$AA$40,AQ97))</f>
        <v>0</v>
      </c>
      <c r="BK97" s="57" t="n">
        <f aca="false">IF(AM97="Sand",0,1000*AK97/(1+AU97)*IF(AQ97+BC97&lt;=BJ97,BI97*LOG10((AQ97+BC97)/AQ97),BI97*LOG10(BJ97/AQ97)+BH97*LOG10((AQ97+BC97)/BJ97)))*BF97</f>
        <v>0</v>
      </c>
      <c r="BL97" s="57" t="n">
        <f aca="false">IF(AM97="Sand",0,10^(INDEX(Input!$Q$51:$Q$57,MIN(MATCH(MIN(MAX(AR97,30),120),Input!$C$51:$C$57,1),6))+(MIN(MAX(AR97,30),120)-INDEX(Input!$C$51:$C$57,MIN(MATCH(MIN(MAX(AR97,30),120),Input!$C$51:$C$57,1),6)))/(INDEX(Input!$C$51:$C$57,MIN(MATCH(MIN(MAX(AR97,30),120),Input!$C$51:$C$57,1),6)+1)-INDEX(Input!$C$51:$C$57,MIN(MATCH(MIN(MAX(AR97,30),120),Input!$C$51:$C$57,1),6)))*(INDEX(Input!$Q$51:$Q$57,MIN(MATCH(MIN(MAX(AR97,30),120),Input!$C$51:$C$57,1),6)+1)-INDEX(Input!$Q$51:$Q$57,MIN(MATCH(MIN(MAX(AR97,30),120),Input!$C$51:$C$57,1),6)))))</f>
        <v>0</v>
      </c>
      <c r="BM97" s="57" t="n">
        <f aca="false">IF(OR(AM97="Sand",BF97=0),0,Input!$AA$41*(AK97/2)^2/(BL97*0.0001*31536000))</f>
        <v>0</v>
      </c>
      <c r="BN97" s="57" t="n">
        <f aca="false">MAX(0,MIN(AJ97,Input!$AA$20)-AI97)</f>
        <v>0</v>
      </c>
      <c r="BO97" s="57" t="n">
        <f aca="false">MAX(0,MIN(AJ97,Input!$AA$20)-MAX(AI97,$AA$23))</f>
        <v>0</v>
      </c>
      <c r="BP97" s="57" t="n">
        <f aca="false">BG97+BK97</f>
        <v>2.77536754201417</v>
      </c>
      <c r="BQ97" s="57"/>
    </row>
    <row r="98" customFormat="false" ht="14.25" hidden="false" customHeight="false" outlineLevel="0" collapsed="false">
      <c r="B98" s="7"/>
      <c r="C98" s="46" t="n">
        <v>16</v>
      </c>
      <c r="D98" s="46"/>
      <c r="E98" s="44" t="n">
        <f aca="false">AI98</f>
        <v>22.5</v>
      </c>
      <c r="F98" s="44"/>
      <c r="G98" s="44"/>
      <c r="H98" s="44" t="n">
        <f aca="false">AJ98</f>
        <v>24</v>
      </c>
      <c r="I98" s="44"/>
      <c r="J98" s="44"/>
      <c r="K98" s="41" t="str">
        <f aca="false">AM98</f>
        <v>Clay</v>
      </c>
      <c r="L98" s="41"/>
      <c r="M98" s="41"/>
      <c r="N98" s="46" t="n">
        <f aca="false">AN98</f>
        <v>44</v>
      </c>
      <c r="O98" s="46"/>
      <c r="P98" s="46"/>
      <c r="Q98" s="42" t="n">
        <f aca="false">AO98</f>
        <v>19.2</v>
      </c>
      <c r="R98" s="42"/>
      <c r="S98" s="42"/>
      <c r="T98" s="46" t="n">
        <f aca="false">IF(AR98="","-",AR98)</f>
        <v>31.31</v>
      </c>
      <c r="U98" s="46"/>
      <c r="V98" s="46" t="n">
        <f aca="false">IF(AT98="","-",AT98)</f>
        <v>11.07</v>
      </c>
      <c r="W98" s="46"/>
      <c r="X98" s="44" t="n">
        <f aca="false">AU98</f>
        <v>0.662</v>
      </c>
      <c r="Y98" s="44"/>
      <c r="Z98" s="55" t="n">
        <f aca="false">AV98</f>
        <v>220</v>
      </c>
      <c r="AA98" s="55"/>
      <c r="AB98" s="55"/>
      <c r="AC98" s="42" t="n">
        <f aca="false">AW98</f>
        <v>30</v>
      </c>
      <c r="AD98" s="42"/>
      <c r="AE98" s="42"/>
      <c r="AF98" s="12"/>
      <c r="AI98" s="56" t="n">
        <v>22.5</v>
      </c>
      <c r="AJ98" s="56" t="n">
        <v>24</v>
      </c>
      <c r="AK98" s="57" t="n">
        <f aca="false">AJ98-AI98</f>
        <v>1.5</v>
      </c>
      <c r="AL98" s="57" t="n">
        <f aca="false">(AI98+AJ98)/2</f>
        <v>23.25</v>
      </c>
      <c r="AM98" s="56" t="s">
        <v>196</v>
      </c>
      <c r="AN98" s="56" t="n">
        <v>44</v>
      </c>
      <c r="AO98" s="58" t="n">
        <f aca="false">IF(AL98&gt;$AA$20,$AA$22,$AA$21)</f>
        <v>19.2</v>
      </c>
      <c r="AP98" s="57" t="n">
        <f aca="false">AP97+AO98*AK98</f>
        <v>448.2</v>
      </c>
      <c r="AQ98" s="57" t="n">
        <f aca="false">AP98-AO98*AK98/2-10*MAX(AL98-$AA$20,0)</f>
        <v>291.3</v>
      </c>
      <c r="AR98" s="56" t="n">
        <v>31.31</v>
      </c>
      <c r="AS98" s="56" t="n">
        <v>20.24</v>
      </c>
      <c r="AT98" s="57" t="n">
        <f aca="false">IF(AR98="","",AR98-AS98)</f>
        <v>11.07</v>
      </c>
      <c r="AU98" s="56" t="n">
        <v>0.662</v>
      </c>
      <c r="AV98" s="57" t="n">
        <f aca="false">IF(AM98="Sand",0,Input!$AA$34*AN98)</f>
        <v>220</v>
      </c>
      <c r="AW98" s="57" t="n">
        <f aca="false">IF(AM98="Sand",27.1+0.3*MIN(Input!$AA$35*AN98,60)-0.00054*MIN(Input!$AA$35*AN98,60)^2,MIN(MAX(DEGREES(ASIN(0.8-0.094*LN(MAX(IF(AT98="",10,AT98),5)))),20),30))</f>
        <v>30</v>
      </c>
      <c r="AX98" s="57" t="n">
        <f aca="false">IF(AM98="Sand",Input!$AA$36*Input!$AA$35*AN98,Input!$AA$37*AV98)</f>
        <v>110000</v>
      </c>
      <c r="AY98" s="57" t="n">
        <f aca="false">IF(AM98="Sand",Input!$AA$38,0.5)</f>
        <v>0.5</v>
      </c>
      <c r="AZ98" s="57" t="n">
        <f aca="false">Input!$AA$15/2/AL98</f>
        <v>1.59139784946237</v>
      </c>
      <c r="BA98" s="57" t="n">
        <f aca="false">Input!$AA$16/2/AL98</f>
        <v>4.34408602150538</v>
      </c>
      <c r="BB98" s="57" t="n">
        <f aca="false">1/(4*PI())*(2*AZ98*BA98*SQRT(AZ98^2+BA98^2+1)/(AZ98^2+BA98^2+1+AZ98^2*BA98^2)*(AZ98^2+BA98^2+2)/(AZ98^2+BA98^2+1)+ATAN2(AZ98^2+BA98^2+1-AZ98^2*BA98^2,2*AZ98*BA98*SQRT(AZ98^2+BA98^2+1)))</f>
        <v>0.231950929767946</v>
      </c>
      <c r="BC98" s="57" t="n">
        <f aca="false">4*Input!$AA$14*BB98</f>
        <v>126.181305793762</v>
      </c>
      <c r="BD98" s="57" t="n">
        <f aca="false">((Input!$AA$16/Input!$AA$15)*LN((1+SQRT((Input!$AA$16/Input!$AA$15)^2+1))*SQRT((Input!$AA$16/Input!$AA$15)^2+(AJ98/(Input!$AA$15/2))^2)/((Input!$AA$16/Input!$AA$15)*(1+SQRT((Input!$AA$16/Input!$AA$15)^2+(AJ98/(Input!$AA$15/2))^2+1))))+LN(((Input!$AA$16/Input!$AA$15)+SQRT((Input!$AA$16/Input!$AA$15)^2+1))*SQRT(1+(AJ98/(Input!$AA$15/2))^2)/((Input!$AA$16/Input!$AA$15)+SQRT((Input!$AA$16/Input!$AA$15)^2+(AJ98/(Input!$AA$15/2))^2+1))))/PI()</f>
        <v>0.0599907785392672</v>
      </c>
      <c r="BE98" s="57" t="n">
        <f aca="false">(AJ98/(Input!$AA$15/2))/(2*PI())*ATAN((Input!$AA$16/Input!$AA$15)/((AJ98/(Input!$AA$15/2))*SQRT((Input!$AA$16/Input!$AA$15)^2+(AJ98/(Input!$AA$15/2))^2+1)))</f>
        <v>0.0985756744132035</v>
      </c>
      <c r="BF98" s="57" t="n">
        <f aca="false">MAX(0,AJ98-MAX(AI98,$AA$23))/AK98*IF(BC98&gt;=Input!$AA$21*AQ98,1,0)</f>
        <v>1</v>
      </c>
      <c r="BG98" s="57" t="n">
        <f aca="false">4*Input!$AA$14*(Input!$AA$15/2)*(1-AY98^2)/AX98*((BD98-BD97)+(1-2*AY98)/(1-AY98)*(BE98-BE97))*1000*BF98</f>
        <v>0.862230622456717</v>
      </c>
      <c r="BH98" s="57" t="n">
        <f aca="false">IF(AM98="Sand",0,0.009*(AR98-10))</f>
        <v>0.19179</v>
      </c>
      <c r="BI98" s="57" t="n">
        <f aca="false">BH98*Input!$AA$39</f>
        <v>0.038358</v>
      </c>
      <c r="BJ98" s="57" t="n">
        <f aca="false">IF(AM98="Sand",0,MAX(AV98/Input!$AA$40,AQ98))</f>
        <v>1000</v>
      </c>
      <c r="BK98" s="57" t="n">
        <f aca="false">IF(AM98="Sand",0,1000*AK98/(1+AU98)*IF(AQ98+BC98&lt;=BJ98,BI98*LOG10((AQ98+BC98)/AQ98),BI98*LOG10(BJ98/AQ98)+BH98*LOG10((AQ98+BC98)/BJ98)))*BF98</f>
        <v>5.41085109146116</v>
      </c>
      <c r="BL98" s="57" t="n">
        <f aca="false">IF(AM98="Sand",0,10^(INDEX(Input!$Q$51:$Q$57,MIN(MATCH(MIN(MAX(AR98,30),120),Input!$C$51:$C$57,1),6))+(MIN(MAX(AR98,30),120)-INDEX(Input!$C$51:$C$57,MIN(MATCH(MIN(MAX(AR98,30),120),Input!$C$51:$C$57,1),6)))/(INDEX(Input!$C$51:$C$57,MIN(MATCH(MIN(MAX(AR98,30),120),Input!$C$51:$C$57,1),6)+1)-INDEX(Input!$C$51:$C$57,MIN(MATCH(MIN(MAX(AR98,30),120),Input!$C$51:$C$57,1),6)))*(INDEX(Input!$Q$51:$Q$57,MIN(MATCH(MIN(MAX(AR98,30),120),Input!$C$51:$C$57,1),6)+1)-INDEX(Input!$Q$51:$Q$57,MIN(MATCH(MIN(MAX(AR98,30),120),Input!$C$51:$C$57,1),6)))))</f>
        <v>0.00273959475003598</v>
      </c>
      <c r="BM98" s="57" t="n">
        <f aca="false">IF(OR(AM98="Sand",BF98=0),0,Input!$AA$41*(AK98/2)^2/(BL98*0.0001*31536000))</f>
        <v>0.055210978835673</v>
      </c>
      <c r="BN98" s="57" t="n">
        <f aca="false">MAX(0,MIN(AJ98,Input!$AA$20)-AI98)</f>
        <v>0</v>
      </c>
      <c r="BO98" s="57" t="n">
        <f aca="false">MAX(0,MIN(AJ98,Input!$AA$20)-MAX(AI98,$AA$23))</f>
        <v>0</v>
      </c>
      <c r="BP98" s="57" t="n">
        <f aca="false">BG98+BK98</f>
        <v>6.27308171391788</v>
      </c>
      <c r="BQ98" s="57"/>
    </row>
    <row r="99" customFormat="false" ht="14.25" hidden="false" customHeight="false" outlineLevel="0" collapsed="false">
      <c r="B99" s="7"/>
      <c r="C99" s="46" t="n">
        <v>17</v>
      </c>
      <c r="D99" s="46"/>
      <c r="E99" s="44" t="n">
        <f aca="false">AI99</f>
        <v>24</v>
      </c>
      <c r="F99" s="44"/>
      <c r="G99" s="44"/>
      <c r="H99" s="44" t="n">
        <f aca="false">AJ99</f>
        <v>25.5</v>
      </c>
      <c r="I99" s="44"/>
      <c r="J99" s="44"/>
      <c r="K99" s="41" t="str">
        <f aca="false">AM99</f>
        <v>Clay</v>
      </c>
      <c r="L99" s="41"/>
      <c r="M99" s="41"/>
      <c r="N99" s="46" t="n">
        <f aca="false">AN99</f>
        <v>20</v>
      </c>
      <c r="O99" s="46"/>
      <c r="P99" s="46"/>
      <c r="Q99" s="42" t="n">
        <f aca="false">AO99</f>
        <v>19.2</v>
      </c>
      <c r="R99" s="42"/>
      <c r="S99" s="42"/>
      <c r="T99" s="46" t="n">
        <f aca="false">IF(AR99="","-",AR99)</f>
        <v>34.63</v>
      </c>
      <c r="U99" s="46"/>
      <c r="V99" s="46" t="n">
        <f aca="false">IF(AT99="","-",AT99)</f>
        <v>10.51</v>
      </c>
      <c r="W99" s="46"/>
      <c r="X99" s="44" t="n">
        <f aca="false">AU99</f>
        <v>0.775</v>
      </c>
      <c r="Y99" s="44"/>
      <c r="Z99" s="55" t="n">
        <f aca="false">AV99</f>
        <v>100</v>
      </c>
      <c r="AA99" s="55"/>
      <c r="AB99" s="55"/>
      <c r="AC99" s="42" t="n">
        <f aca="false">AW99</f>
        <v>30</v>
      </c>
      <c r="AD99" s="42"/>
      <c r="AE99" s="42"/>
      <c r="AF99" s="12"/>
      <c r="AI99" s="56" t="n">
        <v>24</v>
      </c>
      <c r="AJ99" s="56" t="n">
        <v>25.5</v>
      </c>
      <c r="AK99" s="57" t="n">
        <f aca="false">AJ99-AI99</f>
        <v>1.5</v>
      </c>
      <c r="AL99" s="57" t="n">
        <f aca="false">(AI99+AJ99)/2</f>
        <v>24.75</v>
      </c>
      <c r="AM99" s="56" t="s">
        <v>196</v>
      </c>
      <c r="AN99" s="56" t="n">
        <v>20</v>
      </c>
      <c r="AO99" s="58" t="n">
        <f aca="false">IF(AL99&gt;$AA$20,$AA$22,$AA$21)</f>
        <v>19.2</v>
      </c>
      <c r="AP99" s="57" t="n">
        <f aca="false">AP98+AO99*AK99</f>
        <v>477</v>
      </c>
      <c r="AQ99" s="57" t="n">
        <f aca="false">AP99-AO99*AK99/2-10*MAX(AL99-$AA$20,0)</f>
        <v>305.1</v>
      </c>
      <c r="AR99" s="56" t="n">
        <v>34.63</v>
      </c>
      <c r="AS99" s="56" t="n">
        <v>24.12</v>
      </c>
      <c r="AT99" s="57" t="n">
        <f aca="false">IF(AR99="","",AR99-AS99)</f>
        <v>10.51</v>
      </c>
      <c r="AU99" s="56" t="n">
        <v>0.775</v>
      </c>
      <c r="AV99" s="57" t="n">
        <f aca="false">IF(AM99="Sand",0,Input!$AA$34*AN99)</f>
        <v>100</v>
      </c>
      <c r="AW99" s="57" t="n">
        <f aca="false">IF(AM99="Sand",27.1+0.3*MIN(Input!$AA$35*AN99,60)-0.00054*MIN(Input!$AA$35*AN99,60)^2,MIN(MAX(DEGREES(ASIN(0.8-0.094*LN(MAX(IF(AT99="",10,AT99),5)))),20),30))</f>
        <v>30</v>
      </c>
      <c r="AX99" s="57" t="n">
        <f aca="false">IF(AM99="Sand",Input!$AA$36*Input!$AA$35*AN99,Input!$AA$37*AV99)</f>
        <v>50000</v>
      </c>
      <c r="AY99" s="57" t="n">
        <f aca="false">IF(AM99="Sand",Input!$AA$38,0.5)</f>
        <v>0.5</v>
      </c>
      <c r="AZ99" s="57" t="n">
        <f aca="false">Input!$AA$15/2/AL99</f>
        <v>1.4949494949495</v>
      </c>
      <c r="BA99" s="57" t="n">
        <f aca="false">Input!$AA$16/2/AL99</f>
        <v>4.08080808080808</v>
      </c>
      <c r="BB99" s="57" t="n">
        <f aca="false">1/(4*PI())*(2*AZ99*BA99*SQRT(AZ99^2+BA99^2+1)/(AZ99^2+BA99^2+1+AZ99^2*BA99^2)*(AZ99^2+BA99^2+2)/(AZ99^2+BA99^2+1)+ATAN2(AZ99^2+BA99^2+1-AZ99^2*BA99^2,2*AZ99*BA99*SQRT(AZ99^2+BA99^2+1)))</f>
        <v>0.229173348674597</v>
      </c>
      <c r="BC99" s="57" t="n">
        <f aca="false">4*Input!$AA$14*BB99</f>
        <v>124.670301678981</v>
      </c>
      <c r="BD99" s="57" t="n">
        <f aca="false">((Input!$AA$16/Input!$AA$15)*LN((1+SQRT((Input!$AA$16/Input!$AA$15)^2+1))*SQRT((Input!$AA$16/Input!$AA$15)^2+(AJ99/(Input!$AA$15/2))^2)/((Input!$AA$16/Input!$AA$15)*(1+SQRT((Input!$AA$16/Input!$AA$15)^2+(AJ99/(Input!$AA$15/2))^2+1))))+LN(((Input!$AA$16/Input!$AA$15)+SQRT((Input!$AA$16/Input!$AA$15)^2+1))*SQRT(1+(AJ99/(Input!$AA$15/2))^2)/((Input!$AA$16/Input!$AA$15)+SQRT((Input!$AA$16/Input!$AA$15)^2+(AJ99/(Input!$AA$15/2))^2+1))))/PI()</f>
        <v>0.0664468184683822</v>
      </c>
      <c r="BE99" s="57" t="n">
        <f aca="false">(AJ99/(Input!$AA$15/2))/(2*PI())*ATAN((Input!$AA$16/Input!$AA$15)/((AJ99/(Input!$AA$15/2))*SQRT((Input!$AA$16/Input!$AA$15)^2+(AJ99/(Input!$AA$15/2))^2+1)))</f>
        <v>0.101410214319719</v>
      </c>
      <c r="BF99" s="57" t="n">
        <f aca="false">MAX(0,AJ99-MAX(AI99,$AA$23))/AK99*IF(BC99&gt;=Input!$AA$21*AQ99,1,0)</f>
        <v>1</v>
      </c>
      <c r="BG99" s="57" t="n">
        <f aca="false">4*Input!$AA$14*(Input!$AA$15/2)*(1-AY99^2)/AX99*((BD99-BD98)+(1-2*AY99)/(1-AY99)*(BE99-BE98))*1000*BF99</f>
        <v>1.94920757539841</v>
      </c>
      <c r="BH99" s="57" t="n">
        <f aca="false">IF(AM99="Sand",0,0.009*(AR99-10))</f>
        <v>0.22167</v>
      </c>
      <c r="BI99" s="57" t="n">
        <f aca="false">BH99*Input!$AA$39</f>
        <v>0.044334</v>
      </c>
      <c r="BJ99" s="57" t="n">
        <f aca="false">IF(AM99="Sand",0,MAX(AV99/Input!$AA$40,AQ99))</f>
        <v>454.545454545455</v>
      </c>
      <c r="BK99" s="57" t="n">
        <f aca="false">IF(AM99="Sand",0,1000*AK99/(1+AU99)*IF(AQ99+BC99&lt;=BJ99,BI99*LOG10((AQ99+BC99)/AQ99),BI99*LOG10(BJ99/AQ99)+BH99*LOG10((AQ99+BC99)/BJ99)))*BF99</f>
        <v>5.57462685537548</v>
      </c>
      <c r="BL99" s="57" t="n">
        <f aca="false">IF(AM99="Sand",0,10^(INDEX(Input!$Q$51:$Q$57,MIN(MATCH(MIN(MAX(AR99,30),120),Input!$C$51:$C$57,1),6))+(MIN(MAX(AR99,30),120)-INDEX(Input!$C$51:$C$57,MIN(MATCH(MIN(MAX(AR99,30),120),Input!$C$51:$C$57,1),6)))/(INDEX(Input!$C$51:$C$57,MIN(MATCH(MIN(MAX(AR99,30),120),Input!$C$51:$C$57,1),6)+1)-INDEX(Input!$C$51:$C$57,MIN(MATCH(MIN(MAX(AR99,30),120),Input!$C$51:$C$57,1),6)))*(INDEX(Input!$Q$51:$Q$57,MIN(MATCH(MIN(MAX(AR99,30),120),Input!$C$51:$C$57,1),6)+1)-INDEX(Input!$Q$51:$Q$57,MIN(MATCH(MIN(MAX(AR99,30),120),Input!$C$51:$C$57,1),6)))))</f>
        <v>0.00217642831175127</v>
      </c>
      <c r="BM99" s="57" t="n">
        <f aca="false">IF(OR(AM99="Sand",BF99=0),0,Input!$AA$41*(AK99/2)^2/(BL99*0.0001*31536000))</f>
        <v>0.0694972156656283</v>
      </c>
      <c r="BN99" s="57" t="n">
        <f aca="false">MAX(0,MIN(AJ99,Input!$AA$20)-AI99)</f>
        <v>0</v>
      </c>
      <c r="BO99" s="57" t="n">
        <f aca="false">MAX(0,MIN(AJ99,Input!$AA$20)-MAX(AI99,$AA$23))</f>
        <v>0</v>
      </c>
      <c r="BP99" s="57" t="n">
        <f aca="false">BG99+BK99</f>
        <v>7.52383443077388</v>
      </c>
      <c r="BQ99" s="57"/>
    </row>
    <row r="100" customFormat="false" ht="14.25" hidden="false" customHeight="false" outlineLevel="0" collapsed="false">
      <c r="B100" s="7"/>
      <c r="C100" s="46" t="n">
        <v>18</v>
      </c>
      <c r="D100" s="46"/>
      <c r="E100" s="44" t="n">
        <f aca="false">AI100</f>
        <v>25.5</v>
      </c>
      <c r="F100" s="44"/>
      <c r="G100" s="44"/>
      <c r="H100" s="44" t="n">
        <f aca="false">AJ100</f>
        <v>27</v>
      </c>
      <c r="I100" s="44"/>
      <c r="J100" s="44"/>
      <c r="K100" s="41" t="str">
        <f aca="false">AM100</f>
        <v>Clay</v>
      </c>
      <c r="L100" s="41"/>
      <c r="M100" s="41"/>
      <c r="N100" s="46" t="n">
        <f aca="false">AN100</f>
        <v>21</v>
      </c>
      <c r="O100" s="46"/>
      <c r="P100" s="46"/>
      <c r="Q100" s="42" t="n">
        <f aca="false">AO100</f>
        <v>19.2</v>
      </c>
      <c r="R100" s="42"/>
      <c r="S100" s="42"/>
      <c r="T100" s="46" t="n">
        <f aca="false">IF(AR100="","-",AR100)</f>
        <v>29.665</v>
      </c>
      <c r="U100" s="46"/>
      <c r="V100" s="46" t="n">
        <f aca="false">IF(AT100="","-",AT100)</f>
        <v>9.859</v>
      </c>
      <c r="W100" s="46"/>
      <c r="X100" s="44" t="n">
        <f aca="false">AU100</f>
        <v>0.401</v>
      </c>
      <c r="Y100" s="44"/>
      <c r="Z100" s="55" t="n">
        <f aca="false">AV100</f>
        <v>105</v>
      </c>
      <c r="AA100" s="55"/>
      <c r="AB100" s="55"/>
      <c r="AC100" s="42" t="n">
        <f aca="false">AW100</f>
        <v>30</v>
      </c>
      <c r="AD100" s="42"/>
      <c r="AE100" s="42"/>
      <c r="AF100" s="12"/>
      <c r="AI100" s="56" t="n">
        <v>25.5</v>
      </c>
      <c r="AJ100" s="56" t="n">
        <v>27</v>
      </c>
      <c r="AK100" s="57" t="n">
        <f aca="false">AJ100-AI100</f>
        <v>1.5</v>
      </c>
      <c r="AL100" s="57" t="n">
        <f aca="false">(AI100+AJ100)/2</f>
        <v>26.25</v>
      </c>
      <c r="AM100" s="56" t="s">
        <v>196</v>
      </c>
      <c r="AN100" s="56" t="n">
        <v>21</v>
      </c>
      <c r="AO100" s="58" t="n">
        <f aca="false">IF(AL100&gt;$AA$20,$AA$22,$AA$21)</f>
        <v>19.2</v>
      </c>
      <c r="AP100" s="57" t="n">
        <f aca="false">AP99+AO100*AK100</f>
        <v>505.8</v>
      </c>
      <c r="AQ100" s="57" t="n">
        <f aca="false">AP100-AO100*AK100/2-10*MAX(AL100-$AA$20,0)</f>
        <v>318.9</v>
      </c>
      <c r="AR100" s="56" t="n">
        <v>29.665</v>
      </c>
      <c r="AS100" s="56" t="n">
        <v>19.806</v>
      </c>
      <c r="AT100" s="57" t="n">
        <f aca="false">IF(AR100="","",AR100-AS100)</f>
        <v>9.859</v>
      </c>
      <c r="AU100" s="56" t="n">
        <v>0.401</v>
      </c>
      <c r="AV100" s="57" t="n">
        <f aca="false">IF(AM100="Sand",0,Input!$AA$34*AN100)</f>
        <v>105</v>
      </c>
      <c r="AW100" s="57" t="n">
        <f aca="false">IF(AM100="Sand",27.1+0.3*MIN(Input!$AA$35*AN100,60)-0.00054*MIN(Input!$AA$35*AN100,60)^2,MIN(MAX(DEGREES(ASIN(0.8-0.094*LN(MAX(IF(AT100="",10,AT100),5)))),20),30))</f>
        <v>30</v>
      </c>
      <c r="AX100" s="57" t="n">
        <f aca="false">IF(AM100="Sand",Input!$AA$36*Input!$AA$35*AN100,Input!$AA$37*AV100)</f>
        <v>52500</v>
      </c>
      <c r="AY100" s="57" t="n">
        <f aca="false">IF(AM100="Sand",Input!$AA$38,0.5)</f>
        <v>0.5</v>
      </c>
      <c r="AZ100" s="57" t="n">
        <f aca="false">Input!$AA$15/2/AL100</f>
        <v>1.40952380952381</v>
      </c>
      <c r="BA100" s="57" t="n">
        <f aca="false">Input!$AA$16/2/AL100</f>
        <v>3.84761904761905</v>
      </c>
      <c r="BB100" s="57" t="n">
        <f aca="false">1/(4*PI())*(2*AZ100*BA100*SQRT(AZ100^2+BA100^2+1)/(AZ100^2+BA100^2+1+AZ100^2*BA100^2)*(AZ100^2+BA100^2+2)/(AZ100^2+BA100^2+1)+ATAN2(AZ100^2+BA100^2+1-AZ100^2*BA100^2,2*AZ100*BA100*SQRT(AZ100^2+BA100^2+1)))</f>
        <v>0.226258660519071</v>
      </c>
      <c r="BC100" s="57" t="n">
        <f aca="false">4*Input!$AA$14*BB100</f>
        <v>123.084711322374</v>
      </c>
      <c r="BD100" s="57" t="n">
        <f aca="false">((Input!$AA$16/Input!$AA$15)*LN((1+SQRT((Input!$AA$16/Input!$AA$15)^2+1))*SQRT((Input!$AA$16/Input!$AA$15)^2+(AJ100/(Input!$AA$15/2))^2)/((Input!$AA$16/Input!$AA$15)*(1+SQRT((Input!$AA$16/Input!$AA$15)^2+(AJ100/(Input!$AA$15/2))^2+1))))+LN(((Input!$AA$16/Input!$AA$15)+SQRT((Input!$AA$16/Input!$AA$15)^2+1))*SQRT(1+(AJ100/(Input!$AA$15/2))^2)/((Input!$AA$16/Input!$AA$15)+SQRT((Input!$AA$16/Input!$AA$15)^2+(AJ100/(Input!$AA$15/2))^2+1))))/PI()</f>
        <v>0.0730509745149719</v>
      </c>
      <c r="BE100" s="57" t="n">
        <f aca="false">(AJ100/(Input!$AA$15/2))/(2*PI())*ATAN((Input!$AA$16/Input!$AA$15)/((AJ100/(Input!$AA$15/2))*SQRT((Input!$AA$16/Input!$AA$15)^2+(AJ100/(Input!$AA$15/2))^2+1)))</f>
        <v>0.103978506876715</v>
      </c>
      <c r="BF100" s="57" t="n">
        <f aca="false">MAX(0,AJ100-MAX(AI100,$AA$23))/AK100*IF(BC100&gt;=Input!$AA$21*AQ100,1,0)</f>
        <v>1</v>
      </c>
      <c r="BG100" s="57" t="n">
        <f aca="false">4*Input!$AA$14*(Input!$AA$15/2)*(1-AY100^2)/AX100*((BD100-BD99)+(1-2*AY100)/(1-AY100)*(BE100-BE99))*1000*BF100</f>
        <v>1.89897789865368</v>
      </c>
      <c r="BH100" s="57" t="n">
        <f aca="false">IF(AM100="Sand",0,0.009*(AR100-10))</f>
        <v>0.176985</v>
      </c>
      <c r="BI100" s="57" t="n">
        <f aca="false">BH100*Input!$AA$39</f>
        <v>0.035397</v>
      </c>
      <c r="BJ100" s="57" t="n">
        <f aca="false">IF(AM100="Sand",0,MAX(AV100/Input!$AA$40,AQ100))</f>
        <v>477.272727272727</v>
      </c>
      <c r="BK100" s="57" t="n">
        <f aca="false">IF(AM100="Sand",0,1000*AK100/(1+AU100)*IF(AQ100+BC100&lt;=BJ100,BI100*LOG10((AQ100+BC100)/AQ100),BI100*LOG10(BJ100/AQ100)+BH100*LOG10((AQ100+BC100)/BJ100)))*BF100</f>
        <v>5.37218554863442</v>
      </c>
      <c r="BL100" s="57" t="n">
        <f aca="false">IF(AM100="Sand",0,10^(INDEX(Input!$Q$51:$Q$57,MIN(MATCH(MIN(MAX(AR100,30),120),Input!$C$51:$C$57,1),6))+(MIN(MAX(AR100,30),120)-INDEX(Input!$C$51:$C$57,MIN(MATCH(MIN(MAX(AR100,30),120),Input!$C$51:$C$57,1),6)))/(INDEX(Input!$C$51:$C$57,MIN(MATCH(MIN(MAX(AR100,30),120),Input!$C$51:$C$57,1),6)+1)-INDEX(Input!$C$51:$C$57,MIN(MATCH(MIN(MAX(AR100,30),120),Input!$C$51:$C$57,1),6)))*(INDEX(Input!$Q$51:$Q$57,MIN(MATCH(MIN(MAX(AR100,30),120),Input!$C$51:$C$57,1),6)+1)-INDEX(Input!$Q$51:$Q$57,MIN(MATCH(MIN(MAX(AR100,30),120),Input!$C$51:$C$57,1),6)))))</f>
        <v>0.003</v>
      </c>
      <c r="BM100" s="57" t="n">
        <f aca="false">IF(OR(AM100="Sand",BF100=0),0,Input!$AA$41*(AK100/2)^2/(BL100*0.0001*31536000))</f>
        <v>0.0504185692541857</v>
      </c>
      <c r="BN100" s="57" t="n">
        <f aca="false">MAX(0,MIN(AJ100,Input!$AA$20)-AI100)</f>
        <v>0</v>
      </c>
      <c r="BO100" s="57" t="n">
        <f aca="false">MAX(0,MIN(AJ100,Input!$AA$20)-MAX(AI100,$AA$23))</f>
        <v>0</v>
      </c>
      <c r="BP100" s="57" t="n">
        <f aca="false">BG100+BK100</f>
        <v>7.2711634472881</v>
      </c>
      <c r="BQ100" s="57" t="s">
        <v>198</v>
      </c>
    </row>
    <row r="101" customFormat="false" ht="14.25" hidden="false" customHeight="false" outlineLevel="0" collapsed="false">
      <c r="B101" s="7"/>
      <c r="C101" s="46" t="n">
        <v>19</v>
      </c>
      <c r="D101" s="46"/>
      <c r="E101" s="44" t="n">
        <f aca="false">AI101</f>
        <v>27</v>
      </c>
      <c r="F101" s="44"/>
      <c r="G101" s="44"/>
      <c r="H101" s="44" t="n">
        <f aca="false">AJ101</f>
        <v>28.5</v>
      </c>
      <c r="I101" s="44"/>
      <c r="J101" s="44"/>
      <c r="K101" s="41" t="str">
        <f aca="false">AM101</f>
        <v>Sand</v>
      </c>
      <c r="L101" s="41"/>
      <c r="M101" s="41"/>
      <c r="N101" s="46" t="n">
        <f aca="false">AN101</f>
        <v>21</v>
      </c>
      <c r="O101" s="46"/>
      <c r="P101" s="46"/>
      <c r="Q101" s="42" t="n">
        <f aca="false">AO101</f>
        <v>19.2</v>
      </c>
      <c r="R101" s="42"/>
      <c r="S101" s="42"/>
      <c r="T101" s="46" t="str">
        <f aca="false">IF(AR101="","-",AR101)</f>
        <v>-</v>
      </c>
      <c r="U101" s="46"/>
      <c r="V101" s="46" t="str">
        <f aca="false">IF(AT101="","-",AT101)</f>
        <v>-</v>
      </c>
      <c r="W101" s="46"/>
      <c r="X101" s="44" t="n">
        <f aca="false">AU101</f>
        <v>0.474</v>
      </c>
      <c r="Y101" s="44"/>
      <c r="Z101" s="55" t="n">
        <f aca="false">AV101</f>
        <v>0</v>
      </c>
      <c r="AA101" s="55"/>
      <c r="AB101" s="55"/>
      <c r="AC101" s="42" t="n">
        <f aca="false">AW101</f>
        <v>33.64358821354</v>
      </c>
      <c r="AD101" s="42"/>
      <c r="AE101" s="42"/>
      <c r="AF101" s="12"/>
      <c r="AI101" s="56" t="n">
        <v>27</v>
      </c>
      <c r="AJ101" s="56" t="n">
        <v>28.5</v>
      </c>
      <c r="AK101" s="57" t="n">
        <f aca="false">AJ101-AI101</f>
        <v>1.5</v>
      </c>
      <c r="AL101" s="57" t="n">
        <f aca="false">(AI101+AJ101)/2</f>
        <v>27.75</v>
      </c>
      <c r="AM101" s="56" t="s">
        <v>199</v>
      </c>
      <c r="AN101" s="56" t="n">
        <v>21</v>
      </c>
      <c r="AO101" s="58" t="n">
        <f aca="false">IF(AL101&gt;$AA$20,$AA$22,$AA$21)</f>
        <v>19.2</v>
      </c>
      <c r="AP101" s="57" t="n">
        <f aca="false">AP100+AO101*AK101</f>
        <v>534.6</v>
      </c>
      <c r="AQ101" s="57" t="n">
        <f aca="false">AP101-AO101*AK101/2-10*MAX(AL101-$AA$20,0)</f>
        <v>332.7</v>
      </c>
      <c r="AR101" s="56"/>
      <c r="AS101" s="56"/>
      <c r="AT101" s="57" t="str">
        <f aca="false">IF(AR101="","",AR101-AS101)</f>
        <v/>
      </c>
      <c r="AU101" s="56" t="n">
        <v>0.474</v>
      </c>
      <c r="AV101" s="57" t="n">
        <f aca="false">IF(AM101="Sand",0,Input!$AA$34*AN101)</f>
        <v>0</v>
      </c>
      <c r="AW101" s="57" t="n">
        <f aca="false">IF(AM101="Sand",27.1+0.3*MIN(Input!$AA$35*AN101,60)-0.00054*MIN(Input!$AA$35*AN101,60)^2,MIN(MAX(DEGREES(ASIN(0.8-0.094*LN(MAX(IF(AT101="",10,AT101),5)))),20),30))</f>
        <v>33.64358821354</v>
      </c>
      <c r="AX101" s="57" t="n">
        <f aca="false">IF(AM101="Sand",Input!$AA$36*Input!$AA$35*AN101,Input!$AA$37*AV101)</f>
        <v>22743</v>
      </c>
      <c r="AY101" s="59" t="n">
        <f aca="false">IF(AM101="Sand",Input!$AA$38,0.5)</f>
        <v>0.3</v>
      </c>
      <c r="AZ101" s="57" t="n">
        <f aca="false">Input!$AA$15/2/AL101</f>
        <v>1.33333333333333</v>
      </c>
      <c r="BA101" s="57" t="n">
        <f aca="false">Input!$AA$16/2/AL101</f>
        <v>3.63963963963964</v>
      </c>
      <c r="BB101" s="57" t="n">
        <f aca="false">1/(4*PI())*(2*AZ101*BA101*SQRT(AZ101^2+BA101^2+1)/(AZ101^2+BA101^2+1+AZ101^2*BA101^2)*(AZ101^2+BA101^2+2)/(AZ101^2+BA101^2+1)+ATAN2(AZ101^2+BA101^2+1-AZ101^2*BA101^2,2*AZ101*BA101*SQRT(AZ101^2+BA101^2+1)))</f>
        <v>0.223225661745017</v>
      </c>
      <c r="BC101" s="57" t="n">
        <f aca="false">4*Input!$AA$14*BB101</f>
        <v>121.434759989289</v>
      </c>
      <c r="BD101" s="57" t="n">
        <f aca="false">((Input!$AA$16/Input!$AA$15)*LN((1+SQRT((Input!$AA$16/Input!$AA$15)^2+1))*SQRT((Input!$AA$16/Input!$AA$15)^2+(AJ101/(Input!$AA$15/2))^2)/((Input!$AA$16/Input!$AA$15)*(1+SQRT((Input!$AA$16/Input!$AA$15)^2+(AJ101/(Input!$AA$15/2))^2+1))))+LN(((Input!$AA$16/Input!$AA$15)+SQRT((Input!$AA$16/Input!$AA$15)^2+1))*SQRT(1+(AJ101/(Input!$AA$15/2))^2)/((Input!$AA$16/Input!$AA$15)+SQRT((Input!$AA$16/Input!$AA$15)^2+(AJ101/(Input!$AA$15/2))^2+1))))/PI()</f>
        <v>0.0797798670040491</v>
      </c>
      <c r="BE101" s="57" t="n">
        <f aca="false">(AJ101/(Input!$AA$15/2))/(2*PI())*ATAN((Input!$AA$16/Input!$AA$15)/((AJ101/(Input!$AA$15/2))*SQRT((Input!$AA$16/Input!$AA$15)^2+(AJ101/(Input!$AA$15/2))^2+1)))</f>
        <v>0.106299134641581</v>
      </c>
      <c r="BF101" s="57" t="n">
        <f aca="false">MAX(0,AJ101-MAX(AI101,$AA$23))/AK101*IF(BC101&gt;=Input!$AA$21*AQ101,1,0)</f>
        <v>1</v>
      </c>
      <c r="BG101" s="57" t="n">
        <f aca="false">4*Input!$AA$14*(Input!$AA$15/2)*(1-AY101^2)/AX101*((BD101-BD100)+(1-2*AY101)/(1-AY101)*(BE101-BE100))*1000*BF101</f>
        <v>6.48720988598545</v>
      </c>
      <c r="BH101" s="57" t="n">
        <f aca="false">IF(AM101="Sand",0,0.009*(AR101-10))</f>
        <v>0</v>
      </c>
      <c r="BI101" s="57" t="n">
        <f aca="false">BH101*Input!$AA$39</f>
        <v>0</v>
      </c>
      <c r="BJ101" s="57" t="n">
        <f aca="false">IF(AM101="Sand",0,MAX(AV101/Input!$AA$40,AQ101))</f>
        <v>0</v>
      </c>
      <c r="BK101" s="57" t="n">
        <f aca="false">IF(AM101="Sand",0,1000*AK101/(1+AU101)*IF(AQ101+BC101&lt;=BJ101,BI101*LOG10((AQ101+BC101)/AQ101),BI101*LOG10(BJ101/AQ101)+BH101*LOG10((AQ101+BC101)/BJ101)))*BF101</f>
        <v>0</v>
      </c>
      <c r="BL101" s="57" t="n">
        <f aca="false">IF(AM101="Sand",0,10^(INDEX(Input!$Q$51:$Q$57,MIN(MATCH(MIN(MAX(AR101,30),120),Input!$C$51:$C$57,1),6))+(MIN(MAX(AR101,30),120)-INDEX(Input!$C$51:$C$57,MIN(MATCH(MIN(MAX(AR101,30),120),Input!$C$51:$C$57,1),6)))/(INDEX(Input!$C$51:$C$57,MIN(MATCH(MIN(MAX(AR101,30),120),Input!$C$51:$C$57,1),6)+1)-INDEX(Input!$C$51:$C$57,MIN(MATCH(MIN(MAX(AR101,30),120),Input!$C$51:$C$57,1),6)))*(INDEX(Input!$Q$51:$Q$57,MIN(MATCH(MIN(MAX(AR101,30),120),Input!$C$51:$C$57,1),6)+1)-INDEX(Input!$Q$51:$Q$57,MIN(MATCH(MIN(MAX(AR101,30),120),Input!$C$51:$C$57,1),6)))))</f>
        <v>0</v>
      </c>
      <c r="BM101" s="57" t="n">
        <f aca="false">IF(OR(AM101="Sand",BF101=0),0,Input!$AA$41*(AK101/2)^2/(BL101*0.0001*31536000))</f>
        <v>0</v>
      </c>
      <c r="BN101" s="57" t="n">
        <f aca="false">MAX(0,MIN(AJ101,Input!$AA$20)-AI101)</f>
        <v>0</v>
      </c>
      <c r="BO101" s="57" t="n">
        <f aca="false">MAX(0,MIN(AJ101,Input!$AA$20)-MAX(AI101,$AA$23))</f>
        <v>0</v>
      </c>
      <c r="BP101" s="57" t="n">
        <f aca="false">BG101+BK101</f>
        <v>6.48720988598545</v>
      </c>
      <c r="BQ101" s="57"/>
    </row>
    <row r="102" customFormat="false" ht="14.25" hidden="false" customHeight="false" outlineLevel="0" collapsed="false">
      <c r="B102" s="7"/>
      <c r="C102" s="46" t="n">
        <v>20</v>
      </c>
      <c r="D102" s="46"/>
      <c r="E102" s="44" t="n">
        <f aca="false">AI102</f>
        <v>28.5</v>
      </c>
      <c r="F102" s="44"/>
      <c r="G102" s="44"/>
      <c r="H102" s="44" t="n">
        <f aca="false">AJ102</f>
        <v>30</v>
      </c>
      <c r="I102" s="44"/>
      <c r="J102" s="44"/>
      <c r="K102" s="41" t="str">
        <f aca="false">AM102</f>
        <v>Clay</v>
      </c>
      <c r="L102" s="41"/>
      <c r="M102" s="41"/>
      <c r="N102" s="46" t="n">
        <f aca="false">AN102</f>
        <v>48</v>
      </c>
      <c r="O102" s="46"/>
      <c r="P102" s="46"/>
      <c r="Q102" s="42" t="n">
        <f aca="false">AO102</f>
        <v>19.2</v>
      </c>
      <c r="R102" s="42"/>
      <c r="S102" s="42"/>
      <c r="T102" s="46" t="n">
        <f aca="false">IF(AR102="","-",AR102)</f>
        <v>37.95</v>
      </c>
      <c r="U102" s="46"/>
      <c r="V102" s="46" t="n">
        <f aca="false">IF(AT102="","-",AT102)</f>
        <v>17.38</v>
      </c>
      <c r="W102" s="46"/>
      <c r="X102" s="44" t="n">
        <f aca="false">AU102</f>
        <v>0.745</v>
      </c>
      <c r="Y102" s="44"/>
      <c r="Z102" s="55" t="n">
        <f aca="false">AV102</f>
        <v>240</v>
      </c>
      <c r="AA102" s="55"/>
      <c r="AB102" s="55"/>
      <c r="AC102" s="42" t="n">
        <f aca="false">AW102</f>
        <v>30</v>
      </c>
      <c r="AD102" s="42"/>
      <c r="AE102" s="42"/>
      <c r="AF102" s="12"/>
      <c r="AI102" s="56" t="n">
        <v>28.5</v>
      </c>
      <c r="AJ102" s="56" t="n">
        <v>30</v>
      </c>
      <c r="AK102" s="57" t="n">
        <f aca="false">AJ102-AI102</f>
        <v>1.5</v>
      </c>
      <c r="AL102" s="57" t="n">
        <f aca="false">(AI102+AJ102)/2</f>
        <v>29.25</v>
      </c>
      <c r="AM102" s="56" t="s">
        <v>196</v>
      </c>
      <c r="AN102" s="56" t="n">
        <v>48</v>
      </c>
      <c r="AO102" s="58" t="n">
        <f aca="false">IF(AL102&gt;$AA$20,$AA$22,$AA$21)</f>
        <v>19.2</v>
      </c>
      <c r="AP102" s="57" t="n">
        <f aca="false">AP101+AO102*AK102</f>
        <v>563.4</v>
      </c>
      <c r="AQ102" s="57" t="n">
        <f aca="false">AP102-AO102*AK102/2-10*MAX(AL102-$AA$20,0)</f>
        <v>346.5</v>
      </c>
      <c r="AR102" s="56" t="n">
        <v>37.95</v>
      </c>
      <c r="AS102" s="56" t="n">
        <v>20.57</v>
      </c>
      <c r="AT102" s="57" t="n">
        <f aca="false">IF(AR102="","",AR102-AS102)</f>
        <v>17.38</v>
      </c>
      <c r="AU102" s="56" t="n">
        <v>0.745</v>
      </c>
      <c r="AV102" s="57" t="n">
        <f aca="false">IF(AM102="Sand",0,Input!$AA$34*AN102)</f>
        <v>240</v>
      </c>
      <c r="AW102" s="57" t="n">
        <f aca="false">IF(AM102="Sand",27.1+0.3*MIN(Input!$AA$35*AN102,60)-0.00054*MIN(Input!$AA$35*AN102,60)^2,MIN(MAX(DEGREES(ASIN(0.8-0.094*LN(MAX(IF(AT102="",10,AT102),5)))),20),30))</f>
        <v>30</v>
      </c>
      <c r="AX102" s="57" t="n">
        <f aca="false">IF(AM102="Sand",Input!$AA$36*Input!$AA$35*AN102,Input!$AA$37*AV102)</f>
        <v>120000</v>
      </c>
      <c r="AY102" s="57" t="n">
        <f aca="false">IF(AM102="Sand",Input!$AA$38,0.5)</f>
        <v>0.5</v>
      </c>
      <c r="AZ102" s="57" t="n">
        <f aca="false">Input!$AA$15/2/AL102</f>
        <v>1.26495726495727</v>
      </c>
      <c r="BA102" s="57" t="n">
        <f aca="false">Input!$AA$16/2/AL102</f>
        <v>3.45299145299145</v>
      </c>
      <c r="BB102" s="57" t="n">
        <f aca="false">1/(4*PI())*(2*AZ102*BA102*SQRT(AZ102^2+BA102^2+1)/(AZ102^2+BA102^2+1+AZ102^2*BA102^2)*(AZ102^2+BA102^2+2)/(AZ102^2+BA102^2+1)+ATAN2(AZ102^2+BA102^2+1-AZ102^2*BA102^2,2*AZ102*BA102*SQRT(AZ102^2+BA102^2+1)))</f>
        <v>0.220092717009578</v>
      </c>
      <c r="BC102" s="57" t="n">
        <f aca="false">4*Input!$AA$14*BB102</f>
        <v>119.73043805321</v>
      </c>
      <c r="BD102" s="57" t="n">
        <f aca="false">((Input!$AA$16/Input!$AA$15)*LN((1+SQRT((Input!$AA$16/Input!$AA$15)^2+1))*SQRT((Input!$AA$16/Input!$AA$15)^2+(AJ102/(Input!$AA$15/2))^2)/((Input!$AA$16/Input!$AA$15)*(1+SQRT((Input!$AA$16/Input!$AA$15)^2+(AJ102/(Input!$AA$15/2))^2+1))))+LN(((Input!$AA$16/Input!$AA$15)+SQRT((Input!$AA$16/Input!$AA$15)^2+1))*SQRT(1+(AJ102/(Input!$AA$15/2))^2)/((Input!$AA$16/Input!$AA$15)+SQRT((Input!$AA$16/Input!$AA$15)^2+(AJ102/(Input!$AA$15/2))^2+1))))/PI()</f>
        <v>0.0866118704592208</v>
      </c>
      <c r="BE102" s="57" t="n">
        <f aca="false">(AJ102/(Input!$AA$15/2))/(2*PI())*ATAN((Input!$AA$16/Input!$AA$15)/((AJ102/(Input!$AA$15/2))*SQRT((Input!$AA$16/Input!$AA$15)^2+(AJ102/(Input!$AA$15/2))^2+1)))</f>
        <v>0.108389669938441</v>
      </c>
      <c r="BF102" s="57" t="n">
        <f aca="false">MAX(0,AJ102-MAX(AI102,$AA$23))/AK102*IF(BC102&gt;=Input!$AA$21*AQ102,1,0)</f>
        <v>1</v>
      </c>
      <c r="BG102" s="57" t="n">
        <f aca="false">4*Input!$AA$14*(Input!$AA$15/2)*(1-AY102^2)/AX102*((BD102-BD101)+(1-2*AY102)/(1-AY102)*(BE102-BE101))*1000*BF102</f>
        <v>0.859466034660599</v>
      </c>
      <c r="BH102" s="57" t="n">
        <f aca="false">IF(AM102="Sand",0,0.009*(AR102-10))</f>
        <v>0.25155</v>
      </c>
      <c r="BI102" s="57" t="n">
        <f aca="false">BH102*Input!$AA$39</f>
        <v>0.05031</v>
      </c>
      <c r="BJ102" s="57" t="n">
        <f aca="false">IF(AM102="Sand",0,MAX(AV102/Input!$AA$40,AQ102))</f>
        <v>1090.90909090909</v>
      </c>
      <c r="BK102" s="57" t="n">
        <f aca="false">IF(AM102="Sand",0,1000*AK102/(1+AU102)*IF(AQ102+BC102&lt;=BJ102,BI102*LOG10((AQ102+BC102)/AQ102),BI102*LOG10(BJ102/AQ102)+BH102*LOG10((AQ102+BC102)/BJ102)))*BF102</f>
        <v>5.57435020252448</v>
      </c>
      <c r="BL102" s="57" t="n">
        <f aca="false">IF(AM102="Sand",0,10^(INDEX(Input!$Q$51:$Q$57,MIN(MATCH(MIN(MAX(AR102,30),120),Input!$C$51:$C$57,1),6))+(MIN(MAX(AR102,30),120)-INDEX(Input!$C$51:$C$57,MIN(MATCH(MIN(MAX(AR102,30),120),Input!$C$51:$C$57,1),6)))/(INDEX(Input!$C$51:$C$57,MIN(MATCH(MIN(MAX(AR102,30),120),Input!$C$51:$C$57,1),6)+1)-INDEX(Input!$C$51:$C$57,MIN(MATCH(MIN(MAX(AR102,30),120),Input!$C$51:$C$57,1),6)))*(INDEX(Input!$Q$51:$Q$57,MIN(MATCH(MIN(MAX(AR102,30),120),Input!$C$51:$C$57,1),6)+1)-INDEX(Input!$Q$51:$Q$57,MIN(MATCH(MIN(MAX(AR102,30),120),Input!$C$51:$C$57,1),6)))))</f>
        <v>0.0017290295201983</v>
      </c>
      <c r="BM102" s="57" t="n">
        <f aca="false">IF(OR(AM102="Sand",BF102=0),0,Input!$AA$41*(AK102/2)^2/(BL102*0.0001*31536000))</f>
        <v>0.0874801187577237</v>
      </c>
      <c r="BN102" s="57" t="n">
        <f aca="false">MAX(0,MIN(AJ102,Input!$AA$20)-AI102)</f>
        <v>0</v>
      </c>
      <c r="BO102" s="57" t="n">
        <f aca="false">MAX(0,MIN(AJ102,Input!$AA$20)-MAX(AI102,$AA$23))</f>
        <v>0</v>
      </c>
      <c r="BP102" s="57" t="n">
        <f aca="false">BG102+BK102</f>
        <v>6.43381623718507</v>
      </c>
      <c r="BQ102" s="57"/>
    </row>
    <row r="103" customFormat="false" ht="14.25" hidden="false" customHeight="false" outlineLevel="0" collapsed="false">
      <c r="B103" s="7"/>
      <c r="C103" s="46" t="n">
        <v>21</v>
      </c>
      <c r="D103" s="46"/>
      <c r="E103" s="44" t="n">
        <f aca="false">AI103</f>
        <v>30</v>
      </c>
      <c r="F103" s="44"/>
      <c r="G103" s="44"/>
      <c r="H103" s="44" t="n">
        <f aca="false">AJ103</f>
        <v>31.5</v>
      </c>
      <c r="I103" s="44"/>
      <c r="J103" s="44"/>
      <c r="K103" s="41" t="str">
        <f aca="false">AM103</f>
        <v>Clay</v>
      </c>
      <c r="L103" s="41"/>
      <c r="M103" s="41"/>
      <c r="N103" s="46" t="n">
        <f aca="false">AN103</f>
        <v>50</v>
      </c>
      <c r="O103" s="46"/>
      <c r="P103" s="46"/>
      <c r="Q103" s="42" t="n">
        <f aca="false">AO103</f>
        <v>19.2</v>
      </c>
      <c r="R103" s="42"/>
      <c r="S103" s="42"/>
      <c r="T103" s="46" t="n">
        <f aca="false">IF(AR103="","-",AR103)</f>
        <v>29.665</v>
      </c>
      <c r="U103" s="46"/>
      <c r="V103" s="46" t="n">
        <f aca="false">IF(AT103="","-",AT103)</f>
        <v>9.859</v>
      </c>
      <c r="W103" s="46"/>
      <c r="X103" s="44" t="n">
        <f aca="false">AU103</f>
        <v>0.681</v>
      </c>
      <c r="Y103" s="44"/>
      <c r="Z103" s="55" t="n">
        <f aca="false">AV103</f>
        <v>250</v>
      </c>
      <c r="AA103" s="55"/>
      <c r="AB103" s="55"/>
      <c r="AC103" s="42" t="n">
        <f aca="false">AW103</f>
        <v>30</v>
      </c>
      <c r="AD103" s="42"/>
      <c r="AE103" s="42"/>
      <c r="AF103" s="12"/>
      <c r="AI103" s="56" t="n">
        <v>30</v>
      </c>
      <c r="AJ103" s="56" t="n">
        <v>31.5</v>
      </c>
      <c r="AK103" s="57" t="n">
        <f aca="false">AJ103-AI103</f>
        <v>1.5</v>
      </c>
      <c r="AL103" s="57" t="n">
        <f aca="false">(AI103+AJ103)/2</f>
        <v>30.75</v>
      </c>
      <c r="AM103" s="56" t="s">
        <v>196</v>
      </c>
      <c r="AN103" s="56" t="n">
        <v>50</v>
      </c>
      <c r="AO103" s="58" t="n">
        <f aca="false">IF(AL103&gt;$AA$20,$AA$22,$AA$21)</f>
        <v>19.2</v>
      </c>
      <c r="AP103" s="57" t="n">
        <f aca="false">AP102+AO103*AK103</f>
        <v>592.2</v>
      </c>
      <c r="AQ103" s="57" t="n">
        <f aca="false">AP103-AO103*AK103/2-10*MAX(AL103-$AA$20,0)</f>
        <v>360.3</v>
      </c>
      <c r="AR103" s="56" t="n">
        <v>29.665</v>
      </c>
      <c r="AS103" s="56" t="n">
        <v>19.806</v>
      </c>
      <c r="AT103" s="57" t="n">
        <f aca="false">IF(AR103="","",AR103-AS103)</f>
        <v>9.859</v>
      </c>
      <c r="AU103" s="56" t="n">
        <v>0.681</v>
      </c>
      <c r="AV103" s="57" t="n">
        <f aca="false">IF(AM103="Sand",0,Input!$AA$34*AN103)</f>
        <v>250</v>
      </c>
      <c r="AW103" s="57" t="n">
        <f aca="false">IF(AM103="Sand",27.1+0.3*MIN(Input!$AA$35*AN103,60)-0.00054*MIN(Input!$AA$35*AN103,60)^2,MIN(MAX(DEGREES(ASIN(0.8-0.094*LN(MAX(IF(AT103="",10,AT103),5)))),20),30))</f>
        <v>30</v>
      </c>
      <c r="AX103" s="57" t="n">
        <f aca="false">IF(AM103="Sand",Input!$AA$36*Input!$AA$35*AN103,Input!$AA$37*AV103)</f>
        <v>125000</v>
      </c>
      <c r="AY103" s="57" t="n">
        <f aca="false">IF(AM103="Sand",Input!$AA$38,0.5)</f>
        <v>0.5</v>
      </c>
      <c r="AZ103" s="57" t="n">
        <f aca="false">Input!$AA$15/2/AL103</f>
        <v>1.20325203252033</v>
      </c>
      <c r="BA103" s="57" t="n">
        <f aca="false">Input!$AA$16/2/AL103</f>
        <v>3.28455284552846</v>
      </c>
      <c r="BB103" s="57" t="n">
        <f aca="false">1/(4*PI())*(2*AZ103*BA103*SQRT(AZ103^2+BA103^2+1)/(AZ103^2+BA103^2+1+AZ103^2*BA103^2)*(AZ103^2+BA103^2+2)/(AZ103^2+BA103^2+1)+ATAN2(AZ103^2+BA103^2+1-AZ103^2*BA103^2,2*AZ103*BA103*SQRT(AZ103^2+BA103^2+1)))</f>
        <v>0.216877434211778</v>
      </c>
      <c r="BC103" s="57" t="n">
        <f aca="false">4*Input!$AA$14*BB103</f>
        <v>117.981324211207</v>
      </c>
      <c r="BD103" s="57" t="n">
        <f aca="false">((Input!$AA$16/Input!$AA$15)*LN((1+SQRT((Input!$AA$16/Input!$AA$15)^2+1))*SQRT((Input!$AA$16/Input!$AA$15)^2+(AJ103/(Input!$AA$15/2))^2)/((Input!$AA$16/Input!$AA$15)*(1+SQRT((Input!$AA$16/Input!$AA$15)^2+(AJ103/(Input!$AA$15/2))^2+1))))+LN(((Input!$AA$16/Input!$AA$15)+SQRT((Input!$AA$16/Input!$AA$15)^2+1))*SQRT(1+(AJ103/(Input!$AA$15/2))^2)/((Input!$AA$16/Input!$AA$15)+SQRT((Input!$AA$16/Input!$AA$15)^2+(AJ103/(Input!$AA$15/2))^2+1))))/PI()</f>
        <v>0.0935271002119951</v>
      </c>
      <c r="BE103" s="57" t="n">
        <f aca="false">(AJ103/(Input!$AA$15/2))/(2*PI())*ATAN((Input!$AA$16/Input!$AA$15)/((AJ103/(Input!$AA$15/2))*SQRT((Input!$AA$16/Input!$AA$15)^2+(AJ103/(Input!$AA$15/2))^2+1)))</f>
        <v>0.11026665771977</v>
      </c>
      <c r="BF103" s="57" t="n">
        <f aca="false">MAX(0,AJ103-MAX(AI103,$AA$23))/AK103*IF(BC103&gt;=Input!$AA$21*AQ103,1,0)</f>
        <v>1</v>
      </c>
      <c r="BG103" s="57" t="n">
        <f aca="false">4*Input!$AA$14*(Input!$AA$15/2)*(1-AY103^2)/AX103*((BD103-BD102)+(1-2*AY103)/(1-AY103)*(BE103-BE102))*1000*BF103</f>
        <v>0.835138466783045</v>
      </c>
      <c r="BH103" s="57" t="n">
        <f aca="false">IF(AM103="Sand",0,0.009*(AR103-10))</f>
        <v>0.176985</v>
      </c>
      <c r="BI103" s="57" t="n">
        <f aca="false">BH103*Input!$AA$39</f>
        <v>0.035397</v>
      </c>
      <c r="BJ103" s="57" t="n">
        <f aca="false">IF(AM103="Sand",0,MAX(AV103/Input!$AA$40,AQ103))</f>
        <v>1136.36363636364</v>
      </c>
      <c r="BK103" s="57" t="n">
        <f aca="false">IF(AM103="Sand",0,1000*AK103/(1+AU103)*IF(AQ103+BC103&lt;=BJ103,BI103*LOG10((AQ103+BC103)/AQ103),BI103*LOG10(BJ103/AQ103)+BH103*LOG10((AQ103+BC103)/BJ103)))*BF103</f>
        <v>3.88564179437504</v>
      </c>
      <c r="BL103" s="57" t="n">
        <f aca="false">IF(AM103="Sand",0,10^(INDEX(Input!$Q$51:$Q$57,MIN(MATCH(MIN(MAX(AR103,30),120),Input!$C$51:$C$57,1),6))+(MIN(MAX(AR103,30),120)-INDEX(Input!$C$51:$C$57,MIN(MATCH(MIN(MAX(AR103,30),120),Input!$C$51:$C$57,1),6)))/(INDEX(Input!$C$51:$C$57,MIN(MATCH(MIN(MAX(AR103,30),120),Input!$C$51:$C$57,1),6)+1)-INDEX(Input!$C$51:$C$57,MIN(MATCH(MIN(MAX(AR103,30),120),Input!$C$51:$C$57,1),6)))*(INDEX(Input!$Q$51:$Q$57,MIN(MATCH(MIN(MAX(AR103,30),120),Input!$C$51:$C$57,1),6)+1)-INDEX(Input!$Q$51:$Q$57,MIN(MATCH(MIN(MAX(AR103,30),120),Input!$C$51:$C$57,1),6)))))</f>
        <v>0.003</v>
      </c>
      <c r="BM103" s="57" t="n">
        <f aca="false">IF(OR(AM103="Sand",BF103=0),0,Input!$AA$41*(AK103/2)^2/(BL103*0.0001*31536000))</f>
        <v>0.0504185692541857</v>
      </c>
      <c r="BN103" s="57" t="n">
        <f aca="false">MAX(0,MIN(AJ103,Input!$AA$20)-AI103)</f>
        <v>0</v>
      </c>
      <c r="BO103" s="57" t="n">
        <f aca="false">MAX(0,MIN(AJ103,Input!$AA$20)-MAX(AI103,$AA$23))</f>
        <v>0</v>
      </c>
      <c r="BP103" s="57" t="n">
        <f aca="false">BG103+BK103</f>
        <v>4.72078026115808</v>
      </c>
      <c r="BQ103" s="57" t="s">
        <v>198</v>
      </c>
    </row>
    <row r="104" customFormat="false" ht="14.25" hidden="false" customHeight="false" outlineLevel="0" collapsed="false">
      <c r="B104" s="7"/>
      <c r="C104" s="46" t="n">
        <v>22</v>
      </c>
      <c r="D104" s="46"/>
      <c r="E104" s="44" t="n">
        <f aca="false">AI104</f>
        <v>31.5</v>
      </c>
      <c r="F104" s="44"/>
      <c r="G104" s="44"/>
      <c r="H104" s="44" t="n">
        <f aca="false">AJ104</f>
        <v>33</v>
      </c>
      <c r="I104" s="44"/>
      <c r="J104" s="44"/>
      <c r="K104" s="41" t="str">
        <f aca="false">AM104</f>
        <v>Clay</v>
      </c>
      <c r="L104" s="41"/>
      <c r="M104" s="41"/>
      <c r="N104" s="46" t="n">
        <f aca="false">AN104</f>
        <v>50</v>
      </c>
      <c r="O104" s="46"/>
      <c r="P104" s="46"/>
      <c r="Q104" s="42" t="n">
        <f aca="false">AO104</f>
        <v>19.2</v>
      </c>
      <c r="R104" s="42"/>
      <c r="S104" s="42"/>
      <c r="T104" s="46" t="n">
        <f aca="false">IF(AR104="","-",AR104)</f>
        <v>29.665</v>
      </c>
      <c r="U104" s="46"/>
      <c r="V104" s="46" t="n">
        <f aca="false">IF(AT104="","-",AT104)</f>
        <v>9.859</v>
      </c>
      <c r="W104" s="46"/>
      <c r="X104" s="44" t="n">
        <f aca="false">AU104</f>
        <v>0.681</v>
      </c>
      <c r="Y104" s="44"/>
      <c r="Z104" s="55" t="n">
        <f aca="false">AV104</f>
        <v>250</v>
      </c>
      <c r="AA104" s="55"/>
      <c r="AB104" s="55"/>
      <c r="AC104" s="42" t="n">
        <f aca="false">AW104</f>
        <v>30</v>
      </c>
      <c r="AD104" s="42"/>
      <c r="AE104" s="42"/>
      <c r="AF104" s="12"/>
      <c r="AI104" s="56" t="n">
        <v>31.5</v>
      </c>
      <c r="AJ104" s="56" t="n">
        <v>33</v>
      </c>
      <c r="AK104" s="57" t="n">
        <f aca="false">AJ104-AI104</f>
        <v>1.5</v>
      </c>
      <c r="AL104" s="57" t="n">
        <f aca="false">(AI104+AJ104)/2</f>
        <v>32.25</v>
      </c>
      <c r="AM104" s="56" t="s">
        <v>196</v>
      </c>
      <c r="AN104" s="56" t="n">
        <v>50</v>
      </c>
      <c r="AO104" s="58" t="n">
        <f aca="false">IF(AL104&gt;$AA$20,$AA$22,$AA$21)</f>
        <v>19.2</v>
      </c>
      <c r="AP104" s="57" t="n">
        <f aca="false">AP103+AO104*AK104</f>
        <v>621</v>
      </c>
      <c r="AQ104" s="57" t="n">
        <f aca="false">AP104-AO104*AK104/2-10*MAX(AL104-$AA$20,0)</f>
        <v>374.1</v>
      </c>
      <c r="AR104" s="56" t="n">
        <v>29.665</v>
      </c>
      <c r="AS104" s="56" t="n">
        <v>19.806</v>
      </c>
      <c r="AT104" s="57" t="n">
        <f aca="false">IF(AR104="","",AR104-AS104)</f>
        <v>9.859</v>
      </c>
      <c r="AU104" s="56" t="n">
        <v>0.681</v>
      </c>
      <c r="AV104" s="57" t="n">
        <f aca="false">IF(AM104="Sand",0,Input!$AA$34*AN104)</f>
        <v>250</v>
      </c>
      <c r="AW104" s="57" t="n">
        <f aca="false">IF(AM104="Sand",27.1+0.3*MIN(Input!$AA$35*AN104,60)-0.00054*MIN(Input!$AA$35*AN104,60)^2,MIN(MAX(DEGREES(ASIN(0.8-0.094*LN(MAX(IF(AT104="",10,AT104),5)))),20),30))</f>
        <v>30</v>
      </c>
      <c r="AX104" s="57" t="n">
        <f aca="false">IF(AM104="Sand",Input!$AA$36*Input!$AA$35*AN104,Input!$AA$37*AV104)</f>
        <v>125000</v>
      </c>
      <c r="AY104" s="57" t="n">
        <f aca="false">IF(AM104="Sand",Input!$AA$38,0.5)</f>
        <v>0.5</v>
      </c>
      <c r="AZ104" s="57" t="n">
        <f aca="false">Input!$AA$15/2/AL104</f>
        <v>1.14728682170543</v>
      </c>
      <c r="BA104" s="57" t="n">
        <f aca="false">Input!$AA$16/2/AL104</f>
        <v>3.13178294573643</v>
      </c>
      <c r="BB104" s="57" t="n">
        <f aca="false">1/(4*PI())*(2*AZ104*BA104*SQRT(AZ104^2+BA104^2+1)/(AZ104^2+BA104^2+1+AZ104^2*BA104^2)*(AZ104^2+BA104^2+2)/(AZ104^2+BA104^2+1)+ATAN2(AZ104^2+BA104^2+1-AZ104^2*BA104^2,2*AZ104*BA104*SQRT(AZ104^2+BA104^2+1)))</f>
        <v>0.213596428347991</v>
      </c>
      <c r="BC104" s="57" t="n">
        <f aca="false">4*Input!$AA$14*BB104</f>
        <v>116.196457021307</v>
      </c>
      <c r="BD104" s="57" t="n">
        <f aca="false">((Input!$AA$16/Input!$AA$15)*LN((1+SQRT((Input!$AA$16/Input!$AA$15)^2+1))*SQRT((Input!$AA$16/Input!$AA$15)^2+(AJ104/(Input!$AA$15/2))^2)/((Input!$AA$16/Input!$AA$15)*(1+SQRT((Input!$AA$16/Input!$AA$15)^2+(AJ104/(Input!$AA$15/2))^2+1))))+LN(((Input!$AA$16/Input!$AA$15)+SQRT((Input!$AA$16/Input!$AA$15)^2+1))*SQRT(1+(AJ104/(Input!$AA$15/2))^2)/((Input!$AA$16/Input!$AA$15)+SQRT((Input!$AA$16/Input!$AA$15)^2+(AJ104/(Input!$AA$15/2))^2+1))))/PI()</f>
        <v>0.100507369360851</v>
      </c>
      <c r="BE104" s="57" t="n">
        <f aca="false">(AJ104/(Input!$AA$15/2))/(2*PI())*ATAN((Input!$AA$16/Input!$AA$15)/((AJ104/(Input!$AA$15/2))*SQRT((Input!$AA$16/Input!$AA$15)^2+(AJ104/(Input!$AA$15/2))^2+1)))</f>
        <v>0.111945618485189</v>
      </c>
      <c r="BF104" s="57" t="n">
        <f aca="false">MAX(0,AJ104-MAX(AI104,$AA$23))/AK104*IF(BC104&gt;=Input!$AA$21*AQ104,1,0)</f>
        <v>1</v>
      </c>
      <c r="BG104" s="57" t="n">
        <f aca="false">4*Input!$AA$14*(Input!$AA$15/2)*(1-AY104^2)/AX104*((BD104-BD103)+(1-2*AY104)/(1-AY104)*(BE104-BE103))*1000*BF104</f>
        <v>0.842993144568987</v>
      </c>
      <c r="BH104" s="57" t="n">
        <f aca="false">IF(AM104="Sand",0,0.009*(AR104-10))</f>
        <v>0.176985</v>
      </c>
      <c r="BI104" s="57" t="n">
        <f aca="false">BH104*Input!$AA$39</f>
        <v>0.035397</v>
      </c>
      <c r="BJ104" s="57" t="n">
        <f aca="false">IF(AM104="Sand",0,MAX(AV104/Input!$AA$40,AQ104))</f>
        <v>1136.36363636364</v>
      </c>
      <c r="BK104" s="57" t="n">
        <f aca="false">IF(AM104="Sand",0,1000*AK104/(1+AU104)*IF(AQ104+BC104&lt;=BJ104,BI104*LOG10((AQ104+BC104)/AQ104),BI104*LOG10(BJ104/AQ104)+BH104*LOG10((AQ104+BC104)/BJ104)))*BF104</f>
        <v>3.7104009300102</v>
      </c>
      <c r="BL104" s="57" t="n">
        <f aca="false">IF(AM104="Sand",0,10^(INDEX(Input!$Q$51:$Q$57,MIN(MATCH(MIN(MAX(AR104,30),120),Input!$C$51:$C$57,1),6))+(MIN(MAX(AR104,30),120)-INDEX(Input!$C$51:$C$57,MIN(MATCH(MIN(MAX(AR104,30),120),Input!$C$51:$C$57,1),6)))/(INDEX(Input!$C$51:$C$57,MIN(MATCH(MIN(MAX(AR104,30),120),Input!$C$51:$C$57,1),6)+1)-INDEX(Input!$C$51:$C$57,MIN(MATCH(MIN(MAX(AR104,30),120),Input!$C$51:$C$57,1),6)))*(INDEX(Input!$Q$51:$Q$57,MIN(MATCH(MIN(MAX(AR104,30),120),Input!$C$51:$C$57,1),6)+1)-INDEX(Input!$Q$51:$Q$57,MIN(MATCH(MIN(MAX(AR104,30),120),Input!$C$51:$C$57,1),6)))))</f>
        <v>0.003</v>
      </c>
      <c r="BM104" s="57" t="n">
        <f aca="false">IF(OR(AM104="Sand",BF104=0),0,Input!$AA$41*(AK104/2)^2/(BL104*0.0001*31536000))</f>
        <v>0.0504185692541857</v>
      </c>
      <c r="BN104" s="57" t="n">
        <f aca="false">MAX(0,MIN(AJ104,Input!$AA$20)-AI104)</f>
        <v>0</v>
      </c>
      <c r="BO104" s="57" t="n">
        <f aca="false">MAX(0,MIN(AJ104,Input!$AA$20)-MAX(AI104,$AA$23))</f>
        <v>0</v>
      </c>
      <c r="BP104" s="57" t="n">
        <f aca="false">BG104+BK104</f>
        <v>4.55339407457919</v>
      </c>
      <c r="BQ104" s="57" t="s">
        <v>198</v>
      </c>
    </row>
    <row r="105" customFormat="false" ht="14.25" hidden="false" customHeight="false" outlineLevel="0" collapsed="false">
      <c r="B105" s="7"/>
      <c r="C105" s="46" t="n">
        <v>23</v>
      </c>
      <c r="D105" s="46"/>
      <c r="E105" s="44" t="n">
        <f aca="false">AI105</f>
        <v>33</v>
      </c>
      <c r="F105" s="44"/>
      <c r="G105" s="44"/>
      <c r="H105" s="44" t="n">
        <f aca="false">AJ105</f>
        <v>34.5</v>
      </c>
      <c r="I105" s="44"/>
      <c r="J105" s="44"/>
      <c r="K105" s="41" t="str">
        <f aca="false">AM105</f>
        <v>Clay</v>
      </c>
      <c r="L105" s="41"/>
      <c r="M105" s="41"/>
      <c r="N105" s="46" t="n">
        <f aca="false">AN105</f>
        <v>50</v>
      </c>
      <c r="O105" s="46"/>
      <c r="P105" s="46"/>
      <c r="Q105" s="42" t="n">
        <f aca="false">AO105</f>
        <v>19.2</v>
      </c>
      <c r="R105" s="42"/>
      <c r="S105" s="42"/>
      <c r="T105" s="46" t="n">
        <f aca="false">IF(AR105="","-",AR105)</f>
        <v>29.665</v>
      </c>
      <c r="U105" s="46"/>
      <c r="V105" s="46" t="n">
        <f aca="false">IF(AT105="","-",AT105)</f>
        <v>9.859</v>
      </c>
      <c r="W105" s="46"/>
      <c r="X105" s="44" t="n">
        <f aca="false">AU105</f>
        <v>0.681</v>
      </c>
      <c r="Y105" s="44"/>
      <c r="Z105" s="55" t="n">
        <f aca="false">AV105</f>
        <v>250</v>
      </c>
      <c r="AA105" s="55"/>
      <c r="AB105" s="55"/>
      <c r="AC105" s="42" t="n">
        <f aca="false">AW105</f>
        <v>30</v>
      </c>
      <c r="AD105" s="42"/>
      <c r="AE105" s="42"/>
      <c r="AF105" s="12"/>
      <c r="AI105" s="56" t="n">
        <v>33</v>
      </c>
      <c r="AJ105" s="56" t="n">
        <v>34.5</v>
      </c>
      <c r="AK105" s="57" t="n">
        <f aca="false">AJ105-AI105</f>
        <v>1.5</v>
      </c>
      <c r="AL105" s="57" t="n">
        <f aca="false">(AI105+AJ105)/2</f>
        <v>33.75</v>
      </c>
      <c r="AM105" s="56" t="s">
        <v>196</v>
      </c>
      <c r="AN105" s="56" t="n">
        <v>50</v>
      </c>
      <c r="AO105" s="58" t="n">
        <f aca="false">IF(AL105&gt;$AA$20,$AA$22,$AA$21)</f>
        <v>19.2</v>
      </c>
      <c r="AP105" s="57" t="n">
        <f aca="false">AP104+AO105*AK105</f>
        <v>649.8</v>
      </c>
      <c r="AQ105" s="57" t="n">
        <f aca="false">AP105-AO105*AK105/2-10*MAX(AL105-$AA$20,0)</f>
        <v>387.9</v>
      </c>
      <c r="AR105" s="56" t="n">
        <v>29.665</v>
      </c>
      <c r="AS105" s="56" t="n">
        <v>19.806</v>
      </c>
      <c r="AT105" s="57" t="n">
        <f aca="false">IF(AR105="","",AR105-AS105)</f>
        <v>9.859</v>
      </c>
      <c r="AU105" s="56" t="n">
        <v>0.681</v>
      </c>
      <c r="AV105" s="57" t="n">
        <f aca="false">IF(AM105="Sand",0,Input!$AA$34*AN105)</f>
        <v>250</v>
      </c>
      <c r="AW105" s="57" t="n">
        <f aca="false">IF(AM105="Sand",27.1+0.3*MIN(Input!$AA$35*AN105,60)-0.00054*MIN(Input!$AA$35*AN105,60)^2,MIN(MAX(DEGREES(ASIN(0.8-0.094*LN(MAX(IF(AT105="",10,AT105),5)))),20),30))</f>
        <v>30</v>
      </c>
      <c r="AX105" s="57" t="n">
        <f aca="false">IF(AM105="Sand",Input!$AA$36*Input!$AA$35*AN105,Input!$AA$37*AV105)</f>
        <v>125000</v>
      </c>
      <c r="AY105" s="57" t="n">
        <f aca="false">IF(AM105="Sand",Input!$AA$38,0.5)</f>
        <v>0.5</v>
      </c>
      <c r="AZ105" s="57" t="n">
        <f aca="false">Input!$AA$15/2/AL105</f>
        <v>1.0962962962963</v>
      </c>
      <c r="BA105" s="57" t="n">
        <f aca="false">Input!$AA$16/2/AL105</f>
        <v>2.99259259259259</v>
      </c>
      <c r="BB105" s="57" t="n">
        <f aca="false">1/(4*PI())*(2*AZ105*BA105*SQRT(AZ105^2+BA105^2+1)/(AZ105^2+BA105^2+1+AZ105^2*BA105^2)*(AZ105^2+BA105^2+2)/(AZ105^2+BA105^2+1)+ATAN2(AZ105^2+BA105^2+1-AZ105^2*BA105^2,2*AZ105*BA105*SQRT(AZ105^2+BA105^2+1)))</f>
        <v>0.210265162671487</v>
      </c>
      <c r="BC105" s="57" t="n">
        <f aca="false">4*Input!$AA$14*BB105</f>
        <v>114.384248493289</v>
      </c>
      <c r="BD105" s="57" t="n">
        <f aca="false">((Input!$AA$16/Input!$AA$15)*LN((1+SQRT((Input!$AA$16/Input!$AA$15)^2+1))*SQRT((Input!$AA$16/Input!$AA$15)^2+(AJ105/(Input!$AA$15/2))^2)/((Input!$AA$16/Input!$AA$15)*(1+SQRT((Input!$AA$16/Input!$AA$15)^2+(AJ105/(Input!$AA$15/2))^2+1))))+LN(((Input!$AA$16/Input!$AA$15)+SQRT((Input!$AA$16/Input!$AA$15)^2+1))*SQRT(1+(AJ105/(Input!$AA$15/2))^2)/((Input!$AA$16/Input!$AA$15)+SQRT((Input!$AA$16/Input!$AA$15)^2+(AJ105/(Input!$AA$15/2))^2+1))))/PI()</f>
        <v>0.107536123549061</v>
      </c>
      <c r="BE105" s="57" t="n">
        <f aca="false">(AJ105/(Input!$AA$15/2))/(2*PI())*ATAN((Input!$AA$16/Input!$AA$15)/((AJ105/(Input!$AA$15/2))*SQRT((Input!$AA$16/Input!$AA$15)^2+(AJ105/(Input!$AA$15/2))^2+1)))</f>
        <v>0.113441066921048</v>
      </c>
      <c r="BF105" s="57" t="n">
        <f aca="false">MAX(0,AJ105-MAX(AI105,$AA$23))/AK105*IF(BC105&gt;=Input!$AA$21*AQ105,1,0)</f>
        <v>1</v>
      </c>
      <c r="BG105" s="57" t="n">
        <f aca="false">4*Input!$AA$14*(Input!$AA$15/2)*(1-AY105^2)/AX105*((BD105-BD104)+(1-2*AY105)/(1-AY105)*(BE105-BE104))*1000*BF105</f>
        <v>0.848848585801754</v>
      </c>
      <c r="BH105" s="57" t="n">
        <f aca="false">IF(AM105="Sand",0,0.009*(AR105-10))</f>
        <v>0.176985</v>
      </c>
      <c r="BI105" s="57" t="n">
        <f aca="false">BH105*Input!$AA$39</f>
        <v>0.035397</v>
      </c>
      <c r="BJ105" s="57" t="n">
        <f aca="false">IF(AM105="Sand",0,MAX(AV105/Input!$AA$40,AQ105))</f>
        <v>1136.36363636364</v>
      </c>
      <c r="BK105" s="57" t="n">
        <f aca="false">IF(AM105="Sand",0,1000*AK105/(1+AU105)*IF(AQ105+BC105&lt;=BJ105,BI105*LOG10((AQ105+BC105)/AQ105),BI105*LOG10(BJ105/AQ105)+BH105*LOG10((AQ105+BC105)/BJ105)))*BF105</f>
        <v>3.54485202413246</v>
      </c>
      <c r="BL105" s="57" t="n">
        <f aca="false">IF(AM105="Sand",0,10^(INDEX(Input!$Q$51:$Q$57,MIN(MATCH(MIN(MAX(AR105,30),120),Input!$C$51:$C$57,1),6))+(MIN(MAX(AR105,30),120)-INDEX(Input!$C$51:$C$57,MIN(MATCH(MIN(MAX(AR105,30),120),Input!$C$51:$C$57,1),6)))/(INDEX(Input!$C$51:$C$57,MIN(MATCH(MIN(MAX(AR105,30),120),Input!$C$51:$C$57,1),6)+1)-INDEX(Input!$C$51:$C$57,MIN(MATCH(MIN(MAX(AR105,30),120),Input!$C$51:$C$57,1),6)))*(INDEX(Input!$Q$51:$Q$57,MIN(MATCH(MIN(MAX(AR105,30),120),Input!$C$51:$C$57,1),6)+1)-INDEX(Input!$Q$51:$Q$57,MIN(MATCH(MIN(MAX(AR105,30),120),Input!$C$51:$C$57,1),6)))))</f>
        <v>0.003</v>
      </c>
      <c r="BM105" s="57" t="n">
        <f aca="false">IF(OR(AM105="Sand",BF105=0),0,Input!$AA$41*(AK105/2)^2/(BL105*0.0001*31536000))</f>
        <v>0.0504185692541857</v>
      </c>
      <c r="BN105" s="57" t="n">
        <f aca="false">MAX(0,MIN(AJ105,Input!$AA$20)-AI105)</f>
        <v>0</v>
      </c>
      <c r="BO105" s="57" t="n">
        <f aca="false">MAX(0,MIN(AJ105,Input!$AA$20)-MAX(AI105,$AA$23))</f>
        <v>0</v>
      </c>
      <c r="BP105" s="57" t="n">
        <f aca="false">BG105+BK105</f>
        <v>4.39370060993421</v>
      </c>
      <c r="BQ105" s="57" t="s">
        <v>198</v>
      </c>
    </row>
    <row r="106" customFormat="false" ht="14.25" hidden="false" customHeight="false" outlineLevel="0" collapsed="false">
      <c r="B106" s="7"/>
      <c r="C106" s="46" t="n">
        <v>24</v>
      </c>
      <c r="D106" s="46"/>
      <c r="E106" s="44" t="n">
        <f aca="false">AI106</f>
        <v>34.5</v>
      </c>
      <c r="F106" s="44"/>
      <c r="G106" s="44"/>
      <c r="H106" s="44" t="n">
        <f aca="false">AJ106</f>
        <v>36</v>
      </c>
      <c r="I106" s="44"/>
      <c r="J106" s="44"/>
      <c r="K106" s="41" t="str">
        <f aca="false">AM106</f>
        <v>Clay</v>
      </c>
      <c r="L106" s="41"/>
      <c r="M106" s="41"/>
      <c r="N106" s="46" t="n">
        <f aca="false">AN106</f>
        <v>50</v>
      </c>
      <c r="O106" s="46"/>
      <c r="P106" s="46"/>
      <c r="Q106" s="42" t="n">
        <f aca="false">AO106</f>
        <v>19.2</v>
      </c>
      <c r="R106" s="42"/>
      <c r="S106" s="42"/>
      <c r="T106" s="46" t="n">
        <f aca="false">IF(AR106="","-",AR106)</f>
        <v>25.39</v>
      </c>
      <c r="U106" s="46"/>
      <c r="V106" s="46" t="n">
        <f aca="false">IF(AT106="","-",AT106)</f>
        <v>10.31</v>
      </c>
      <c r="W106" s="46"/>
      <c r="X106" s="44" t="n">
        <f aca="false">AU106</f>
        <v>0.51</v>
      </c>
      <c r="Y106" s="44"/>
      <c r="Z106" s="55" t="n">
        <f aca="false">AV106</f>
        <v>250</v>
      </c>
      <c r="AA106" s="55"/>
      <c r="AB106" s="55"/>
      <c r="AC106" s="42" t="n">
        <f aca="false">AW106</f>
        <v>30</v>
      </c>
      <c r="AD106" s="42"/>
      <c r="AE106" s="42"/>
      <c r="AF106" s="12"/>
      <c r="AI106" s="56" t="n">
        <v>34.5</v>
      </c>
      <c r="AJ106" s="56" t="n">
        <v>36</v>
      </c>
      <c r="AK106" s="57" t="n">
        <f aca="false">AJ106-AI106</f>
        <v>1.5</v>
      </c>
      <c r="AL106" s="57" t="n">
        <f aca="false">(AI106+AJ106)/2</f>
        <v>35.25</v>
      </c>
      <c r="AM106" s="56" t="s">
        <v>196</v>
      </c>
      <c r="AN106" s="56" t="n">
        <v>50</v>
      </c>
      <c r="AO106" s="58" t="n">
        <f aca="false">IF(AL106&gt;$AA$20,$AA$22,$AA$21)</f>
        <v>19.2</v>
      </c>
      <c r="AP106" s="57" t="n">
        <f aca="false">AP105+AO106*AK106</f>
        <v>678.6</v>
      </c>
      <c r="AQ106" s="57" t="n">
        <f aca="false">AP106-AO106*AK106/2-10*MAX(AL106-$AA$20,0)</f>
        <v>401.7</v>
      </c>
      <c r="AR106" s="56" t="n">
        <v>25.39</v>
      </c>
      <c r="AS106" s="56" t="n">
        <v>15.08</v>
      </c>
      <c r="AT106" s="57" t="n">
        <f aca="false">IF(AR106="","",AR106-AS106)</f>
        <v>10.31</v>
      </c>
      <c r="AU106" s="56" t="n">
        <v>0.51</v>
      </c>
      <c r="AV106" s="57" t="n">
        <f aca="false">IF(AM106="Sand",0,Input!$AA$34*AN106)</f>
        <v>250</v>
      </c>
      <c r="AW106" s="57" t="n">
        <f aca="false">IF(AM106="Sand",27.1+0.3*MIN(Input!$AA$35*AN106,60)-0.00054*MIN(Input!$AA$35*AN106,60)^2,MIN(MAX(DEGREES(ASIN(0.8-0.094*LN(MAX(IF(AT106="",10,AT106),5)))),20),30))</f>
        <v>30</v>
      </c>
      <c r="AX106" s="57" t="n">
        <f aca="false">IF(AM106="Sand",Input!$AA$36*Input!$AA$35*AN106,Input!$AA$37*AV106)</f>
        <v>125000</v>
      </c>
      <c r="AY106" s="57" t="n">
        <f aca="false">IF(AM106="Sand",Input!$AA$38,0.5)</f>
        <v>0.5</v>
      </c>
      <c r="AZ106" s="57" t="n">
        <f aca="false">Input!$AA$15/2/AL106</f>
        <v>1.04964539007092</v>
      </c>
      <c r="BA106" s="57" t="n">
        <f aca="false">Input!$AA$16/2/AL106</f>
        <v>2.86524822695035</v>
      </c>
      <c r="BB106" s="57" t="n">
        <f aca="false">1/(4*PI())*(2*AZ106*BA106*SQRT(AZ106^2+BA106^2+1)/(AZ106^2+BA106^2+1+AZ106^2*BA106^2)*(AZ106^2+BA106^2+2)/(AZ106^2+BA106^2+1)+ATAN2(AZ106^2+BA106^2+1-AZ106^2*BA106^2,2*AZ106*BA106*SQRT(AZ106^2+BA106^2+1)))</f>
        <v>0.206897854810704</v>
      </c>
      <c r="BC106" s="57" t="n">
        <f aca="false">4*Input!$AA$14*BB106</f>
        <v>112.552433017023</v>
      </c>
      <c r="BD106" s="57" t="n">
        <f aca="false">((Input!$AA$16/Input!$AA$15)*LN((1+SQRT((Input!$AA$16/Input!$AA$15)^2+1))*SQRT((Input!$AA$16/Input!$AA$15)^2+(AJ106/(Input!$AA$15/2))^2)/((Input!$AA$16/Input!$AA$15)*(1+SQRT((Input!$AA$16/Input!$AA$15)^2+(AJ106/(Input!$AA$15/2))^2+1))))+LN(((Input!$AA$16/Input!$AA$15)+SQRT((Input!$AA$16/Input!$AA$15)^2+1))*SQRT(1+(AJ106/(Input!$AA$15/2))^2)/((Input!$AA$16/Input!$AA$15)+SQRT((Input!$AA$16/Input!$AA$15)^2+(AJ106/(Input!$AA$15/2))^2+1))))/PI()</f>
        <v>0.114598360022051</v>
      </c>
      <c r="BE106" s="57" t="n">
        <f aca="false">(AJ106/(Input!$AA$15/2))/(2*PI())*ATAN((Input!$AA$16/Input!$AA$15)/((AJ106/(Input!$AA$15/2))*SQRT((Input!$AA$16/Input!$AA$15)^2+(AJ106/(Input!$AA$15/2))^2+1)))</f>
        <v>0.114766542433847</v>
      </c>
      <c r="BF106" s="57" t="n">
        <f aca="false">MAX(0,AJ106-MAX(AI106,$AA$23))/AK106*IF(BC106&gt;=Input!$AA$21*AQ106,1,0)</f>
        <v>1</v>
      </c>
      <c r="BG106" s="57" t="n">
        <f aca="false">4*Input!$AA$14*(Input!$AA$15/2)*(1-AY106^2)/AX106*((BD106-BD105)+(1-2*AY106)/(1-AY106)*(BE106-BE105))*1000*BF106</f>
        <v>0.852892174370052</v>
      </c>
      <c r="BH106" s="57" t="n">
        <f aca="false">IF(AM106="Sand",0,0.009*(AR106-10))</f>
        <v>0.13851</v>
      </c>
      <c r="BI106" s="57" t="n">
        <f aca="false">BH106*Input!$AA$39</f>
        <v>0.027702</v>
      </c>
      <c r="BJ106" s="57" t="n">
        <f aca="false">IF(AM106="Sand",0,MAX(AV106/Input!$AA$40,AQ106))</f>
        <v>1136.36363636364</v>
      </c>
      <c r="BK106" s="57" t="n">
        <f aca="false">IF(AM106="Sand",0,1000*AK106/(1+AU106)*IF(AQ106+BC106&lt;=BJ106,BI106*LOG10((AQ106+BC106)/AQ106),BI106*LOG10(BJ106/AQ106)+BH106*LOG10((AQ106+BC106)/BJ106)))*BF106</f>
        <v>2.95203858891761</v>
      </c>
      <c r="BL106" s="57" t="n">
        <f aca="false">IF(AM106="Sand",0,10^(INDEX(Input!$Q$51:$Q$57,MIN(MATCH(MIN(MAX(AR106,30),120),Input!$C$51:$C$57,1),6))+(MIN(MAX(AR106,30),120)-INDEX(Input!$C$51:$C$57,MIN(MATCH(MIN(MAX(AR106,30),120),Input!$C$51:$C$57,1),6)))/(INDEX(Input!$C$51:$C$57,MIN(MATCH(MIN(MAX(AR106,30),120),Input!$C$51:$C$57,1),6)+1)-INDEX(Input!$C$51:$C$57,MIN(MATCH(MIN(MAX(AR106,30),120),Input!$C$51:$C$57,1),6)))*(INDEX(Input!$Q$51:$Q$57,MIN(MATCH(MIN(MAX(AR106,30),120),Input!$C$51:$C$57,1),6)+1)-INDEX(Input!$Q$51:$Q$57,MIN(MATCH(MIN(MAX(AR106,30),120),Input!$C$51:$C$57,1),6)))))</f>
        <v>0.003</v>
      </c>
      <c r="BM106" s="57" t="n">
        <f aca="false">IF(OR(AM106="Sand",BF106=0),0,Input!$AA$41*(AK106/2)^2/(BL106*0.0001*31536000))</f>
        <v>0.0504185692541857</v>
      </c>
      <c r="BN106" s="57" t="n">
        <f aca="false">MAX(0,MIN(AJ106,Input!$AA$20)-AI106)</f>
        <v>0</v>
      </c>
      <c r="BO106" s="57" t="n">
        <f aca="false">MAX(0,MIN(AJ106,Input!$AA$20)-MAX(AI106,$AA$23))</f>
        <v>0</v>
      </c>
      <c r="BP106" s="57" t="n">
        <f aca="false">BG106+BK106</f>
        <v>3.80493076328766</v>
      </c>
      <c r="BQ106" s="57"/>
    </row>
    <row r="107" customFormat="false" ht="14.25" hidden="false" customHeight="false" outlineLevel="0" collapsed="false">
      <c r="B107" s="7"/>
      <c r="C107" s="46" t="n">
        <v>25</v>
      </c>
      <c r="D107" s="46"/>
      <c r="E107" s="44" t="n">
        <f aca="false">AI107</f>
        <v>36</v>
      </c>
      <c r="F107" s="44"/>
      <c r="G107" s="44"/>
      <c r="H107" s="44" t="n">
        <f aca="false">AJ107</f>
        <v>37.5</v>
      </c>
      <c r="I107" s="44"/>
      <c r="J107" s="44"/>
      <c r="K107" s="41" t="str">
        <f aca="false">AM107</f>
        <v>Sand</v>
      </c>
      <c r="L107" s="41"/>
      <c r="M107" s="41"/>
      <c r="N107" s="46" t="n">
        <f aca="false">AN107</f>
        <v>50</v>
      </c>
      <c r="O107" s="46"/>
      <c r="P107" s="46"/>
      <c r="Q107" s="42" t="n">
        <f aca="false">AO107</f>
        <v>19.2</v>
      </c>
      <c r="R107" s="42"/>
      <c r="S107" s="42"/>
      <c r="T107" s="46" t="str">
        <f aca="false">IF(AR107="","-",AR107)</f>
        <v>-</v>
      </c>
      <c r="U107" s="46"/>
      <c r="V107" s="46" t="str">
        <f aca="false">IF(AT107="","-",AT107)</f>
        <v>-</v>
      </c>
      <c r="W107" s="46"/>
      <c r="X107" s="44" t="n">
        <f aca="false">AU107</f>
        <v>0.65</v>
      </c>
      <c r="Y107" s="44"/>
      <c r="Z107" s="55" t="n">
        <f aca="false">AV107</f>
        <v>0</v>
      </c>
      <c r="AA107" s="55"/>
      <c r="AB107" s="55"/>
      <c r="AC107" s="42" t="n">
        <f aca="false">AW107</f>
        <v>41.76159985</v>
      </c>
      <c r="AD107" s="42"/>
      <c r="AE107" s="42"/>
      <c r="AF107" s="12"/>
      <c r="AI107" s="56" t="n">
        <v>36</v>
      </c>
      <c r="AJ107" s="56" t="n">
        <v>37.5</v>
      </c>
      <c r="AK107" s="57" t="n">
        <f aca="false">AJ107-AI107</f>
        <v>1.5</v>
      </c>
      <c r="AL107" s="57" t="n">
        <f aca="false">(AI107+AJ107)/2</f>
        <v>36.75</v>
      </c>
      <c r="AM107" s="56" t="s">
        <v>199</v>
      </c>
      <c r="AN107" s="56" t="n">
        <v>50</v>
      </c>
      <c r="AO107" s="58" t="n">
        <f aca="false">IF(AL107&gt;$AA$20,$AA$22,$AA$21)</f>
        <v>19.2</v>
      </c>
      <c r="AP107" s="57" t="n">
        <f aca="false">AP106+AO107*AK107</f>
        <v>707.4</v>
      </c>
      <c r="AQ107" s="57" t="n">
        <f aca="false">AP107-AO107*AK107/2-10*MAX(AL107-$AA$20,0)</f>
        <v>415.5</v>
      </c>
      <c r="AR107" s="56"/>
      <c r="AS107" s="56"/>
      <c r="AT107" s="57" t="str">
        <f aca="false">IF(AR107="","",AR107-AS107)</f>
        <v/>
      </c>
      <c r="AU107" s="56" t="n">
        <v>0.65</v>
      </c>
      <c r="AV107" s="57" t="n">
        <f aca="false">IF(AM107="Sand",0,Input!$AA$34*AN107)</f>
        <v>0</v>
      </c>
      <c r="AW107" s="57" t="n">
        <f aca="false">IF(AM107="Sand",27.1+0.3*MIN(Input!$AA$35*AN107,60)-0.00054*MIN(Input!$AA$35*AN107,60)^2,MIN(MAX(DEGREES(ASIN(0.8-0.094*LN(MAX(IF(AT107="",10,AT107),5)))),20),30))</f>
        <v>41.76159985</v>
      </c>
      <c r="AX107" s="57" t="n">
        <f aca="false">IF(AM107="Sand",Input!$AA$36*Input!$AA$35*AN107,Input!$AA$37*AV107)</f>
        <v>54150</v>
      </c>
      <c r="AY107" s="59" t="n">
        <f aca="false">IF(AM107="Sand",Input!$AA$38,0.5)</f>
        <v>0.3</v>
      </c>
      <c r="AZ107" s="57" t="n">
        <f aca="false">Input!$AA$15/2/AL107</f>
        <v>1.00680272108844</v>
      </c>
      <c r="BA107" s="57" t="n">
        <f aca="false">Input!$AA$16/2/AL107</f>
        <v>2.74829931972789</v>
      </c>
      <c r="BB107" s="57" t="n">
        <f aca="false">1/(4*PI())*(2*AZ107*BA107*SQRT(AZ107^2+BA107^2+1)/(AZ107^2+BA107^2+1+AZ107^2*BA107^2)*(AZ107^2+BA107^2+2)/(AZ107^2+BA107^2+1)+ATAN2(AZ107^2+BA107^2+1-AZ107^2*BA107^2,2*AZ107*BA107*SQRT(AZ107^2+BA107^2+1)))</f>
        <v>0.203507435681733</v>
      </c>
      <c r="BC107" s="57" t="n">
        <f aca="false">4*Input!$AA$14*BB107</f>
        <v>110.708045010863</v>
      </c>
      <c r="BD107" s="57" t="n">
        <f aca="false">((Input!$AA$16/Input!$AA$15)*LN((1+SQRT((Input!$AA$16/Input!$AA$15)^2+1))*SQRT((Input!$AA$16/Input!$AA$15)^2+(AJ107/(Input!$AA$15/2))^2)/((Input!$AA$16/Input!$AA$15)*(1+SQRT((Input!$AA$16/Input!$AA$15)^2+(AJ107/(Input!$AA$15/2))^2+1))))+LN(((Input!$AA$16/Input!$AA$15)+SQRT((Input!$AA$16/Input!$AA$15)^2+1))*SQRT(1+(AJ107/(Input!$AA$15/2))^2)/((Input!$AA$16/Input!$AA$15)+SQRT((Input!$AA$16/Input!$AA$15)^2+(AJ107/(Input!$AA$15/2))^2+1))))/PI()</f>
        <v>0.121680536390531</v>
      </c>
      <c r="BE107" s="57" t="n">
        <f aca="false">(AJ107/(Input!$AA$15/2))/(2*PI())*ATAN((Input!$AA$16/Input!$AA$15)/((AJ107/(Input!$AA$15/2))*SQRT((Input!$AA$16/Input!$AA$15)^2+(AJ107/(Input!$AA$15/2))^2+1)))</f>
        <v>0.115934648292991</v>
      </c>
      <c r="BF107" s="57" t="n">
        <f aca="false">MAX(0,AJ107-MAX(AI107,$AA$23))/AK107*IF(BC107&gt;=Input!$AA$21*AQ107,1,0)</f>
        <v>1</v>
      </c>
      <c r="BG107" s="57" t="n">
        <f aca="false">4*Input!$AA$14*(Input!$AA$15/2)*(1-AY107^2)/AX107*((BD107-BD106)+(1-2*AY107)/(1-AY107)*(BE107-BE106))*1000*BF107</f>
        <v>2.62135903731908</v>
      </c>
      <c r="BH107" s="57" t="n">
        <f aca="false">IF(AM107="Sand",0,0.009*(AR107-10))</f>
        <v>0</v>
      </c>
      <c r="BI107" s="57" t="n">
        <f aca="false">BH107*Input!$AA$39</f>
        <v>0</v>
      </c>
      <c r="BJ107" s="57" t="n">
        <f aca="false">IF(AM107="Sand",0,MAX(AV107/Input!$AA$40,AQ107))</f>
        <v>0</v>
      </c>
      <c r="BK107" s="57" t="n">
        <f aca="false">IF(AM107="Sand",0,1000*AK107/(1+AU107)*IF(AQ107+BC107&lt;=BJ107,BI107*LOG10((AQ107+BC107)/AQ107),BI107*LOG10(BJ107/AQ107)+BH107*LOG10((AQ107+BC107)/BJ107)))*BF107</f>
        <v>0</v>
      </c>
      <c r="BL107" s="57" t="n">
        <f aca="false">IF(AM107="Sand",0,10^(INDEX(Input!$Q$51:$Q$57,MIN(MATCH(MIN(MAX(AR107,30),120),Input!$C$51:$C$57,1),6))+(MIN(MAX(AR107,30),120)-INDEX(Input!$C$51:$C$57,MIN(MATCH(MIN(MAX(AR107,30),120),Input!$C$51:$C$57,1),6)))/(INDEX(Input!$C$51:$C$57,MIN(MATCH(MIN(MAX(AR107,30),120),Input!$C$51:$C$57,1),6)+1)-INDEX(Input!$C$51:$C$57,MIN(MATCH(MIN(MAX(AR107,30),120),Input!$C$51:$C$57,1),6)))*(INDEX(Input!$Q$51:$Q$57,MIN(MATCH(MIN(MAX(AR107,30),120),Input!$C$51:$C$57,1),6)+1)-INDEX(Input!$Q$51:$Q$57,MIN(MATCH(MIN(MAX(AR107,30),120),Input!$C$51:$C$57,1),6)))))</f>
        <v>0</v>
      </c>
      <c r="BM107" s="57" t="n">
        <f aca="false">IF(OR(AM107="Sand",BF107=0),0,Input!$AA$41*(AK107/2)^2/(BL107*0.0001*31536000))</f>
        <v>0</v>
      </c>
      <c r="BN107" s="57" t="n">
        <f aca="false">MAX(0,MIN(AJ107,Input!$AA$20)-AI107)</f>
        <v>0</v>
      </c>
      <c r="BO107" s="57" t="n">
        <f aca="false">MAX(0,MIN(AJ107,Input!$AA$20)-MAX(AI107,$AA$23))</f>
        <v>0</v>
      </c>
      <c r="BP107" s="57" t="n">
        <f aca="false">BG107+BK107</f>
        <v>2.62135903731908</v>
      </c>
      <c r="BQ107" s="57"/>
    </row>
    <row r="108" customFormat="false" ht="14.25" hidden="false" customHeight="false" outlineLevel="0" collapsed="false">
      <c r="B108" s="7"/>
      <c r="C108" s="46" t="n">
        <v>26</v>
      </c>
      <c r="D108" s="46"/>
      <c r="E108" s="44" t="n">
        <f aca="false">AI108</f>
        <v>37.5</v>
      </c>
      <c r="F108" s="44"/>
      <c r="G108" s="44"/>
      <c r="H108" s="44" t="n">
        <f aca="false">AJ108</f>
        <v>39</v>
      </c>
      <c r="I108" s="44"/>
      <c r="J108" s="44"/>
      <c r="K108" s="41" t="str">
        <f aca="false">AM108</f>
        <v>Clay</v>
      </c>
      <c r="L108" s="41"/>
      <c r="M108" s="41"/>
      <c r="N108" s="46" t="n">
        <f aca="false">AN108</f>
        <v>50</v>
      </c>
      <c r="O108" s="46"/>
      <c r="P108" s="46"/>
      <c r="Q108" s="42" t="n">
        <f aca="false">AO108</f>
        <v>19.2</v>
      </c>
      <c r="R108" s="42"/>
      <c r="S108" s="42"/>
      <c r="T108" s="46" t="n">
        <f aca="false">IF(AR108="","-",AR108)</f>
        <v>42.56</v>
      </c>
      <c r="U108" s="46"/>
      <c r="V108" s="46" t="n">
        <f aca="false">IF(AT108="","-",AT108)</f>
        <v>15.29</v>
      </c>
      <c r="W108" s="46"/>
      <c r="X108" s="44" t="n">
        <f aca="false">AU108</f>
        <v>1.001</v>
      </c>
      <c r="Y108" s="44"/>
      <c r="Z108" s="55" t="n">
        <f aca="false">AV108</f>
        <v>250</v>
      </c>
      <c r="AA108" s="55"/>
      <c r="AB108" s="55"/>
      <c r="AC108" s="42" t="n">
        <f aca="false">AW108</f>
        <v>30</v>
      </c>
      <c r="AD108" s="42"/>
      <c r="AE108" s="42"/>
      <c r="AF108" s="12"/>
      <c r="AI108" s="56" t="n">
        <v>37.5</v>
      </c>
      <c r="AJ108" s="56" t="n">
        <v>39</v>
      </c>
      <c r="AK108" s="57" t="n">
        <f aca="false">AJ108-AI108</f>
        <v>1.5</v>
      </c>
      <c r="AL108" s="57" t="n">
        <f aca="false">(AI108+AJ108)/2</f>
        <v>38.25</v>
      </c>
      <c r="AM108" s="56" t="s">
        <v>196</v>
      </c>
      <c r="AN108" s="56" t="n">
        <v>50</v>
      </c>
      <c r="AO108" s="58" t="n">
        <f aca="false">IF(AL108&gt;$AA$20,$AA$22,$AA$21)</f>
        <v>19.2</v>
      </c>
      <c r="AP108" s="57" t="n">
        <f aca="false">AP107+AO108*AK108</f>
        <v>736.2</v>
      </c>
      <c r="AQ108" s="57" t="n">
        <f aca="false">AP108-AO108*AK108/2-10*MAX(AL108-$AA$20,0)</f>
        <v>429.3</v>
      </c>
      <c r="AR108" s="56" t="n">
        <v>42.56</v>
      </c>
      <c r="AS108" s="56" t="n">
        <v>27.27</v>
      </c>
      <c r="AT108" s="57" t="n">
        <f aca="false">IF(AR108="","",AR108-AS108)</f>
        <v>15.29</v>
      </c>
      <c r="AU108" s="56" t="n">
        <v>1.001</v>
      </c>
      <c r="AV108" s="57" t="n">
        <f aca="false">IF(AM108="Sand",0,Input!$AA$34*AN108)</f>
        <v>250</v>
      </c>
      <c r="AW108" s="57" t="n">
        <f aca="false">IF(AM108="Sand",27.1+0.3*MIN(Input!$AA$35*AN108,60)-0.00054*MIN(Input!$AA$35*AN108,60)^2,MIN(MAX(DEGREES(ASIN(0.8-0.094*LN(MAX(IF(AT108="",10,AT108),5)))),20),30))</f>
        <v>30</v>
      </c>
      <c r="AX108" s="57" t="n">
        <f aca="false">IF(AM108="Sand",Input!$AA$36*Input!$AA$35*AN108,Input!$AA$37*AV108)</f>
        <v>125000</v>
      </c>
      <c r="AY108" s="57" t="n">
        <f aca="false">IF(AM108="Sand",Input!$AA$38,0.5)</f>
        <v>0.5</v>
      </c>
      <c r="AZ108" s="57" t="n">
        <f aca="false">Input!$AA$15/2/AL108</f>
        <v>0.967320261437909</v>
      </c>
      <c r="BA108" s="57" t="n">
        <f aca="false">Input!$AA$16/2/AL108</f>
        <v>2.64052287581699</v>
      </c>
      <c r="BB108" s="57" t="n">
        <f aca="false">1/(4*PI())*(2*AZ108*BA108*SQRT(AZ108^2+BA108^2+1)/(AZ108^2+BA108^2+1+AZ108^2*BA108^2)*(AZ108^2+BA108^2+2)/(AZ108^2+BA108^2+1)+ATAN2(AZ108^2+BA108^2+1-AZ108^2*BA108^2,2*AZ108*BA108*SQRT(AZ108^2+BA108^2+1)))</f>
        <v>0.200105549876271</v>
      </c>
      <c r="BC108" s="57" t="n">
        <f aca="false">4*Input!$AA$14*BB108</f>
        <v>108.857419132691</v>
      </c>
      <c r="BD108" s="57" t="n">
        <f aca="false">((Input!$AA$16/Input!$AA$15)*LN((1+SQRT((Input!$AA$16/Input!$AA$15)^2+1))*SQRT((Input!$AA$16/Input!$AA$15)^2+(AJ108/(Input!$AA$15/2))^2)/((Input!$AA$16/Input!$AA$15)*(1+SQRT((Input!$AA$16/Input!$AA$15)^2+(AJ108/(Input!$AA$15/2))^2+1))))+LN(((Input!$AA$16/Input!$AA$15)+SQRT((Input!$AA$16/Input!$AA$15)^2+1))*SQRT(1+(AJ108/(Input!$AA$15/2))^2)/((Input!$AA$16/Input!$AA$15)+SQRT((Input!$AA$16/Input!$AA$15)^2+(AJ108/(Input!$AA$15/2))^2+1))))/PI()</f>
        <v>0.128770473532044</v>
      </c>
      <c r="BE108" s="57" t="n">
        <f aca="false">(AJ108/(Input!$AA$15/2))/(2*PI())*ATAN((Input!$AA$16/Input!$AA$15)/((AJ108/(Input!$AA$15/2))*SQRT((Input!$AA$16/Input!$AA$15)^2+(AJ108/(Input!$AA$15/2))^2+1)))</f>
        <v>0.116957096633813</v>
      </c>
      <c r="BF108" s="57" t="n">
        <f aca="false">MAX(0,AJ108-MAX(AI108,$AA$23))/AK108*IF(BC108&gt;=Input!$AA$21*AQ108,1,0)</f>
        <v>1</v>
      </c>
      <c r="BG108" s="57" t="n">
        <f aca="false">4*Input!$AA$14*(Input!$AA$15/2)*(1-AY108^2)/AX108*((BD108-BD107)+(1-2*AY108)/(1-AY108)*(BE108-BE107))*1000*BF108</f>
        <v>0.856237528706172</v>
      </c>
      <c r="BH108" s="57" t="n">
        <f aca="false">IF(AM108="Sand",0,0.009*(AR108-10))</f>
        <v>0.29304</v>
      </c>
      <c r="BI108" s="57" t="n">
        <f aca="false">BH108*Input!$AA$39</f>
        <v>0.058608</v>
      </c>
      <c r="BJ108" s="57" t="n">
        <f aca="false">IF(AM108="Sand",0,MAX(AV108/Input!$AA$40,AQ108))</f>
        <v>1136.36363636364</v>
      </c>
      <c r="BK108" s="57" t="n">
        <f aca="false">IF(AM108="Sand",0,1000*AK108/(1+AU108)*IF(AQ108+BC108&lt;=BJ108,BI108*LOG10((AQ108+BC108)/AQ108),BI108*LOG10(BJ108/AQ108)+BH108*LOG10((AQ108+BC108)/BJ108)))*BF108</f>
        <v>4.31205695108541</v>
      </c>
      <c r="BL108" s="57" t="n">
        <f aca="false">IF(AM108="Sand",0,10^(INDEX(Input!$Q$51:$Q$57,MIN(MATCH(MIN(MAX(AR108,30),120),Input!$C$51:$C$57,1),6))+(MIN(MAX(AR108,30),120)-INDEX(Input!$C$51:$C$57,MIN(MATCH(MIN(MAX(AR108,30),120),Input!$C$51:$C$57,1),6)))/(INDEX(Input!$C$51:$C$57,MIN(MATCH(MIN(MAX(AR108,30),120),Input!$C$51:$C$57,1),6)+1)-INDEX(Input!$C$51:$C$57,MIN(MATCH(MIN(MAX(AR108,30),120),Input!$C$51:$C$57,1),6)))*(INDEX(Input!$Q$51:$Q$57,MIN(MATCH(MIN(MAX(AR108,30),120),Input!$C$51:$C$57,1),6)+1)-INDEX(Input!$Q$51:$Q$57,MIN(MATCH(MIN(MAX(AR108,30),120),Input!$C$51:$C$57,1),6)))))</f>
        <v>0.00123411887608292</v>
      </c>
      <c r="BM108" s="57" t="n">
        <f aca="false">IF(OR(AM108="Sand",BF108=0),0,Input!$AA$41*(AK108/2)^2/(BL108*0.0001*31536000))</f>
        <v>0.122561700249364</v>
      </c>
      <c r="BN108" s="57" t="n">
        <f aca="false">MAX(0,MIN(AJ108,Input!$AA$20)-AI108)</f>
        <v>0</v>
      </c>
      <c r="BO108" s="57" t="n">
        <f aca="false">MAX(0,MIN(AJ108,Input!$AA$20)-MAX(AI108,$AA$23))</f>
        <v>0</v>
      </c>
      <c r="BP108" s="57" t="n">
        <f aca="false">BG108+BK108</f>
        <v>5.16829447979158</v>
      </c>
      <c r="BQ108" s="57"/>
    </row>
    <row r="109" customFormat="false" ht="14.25" hidden="false" customHeight="false" outlineLevel="0" collapsed="false">
      <c r="B109" s="7"/>
      <c r="C109" s="46" t="n">
        <v>27</v>
      </c>
      <c r="D109" s="46"/>
      <c r="E109" s="44" t="n">
        <f aca="false">AI109</f>
        <v>39</v>
      </c>
      <c r="F109" s="44"/>
      <c r="G109" s="44"/>
      <c r="H109" s="44" t="n">
        <f aca="false">AJ109</f>
        <v>40.5</v>
      </c>
      <c r="I109" s="44"/>
      <c r="J109" s="44"/>
      <c r="K109" s="41" t="str">
        <f aca="false">AM109</f>
        <v>Clay</v>
      </c>
      <c r="L109" s="41"/>
      <c r="M109" s="41"/>
      <c r="N109" s="46" t="n">
        <f aca="false">AN109</f>
        <v>50</v>
      </c>
      <c r="O109" s="46"/>
      <c r="P109" s="46"/>
      <c r="Q109" s="42" t="n">
        <f aca="false">AO109</f>
        <v>19.2</v>
      </c>
      <c r="R109" s="42"/>
      <c r="S109" s="42"/>
      <c r="T109" s="46" t="n">
        <f aca="false">IF(AR109="","-",AR109)</f>
        <v>29.665</v>
      </c>
      <c r="U109" s="46"/>
      <c r="V109" s="46" t="n">
        <f aca="false">IF(AT109="","-",AT109)</f>
        <v>9.859</v>
      </c>
      <c r="W109" s="46"/>
      <c r="X109" s="44" t="n">
        <f aca="false">AU109</f>
        <v>0.681</v>
      </c>
      <c r="Y109" s="44"/>
      <c r="Z109" s="55" t="n">
        <f aca="false">AV109</f>
        <v>250</v>
      </c>
      <c r="AA109" s="55"/>
      <c r="AB109" s="55"/>
      <c r="AC109" s="42" t="n">
        <f aca="false">AW109</f>
        <v>30</v>
      </c>
      <c r="AD109" s="42"/>
      <c r="AE109" s="42"/>
      <c r="AF109" s="12"/>
      <c r="AI109" s="56" t="n">
        <v>39</v>
      </c>
      <c r="AJ109" s="56" t="n">
        <v>40.5</v>
      </c>
      <c r="AK109" s="57" t="n">
        <f aca="false">AJ109-AI109</f>
        <v>1.5</v>
      </c>
      <c r="AL109" s="57" t="n">
        <f aca="false">(AI109+AJ109)/2</f>
        <v>39.75</v>
      </c>
      <c r="AM109" s="56" t="s">
        <v>196</v>
      </c>
      <c r="AN109" s="56" t="n">
        <v>50</v>
      </c>
      <c r="AO109" s="58" t="n">
        <f aca="false">IF(AL109&gt;$AA$20,$AA$22,$AA$21)</f>
        <v>19.2</v>
      </c>
      <c r="AP109" s="57" t="n">
        <f aca="false">AP108+AO109*AK109</f>
        <v>765</v>
      </c>
      <c r="AQ109" s="57" t="n">
        <f aca="false">AP109-AO109*AK109/2-10*MAX(AL109-$AA$20,0)</f>
        <v>443.1</v>
      </c>
      <c r="AR109" s="56" t="n">
        <v>29.665</v>
      </c>
      <c r="AS109" s="56" t="n">
        <v>19.806</v>
      </c>
      <c r="AT109" s="57" t="n">
        <f aca="false">IF(AR109="","",AR109-AS109)</f>
        <v>9.859</v>
      </c>
      <c r="AU109" s="56" t="n">
        <v>0.681</v>
      </c>
      <c r="AV109" s="57" t="n">
        <f aca="false">IF(AM109="Sand",0,Input!$AA$34*AN109)</f>
        <v>250</v>
      </c>
      <c r="AW109" s="57" t="n">
        <f aca="false">IF(AM109="Sand",27.1+0.3*MIN(Input!$AA$35*AN109,60)-0.00054*MIN(Input!$AA$35*AN109,60)^2,MIN(MAX(DEGREES(ASIN(0.8-0.094*LN(MAX(IF(AT109="",10,AT109),5)))),20),30))</f>
        <v>30</v>
      </c>
      <c r="AX109" s="57" t="n">
        <f aca="false">IF(AM109="Sand",Input!$AA$36*Input!$AA$35*AN109,Input!$AA$37*AV109)</f>
        <v>125000</v>
      </c>
      <c r="AY109" s="57" t="n">
        <f aca="false">IF(AM109="Sand",Input!$AA$38,0.5)</f>
        <v>0.5</v>
      </c>
      <c r="AZ109" s="57" t="n">
        <f aca="false">Input!$AA$15/2/AL109</f>
        <v>0.930817610062893</v>
      </c>
      <c r="BA109" s="57" t="n">
        <f aca="false">Input!$AA$16/2/AL109</f>
        <v>2.54088050314465</v>
      </c>
      <c r="BB109" s="57" t="n">
        <f aca="false">1/(4*PI())*(2*AZ109*BA109*SQRT(AZ109^2+BA109^2+1)/(AZ109^2+BA109^2+1+AZ109^2*BA109^2)*(AZ109^2+BA109^2+2)/(AZ109^2+BA109^2+1)+ATAN2(AZ109^2+BA109^2+1-AZ109^2*BA109^2,2*AZ109*BA109*SQRT(AZ109^2+BA109^2+1)))</f>
        <v>0.196702587440146</v>
      </c>
      <c r="BC109" s="57" t="n">
        <f aca="false">4*Input!$AA$14*BB109</f>
        <v>107.006207567439</v>
      </c>
      <c r="BD109" s="57" t="n">
        <f aca="false">((Input!$AA$16/Input!$AA$15)*LN((1+SQRT((Input!$AA$16/Input!$AA$15)^2+1))*SQRT((Input!$AA$16/Input!$AA$15)^2+(AJ109/(Input!$AA$15/2))^2)/((Input!$AA$16/Input!$AA$15)*(1+SQRT((Input!$AA$16/Input!$AA$15)^2+(AJ109/(Input!$AA$15/2))^2+1))))+LN(((Input!$AA$16/Input!$AA$15)+SQRT((Input!$AA$16/Input!$AA$15)^2+1))*SQRT(1+(AJ109/(Input!$AA$15/2))^2)/((Input!$AA$16/Input!$AA$15)+SQRT((Input!$AA$16/Input!$AA$15)^2+(AJ109/(Input!$AA$15/2))^2+1))))/PI()</f>
        <v>0.135857256153312</v>
      </c>
      <c r="BE109" s="57" t="n">
        <f aca="false">(AJ109/(Input!$AA$15/2))/(2*PI())*ATAN((Input!$AA$16/Input!$AA$15)/((AJ109/(Input!$AA$15/2))*SQRT((Input!$AA$16/Input!$AA$15)^2+(AJ109/(Input!$AA$15/2))^2+1)))</f>
        <v>0.117844757073459</v>
      </c>
      <c r="BF109" s="57" t="n">
        <f aca="false">MAX(0,AJ109-MAX(AI109,$AA$23))/AK109*IF(BC109&gt;=Input!$AA$21*AQ109,1,0)</f>
        <v>1</v>
      </c>
      <c r="BG109" s="57" t="n">
        <f aca="false">4*Input!$AA$14*(Input!$AA$15/2)*(1-AY109^2)/AX109*((BD109-BD108)+(1-2*AY109)/(1-AY109)*(BE109-BE108))*1000*BF109</f>
        <v>0.85585656360535</v>
      </c>
      <c r="BH109" s="57" t="n">
        <f aca="false">IF(AM109="Sand",0,0.009*(AR109-10))</f>
        <v>0.176985</v>
      </c>
      <c r="BI109" s="57" t="n">
        <f aca="false">BH109*Input!$AA$39</f>
        <v>0.035397</v>
      </c>
      <c r="BJ109" s="57" t="n">
        <f aca="false">IF(AM109="Sand",0,MAX(AV109/Input!$AA$40,AQ109))</f>
        <v>1136.36363636364</v>
      </c>
      <c r="BK109" s="57" t="n">
        <f aca="false">IF(AM109="Sand",0,1000*AK109/(1+AU109)*IF(AQ109+BC109&lt;=BJ109,BI109*LOG10((AQ109+BC109)/AQ109),BI109*LOG10(BJ109/AQ109)+BH109*LOG10((AQ109+BC109)/BJ109)))*BF109</f>
        <v>2.96730868403779</v>
      </c>
      <c r="BL109" s="57" t="n">
        <f aca="false">IF(AM109="Sand",0,10^(INDEX(Input!$Q$51:$Q$57,MIN(MATCH(MIN(MAX(AR109,30),120),Input!$C$51:$C$57,1),6))+(MIN(MAX(AR109,30),120)-INDEX(Input!$C$51:$C$57,MIN(MATCH(MIN(MAX(AR109,30),120),Input!$C$51:$C$57,1),6)))/(INDEX(Input!$C$51:$C$57,MIN(MATCH(MIN(MAX(AR109,30),120),Input!$C$51:$C$57,1),6)+1)-INDEX(Input!$C$51:$C$57,MIN(MATCH(MIN(MAX(AR109,30),120),Input!$C$51:$C$57,1),6)))*(INDEX(Input!$Q$51:$Q$57,MIN(MATCH(MIN(MAX(AR109,30),120),Input!$C$51:$C$57,1),6)+1)-INDEX(Input!$Q$51:$Q$57,MIN(MATCH(MIN(MAX(AR109,30),120),Input!$C$51:$C$57,1),6)))))</f>
        <v>0.003</v>
      </c>
      <c r="BM109" s="57" t="n">
        <f aca="false">IF(OR(AM109="Sand",BF109=0),0,Input!$AA$41*(AK109/2)^2/(BL109*0.0001*31536000))</f>
        <v>0.0504185692541857</v>
      </c>
      <c r="BN109" s="57" t="n">
        <f aca="false">MAX(0,MIN(AJ109,Input!$AA$20)-AI109)</f>
        <v>0</v>
      </c>
      <c r="BO109" s="57" t="n">
        <f aca="false">MAX(0,MIN(AJ109,Input!$AA$20)-MAX(AI109,$AA$23))</f>
        <v>0</v>
      </c>
      <c r="BP109" s="57" t="n">
        <f aca="false">BG109+BK109</f>
        <v>3.82316524764314</v>
      </c>
      <c r="BQ109" s="57" t="s">
        <v>198</v>
      </c>
    </row>
    <row r="110" customFormat="false" ht="14.25" hidden="false" customHeight="false" outlineLevel="0" collapsed="false">
      <c r="B110" s="7"/>
      <c r="C110" s="46" t="n">
        <v>28</v>
      </c>
      <c r="D110" s="46"/>
      <c r="E110" s="44" t="n">
        <f aca="false">AI110</f>
        <v>40.5</v>
      </c>
      <c r="F110" s="44"/>
      <c r="G110" s="44"/>
      <c r="H110" s="44" t="n">
        <f aca="false">AJ110</f>
        <v>42</v>
      </c>
      <c r="I110" s="44"/>
      <c r="J110" s="44"/>
      <c r="K110" s="41" t="str">
        <f aca="false">AM110</f>
        <v>Clay</v>
      </c>
      <c r="L110" s="41"/>
      <c r="M110" s="41"/>
      <c r="N110" s="46" t="n">
        <f aca="false">AN110</f>
        <v>50</v>
      </c>
      <c r="O110" s="46"/>
      <c r="P110" s="46"/>
      <c r="Q110" s="42" t="n">
        <f aca="false">AO110</f>
        <v>19.2</v>
      </c>
      <c r="R110" s="42"/>
      <c r="S110" s="42"/>
      <c r="T110" s="46" t="n">
        <f aca="false">IF(AR110="","-",AR110)</f>
        <v>36.82</v>
      </c>
      <c r="U110" s="46"/>
      <c r="V110" s="46" t="n">
        <f aca="false">IF(AT110="","-",AT110)</f>
        <v>16.5</v>
      </c>
      <c r="W110" s="46"/>
      <c r="X110" s="44" t="n">
        <f aca="false">AU110</f>
        <v>0.836</v>
      </c>
      <c r="Y110" s="44"/>
      <c r="Z110" s="55" t="n">
        <f aca="false">AV110</f>
        <v>250</v>
      </c>
      <c r="AA110" s="55"/>
      <c r="AB110" s="55"/>
      <c r="AC110" s="42" t="n">
        <f aca="false">AW110</f>
        <v>30</v>
      </c>
      <c r="AD110" s="42"/>
      <c r="AE110" s="42"/>
      <c r="AF110" s="12"/>
      <c r="AI110" s="56" t="n">
        <v>40.5</v>
      </c>
      <c r="AJ110" s="56" t="n">
        <v>42</v>
      </c>
      <c r="AK110" s="57" t="n">
        <f aca="false">AJ110-AI110</f>
        <v>1.5</v>
      </c>
      <c r="AL110" s="57" t="n">
        <f aca="false">(AI110+AJ110)/2</f>
        <v>41.25</v>
      </c>
      <c r="AM110" s="56" t="s">
        <v>196</v>
      </c>
      <c r="AN110" s="56" t="n">
        <v>50</v>
      </c>
      <c r="AO110" s="58" t="n">
        <f aca="false">IF(AL110&gt;$AA$20,$AA$22,$AA$21)</f>
        <v>19.2</v>
      </c>
      <c r="AP110" s="57" t="n">
        <f aca="false">AP109+AO110*AK110</f>
        <v>793.8</v>
      </c>
      <c r="AQ110" s="57" t="n">
        <f aca="false">AP110-AO110*AK110/2-10*MAX(AL110-$AA$20,0)</f>
        <v>456.9</v>
      </c>
      <c r="AR110" s="56" t="n">
        <v>36.82</v>
      </c>
      <c r="AS110" s="56" t="n">
        <v>20.32</v>
      </c>
      <c r="AT110" s="57" t="n">
        <f aca="false">IF(AR110="","",AR110-AS110)</f>
        <v>16.5</v>
      </c>
      <c r="AU110" s="56" t="n">
        <v>0.836</v>
      </c>
      <c r="AV110" s="57" t="n">
        <f aca="false">IF(AM110="Sand",0,Input!$AA$34*AN110)</f>
        <v>250</v>
      </c>
      <c r="AW110" s="57" t="n">
        <f aca="false">IF(AM110="Sand",27.1+0.3*MIN(Input!$AA$35*AN110,60)-0.00054*MIN(Input!$AA$35*AN110,60)^2,MIN(MAX(DEGREES(ASIN(0.8-0.094*LN(MAX(IF(AT110="",10,AT110),5)))),20),30))</f>
        <v>30</v>
      </c>
      <c r="AX110" s="57" t="n">
        <f aca="false">IF(AM110="Sand",Input!$AA$36*Input!$AA$35*AN110,Input!$AA$37*AV110)</f>
        <v>125000</v>
      </c>
      <c r="AY110" s="57" t="n">
        <f aca="false">IF(AM110="Sand",Input!$AA$38,0.5)</f>
        <v>0.5</v>
      </c>
      <c r="AZ110" s="57" t="n">
        <f aca="false">Input!$AA$15/2/AL110</f>
        <v>0.896969696969697</v>
      </c>
      <c r="BA110" s="57" t="n">
        <f aca="false">Input!$AA$16/2/AL110</f>
        <v>2.44848484848485</v>
      </c>
      <c r="BB110" s="57" t="n">
        <f aca="false">1/(4*PI())*(2*AZ110*BA110*SQRT(AZ110^2+BA110^2+1)/(AZ110^2+BA110^2+1+AZ110^2*BA110^2)*(AZ110^2+BA110^2+2)/(AZ110^2+BA110^2+1)+ATAN2(AZ110^2+BA110^2+1-AZ110^2*BA110^2,2*AZ110*BA110*SQRT(AZ110^2+BA110^2+1)))</f>
        <v>0.193307738368962</v>
      </c>
      <c r="BC110" s="57" t="n">
        <f aca="false">4*Input!$AA$14*BB110</f>
        <v>105.159409672716</v>
      </c>
      <c r="BD110" s="57" t="n">
        <f aca="false">((Input!$AA$16/Input!$AA$15)*LN((1+SQRT((Input!$AA$16/Input!$AA$15)^2+1))*SQRT((Input!$AA$16/Input!$AA$15)^2+(AJ110/(Input!$AA$15/2))^2)/((Input!$AA$16/Input!$AA$15)*(1+SQRT((Input!$AA$16/Input!$AA$15)^2+(AJ110/(Input!$AA$15/2))^2+1))))+LN(((Input!$AA$16/Input!$AA$15)+SQRT((Input!$AA$16/Input!$AA$15)^2+1))*SQRT(1+(AJ110/(Input!$AA$15/2))^2)/((Input!$AA$16/Input!$AA$15)+SQRT((Input!$AA$16/Input!$AA$15)^2+(AJ110/(Input!$AA$15/2))^2+1))))/PI()</f>
        <v>0.142931133731755</v>
      </c>
      <c r="BE110" s="57" t="n">
        <f aca="false">(AJ110/(Input!$AA$15/2))/(2*PI())*ATAN((Input!$AA$16/Input!$AA$15)/((AJ110/(Input!$AA$15/2))*SQRT((Input!$AA$16/Input!$AA$15)^2+(AJ110/(Input!$AA$15/2))^2+1)))</f>
        <v>0.118607707144671</v>
      </c>
      <c r="BF110" s="57" t="n">
        <f aca="false">MAX(0,AJ110-MAX(AI110,$AA$23))/AK110*IF(BC110&gt;=Input!$AA$21*AQ110,1,0)</f>
        <v>1</v>
      </c>
      <c r="BG110" s="57" t="n">
        <f aca="false">4*Input!$AA$14*(Input!$AA$15/2)*(1-AY110^2)/AX110*((BD110-BD109)+(1-2*AY110)/(1-AY110)*(BE110-BE109))*1000*BF110</f>
        <v>0.85429804739342</v>
      </c>
      <c r="BH110" s="57" t="n">
        <f aca="false">IF(AM110="Sand",0,0.009*(AR110-10))</f>
        <v>0.24138</v>
      </c>
      <c r="BI110" s="57" t="n">
        <f aca="false">BH110*Input!$AA$39</f>
        <v>0.048276</v>
      </c>
      <c r="BJ110" s="57" t="n">
        <f aca="false">IF(AM110="Sand",0,MAX(AV110/Input!$AA$40,AQ110))</f>
        <v>1136.36363636364</v>
      </c>
      <c r="BK110" s="57" t="n">
        <f aca="false">IF(AM110="Sand",0,1000*AK110/(1+AU110)*IF(AQ110+BC110&lt;=BJ110,BI110*LOG10((AQ110+BC110)/AQ110),BI110*LOG10(BJ110/AQ110)+BH110*LOG10((AQ110+BC110)/BJ110)))*BF110</f>
        <v>3.54817023466543</v>
      </c>
      <c r="BL110" s="57" t="n">
        <f aca="false">IF(AM110="Sand",0,10^(INDEX(Input!$Q$51:$Q$57,MIN(MATCH(MIN(MAX(AR110,30),120),Input!$C$51:$C$57,1),6))+(MIN(MAX(AR110,30),120)-INDEX(Input!$C$51:$C$57,MIN(MATCH(MIN(MAX(AR110,30),120),Input!$C$51:$C$57,1),6)))/(INDEX(Input!$C$51:$C$57,MIN(MATCH(MIN(MAX(AR110,30),120),Input!$C$51:$C$57,1),6)+1)-INDEX(Input!$C$51:$C$57,MIN(MATCH(MIN(MAX(AR110,30),120),Input!$C$51:$C$57,1),6)))*(INDEX(Input!$Q$51:$Q$57,MIN(MATCH(MIN(MAX(AR110,30),120),Input!$C$51:$C$57,1),6)+1)-INDEX(Input!$Q$51:$Q$57,MIN(MATCH(MIN(MAX(AR110,30),120),Input!$C$51:$C$57,1),6)))))</f>
        <v>0.00186990179141265</v>
      </c>
      <c r="BM110" s="57" t="n">
        <f aca="false">IF(OR(AM110="Sand",BF110=0),0,Input!$AA$41*(AK110/2)^2/(BL110*0.0001*31536000))</f>
        <v>0.0808896533802925</v>
      </c>
      <c r="BN110" s="57" t="n">
        <f aca="false">MAX(0,MIN(AJ110,Input!$AA$20)-AI110)</f>
        <v>0</v>
      </c>
      <c r="BO110" s="57" t="n">
        <f aca="false">MAX(0,MIN(AJ110,Input!$AA$20)-MAX(AI110,$AA$23))</f>
        <v>0</v>
      </c>
      <c r="BP110" s="57" t="n">
        <f aca="false">BG110+BK110</f>
        <v>4.40246828205885</v>
      </c>
      <c r="BQ110" s="57"/>
    </row>
    <row r="111" customFormat="false" ht="14.25" hidden="false" customHeight="false" outlineLevel="0" collapsed="false">
      <c r="B111" s="7"/>
      <c r="C111" s="46" t="n">
        <v>29</v>
      </c>
      <c r="D111" s="46"/>
      <c r="E111" s="44" t="n">
        <f aca="false">AI111</f>
        <v>42</v>
      </c>
      <c r="F111" s="44"/>
      <c r="G111" s="44"/>
      <c r="H111" s="44" t="n">
        <f aca="false">AJ111</f>
        <v>43.5</v>
      </c>
      <c r="I111" s="44"/>
      <c r="J111" s="44"/>
      <c r="K111" s="41" t="str">
        <f aca="false">AM111</f>
        <v>Clay</v>
      </c>
      <c r="L111" s="41"/>
      <c r="M111" s="41"/>
      <c r="N111" s="46" t="n">
        <f aca="false">AN111</f>
        <v>50</v>
      </c>
      <c r="O111" s="46"/>
      <c r="P111" s="46"/>
      <c r="Q111" s="42" t="n">
        <f aca="false">AO111</f>
        <v>19.2</v>
      </c>
      <c r="R111" s="42"/>
      <c r="S111" s="42"/>
      <c r="T111" s="46" t="n">
        <f aca="false">IF(AR111="","-",AR111)</f>
        <v>29.665</v>
      </c>
      <c r="U111" s="46"/>
      <c r="V111" s="46" t="n">
        <f aca="false">IF(AT111="","-",AT111)</f>
        <v>9.859</v>
      </c>
      <c r="W111" s="46"/>
      <c r="X111" s="44" t="n">
        <f aca="false">AU111</f>
        <v>0.681</v>
      </c>
      <c r="Y111" s="44"/>
      <c r="Z111" s="55" t="n">
        <f aca="false">AV111</f>
        <v>250</v>
      </c>
      <c r="AA111" s="55"/>
      <c r="AB111" s="55"/>
      <c r="AC111" s="42" t="n">
        <f aca="false">AW111</f>
        <v>30</v>
      </c>
      <c r="AD111" s="42"/>
      <c r="AE111" s="42"/>
      <c r="AF111" s="12"/>
      <c r="AI111" s="56" t="n">
        <v>42</v>
      </c>
      <c r="AJ111" s="56" t="n">
        <v>43.5</v>
      </c>
      <c r="AK111" s="57" t="n">
        <f aca="false">AJ111-AI111</f>
        <v>1.5</v>
      </c>
      <c r="AL111" s="57" t="n">
        <f aca="false">(AI111+AJ111)/2</f>
        <v>42.75</v>
      </c>
      <c r="AM111" s="56" t="s">
        <v>196</v>
      </c>
      <c r="AN111" s="56" t="n">
        <v>50</v>
      </c>
      <c r="AO111" s="58" t="n">
        <f aca="false">IF(AL111&gt;$AA$20,$AA$22,$AA$21)</f>
        <v>19.2</v>
      </c>
      <c r="AP111" s="57" t="n">
        <f aca="false">AP110+AO111*AK111</f>
        <v>822.6</v>
      </c>
      <c r="AQ111" s="57" t="n">
        <f aca="false">AP111-AO111*AK111/2-10*MAX(AL111-$AA$20,0)</f>
        <v>470.7</v>
      </c>
      <c r="AR111" s="56" t="n">
        <v>29.665</v>
      </c>
      <c r="AS111" s="56" t="n">
        <v>19.806</v>
      </c>
      <c r="AT111" s="57" t="n">
        <f aca="false">IF(AR111="","",AR111-AS111)</f>
        <v>9.859</v>
      </c>
      <c r="AU111" s="56" t="n">
        <v>0.681</v>
      </c>
      <c r="AV111" s="57" t="n">
        <f aca="false">IF(AM111="Sand",0,Input!$AA$34*AN111)</f>
        <v>250</v>
      </c>
      <c r="AW111" s="57" t="n">
        <f aca="false">IF(AM111="Sand",27.1+0.3*MIN(Input!$AA$35*AN111,60)-0.00054*MIN(Input!$AA$35*AN111,60)^2,MIN(MAX(DEGREES(ASIN(0.8-0.094*LN(MAX(IF(AT111="",10,AT111),5)))),20),30))</f>
        <v>30</v>
      </c>
      <c r="AX111" s="57" t="n">
        <f aca="false">IF(AM111="Sand",Input!$AA$36*Input!$AA$35*AN111,Input!$AA$37*AV111)</f>
        <v>125000</v>
      </c>
      <c r="AY111" s="57" t="n">
        <f aca="false">IF(AM111="Sand",Input!$AA$38,0.5)</f>
        <v>0.5</v>
      </c>
      <c r="AZ111" s="57" t="n">
        <f aca="false">Input!$AA$15/2/AL111</f>
        <v>0.865497076023392</v>
      </c>
      <c r="BA111" s="57" t="n">
        <f aca="false">Input!$AA$16/2/AL111</f>
        <v>2.3625730994152</v>
      </c>
      <c r="BB111" s="57" t="n">
        <f aca="false">1/(4*PI())*(2*AZ111*BA111*SQRT(AZ111^2+BA111^2+1)/(AZ111^2+BA111^2+1+AZ111^2*BA111^2)*(AZ111^2+BA111^2+2)/(AZ111^2+BA111^2+1)+ATAN2(AZ111^2+BA111^2+1-AZ111^2*BA111^2,2*AZ111*BA111*SQRT(AZ111^2+BA111^2+1)))</f>
        <v>0.189929062586271</v>
      </c>
      <c r="BC111" s="57" t="n">
        <f aca="false">4*Input!$AA$14*BB111</f>
        <v>103.321410046931</v>
      </c>
      <c r="BD111" s="57" t="n">
        <f aca="false">((Input!$AA$16/Input!$AA$15)*LN((1+SQRT((Input!$AA$16/Input!$AA$15)^2+1))*SQRT((Input!$AA$16/Input!$AA$15)^2+(AJ111/(Input!$AA$15/2))^2)/((Input!$AA$16/Input!$AA$15)*(1+SQRT((Input!$AA$16/Input!$AA$15)^2+(AJ111/(Input!$AA$15/2))^2+1))))+LN(((Input!$AA$16/Input!$AA$15)+SQRT((Input!$AA$16/Input!$AA$15)^2+1))*SQRT(1+(AJ111/(Input!$AA$15/2))^2)/((Input!$AA$16/Input!$AA$15)+SQRT((Input!$AA$16/Input!$AA$15)^2+(AJ111/(Input!$AA$15/2))^2+1))))/PI()</f>
        <v>0.149983423865366</v>
      </c>
      <c r="BE111" s="57" t="n">
        <f aca="false">(AJ111/(Input!$AA$15/2))/(2*PI())*ATAN((Input!$AA$16/Input!$AA$15)/((AJ111/(Input!$AA$15/2))*SQRT((Input!$AA$16/Input!$AA$15)^2+(AJ111/(Input!$AA$15/2))^2+1)))</f>
        <v>0.11925528314828</v>
      </c>
      <c r="BF111" s="57" t="n">
        <f aca="false">MAX(0,AJ111-MAX(AI111,$AA$23))/AK111*IF(BC111&gt;=Input!$AA$21*AQ111,1,0)</f>
        <v>1</v>
      </c>
      <c r="BG111" s="57" t="n">
        <f aca="false">4*Input!$AA$14*(Input!$AA$15/2)*(1-AY111^2)/AX111*((BD111-BD110)+(1-2*AY111)/(1-AY111)*(BE111-BE110))*1000*BF111</f>
        <v>0.851690974855866</v>
      </c>
      <c r="BH111" s="57" t="n">
        <f aca="false">IF(AM111="Sand",0,0.009*(AR111-10))</f>
        <v>0.176985</v>
      </c>
      <c r="BI111" s="57" t="n">
        <f aca="false">BH111*Input!$AA$39</f>
        <v>0.035397</v>
      </c>
      <c r="BJ111" s="57" t="n">
        <f aca="false">IF(AM111="Sand",0,MAX(AV111/Input!$AA$40,AQ111))</f>
        <v>1136.36363636364</v>
      </c>
      <c r="BK111" s="57" t="n">
        <f aca="false">IF(AM111="Sand",0,1000*AK111/(1+AU111)*IF(AQ111+BC111&lt;=BJ111,BI111*LOG10((AQ111+BC111)/AQ111),BI111*LOG10(BJ111/AQ111)+BH111*LOG10((AQ111+BC111)/BJ111)))*BF111</f>
        <v>2.72217542131021</v>
      </c>
      <c r="BL111" s="57" t="n">
        <f aca="false">IF(AM111="Sand",0,10^(INDEX(Input!$Q$51:$Q$57,MIN(MATCH(MIN(MAX(AR111,30),120),Input!$C$51:$C$57,1),6))+(MIN(MAX(AR111,30),120)-INDEX(Input!$C$51:$C$57,MIN(MATCH(MIN(MAX(AR111,30),120),Input!$C$51:$C$57,1),6)))/(INDEX(Input!$C$51:$C$57,MIN(MATCH(MIN(MAX(AR111,30),120),Input!$C$51:$C$57,1),6)+1)-INDEX(Input!$C$51:$C$57,MIN(MATCH(MIN(MAX(AR111,30),120),Input!$C$51:$C$57,1),6)))*(INDEX(Input!$Q$51:$Q$57,MIN(MATCH(MIN(MAX(AR111,30),120),Input!$C$51:$C$57,1),6)+1)-INDEX(Input!$Q$51:$Q$57,MIN(MATCH(MIN(MAX(AR111,30),120),Input!$C$51:$C$57,1),6)))))</f>
        <v>0.003</v>
      </c>
      <c r="BM111" s="57" t="n">
        <f aca="false">IF(OR(AM111="Sand",BF111=0),0,Input!$AA$41*(AK111/2)^2/(BL111*0.0001*31536000))</f>
        <v>0.0504185692541857</v>
      </c>
      <c r="BN111" s="57" t="n">
        <f aca="false">MAX(0,MIN(AJ111,Input!$AA$20)-AI111)</f>
        <v>0</v>
      </c>
      <c r="BO111" s="57" t="n">
        <f aca="false">MAX(0,MIN(AJ111,Input!$AA$20)-MAX(AI111,$AA$23))</f>
        <v>0</v>
      </c>
      <c r="BP111" s="57" t="n">
        <f aca="false">BG111+BK111</f>
        <v>3.57386639616607</v>
      </c>
      <c r="BQ111" s="57" t="s">
        <v>198</v>
      </c>
    </row>
    <row r="112" customFormat="false" ht="14.25" hidden="false" customHeight="false" outlineLevel="0" collapsed="false">
      <c r="B112" s="7"/>
      <c r="C112" s="46" t="n">
        <v>30</v>
      </c>
      <c r="D112" s="46"/>
      <c r="E112" s="44" t="n">
        <f aca="false">AI112</f>
        <v>43.5</v>
      </c>
      <c r="F112" s="44"/>
      <c r="G112" s="44"/>
      <c r="H112" s="44" t="n">
        <f aca="false">AJ112</f>
        <v>45</v>
      </c>
      <c r="I112" s="44"/>
      <c r="J112" s="44"/>
      <c r="K112" s="41" t="str">
        <f aca="false">AM112</f>
        <v>Clay</v>
      </c>
      <c r="L112" s="41"/>
      <c r="M112" s="41"/>
      <c r="N112" s="46" t="n">
        <f aca="false">AN112</f>
        <v>50</v>
      </c>
      <c r="O112" s="46"/>
      <c r="P112" s="46"/>
      <c r="Q112" s="42" t="n">
        <f aca="false">AO112</f>
        <v>19.2</v>
      </c>
      <c r="R112" s="42"/>
      <c r="S112" s="42"/>
      <c r="T112" s="46" t="n">
        <f aca="false">IF(AR112="","-",AR112)</f>
        <v>30.1</v>
      </c>
      <c r="U112" s="46"/>
      <c r="V112" s="46" t="n">
        <f aca="false">IF(AT112="","-",AT112)</f>
        <v>9.5</v>
      </c>
      <c r="W112" s="46"/>
      <c r="X112" s="44" t="n">
        <f aca="false">AU112</f>
        <v>0.703</v>
      </c>
      <c r="Y112" s="44"/>
      <c r="Z112" s="55" t="n">
        <f aca="false">AV112</f>
        <v>250</v>
      </c>
      <c r="AA112" s="55"/>
      <c r="AB112" s="55"/>
      <c r="AC112" s="42" t="n">
        <f aca="false">AW112</f>
        <v>30</v>
      </c>
      <c r="AD112" s="42"/>
      <c r="AE112" s="42"/>
      <c r="AF112" s="12"/>
      <c r="AI112" s="56" t="n">
        <v>43.5</v>
      </c>
      <c r="AJ112" s="56" t="n">
        <v>45</v>
      </c>
      <c r="AK112" s="57" t="n">
        <f aca="false">AJ112-AI112</f>
        <v>1.5</v>
      </c>
      <c r="AL112" s="57" t="n">
        <f aca="false">(AI112+AJ112)/2</f>
        <v>44.25</v>
      </c>
      <c r="AM112" s="56" t="s">
        <v>196</v>
      </c>
      <c r="AN112" s="56" t="n">
        <v>50</v>
      </c>
      <c r="AO112" s="58" t="n">
        <f aca="false">IF(AL112&gt;$AA$20,$AA$22,$AA$21)</f>
        <v>19.2</v>
      </c>
      <c r="AP112" s="57" t="n">
        <f aca="false">AP111+AO112*AK112</f>
        <v>851.4</v>
      </c>
      <c r="AQ112" s="57" t="n">
        <f aca="false">AP112-AO112*AK112/2-10*MAX(AL112-$AA$20,0)</f>
        <v>484.5</v>
      </c>
      <c r="AR112" s="56" t="n">
        <v>30.1</v>
      </c>
      <c r="AS112" s="56" t="n">
        <v>20.6</v>
      </c>
      <c r="AT112" s="57" t="n">
        <f aca="false">IF(AR112="","",AR112-AS112)</f>
        <v>9.5</v>
      </c>
      <c r="AU112" s="56" t="n">
        <v>0.703</v>
      </c>
      <c r="AV112" s="57" t="n">
        <f aca="false">IF(AM112="Sand",0,Input!$AA$34*AN112)</f>
        <v>250</v>
      </c>
      <c r="AW112" s="57" t="n">
        <f aca="false">IF(AM112="Sand",27.1+0.3*MIN(Input!$AA$35*AN112,60)-0.00054*MIN(Input!$AA$35*AN112,60)^2,MIN(MAX(DEGREES(ASIN(0.8-0.094*LN(MAX(IF(AT112="",10,AT112),5)))),20),30))</f>
        <v>30</v>
      </c>
      <c r="AX112" s="57" t="n">
        <f aca="false">IF(AM112="Sand",Input!$AA$36*Input!$AA$35*AN112,Input!$AA$37*AV112)</f>
        <v>125000</v>
      </c>
      <c r="AY112" s="57" t="n">
        <f aca="false">IF(AM112="Sand",Input!$AA$38,0.5)</f>
        <v>0.5</v>
      </c>
      <c r="AZ112" s="57" t="n">
        <f aca="false">Input!$AA$15/2/AL112</f>
        <v>0.836158192090395</v>
      </c>
      <c r="BA112" s="57" t="n">
        <f aca="false">Input!$AA$16/2/AL112</f>
        <v>2.28248587570621</v>
      </c>
      <c r="BB112" s="57" t="n">
        <f aca="false">1/(4*PI())*(2*AZ112*BA112*SQRT(AZ112^2+BA112^2+1)/(AZ112^2+BA112^2+1+AZ112^2*BA112^2)*(AZ112^2+BA112^2+2)/(AZ112^2+BA112^2+1)+ATAN2(AZ112^2+BA112^2+1-AZ112^2*BA112^2,2*AZ112*BA112*SQRT(AZ112^2+BA112^2+1)))</f>
        <v>0.186573569537252</v>
      </c>
      <c r="BC112" s="57" t="n">
        <f aca="false">4*Input!$AA$14*BB112</f>
        <v>101.496021828265</v>
      </c>
      <c r="BD112" s="57" t="n">
        <f aca="false">((Input!$AA$16/Input!$AA$15)*LN((1+SQRT((Input!$AA$16/Input!$AA$15)^2+1))*SQRT((Input!$AA$16/Input!$AA$15)^2+(AJ112/(Input!$AA$15/2))^2)/((Input!$AA$16/Input!$AA$15)*(1+SQRT((Input!$AA$16/Input!$AA$15)^2+(AJ112/(Input!$AA$15/2))^2+1))))+LN(((Input!$AA$16/Input!$AA$15)+SQRT((Input!$AA$16/Input!$AA$15)^2+1))*SQRT(1+(AJ112/(Input!$AA$15/2))^2)/((Input!$AA$16/Input!$AA$15)+SQRT((Input!$AA$16/Input!$AA$15)^2+(AJ112/(Input!$AA$15/2))^2+1))))/PI()</f>
        <v>0.157006419484548</v>
      </c>
      <c r="BE112" s="57" t="n">
        <f aca="false">(AJ112/(Input!$AA$15/2))/(2*PI())*ATAN((Input!$AA$16/Input!$AA$15)/((AJ112/(Input!$AA$15/2))*SQRT((Input!$AA$16/Input!$AA$15)^2+(AJ112/(Input!$AA$15/2))^2+1)))</f>
        <v>0.119796130362691</v>
      </c>
      <c r="BF112" s="57" t="n">
        <f aca="false">MAX(0,AJ112-MAX(AI112,$AA$23))/AK112*IF(BC112&gt;=Input!$AA$21*AQ112,1,0)</f>
        <v>1</v>
      </c>
      <c r="BG112" s="57" t="n">
        <f aca="false">4*Input!$AA$14*(Input!$AA$15/2)*(1-AY112^2)/AX112*((BD112-BD111)+(1-2*AY112)/(1-AY112)*(BE112-BE111))*1000*BF112</f>
        <v>0.848153134937447</v>
      </c>
      <c r="BH112" s="57" t="n">
        <f aca="false">IF(AM112="Sand",0,0.009*(AR112-10))</f>
        <v>0.1809</v>
      </c>
      <c r="BI112" s="57" t="n">
        <f aca="false">BH112*Input!$AA$39</f>
        <v>0.03618</v>
      </c>
      <c r="BJ112" s="57" t="n">
        <f aca="false">IF(AM112="Sand",0,MAX(AV112/Input!$AA$40,AQ112))</f>
        <v>1136.36363636364</v>
      </c>
      <c r="BK112" s="57" t="n">
        <f aca="false">IF(AM112="Sand",0,1000*AK112/(1+AU112)*IF(AQ112+BC112&lt;=BJ112,BI112*LOG10((AQ112+BC112)/AQ112),BI112*LOG10(BJ112/AQ112)+BH112*LOG10((AQ112+BC112)/BJ112)))*BF112</f>
        <v>2.63226664779274</v>
      </c>
      <c r="BL112" s="57" t="n">
        <f aca="false">IF(AM112="Sand",0,10^(INDEX(Input!$Q$51:$Q$57,MIN(MATCH(MIN(MAX(AR112,30),120),Input!$C$51:$C$57,1),6))+(MIN(MAX(AR112,30),120)-INDEX(Input!$C$51:$C$57,MIN(MATCH(MIN(MAX(AR112,30),120),Input!$C$51:$C$57,1),6)))/(INDEX(Input!$C$51:$C$57,MIN(MATCH(MIN(MAX(AR112,30),120),Input!$C$51:$C$57,1),6)+1)-INDEX(Input!$C$51:$C$57,MIN(MATCH(MIN(MAX(AR112,30),120),Input!$C$51:$C$57,1),6)))*(INDEX(Input!$Q$51:$Q$57,MIN(MATCH(MIN(MAX(AR112,30),120),Input!$C$51:$C$57,1),6)+1)-INDEX(Input!$Q$51:$Q$57,MIN(MATCH(MIN(MAX(AR112,30),120),Input!$C$51:$C$57,1),6)))))</f>
        <v>0.00297927748631111</v>
      </c>
      <c r="BM112" s="57" t="n">
        <f aca="false">IF(OR(AM112="Sand",BF112=0),0,Input!$AA$41*(AK112/2)^2/(BL112*0.0001*31536000))</f>
        <v>0.0507692581364213</v>
      </c>
      <c r="BN112" s="57" t="n">
        <f aca="false">MAX(0,MIN(AJ112,Input!$AA$20)-AI112)</f>
        <v>0</v>
      </c>
      <c r="BO112" s="57" t="n">
        <f aca="false">MAX(0,MIN(AJ112,Input!$AA$20)-MAX(AI112,$AA$23))</f>
        <v>0</v>
      </c>
      <c r="BP112" s="57" t="n">
        <f aca="false">BG112+BK112</f>
        <v>3.48041978273019</v>
      </c>
      <c r="BQ112" s="57"/>
    </row>
    <row r="113" customFormat="false" ht="14.25" hidden="false" customHeight="false" outlineLevel="0" collapsed="false">
      <c r="B113" s="7"/>
      <c r="C113" s="46" t="n">
        <v>31</v>
      </c>
      <c r="D113" s="46"/>
      <c r="E113" s="44" t="n">
        <f aca="false">AI113</f>
        <v>45</v>
      </c>
      <c r="F113" s="44"/>
      <c r="G113" s="44"/>
      <c r="H113" s="44" t="n">
        <f aca="false">AJ113</f>
        <v>46.5</v>
      </c>
      <c r="I113" s="44"/>
      <c r="J113" s="44"/>
      <c r="K113" s="41" t="str">
        <f aca="false">AM113</f>
        <v>Clay</v>
      </c>
      <c r="L113" s="41"/>
      <c r="M113" s="41"/>
      <c r="N113" s="46" t="n">
        <f aca="false">AN113</f>
        <v>33</v>
      </c>
      <c r="O113" s="46"/>
      <c r="P113" s="46"/>
      <c r="Q113" s="42" t="n">
        <f aca="false">AO113</f>
        <v>19.2</v>
      </c>
      <c r="R113" s="42"/>
      <c r="S113" s="42"/>
      <c r="T113" s="46" t="n">
        <f aca="false">IF(AR113="","-",AR113)</f>
        <v>29.665</v>
      </c>
      <c r="U113" s="46"/>
      <c r="V113" s="46" t="n">
        <f aca="false">IF(AT113="","-",AT113)</f>
        <v>9.859</v>
      </c>
      <c r="W113" s="46"/>
      <c r="X113" s="44" t="n">
        <f aca="false">AU113</f>
        <v>0.681</v>
      </c>
      <c r="Y113" s="44"/>
      <c r="Z113" s="55" t="n">
        <f aca="false">AV113</f>
        <v>165</v>
      </c>
      <c r="AA113" s="55"/>
      <c r="AB113" s="55"/>
      <c r="AC113" s="42" t="n">
        <f aca="false">AW113</f>
        <v>30</v>
      </c>
      <c r="AD113" s="42"/>
      <c r="AE113" s="42"/>
      <c r="AF113" s="12"/>
      <c r="AI113" s="56" t="n">
        <v>45</v>
      </c>
      <c r="AJ113" s="56" t="n">
        <v>46.5</v>
      </c>
      <c r="AK113" s="57" t="n">
        <f aca="false">AJ113-AI113</f>
        <v>1.5</v>
      </c>
      <c r="AL113" s="57" t="n">
        <f aca="false">(AI113+AJ113)/2</f>
        <v>45.75</v>
      </c>
      <c r="AM113" s="56" t="s">
        <v>196</v>
      </c>
      <c r="AN113" s="56" t="n">
        <v>33</v>
      </c>
      <c r="AO113" s="58" t="n">
        <f aca="false">IF(AL113&gt;$AA$20,$AA$22,$AA$21)</f>
        <v>19.2</v>
      </c>
      <c r="AP113" s="57" t="n">
        <f aca="false">AP112+AO113*AK113</f>
        <v>880.2</v>
      </c>
      <c r="AQ113" s="57" t="n">
        <f aca="false">AP113-AO113*AK113/2-10*MAX(AL113-$AA$20,0)</f>
        <v>498.3</v>
      </c>
      <c r="AR113" s="56" t="n">
        <v>29.665</v>
      </c>
      <c r="AS113" s="56" t="n">
        <v>19.806</v>
      </c>
      <c r="AT113" s="57" t="n">
        <f aca="false">IF(AR113="","",AR113-AS113)</f>
        <v>9.859</v>
      </c>
      <c r="AU113" s="56" t="n">
        <v>0.681</v>
      </c>
      <c r="AV113" s="57" t="n">
        <f aca="false">IF(AM113="Sand",0,Input!$AA$34*AN113)</f>
        <v>165</v>
      </c>
      <c r="AW113" s="57" t="n">
        <f aca="false">IF(AM113="Sand",27.1+0.3*MIN(Input!$AA$35*AN113,60)-0.00054*MIN(Input!$AA$35*AN113,60)^2,MIN(MAX(DEGREES(ASIN(0.8-0.094*LN(MAX(IF(AT113="",10,AT113),5)))),20),30))</f>
        <v>30</v>
      </c>
      <c r="AX113" s="57" t="n">
        <f aca="false">IF(AM113="Sand",Input!$AA$36*Input!$AA$35*AN113,Input!$AA$37*AV113)</f>
        <v>82500</v>
      </c>
      <c r="AY113" s="57" t="n">
        <f aca="false">IF(AM113="Sand",Input!$AA$38,0.5)</f>
        <v>0.5</v>
      </c>
      <c r="AZ113" s="57" t="n">
        <f aca="false">Input!$AA$15/2/AL113</f>
        <v>0.808743169398907</v>
      </c>
      <c r="BA113" s="57" t="n">
        <f aca="false">Input!$AA$16/2/AL113</f>
        <v>2.20765027322404</v>
      </c>
      <c r="BB113" s="57" t="n">
        <f aca="false">1/(4*PI())*(2*AZ113*BA113*SQRT(AZ113^2+BA113^2+1)/(AZ113^2+BA113^2+1+AZ113^2*BA113^2)*(AZ113^2+BA113^2+2)/(AZ113^2+BA113^2+1)+ATAN2(AZ113^2+BA113^2+1-AZ113^2*BA113^2,2*AZ113*BA113*SQRT(AZ113^2+BA113^2+1)))</f>
        <v>0.183247302768845</v>
      </c>
      <c r="BC113" s="57" t="n">
        <f aca="false">4*Input!$AA$14*BB113</f>
        <v>99.6865327062518</v>
      </c>
      <c r="BD113" s="57" t="n">
        <f aca="false">((Input!$AA$16/Input!$AA$15)*LN((1+SQRT((Input!$AA$16/Input!$AA$15)^2+1))*SQRT((Input!$AA$16/Input!$AA$15)^2+(AJ113/(Input!$AA$15/2))^2)/((Input!$AA$16/Input!$AA$15)*(1+SQRT((Input!$AA$16/Input!$AA$15)^2+(AJ113/(Input!$AA$15/2))^2+1))))+LN(((Input!$AA$16/Input!$AA$15)+SQRT((Input!$AA$16/Input!$AA$15)^2+1))*SQRT(1+(AJ113/(Input!$AA$15/2))^2)/((Input!$AA$16/Input!$AA$15)+SQRT((Input!$AA$16/Input!$AA$15)^2+(AJ113/(Input!$AA$15/2))^2+1))))/PI()</f>
        <v>0.163993300910008</v>
      </c>
      <c r="BE113" s="57" t="n">
        <f aca="false">(AJ113/(Input!$AA$15/2))/(2*PI())*ATAN((Input!$AA$16/Input!$AA$15)/((AJ113/(Input!$AA$15/2))*SQRT((Input!$AA$16/Input!$AA$15)^2+(AJ113/(Input!$AA$15/2))^2+1)))</f>
        <v>0.120238251830284</v>
      </c>
      <c r="BF113" s="57" t="n">
        <f aca="false">MAX(0,AJ113-MAX(AI113,$AA$23))/AK113*IF(BC113&gt;=Input!$AA$21*AQ113,1,0)</f>
        <v>1</v>
      </c>
      <c r="BG113" s="57" t="n">
        <f aca="false">4*Input!$AA$14*(Input!$AA$15/2)*(1-AY113^2)/AX113*((BD113-BD112)+(1-2*AY113)/(1-AY113)*(BE113-BE112))*1000*BF113</f>
        <v>1.2784722666513</v>
      </c>
      <c r="BH113" s="57" t="n">
        <f aca="false">IF(AM113="Sand",0,0.009*(AR113-10))</f>
        <v>0.176985</v>
      </c>
      <c r="BI113" s="57" t="n">
        <f aca="false">BH113*Input!$AA$39</f>
        <v>0.035397</v>
      </c>
      <c r="BJ113" s="57" t="n">
        <f aca="false">IF(AM113="Sand",0,MAX(AV113/Input!$AA$40,AQ113))</f>
        <v>750</v>
      </c>
      <c r="BK113" s="57" t="n">
        <f aca="false">IF(AM113="Sand",0,1000*AK113/(1+AU113)*IF(AQ113+BC113&lt;=BJ113,BI113*LOG10((AQ113+BC113)/AQ113),BI113*LOG10(BJ113/AQ113)+BH113*LOG10((AQ113+BC113)/BJ113)))*BF113</f>
        <v>2.50160083605425</v>
      </c>
      <c r="BL113" s="57" t="n">
        <f aca="false">IF(AM113="Sand",0,10^(INDEX(Input!$Q$51:$Q$57,MIN(MATCH(MIN(MAX(AR113,30),120),Input!$C$51:$C$57,1),6))+(MIN(MAX(AR113,30),120)-INDEX(Input!$C$51:$C$57,MIN(MATCH(MIN(MAX(AR113,30),120),Input!$C$51:$C$57,1),6)))/(INDEX(Input!$C$51:$C$57,MIN(MATCH(MIN(MAX(AR113,30),120),Input!$C$51:$C$57,1),6)+1)-INDEX(Input!$C$51:$C$57,MIN(MATCH(MIN(MAX(AR113,30),120),Input!$C$51:$C$57,1),6)))*(INDEX(Input!$Q$51:$Q$57,MIN(MATCH(MIN(MAX(AR113,30),120),Input!$C$51:$C$57,1),6)+1)-INDEX(Input!$Q$51:$Q$57,MIN(MATCH(MIN(MAX(AR113,30),120),Input!$C$51:$C$57,1),6)))))</f>
        <v>0.003</v>
      </c>
      <c r="BM113" s="57" t="n">
        <f aca="false">IF(OR(AM113="Sand",BF113=0),0,Input!$AA$41*(AK113/2)^2/(BL113*0.0001*31536000))</f>
        <v>0.0504185692541857</v>
      </c>
      <c r="BN113" s="57" t="n">
        <f aca="false">MAX(0,MIN(AJ113,Input!$AA$20)-AI113)</f>
        <v>0</v>
      </c>
      <c r="BO113" s="57" t="n">
        <f aca="false">MAX(0,MIN(AJ113,Input!$AA$20)-MAX(AI113,$AA$23))</f>
        <v>0</v>
      </c>
      <c r="BP113" s="57" t="n">
        <f aca="false">BG113+BK113</f>
        <v>3.78007310270555</v>
      </c>
      <c r="BQ113" s="57" t="s">
        <v>198</v>
      </c>
    </row>
    <row r="114" customFormat="false" ht="14.25" hidden="false" customHeight="false" outlineLevel="0" collapsed="false">
      <c r="B114" s="7"/>
      <c r="C114" s="46" t="n">
        <v>32</v>
      </c>
      <c r="D114" s="46"/>
      <c r="E114" s="44" t="n">
        <f aca="false">AI114</f>
        <v>46.5</v>
      </c>
      <c r="F114" s="44"/>
      <c r="G114" s="44"/>
      <c r="H114" s="44" t="n">
        <f aca="false">AJ114</f>
        <v>48</v>
      </c>
      <c r="I114" s="44"/>
      <c r="J114" s="44"/>
      <c r="K114" s="41" t="str">
        <f aca="false">AM114</f>
        <v>Clay</v>
      </c>
      <c r="L114" s="41"/>
      <c r="M114" s="41"/>
      <c r="N114" s="46" t="n">
        <f aca="false">AN114</f>
        <v>36</v>
      </c>
      <c r="O114" s="46"/>
      <c r="P114" s="46"/>
      <c r="Q114" s="42" t="n">
        <f aca="false">AO114</f>
        <v>19.2</v>
      </c>
      <c r="R114" s="42"/>
      <c r="S114" s="42"/>
      <c r="T114" s="46" t="n">
        <f aca="false">IF(AR114="","-",AR114)</f>
        <v>39.36</v>
      </c>
      <c r="U114" s="46"/>
      <c r="V114" s="46" t="n">
        <f aca="false">IF(AT114="","-",AT114)</f>
        <v>13.99</v>
      </c>
      <c r="W114" s="46"/>
      <c r="X114" s="44" t="n">
        <f aca="false">AU114</f>
        <v>0.841</v>
      </c>
      <c r="Y114" s="44"/>
      <c r="Z114" s="55" t="n">
        <f aca="false">AV114</f>
        <v>180</v>
      </c>
      <c r="AA114" s="55"/>
      <c r="AB114" s="55"/>
      <c r="AC114" s="42" t="n">
        <f aca="false">AW114</f>
        <v>30</v>
      </c>
      <c r="AD114" s="42"/>
      <c r="AE114" s="42"/>
      <c r="AF114" s="12"/>
      <c r="AI114" s="56" t="n">
        <v>46.5</v>
      </c>
      <c r="AJ114" s="56" t="n">
        <v>48</v>
      </c>
      <c r="AK114" s="57" t="n">
        <f aca="false">AJ114-AI114</f>
        <v>1.5</v>
      </c>
      <c r="AL114" s="57" t="n">
        <f aca="false">(AI114+AJ114)/2</f>
        <v>47.25</v>
      </c>
      <c r="AM114" s="56" t="s">
        <v>196</v>
      </c>
      <c r="AN114" s="56" t="n">
        <v>36</v>
      </c>
      <c r="AO114" s="58" t="n">
        <f aca="false">IF(AL114&gt;$AA$20,$AA$22,$AA$21)</f>
        <v>19.2</v>
      </c>
      <c r="AP114" s="57" t="n">
        <f aca="false">AP113+AO114*AK114</f>
        <v>909</v>
      </c>
      <c r="AQ114" s="57" t="n">
        <f aca="false">AP114-AO114*AK114/2-10*MAX(AL114-$AA$20,0)</f>
        <v>512.1</v>
      </c>
      <c r="AR114" s="56" t="n">
        <v>39.36</v>
      </c>
      <c r="AS114" s="56" t="n">
        <v>25.37</v>
      </c>
      <c r="AT114" s="57" t="n">
        <f aca="false">IF(AR114="","",AR114-AS114)</f>
        <v>13.99</v>
      </c>
      <c r="AU114" s="56" t="n">
        <v>0.841</v>
      </c>
      <c r="AV114" s="57" t="n">
        <f aca="false">IF(AM114="Sand",0,Input!$AA$34*AN114)</f>
        <v>180</v>
      </c>
      <c r="AW114" s="57" t="n">
        <f aca="false">IF(AM114="Sand",27.1+0.3*MIN(Input!$AA$35*AN114,60)-0.00054*MIN(Input!$AA$35*AN114,60)^2,MIN(MAX(DEGREES(ASIN(0.8-0.094*LN(MAX(IF(AT114="",10,AT114),5)))),20),30))</f>
        <v>30</v>
      </c>
      <c r="AX114" s="57" t="n">
        <f aca="false">IF(AM114="Sand",Input!$AA$36*Input!$AA$35*AN114,Input!$AA$37*AV114)</f>
        <v>90000</v>
      </c>
      <c r="AY114" s="57" t="n">
        <f aca="false">IF(AM114="Sand",Input!$AA$38,0.5)</f>
        <v>0.5</v>
      </c>
      <c r="AZ114" s="57" t="n">
        <f aca="false">Input!$AA$15/2/AL114</f>
        <v>0.783068783068783</v>
      </c>
      <c r="BA114" s="57" t="n">
        <f aca="false">Input!$AA$16/2/AL114</f>
        <v>2.13756613756614</v>
      </c>
      <c r="BB114" s="57" t="n">
        <f aca="false">1/(4*PI())*(2*AZ114*BA114*SQRT(AZ114^2+BA114^2+1)/(AZ114^2+BA114^2+1+AZ114^2*BA114^2)*(AZ114^2+BA114^2+2)/(AZ114^2+BA114^2+1)+ATAN2(AZ114^2+BA114^2+1-AZ114^2*BA114^2,2*AZ114*BA114*SQRT(AZ114^2+BA114^2+1)))</f>
        <v>0.179955425946873</v>
      </c>
      <c r="BC114" s="57" t="n">
        <f aca="false">4*Input!$AA$14*BB114</f>
        <v>97.8957517150986</v>
      </c>
      <c r="BD114" s="57" t="n">
        <f aca="false">((Input!$AA$16/Input!$AA$15)*LN((1+SQRT((Input!$AA$16/Input!$AA$15)^2+1))*SQRT((Input!$AA$16/Input!$AA$15)^2+(AJ114/(Input!$AA$15/2))^2)/((Input!$AA$16/Input!$AA$15)*(1+SQRT((Input!$AA$16/Input!$AA$15)^2+(AJ114/(Input!$AA$15/2))^2+1))))+LN(((Input!$AA$16/Input!$AA$15)+SQRT((Input!$AA$16/Input!$AA$15)^2+1))*SQRT(1+(AJ114/(Input!$AA$15/2))^2)/((Input!$AA$16/Input!$AA$15)+SQRT((Input!$AA$16/Input!$AA$15)^2+(AJ114/(Input!$AA$15/2))^2+1))))/PI()</f>
        <v>0.170938053366324</v>
      </c>
      <c r="BE114" s="57" t="n">
        <f aca="false">(AJ114/(Input!$AA$15/2))/(2*PI())*ATAN((Input!$AA$16/Input!$AA$15)/((AJ114/(Input!$AA$15/2))*SQRT((Input!$AA$16/Input!$AA$15)^2+(AJ114/(Input!$AA$15/2))^2+1)))</f>
        <v>0.120589055170862</v>
      </c>
      <c r="BF114" s="57" t="n">
        <f aca="false">MAX(0,AJ114-MAX(AI114,$AA$23))/AK114*IF(BC114&gt;=Input!$AA$21*AQ114,1,0)</f>
        <v>0</v>
      </c>
      <c r="BG114" s="57" t="n">
        <f aca="false">4*Input!$AA$14*(Input!$AA$15/2)*(1-AY114^2)/AX114*((BD114-BD113)+(1-2*AY114)/(1-AY114)*(BE114-BE113))*1000*BF114</f>
        <v>0</v>
      </c>
      <c r="BH114" s="57" t="n">
        <f aca="false">IF(AM114="Sand",0,0.009*(AR114-10))</f>
        <v>0.26424</v>
      </c>
      <c r="BI114" s="57" t="n">
        <f aca="false">BH114*Input!$AA$39</f>
        <v>0.052848</v>
      </c>
      <c r="BJ114" s="57" t="n">
        <f aca="false">IF(AM114="Sand",0,MAX(AV114/Input!$AA$40,AQ114))</f>
        <v>818.181818181818</v>
      </c>
      <c r="BK114" s="57" t="n">
        <f aca="false">IF(AM114="Sand",0,1000*AK114/(1+AU114)*IF(AQ114+BC114&lt;=BJ114,BI114*LOG10((AQ114+BC114)/AQ114),BI114*LOG10(BJ114/AQ114)+BH114*LOG10((AQ114+BC114)/BJ114)))*BF114</f>
        <v>0</v>
      </c>
      <c r="BL114" s="57" t="n">
        <f aca="false">IF(AM114="Sand",0,10^(INDEX(Input!$Q$51:$Q$57,MIN(MATCH(MIN(MAX(AR114,30),120),Input!$C$51:$C$57,1),6))+(MIN(MAX(AR114,30),120)-INDEX(Input!$C$51:$C$57,MIN(MATCH(MIN(MAX(AR114,30),120),Input!$C$51:$C$57,1),6)))/(INDEX(Input!$C$51:$C$57,MIN(MATCH(MIN(MAX(AR114,30),120),Input!$C$51:$C$57,1),6)+1)-INDEX(Input!$C$51:$C$57,MIN(MATCH(MIN(MAX(AR114,30),120),Input!$C$51:$C$57,1),6)))*(INDEX(Input!$Q$51:$Q$57,MIN(MATCH(MIN(MAX(AR114,30),120),Input!$C$51:$C$57,1),6)+1)-INDEX(Input!$Q$51:$Q$57,MIN(MATCH(MIN(MAX(AR114,30),120),Input!$C$51:$C$57,1),6)))))</f>
        <v>0.00156804015030775</v>
      </c>
      <c r="BM114" s="57" t="n">
        <f aca="false">IF(OR(AM114="Sand",BF114=0),0,Input!$AA$41*(AK114/2)^2/(BL114*0.0001*31536000))</f>
        <v>0</v>
      </c>
      <c r="BN114" s="57" t="n">
        <f aca="false">MAX(0,MIN(AJ114,Input!$AA$20)-AI114)</f>
        <v>0</v>
      </c>
      <c r="BO114" s="57" t="n">
        <f aca="false">MAX(0,MIN(AJ114,Input!$AA$20)-MAX(AI114,$AA$23))</f>
        <v>0</v>
      </c>
      <c r="BP114" s="57" t="n">
        <f aca="false">BG114+BK114</f>
        <v>0</v>
      </c>
      <c r="BQ114" s="57"/>
    </row>
    <row r="115" customFormat="false" ht="14.25" hidden="false" customHeight="false" outlineLevel="0" collapsed="false">
      <c r="B115" s="7"/>
      <c r="C115" s="46" t="n">
        <v>33</v>
      </c>
      <c r="D115" s="46"/>
      <c r="E115" s="44" t="n">
        <f aca="false">AI115</f>
        <v>48</v>
      </c>
      <c r="F115" s="44"/>
      <c r="G115" s="44"/>
      <c r="H115" s="44" t="n">
        <f aca="false">AJ115</f>
        <v>49.5</v>
      </c>
      <c r="I115" s="44"/>
      <c r="J115" s="44"/>
      <c r="K115" s="41" t="str">
        <f aca="false">AM115</f>
        <v>Clay</v>
      </c>
      <c r="L115" s="41"/>
      <c r="M115" s="41"/>
      <c r="N115" s="46" t="n">
        <f aca="false">AN115</f>
        <v>31</v>
      </c>
      <c r="O115" s="46"/>
      <c r="P115" s="46"/>
      <c r="Q115" s="42" t="n">
        <f aca="false">AO115</f>
        <v>19.2</v>
      </c>
      <c r="R115" s="42"/>
      <c r="S115" s="42"/>
      <c r="T115" s="46" t="n">
        <f aca="false">IF(AR115="","-",AR115)</f>
        <v>29.665</v>
      </c>
      <c r="U115" s="46"/>
      <c r="V115" s="46" t="n">
        <f aca="false">IF(AT115="","-",AT115)</f>
        <v>9.859</v>
      </c>
      <c r="W115" s="46"/>
      <c r="X115" s="44" t="n">
        <f aca="false">AU115</f>
        <v>0.681</v>
      </c>
      <c r="Y115" s="44"/>
      <c r="Z115" s="55" t="n">
        <f aca="false">AV115</f>
        <v>155</v>
      </c>
      <c r="AA115" s="55"/>
      <c r="AB115" s="55"/>
      <c r="AC115" s="42" t="n">
        <f aca="false">AW115</f>
        <v>30</v>
      </c>
      <c r="AD115" s="42"/>
      <c r="AE115" s="42"/>
      <c r="AF115" s="12"/>
      <c r="AI115" s="56" t="n">
        <v>48</v>
      </c>
      <c r="AJ115" s="56" t="n">
        <v>49.5</v>
      </c>
      <c r="AK115" s="57" t="n">
        <f aca="false">AJ115-AI115</f>
        <v>1.5</v>
      </c>
      <c r="AL115" s="57" t="n">
        <f aca="false">(AI115+AJ115)/2</f>
        <v>48.75</v>
      </c>
      <c r="AM115" s="56" t="s">
        <v>196</v>
      </c>
      <c r="AN115" s="56" t="n">
        <v>31</v>
      </c>
      <c r="AO115" s="58" t="n">
        <f aca="false">IF(AL115&gt;$AA$20,$AA$22,$AA$21)</f>
        <v>19.2</v>
      </c>
      <c r="AP115" s="57" t="n">
        <f aca="false">AP114+AO115*AK115</f>
        <v>937.8</v>
      </c>
      <c r="AQ115" s="57" t="n">
        <f aca="false">AP115-AO115*AK115/2-10*MAX(AL115-$AA$20,0)</f>
        <v>525.9</v>
      </c>
      <c r="AR115" s="56" t="n">
        <v>29.665</v>
      </c>
      <c r="AS115" s="56" t="n">
        <v>19.806</v>
      </c>
      <c r="AT115" s="57" t="n">
        <f aca="false">IF(AR115="","",AR115-AS115)</f>
        <v>9.859</v>
      </c>
      <c r="AU115" s="56" t="n">
        <v>0.681</v>
      </c>
      <c r="AV115" s="57" t="n">
        <f aca="false">IF(AM115="Sand",0,Input!$AA$34*AN115)</f>
        <v>155</v>
      </c>
      <c r="AW115" s="57" t="n">
        <f aca="false">IF(AM115="Sand",27.1+0.3*MIN(Input!$AA$35*AN115,60)-0.00054*MIN(Input!$AA$35*AN115,60)^2,MIN(MAX(DEGREES(ASIN(0.8-0.094*LN(MAX(IF(AT115="",10,AT115),5)))),20),30))</f>
        <v>30</v>
      </c>
      <c r="AX115" s="57" t="n">
        <f aca="false">IF(AM115="Sand",Input!$AA$36*Input!$AA$35*AN115,Input!$AA$37*AV115)</f>
        <v>77500</v>
      </c>
      <c r="AY115" s="57" t="n">
        <f aca="false">IF(AM115="Sand",Input!$AA$38,0.5)</f>
        <v>0.5</v>
      </c>
      <c r="AZ115" s="57" t="n">
        <f aca="false">Input!$AA$15/2/AL115</f>
        <v>0.758974358974359</v>
      </c>
      <c r="BA115" s="57" t="n">
        <f aca="false">Input!$AA$16/2/AL115</f>
        <v>2.07179487179487</v>
      </c>
      <c r="BB115" s="57" t="n">
        <f aca="false">1/(4*PI())*(2*AZ115*BA115*SQRT(AZ115^2+BA115^2+1)/(AZ115^2+BA115^2+1+AZ115^2*BA115^2)*(AZ115^2+BA115^2+2)/(AZ115^2+BA115^2+1)+ATAN2(AZ115^2+BA115^2+1-AZ115^2*BA115^2,2*AZ115*BA115*SQRT(AZ115^2+BA115^2+1)))</f>
        <v>0.176702307674372</v>
      </c>
      <c r="BC115" s="57" t="n">
        <f aca="false">4*Input!$AA$14*BB115</f>
        <v>96.1260553748583</v>
      </c>
      <c r="BD115" s="57" t="n">
        <f aca="false">((Input!$AA$16/Input!$AA$15)*LN((1+SQRT((Input!$AA$16/Input!$AA$15)^2+1))*SQRT((Input!$AA$16/Input!$AA$15)^2+(AJ115/(Input!$AA$15/2))^2)/((Input!$AA$16/Input!$AA$15)*(1+SQRT((Input!$AA$16/Input!$AA$15)^2+(AJ115/(Input!$AA$15/2))^2+1))))+LN(((Input!$AA$16/Input!$AA$15)+SQRT((Input!$AA$16/Input!$AA$15)^2+1))*SQRT(1+(AJ115/(Input!$AA$15/2))^2)/((Input!$AA$16/Input!$AA$15)+SQRT((Input!$AA$16/Input!$AA$15)^2+(AJ115/(Input!$AA$15/2))^2+1))))/PI()</f>
        <v>0.177835390268971</v>
      </c>
      <c r="BE115" s="57" t="n">
        <f aca="false">(AJ115/(Input!$AA$15/2))/(2*PI())*ATAN((Input!$AA$16/Input!$AA$15)/((AJ115/(Input!$AA$15/2))*SQRT((Input!$AA$16/Input!$AA$15)^2+(AJ115/(Input!$AA$15/2))^2+1)))</f>
        <v>0.120855397057084</v>
      </c>
      <c r="BF115" s="57" t="n">
        <f aca="false">MAX(0,AJ115-MAX(AI115,$AA$23))/AK115*IF(BC115&gt;=Input!$AA$21*AQ115,1,0)</f>
        <v>0</v>
      </c>
      <c r="BG115" s="57" t="n">
        <f aca="false">4*Input!$AA$14*(Input!$AA$15/2)*(1-AY115^2)/AX115*((BD115-BD114)+(1-2*AY115)/(1-AY115)*(BE115-BE114))*1000*BF115</f>
        <v>0</v>
      </c>
      <c r="BH115" s="57" t="n">
        <f aca="false">IF(AM115="Sand",0,0.009*(AR115-10))</f>
        <v>0.176985</v>
      </c>
      <c r="BI115" s="57" t="n">
        <f aca="false">BH115*Input!$AA$39</f>
        <v>0.035397</v>
      </c>
      <c r="BJ115" s="57" t="n">
        <f aca="false">IF(AM115="Sand",0,MAX(AV115/Input!$AA$40,AQ115))</f>
        <v>704.545454545455</v>
      </c>
      <c r="BK115" s="57" t="n">
        <f aca="false">IF(AM115="Sand",0,1000*AK115/(1+AU115)*IF(AQ115+BC115&lt;=BJ115,BI115*LOG10((AQ115+BC115)/AQ115),BI115*LOG10(BJ115/AQ115)+BH115*LOG10((AQ115+BC115)/BJ115)))*BF115</f>
        <v>0</v>
      </c>
      <c r="BL115" s="57" t="n">
        <f aca="false">IF(AM115="Sand",0,10^(INDEX(Input!$Q$51:$Q$57,MIN(MATCH(MIN(MAX(AR115,30),120),Input!$C$51:$C$57,1),6))+(MIN(MAX(AR115,30),120)-INDEX(Input!$C$51:$C$57,MIN(MATCH(MIN(MAX(AR115,30),120),Input!$C$51:$C$57,1),6)))/(INDEX(Input!$C$51:$C$57,MIN(MATCH(MIN(MAX(AR115,30),120),Input!$C$51:$C$57,1),6)+1)-INDEX(Input!$C$51:$C$57,MIN(MATCH(MIN(MAX(AR115,30),120),Input!$C$51:$C$57,1),6)))*(INDEX(Input!$Q$51:$Q$57,MIN(MATCH(MIN(MAX(AR115,30),120),Input!$C$51:$C$57,1),6)+1)-INDEX(Input!$Q$51:$Q$57,MIN(MATCH(MIN(MAX(AR115,30),120),Input!$C$51:$C$57,1),6)))))</f>
        <v>0.003</v>
      </c>
      <c r="BM115" s="57" t="n">
        <f aca="false">IF(OR(AM115="Sand",BF115=0),0,Input!$AA$41*(AK115/2)^2/(BL115*0.0001*31536000))</f>
        <v>0</v>
      </c>
      <c r="BN115" s="57" t="n">
        <f aca="false">MAX(0,MIN(AJ115,Input!$AA$20)-AI115)</f>
        <v>0</v>
      </c>
      <c r="BO115" s="57" t="n">
        <f aca="false">MAX(0,MIN(AJ115,Input!$AA$20)-MAX(AI115,$AA$23))</f>
        <v>0</v>
      </c>
      <c r="BP115" s="57" t="n">
        <f aca="false">BG115+BK115</f>
        <v>0</v>
      </c>
      <c r="BQ115" s="57" t="s">
        <v>198</v>
      </c>
    </row>
    <row r="116" customFormat="false" ht="14.25" hidden="false" customHeight="false" outlineLevel="0" collapsed="false">
      <c r="B116" s="7"/>
      <c r="C116" s="46" t="n">
        <v>34</v>
      </c>
      <c r="D116" s="46"/>
      <c r="E116" s="44" t="n">
        <f aca="false">AI116</f>
        <v>49.5</v>
      </c>
      <c r="F116" s="44"/>
      <c r="G116" s="44"/>
      <c r="H116" s="44" t="n">
        <f aca="false">AJ116</f>
        <v>51</v>
      </c>
      <c r="I116" s="44"/>
      <c r="J116" s="44"/>
      <c r="K116" s="41" t="str">
        <f aca="false">AM116</f>
        <v>Sand</v>
      </c>
      <c r="L116" s="41"/>
      <c r="M116" s="41"/>
      <c r="N116" s="46" t="n">
        <f aca="false">AN116</f>
        <v>30</v>
      </c>
      <c r="O116" s="46"/>
      <c r="P116" s="46"/>
      <c r="Q116" s="42" t="n">
        <f aca="false">AO116</f>
        <v>19.2</v>
      </c>
      <c r="R116" s="42"/>
      <c r="S116" s="42"/>
      <c r="T116" s="46" t="str">
        <f aca="false">IF(AR116="","-",AR116)</f>
        <v>-</v>
      </c>
      <c r="U116" s="46"/>
      <c r="V116" s="46" t="str">
        <f aca="false">IF(AT116="","-",AT116)</f>
        <v>-</v>
      </c>
      <c r="W116" s="46"/>
      <c r="X116" s="44" t="n">
        <f aca="false">AU116</f>
        <v>0.357</v>
      </c>
      <c r="Y116" s="44"/>
      <c r="Z116" s="55" t="n">
        <f aca="false">AV116</f>
        <v>0</v>
      </c>
      <c r="AA116" s="55"/>
      <c r="AB116" s="55"/>
      <c r="AC116" s="42" t="n">
        <f aca="false">AW116</f>
        <v>36.276975946</v>
      </c>
      <c r="AD116" s="42"/>
      <c r="AE116" s="42"/>
      <c r="AF116" s="12"/>
      <c r="AI116" s="56" t="n">
        <v>49.5</v>
      </c>
      <c r="AJ116" s="56" t="n">
        <v>51</v>
      </c>
      <c r="AK116" s="57" t="n">
        <f aca="false">AJ116-AI116</f>
        <v>1.5</v>
      </c>
      <c r="AL116" s="57" t="n">
        <f aca="false">(AI116+AJ116)/2</f>
        <v>50.25</v>
      </c>
      <c r="AM116" s="56" t="s">
        <v>199</v>
      </c>
      <c r="AN116" s="56" t="n">
        <v>30</v>
      </c>
      <c r="AO116" s="58" t="n">
        <f aca="false">IF(AL116&gt;$AA$20,$AA$22,$AA$21)</f>
        <v>19.2</v>
      </c>
      <c r="AP116" s="57" t="n">
        <f aca="false">AP115+AO116*AK116</f>
        <v>966.6</v>
      </c>
      <c r="AQ116" s="57" t="n">
        <f aca="false">AP116-AO116*AK116/2-10*MAX(AL116-$AA$20,0)</f>
        <v>539.7</v>
      </c>
      <c r="AR116" s="56"/>
      <c r="AS116" s="56"/>
      <c r="AT116" s="57" t="str">
        <f aca="false">IF(AR116="","",AR116-AS116)</f>
        <v/>
      </c>
      <c r="AU116" s="56" t="n">
        <v>0.357</v>
      </c>
      <c r="AV116" s="57" t="n">
        <f aca="false">IF(AM116="Sand",0,Input!$AA$34*AN116)</f>
        <v>0</v>
      </c>
      <c r="AW116" s="57" t="n">
        <f aca="false">IF(AM116="Sand",27.1+0.3*MIN(Input!$AA$35*AN116,60)-0.00054*MIN(Input!$AA$35*AN116,60)^2,MIN(MAX(DEGREES(ASIN(0.8-0.094*LN(MAX(IF(AT116="",10,AT116),5)))),20),30))</f>
        <v>36.276975946</v>
      </c>
      <c r="AX116" s="57" t="n">
        <f aca="false">IF(AM116="Sand",Input!$AA$36*Input!$AA$35*AN116,Input!$AA$37*AV116)</f>
        <v>32490</v>
      </c>
      <c r="AY116" s="59" t="n">
        <f aca="false">IF(AM116="Sand",Input!$AA$38,0.5)</f>
        <v>0.3</v>
      </c>
      <c r="AZ116" s="57" t="n">
        <f aca="false">Input!$AA$15/2/AL116</f>
        <v>0.736318407960199</v>
      </c>
      <c r="BA116" s="57" t="n">
        <f aca="false">Input!$AA$16/2/AL116</f>
        <v>2.00995024875622</v>
      </c>
      <c r="BB116" s="57" t="n">
        <f aca="false">1/(4*PI())*(2*AZ116*BA116*SQRT(AZ116^2+BA116^2+1)/(AZ116^2+BA116^2+1+AZ116^2*BA116^2)*(AZ116^2+BA116^2+2)/(AZ116^2+BA116^2+1)+ATAN2(AZ116^2+BA116^2+1-AZ116^2*BA116^2,2*AZ116*BA116*SQRT(AZ116^2+BA116^2+1)))</f>
        <v>0.173491603228654</v>
      </c>
      <c r="BC116" s="57" t="n">
        <f aca="false">4*Input!$AA$14*BB116</f>
        <v>94.379432156388</v>
      </c>
      <c r="BD116" s="57" t="n">
        <f aca="false">((Input!$AA$16/Input!$AA$15)*LN((1+SQRT((Input!$AA$16/Input!$AA$15)^2+1))*SQRT((Input!$AA$16/Input!$AA$15)^2+(AJ116/(Input!$AA$15/2))^2)/((Input!$AA$16/Input!$AA$15)*(1+SQRT((Input!$AA$16/Input!$AA$15)^2+(AJ116/(Input!$AA$15/2))^2+1))))+LN(((Input!$AA$16/Input!$AA$15)+SQRT((Input!$AA$16/Input!$AA$15)^2+1))*SQRT(1+(AJ116/(Input!$AA$15/2))^2)/((Input!$AA$16/Input!$AA$15)+SQRT((Input!$AA$16/Input!$AA$15)^2+(AJ116/(Input!$AA$15/2))^2+1))))/PI()</f>
        <v>0.184680682380465</v>
      </c>
      <c r="BE116" s="57" t="n">
        <f aca="false">(AJ116/(Input!$AA$15/2))/(2*PI())*ATAN((Input!$AA$16/Input!$AA$15)/((AJ116/(Input!$AA$15/2))*SQRT((Input!$AA$16/Input!$AA$15)^2+(AJ116/(Input!$AA$15/2))^2+1)))</f>
        <v>0.121043625132288</v>
      </c>
      <c r="BF116" s="57" t="n">
        <f aca="false">MAX(0,AJ116-MAX(AI116,$AA$23))/AK116*IF(BC116&gt;=Input!$AA$21*AQ116,1,0)</f>
        <v>0</v>
      </c>
      <c r="BG116" s="57" t="n">
        <f aca="false">4*Input!$AA$14*(Input!$AA$15/2)*(1-AY116^2)/AX116*((BD116-BD115)+(1-2*AY116)/(1-AY116)*(BE116-BE115))*1000*BF116</f>
        <v>0</v>
      </c>
      <c r="BH116" s="57" t="n">
        <f aca="false">IF(AM116="Sand",0,0.009*(AR116-10))</f>
        <v>0</v>
      </c>
      <c r="BI116" s="57" t="n">
        <f aca="false">BH116*Input!$AA$39</f>
        <v>0</v>
      </c>
      <c r="BJ116" s="57" t="n">
        <f aca="false">IF(AM116="Sand",0,MAX(AV116/Input!$AA$40,AQ116))</f>
        <v>0</v>
      </c>
      <c r="BK116" s="57" t="n">
        <f aca="false">IF(AM116="Sand",0,1000*AK116/(1+AU116)*IF(AQ116+BC116&lt;=BJ116,BI116*LOG10((AQ116+BC116)/AQ116),BI116*LOG10(BJ116/AQ116)+BH116*LOG10((AQ116+BC116)/BJ116)))*BF116</f>
        <v>0</v>
      </c>
      <c r="BL116" s="57" t="n">
        <f aca="false">IF(AM116="Sand",0,10^(INDEX(Input!$Q$51:$Q$57,MIN(MATCH(MIN(MAX(AR116,30),120),Input!$C$51:$C$57,1),6))+(MIN(MAX(AR116,30),120)-INDEX(Input!$C$51:$C$57,MIN(MATCH(MIN(MAX(AR116,30),120),Input!$C$51:$C$57,1),6)))/(INDEX(Input!$C$51:$C$57,MIN(MATCH(MIN(MAX(AR116,30),120),Input!$C$51:$C$57,1),6)+1)-INDEX(Input!$C$51:$C$57,MIN(MATCH(MIN(MAX(AR116,30),120),Input!$C$51:$C$57,1),6)))*(INDEX(Input!$Q$51:$Q$57,MIN(MATCH(MIN(MAX(AR116,30),120),Input!$C$51:$C$57,1),6)+1)-INDEX(Input!$Q$51:$Q$57,MIN(MATCH(MIN(MAX(AR116,30),120),Input!$C$51:$C$57,1),6)))))</f>
        <v>0</v>
      </c>
      <c r="BM116" s="57" t="n">
        <f aca="false">IF(OR(AM116="Sand",BF116=0),0,Input!$AA$41*(AK116/2)^2/(BL116*0.0001*31536000))</f>
        <v>0</v>
      </c>
      <c r="BN116" s="57" t="n">
        <f aca="false">MAX(0,MIN(AJ116,Input!$AA$20)-AI116)</f>
        <v>0</v>
      </c>
      <c r="BO116" s="57" t="n">
        <f aca="false">MAX(0,MIN(AJ116,Input!$AA$20)-MAX(AI116,$AA$23))</f>
        <v>0</v>
      </c>
      <c r="BP116" s="57" t="n">
        <f aca="false">BG116+BK116</f>
        <v>0</v>
      </c>
      <c r="BQ116" s="57"/>
    </row>
    <row r="117" customFormat="false" ht="14.25" hidden="false" customHeight="false" outlineLevel="0" collapsed="false">
      <c r="B117" s="7"/>
      <c r="C117" s="46" t="n">
        <v>35</v>
      </c>
      <c r="D117" s="46"/>
      <c r="E117" s="44" t="n">
        <f aca="false">AI117</f>
        <v>51</v>
      </c>
      <c r="F117" s="44"/>
      <c r="G117" s="44"/>
      <c r="H117" s="44" t="n">
        <f aca="false">AJ117</f>
        <v>52.5</v>
      </c>
      <c r="I117" s="44"/>
      <c r="J117" s="44"/>
      <c r="K117" s="41" t="str">
        <f aca="false">AM117</f>
        <v>Sand</v>
      </c>
      <c r="L117" s="41"/>
      <c r="M117" s="41"/>
      <c r="N117" s="46" t="n">
        <f aca="false">AN117</f>
        <v>34</v>
      </c>
      <c r="O117" s="46"/>
      <c r="P117" s="46"/>
      <c r="Q117" s="42" t="n">
        <f aca="false">AO117</f>
        <v>19.2</v>
      </c>
      <c r="R117" s="42"/>
      <c r="S117" s="42"/>
      <c r="T117" s="46" t="str">
        <f aca="false">IF(AR117="","-",AR117)</f>
        <v>-</v>
      </c>
      <c r="U117" s="46"/>
      <c r="V117" s="46" t="str">
        <f aca="false">IF(AT117="","-",AT117)</f>
        <v>-</v>
      </c>
      <c r="W117" s="46"/>
      <c r="X117" s="44" t="n">
        <f aca="false">AU117</f>
        <v>0.65</v>
      </c>
      <c r="Y117" s="44"/>
      <c r="Z117" s="55" t="n">
        <f aca="false">AV117</f>
        <v>0</v>
      </c>
      <c r="AA117" s="55"/>
      <c r="AB117" s="55"/>
      <c r="AC117" s="42" t="n">
        <f aca="false">AW117</f>
        <v>37.41443577064</v>
      </c>
      <c r="AD117" s="42"/>
      <c r="AE117" s="42"/>
      <c r="AF117" s="12"/>
      <c r="AI117" s="56" t="n">
        <v>51</v>
      </c>
      <c r="AJ117" s="56" t="n">
        <v>52.5</v>
      </c>
      <c r="AK117" s="57" t="n">
        <f aca="false">AJ117-AI117</f>
        <v>1.5</v>
      </c>
      <c r="AL117" s="57" t="n">
        <f aca="false">(AI117+AJ117)/2</f>
        <v>51.75</v>
      </c>
      <c r="AM117" s="56" t="s">
        <v>199</v>
      </c>
      <c r="AN117" s="56" t="n">
        <v>34</v>
      </c>
      <c r="AO117" s="58" t="n">
        <f aca="false">IF(AL117&gt;$AA$20,$AA$22,$AA$21)</f>
        <v>19.2</v>
      </c>
      <c r="AP117" s="57" t="n">
        <f aca="false">AP116+AO117*AK117</f>
        <v>995.399999999999</v>
      </c>
      <c r="AQ117" s="57" t="n">
        <f aca="false">AP117-AO117*AK117/2-10*MAX(AL117-$AA$20,0)</f>
        <v>553.499999999999</v>
      </c>
      <c r="AR117" s="56"/>
      <c r="AS117" s="56"/>
      <c r="AT117" s="57" t="str">
        <f aca="false">IF(AR117="","",AR117-AS117)</f>
        <v/>
      </c>
      <c r="AU117" s="56" t="n">
        <v>0.65</v>
      </c>
      <c r="AV117" s="57" t="n">
        <f aca="false">IF(AM117="Sand",0,Input!$AA$34*AN117)</f>
        <v>0</v>
      </c>
      <c r="AW117" s="57" t="n">
        <f aca="false">IF(AM117="Sand",27.1+0.3*MIN(Input!$AA$35*AN117,60)-0.00054*MIN(Input!$AA$35*AN117,60)^2,MIN(MAX(DEGREES(ASIN(0.8-0.094*LN(MAX(IF(AT117="",10,AT117),5)))),20),30))</f>
        <v>37.41443577064</v>
      </c>
      <c r="AX117" s="57" t="n">
        <f aca="false">IF(AM117="Sand",Input!$AA$36*Input!$AA$35*AN117,Input!$AA$37*AV117)</f>
        <v>36822</v>
      </c>
      <c r="AY117" s="59" t="n">
        <f aca="false">IF(AM117="Sand",Input!$AA$38,0.5)</f>
        <v>0.3</v>
      </c>
      <c r="AZ117" s="57" t="n">
        <f aca="false">Input!$AA$15/2/AL117</f>
        <v>0.714975845410628</v>
      </c>
      <c r="BA117" s="57" t="n">
        <f aca="false">Input!$AA$16/2/AL117</f>
        <v>1.95169082125604</v>
      </c>
      <c r="BB117" s="57" t="n">
        <f aca="false">1/(4*PI())*(2*AZ117*BA117*SQRT(AZ117^2+BA117^2+1)/(AZ117^2+BA117^2+1+AZ117^2*BA117^2)*(AZ117^2+BA117^2+2)/(AZ117^2+BA117^2+1)+ATAN2(AZ117^2+BA117^2+1-AZ117^2*BA117^2,2*AZ117*BA117*SQRT(AZ117^2+BA117^2+1)))</f>
        <v>0.170326331941294</v>
      </c>
      <c r="BC117" s="57" t="n">
        <f aca="false">4*Input!$AA$14*BB117</f>
        <v>92.657524576064</v>
      </c>
      <c r="BD117" s="57" t="n">
        <f aca="false">((Input!$AA$16/Input!$AA$15)*LN((1+SQRT((Input!$AA$16/Input!$AA$15)^2+1))*SQRT((Input!$AA$16/Input!$AA$15)^2+(AJ117/(Input!$AA$15/2))^2)/((Input!$AA$16/Input!$AA$15)*(1+SQRT((Input!$AA$16/Input!$AA$15)^2+(AJ117/(Input!$AA$15/2))^2+1))))+LN(((Input!$AA$16/Input!$AA$15)+SQRT((Input!$AA$16/Input!$AA$15)^2+1))*SQRT(1+(AJ117/(Input!$AA$15/2))^2)/((Input!$AA$16/Input!$AA$15)+SQRT((Input!$AA$16/Input!$AA$15)^2+(AJ117/(Input!$AA$15/2))^2+1))))/PI()</f>
        <v>0.191469892767081</v>
      </c>
      <c r="BE117" s="57" t="n">
        <f aca="false">(AJ117/(Input!$AA$15/2))/(2*PI())*ATAN((Input!$AA$16/Input!$AA$15)/((AJ117/(Input!$AA$15/2))*SQRT((Input!$AA$16/Input!$AA$15)^2+(AJ117/(Input!$AA$15/2))^2+1)))</f>
        <v>0.121159617263437</v>
      </c>
      <c r="BF117" s="57" t="n">
        <f aca="false">MAX(0,AJ117-MAX(AI117,$AA$23))/AK117*IF(BC117&gt;=Input!$AA$21*AQ117,1,0)</f>
        <v>0</v>
      </c>
      <c r="BG117" s="57" t="n">
        <f aca="false">4*Input!$AA$14*(Input!$AA$15/2)*(1-AY117^2)/AX117*((BD117-BD116)+(1-2*AY117)/(1-AY117)*(BE117-BE116))*1000*BF117</f>
        <v>0</v>
      </c>
      <c r="BH117" s="57" t="n">
        <f aca="false">IF(AM117="Sand",0,0.009*(AR117-10))</f>
        <v>0</v>
      </c>
      <c r="BI117" s="57" t="n">
        <f aca="false">BH117*Input!$AA$39</f>
        <v>0</v>
      </c>
      <c r="BJ117" s="57" t="n">
        <f aca="false">IF(AM117="Sand",0,MAX(AV117/Input!$AA$40,AQ117))</f>
        <v>0</v>
      </c>
      <c r="BK117" s="57" t="n">
        <f aca="false">IF(AM117="Sand",0,1000*AK117/(1+AU117)*IF(AQ117+BC117&lt;=BJ117,BI117*LOG10((AQ117+BC117)/AQ117),BI117*LOG10(BJ117/AQ117)+BH117*LOG10((AQ117+BC117)/BJ117)))*BF117</f>
        <v>0</v>
      </c>
      <c r="BL117" s="57" t="n">
        <f aca="false">IF(AM117="Sand",0,10^(INDEX(Input!$Q$51:$Q$57,MIN(MATCH(MIN(MAX(AR117,30),120),Input!$C$51:$C$57,1),6))+(MIN(MAX(AR117,30),120)-INDEX(Input!$C$51:$C$57,MIN(MATCH(MIN(MAX(AR117,30),120),Input!$C$51:$C$57,1),6)))/(INDEX(Input!$C$51:$C$57,MIN(MATCH(MIN(MAX(AR117,30),120),Input!$C$51:$C$57,1),6)+1)-INDEX(Input!$C$51:$C$57,MIN(MATCH(MIN(MAX(AR117,30),120),Input!$C$51:$C$57,1),6)))*(INDEX(Input!$Q$51:$Q$57,MIN(MATCH(MIN(MAX(AR117,30),120),Input!$C$51:$C$57,1),6)+1)-INDEX(Input!$Q$51:$Q$57,MIN(MATCH(MIN(MAX(AR117,30),120),Input!$C$51:$C$57,1),6)))))</f>
        <v>0</v>
      </c>
      <c r="BM117" s="57" t="n">
        <f aca="false">IF(OR(AM117="Sand",BF117=0),0,Input!$AA$41*(AK117/2)^2/(BL117*0.0001*31536000))</f>
        <v>0</v>
      </c>
      <c r="BN117" s="57" t="n">
        <f aca="false">MAX(0,MIN(AJ117,Input!$AA$20)-AI117)</f>
        <v>0</v>
      </c>
      <c r="BO117" s="57" t="n">
        <f aca="false">MAX(0,MIN(AJ117,Input!$AA$20)-MAX(AI117,$AA$23))</f>
        <v>0</v>
      </c>
      <c r="BP117" s="57" t="n">
        <f aca="false">BG117+BK117</f>
        <v>0</v>
      </c>
      <c r="BQ117" s="57"/>
    </row>
    <row r="118" customFormat="false" ht="14.25" hidden="false" customHeight="false" outlineLevel="0" collapsed="false">
      <c r="B118" s="7"/>
      <c r="C118" s="46" t="n">
        <v>36</v>
      </c>
      <c r="D118" s="46"/>
      <c r="E118" s="44" t="n">
        <f aca="false">AI118</f>
        <v>52.5</v>
      </c>
      <c r="F118" s="44"/>
      <c r="G118" s="44"/>
      <c r="H118" s="44" t="n">
        <f aca="false">AJ118</f>
        <v>54</v>
      </c>
      <c r="I118" s="44"/>
      <c r="J118" s="44"/>
      <c r="K118" s="41" t="str">
        <f aca="false">AM118</f>
        <v>Clay</v>
      </c>
      <c r="L118" s="41"/>
      <c r="M118" s="41"/>
      <c r="N118" s="46" t="n">
        <f aca="false">AN118</f>
        <v>31</v>
      </c>
      <c r="O118" s="46"/>
      <c r="P118" s="46"/>
      <c r="Q118" s="42" t="n">
        <f aca="false">AO118</f>
        <v>19.2</v>
      </c>
      <c r="R118" s="42"/>
      <c r="S118" s="42"/>
      <c r="T118" s="46" t="n">
        <f aca="false">IF(AR118="","-",AR118)</f>
        <v>29.665</v>
      </c>
      <c r="U118" s="46"/>
      <c r="V118" s="46" t="n">
        <f aca="false">IF(AT118="","-",AT118)</f>
        <v>9.859</v>
      </c>
      <c r="W118" s="46"/>
      <c r="X118" s="44" t="n">
        <f aca="false">AU118</f>
        <v>0.681</v>
      </c>
      <c r="Y118" s="44"/>
      <c r="Z118" s="55" t="n">
        <f aca="false">AV118</f>
        <v>155</v>
      </c>
      <c r="AA118" s="55"/>
      <c r="AB118" s="55"/>
      <c r="AC118" s="42" t="n">
        <f aca="false">AW118</f>
        <v>30</v>
      </c>
      <c r="AD118" s="42"/>
      <c r="AE118" s="42"/>
      <c r="AF118" s="12"/>
      <c r="AI118" s="56" t="n">
        <v>52.5</v>
      </c>
      <c r="AJ118" s="56" t="n">
        <v>54</v>
      </c>
      <c r="AK118" s="57" t="n">
        <f aca="false">AJ118-AI118</f>
        <v>1.5</v>
      </c>
      <c r="AL118" s="57" t="n">
        <f aca="false">(AI118+AJ118)/2</f>
        <v>53.25</v>
      </c>
      <c r="AM118" s="56" t="s">
        <v>196</v>
      </c>
      <c r="AN118" s="56" t="n">
        <v>31</v>
      </c>
      <c r="AO118" s="58" t="n">
        <f aca="false">IF(AL118&gt;$AA$20,$AA$22,$AA$21)</f>
        <v>19.2</v>
      </c>
      <c r="AP118" s="57" t="n">
        <f aca="false">AP117+AO118*AK118</f>
        <v>1024.2</v>
      </c>
      <c r="AQ118" s="57" t="n">
        <f aca="false">AP118-AO118*AK118/2-10*MAX(AL118-$AA$20,0)</f>
        <v>567.299999999999</v>
      </c>
      <c r="AR118" s="56" t="n">
        <v>29.665</v>
      </c>
      <c r="AS118" s="56" t="n">
        <v>19.806</v>
      </c>
      <c r="AT118" s="57" t="n">
        <f aca="false">IF(AR118="","",AR118-AS118)</f>
        <v>9.859</v>
      </c>
      <c r="AU118" s="56" t="n">
        <v>0.681</v>
      </c>
      <c r="AV118" s="57" t="n">
        <f aca="false">IF(AM118="Sand",0,Input!$AA$34*AN118)</f>
        <v>155</v>
      </c>
      <c r="AW118" s="57" t="n">
        <f aca="false">IF(AM118="Sand",27.1+0.3*MIN(Input!$AA$35*AN118,60)-0.00054*MIN(Input!$AA$35*AN118,60)^2,MIN(MAX(DEGREES(ASIN(0.8-0.094*LN(MAX(IF(AT118="",10,AT118),5)))),20),30))</f>
        <v>30</v>
      </c>
      <c r="AX118" s="57" t="n">
        <f aca="false">IF(AM118="Sand",Input!$AA$36*Input!$AA$35*AN118,Input!$AA$37*AV118)</f>
        <v>77500</v>
      </c>
      <c r="AY118" s="57" t="n">
        <f aca="false">IF(AM118="Sand",Input!$AA$38,0.5)</f>
        <v>0.5</v>
      </c>
      <c r="AZ118" s="57" t="n">
        <f aca="false">Input!$AA$15/2/AL118</f>
        <v>0.694835680751174</v>
      </c>
      <c r="BA118" s="57" t="n">
        <f aca="false">Input!$AA$16/2/AL118</f>
        <v>1.89671361502347</v>
      </c>
      <c r="BB118" s="57" t="n">
        <f aca="false">1/(4*PI())*(2*AZ118*BA118*SQRT(AZ118^2+BA118^2+1)/(AZ118^2+BA118^2+1+AZ118^2*BA118^2)*(AZ118^2+BA118^2+2)/(AZ118^2+BA118^2+1)+ATAN2(AZ118^2+BA118^2+1-AZ118^2*BA118^2,2*AZ118*BA118*SQRT(AZ118^2+BA118^2+1)))</f>
        <v>0.167208949422951</v>
      </c>
      <c r="BC118" s="57" t="n">
        <f aca="false">4*Input!$AA$14*BB118</f>
        <v>90.9616684860851</v>
      </c>
      <c r="BD118" s="57" t="n">
        <f aca="false">((Input!$AA$16/Input!$AA$15)*LN((1+SQRT((Input!$AA$16/Input!$AA$15)^2+1))*SQRT((Input!$AA$16/Input!$AA$15)^2+(AJ118/(Input!$AA$15/2))^2)/((Input!$AA$16/Input!$AA$15)*(1+SQRT((Input!$AA$16/Input!$AA$15)^2+(AJ118/(Input!$AA$15/2))^2+1))))+LN(((Input!$AA$16/Input!$AA$15)+SQRT((Input!$AA$16/Input!$AA$15)^2+1))*SQRT(1+(AJ118/(Input!$AA$15/2))^2)/((Input!$AA$16/Input!$AA$15)+SQRT((Input!$AA$16/Input!$AA$15)^2+(AJ118/(Input!$AA$15/2))^2+1))))/PI()</f>
        <v>0.19819951737019</v>
      </c>
      <c r="BE118" s="57" t="n">
        <f aca="false">(AJ118/(Input!$AA$15/2))/(2*PI())*ATAN((Input!$AA$16/Input!$AA$15)/((AJ118/(Input!$AA$15/2))*SQRT((Input!$AA$16/Input!$AA$15)^2+(AJ118/(Input!$AA$15/2))^2+1)))</f>
        <v>0.121208818106769</v>
      </c>
      <c r="BF118" s="57" t="n">
        <f aca="false">MAX(0,AJ118-MAX(AI118,$AA$23))/AK118*IF(BC118&gt;=Input!$AA$21*AQ118,1,0)</f>
        <v>0</v>
      </c>
      <c r="BG118" s="57" t="n">
        <f aca="false">4*Input!$AA$14*(Input!$AA$15/2)*(1-AY118^2)/AX118*((BD118-BD117)+(1-2*AY118)/(1-AY118)*(BE118-BE117))*1000*BF118</f>
        <v>0</v>
      </c>
      <c r="BH118" s="57" t="n">
        <f aca="false">IF(AM118="Sand",0,0.009*(AR118-10))</f>
        <v>0.176985</v>
      </c>
      <c r="BI118" s="57" t="n">
        <f aca="false">BH118*Input!$AA$39</f>
        <v>0.035397</v>
      </c>
      <c r="BJ118" s="57" t="n">
        <f aca="false">IF(AM118="Sand",0,MAX(AV118/Input!$AA$40,AQ118))</f>
        <v>704.545454545455</v>
      </c>
      <c r="BK118" s="57" t="n">
        <f aca="false">IF(AM118="Sand",0,1000*AK118/(1+AU118)*IF(AQ118+BC118&lt;=BJ118,BI118*LOG10((AQ118+BC118)/AQ118),BI118*LOG10(BJ118/AQ118)+BH118*LOG10((AQ118+BC118)/BJ118)))*BF118</f>
        <v>0</v>
      </c>
      <c r="BL118" s="57" t="n">
        <f aca="false">IF(AM118="Sand",0,10^(INDEX(Input!$Q$51:$Q$57,MIN(MATCH(MIN(MAX(AR118,30),120),Input!$C$51:$C$57,1),6))+(MIN(MAX(AR118,30),120)-INDEX(Input!$C$51:$C$57,MIN(MATCH(MIN(MAX(AR118,30),120),Input!$C$51:$C$57,1),6)))/(INDEX(Input!$C$51:$C$57,MIN(MATCH(MIN(MAX(AR118,30),120),Input!$C$51:$C$57,1),6)+1)-INDEX(Input!$C$51:$C$57,MIN(MATCH(MIN(MAX(AR118,30),120),Input!$C$51:$C$57,1),6)))*(INDEX(Input!$Q$51:$Q$57,MIN(MATCH(MIN(MAX(AR118,30),120),Input!$C$51:$C$57,1),6)+1)-INDEX(Input!$Q$51:$Q$57,MIN(MATCH(MIN(MAX(AR118,30),120),Input!$C$51:$C$57,1),6)))))</f>
        <v>0.003</v>
      </c>
      <c r="BM118" s="57" t="n">
        <f aca="false">IF(OR(AM118="Sand",BF118=0),0,Input!$AA$41*(AK118/2)^2/(BL118*0.0001*31536000))</f>
        <v>0</v>
      </c>
      <c r="BN118" s="57" t="n">
        <f aca="false">MAX(0,MIN(AJ118,Input!$AA$20)-AI118)</f>
        <v>0</v>
      </c>
      <c r="BO118" s="57" t="n">
        <f aca="false">MAX(0,MIN(AJ118,Input!$AA$20)-MAX(AI118,$AA$23))</f>
        <v>0</v>
      </c>
      <c r="BP118" s="57" t="n">
        <f aca="false">BG118+BK118</f>
        <v>0</v>
      </c>
      <c r="BQ118" s="57" t="s">
        <v>198</v>
      </c>
    </row>
    <row r="119" customFormat="false" ht="14.25" hidden="false" customHeight="false" outlineLevel="0" collapsed="false">
      <c r="B119" s="7"/>
      <c r="C119" s="46" t="n">
        <v>37</v>
      </c>
      <c r="D119" s="46"/>
      <c r="E119" s="44" t="n">
        <f aca="false">AI119</f>
        <v>54</v>
      </c>
      <c r="F119" s="44"/>
      <c r="G119" s="44"/>
      <c r="H119" s="44" t="n">
        <f aca="false">AJ119</f>
        <v>55.5</v>
      </c>
      <c r="I119" s="44"/>
      <c r="J119" s="44"/>
      <c r="K119" s="41" t="str">
        <f aca="false">AM119</f>
        <v>Sand</v>
      </c>
      <c r="L119" s="41"/>
      <c r="M119" s="41"/>
      <c r="N119" s="46" t="n">
        <f aca="false">AN119</f>
        <v>29</v>
      </c>
      <c r="O119" s="46"/>
      <c r="P119" s="46"/>
      <c r="Q119" s="42" t="n">
        <f aca="false">AO119</f>
        <v>19.2</v>
      </c>
      <c r="R119" s="42"/>
      <c r="S119" s="42"/>
      <c r="T119" s="46" t="str">
        <f aca="false">IF(AR119="","-",AR119)</f>
        <v>-</v>
      </c>
      <c r="U119" s="46"/>
      <c r="V119" s="46" t="str">
        <f aca="false">IF(AT119="","-",AT119)</f>
        <v>-</v>
      </c>
      <c r="W119" s="46"/>
      <c r="X119" s="44" t="n">
        <f aca="false">AU119</f>
        <v>0.65</v>
      </c>
      <c r="Y119" s="44"/>
      <c r="Z119" s="55" t="n">
        <f aca="false">AV119</f>
        <v>0</v>
      </c>
      <c r="AA119" s="55"/>
      <c r="AB119" s="55"/>
      <c r="AC119" s="42" t="n">
        <f aca="false">AW119</f>
        <v>35.98944418954</v>
      </c>
      <c r="AD119" s="42"/>
      <c r="AE119" s="42"/>
      <c r="AF119" s="12"/>
      <c r="AI119" s="56" t="n">
        <v>54</v>
      </c>
      <c r="AJ119" s="56" t="n">
        <v>55.5</v>
      </c>
      <c r="AK119" s="57" t="n">
        <f aca="false">AJ119-AI119</f>
        <v>1.5</v>
      </c>
      <c r="AL119" s="57" t="n">
        <f aca="false">(AI119+AJ119)/2</f>
        <v>54.75</v>
      </c>
      <c r="AM119" s="56" t="s">
        <v>199</v>
      </c>
      <c r="AN119" s="56" t="n">
        <v>29</v>
      </c>
      <c r="AO119" s="58" t="n">
        <f aca="false">IF(AL119&gt;$AA$20,$AA$22,$AA$21)</f>
        <v>19.2</v>
      </c>
      <c r="AP119" s="57" t="n">
        <f aca="false">AP118+AO119*AK119</f>
        <v>1053</v>
      </c>
      <c r="AQ119" s="57" t="n">
        <f aca="false">AP119-AO119*AK119/2-10*MAX(AL119-$AA$20,0)</f>
        <v>581.099999999999</v>
      </c>
      <c r="AR119" s="56"/>
      <c r="AS119" s="56"/>
      <c r="AT119" s="57" t="str">
        <f aca="false">IF(AR119="","",AR119-AS119)</f>
        <v/>
      </c>
      <c r="AU119" s="56" t="n">
        <v>0.65</v>
      </c>
      <c r="AV119" s="57" t="n">
        <f aca="false">IF(AM119="Sand",0,Input!$AA$34*AN119)</f>
        <v>0</v>
      </c>
      <c r="AW119" s="57" t="n">
        <f aca="false">IF(AM119="Sand",27.1+0.3*MIN(Input!$AA$35*AN119,60)-0.00054*MIN(Input!$AA$35*AN119,60)^2,MIN(MAX(DEGREES(ASIN(0.8-0.094*LN(MAX(IF(AT119="",10,AT119),5)))),20),30))</f>
        <v>35.98944418954</v>
      </c>
      <c r="AX119" s="57" t="n">
        <f aca="false">IF(AM119="Sand",Input!$AA$36*Input!$AA$35*AN119,Input!$AA$37*AV119)</f>
        <v>31407</v>
      </c>
      <c r="AY119" s="59" t="n">
        <f aca="false">IF(AM119="Sand",Input!$AA$38,0.5)</f>
        <v>0.3</v>
      </c>
      <c r="AZ119" s="57" t="n">
        <f aca="false">Input!$AA$15/2/AL119</f>
        <v>0.675799086757991</v>
      </c>
      <c r="BA119" s="57" t="n">
        <f aca="false">Input!$AA$16/2/AL119</f>
        <v>1.84474885844749</v>
      </c>
      <c r="BB119" s="57" t="n">
        <f aca="false">1/(4*PI())*(2*AZ119*BA119*SQRT(AZ119^2+BA119^2+1)/(AZ119^2+BA119^2+1+AZ119^2*BA119^2)*(AZ119^2+BA119^2+2)/(AZ119^2+BA119^2+1)+ATAN2(AZ119^2+BA119^2+1-AZ119^2*BA119^2,2*AZ119*BA119*SQRT(AZ119^2+BA119^2+1)))</f>
        <v>0.16414141420255</v>
      </c>
      <c r="BC119" s="57" t="n">
        <f aca="false">4*Input!$AA$14*BB119</f>
        <v>89.2929293261871</v>
      </c>
      <c r="BD119" s="57" t="n">
        <f aca="false">((Input!$AA$16/Input!$AA$15)*LN((1+SQRT((Input!$AA$16/Input!$AA$15)^2+1))*SQRT((Input!$AA$16/Input!$AA$15)^2+(AJ119/(Input!$AA$15/2))^2)/((Input!$AA$16/Input!$AA$15)*(1+SQRT((Input!$AA$16/Input!$AA$15)^2+(AJ119/(Input!$AA$15/2))^2+1))))+LN(((Input!$AA$16/Input!$AA$15)+SQRT((Input!$AA$16/Input!$AA$15)^2+1))*SQRT(1+(AJ119/(Input!$AA$15/2))^2)/((Input!$AA$16/Input!$AA$15)+SQRT((Input!$AA$16/Input!$AA$15)^2+(AJ119/(Input!$AA$15/2))^2+1))))/PI()</f>
        <v>0.204866530926182</v>
      </c>
      <c r="BE119" s="57" t="n">
        <f aca="false">(AJ119/(Input!$AA$15/2))/(2*PI())*ATAN((Input!$AA$16/Input!$AA$15)/((AJ119/(Input!$AA$15/2))*SQRT((Input!$AA$16/Input!$AA$15)^2+(AJ119/(Input!$AA$15/2))^2+1)))</f>
        <v>0.121196273026185</v>
      </c>
      <c r="BF119" s="57" t="n">
        <f aca="false">MAX(0,AJ119-MAX(AI119,$AA$23))/AK119*IF(BC119&gt;=Input!$AA$21*AQ119,1,0)</f>
        <v>0</v>
      </c>
      <c r="BG119" s="57" t="n">
        <f aca="false">4*Input!$AA$14*(Input!$AA$15/2)*(1-AY119^2)/AX119*((BD119-BD118)+(1-2*AY119)/(1-AY119)*(BE119-BE118))*1000*BF119</f>
        <v>0</v>
      </c>
      <c r="BH119" s="57" t="n">
        <f aca="false">IF(AM119="Sand",0,0.009*(AR119-10))</f>
        <v>0</v>
      </c>
      <c r="BI119" s="57" t="n">
        <f aca="false">BH119*Input!$AA$39</f>
        <v>0</v>
      </c>
      <c r="BJ119" s="57" t="n">
        <f aca="false">IF(AM119="Sand",0,MAX(AV119/Input!$AA$40,AQ119))</f>
        <v>0</v>
      </c>
      <c r="BK119" s="57" t="n">
        <f aca="false">IF(AM119="Sand",0,1000*AK119/(1+AU119)*IF(AQ119+BC119&lt;=BJ119,BI119*LOG10((AQ119+BC119)/AQ119),BI119*LOG10(BJ119/AQ119)+BH119*LOG10((AQ119+BC119)/BJ119)))*BF119</f>
        <v>0</v>
      </c>
      <c r="BL119" s="57" t="n">
        <f aca="false">IF(AM119="Sand",0,10^(INDEX(Input!$Q$51:$Q$57,MIN(MATCH(MIN(MAX(AR119,30),120),Input!$C$51:$C$57,1),6))+(MIN(MAX(AR119,30),120)-INDEX(Input!$C$51:$C$57,MIN(MATCH(MIN(MAX(AR119,30),120),Input!$C$51:$C$57,1),6)))/(INDEX(Input!$C$51:$C$57,MIN(MATCH(MIN(MAX(AR119,30),120),Input!$C$51:$C$57,1),6)+1)-INDEX(Input!$C$51:$C$57,MIN(MATCH(MIN(MAX(AR119,30),120),Input!$C$51:$C$57,1),6)))*(INDEX(Input!$Q$51:$Q$57,MIN(MATCH(MIN(MAX(AR119,30),120),Input!$C$51:$C$57,1),6)+1)-INDEX(Input!$Q$51:$Q$57,MIN(MATCH(MIN(MAX(AR119,30),120),Input!$C$51:$C$57,1),6)))))</f>
        <v>0</v>
      </c>
      <c r="BM119" s="57" t="n">
        <f aca="false">IF(OR(AM119="Sand",BF119=0),0,Input!$AA$41*(AK119/2)^2/(BL119*0.0001*31536000))</f>
        <v>0</v>
      </c>
      <c r="BN119" s="57" t="n">
        <f aca="false">MAX(0,MIN(AJ119,Input!$AA$20)-AI119)</f>
        <v>0</v>
      </c>
      <c r="BO119" s="57" t="n">
        <f aca="false">MAX(0,MIN(AJ119,Input!$AA$20)-MAX(AI119,$AA$23))</f>
        <v>0</v>
      </c>
      <c r="BP119" s="57" t="n">
        <f aca="false">BG119+BK119</f>
        <v>0</v>
      </c>
      <c r="BQ119" s="57"/>
    </row>
    <row r="120" customFormat="false" ht="14.25" hidden="false" customHeight="false" outlineLevel="0" collapsed="false">
      <c r="B120" s="7"/>
      <c r="C120" s="46" t="n">
        <v>38</v>
      </c>
      <c r="D120" s="46"/>
      <c r="E120" s="44" t="n">
        <f aca="false">AI120</f>
        <v>55.5</v>
      </c>
      <c r="F120" s="44"/>
      <c r="G120" s="44"/>
      <c r="H120" s="44" t="n">
        <f aca="false">AJ120</f>
        <v>57</v>
      </c>
      <c r="I120" s="44"/>
      <c r="J120" s="44"/>
      <c r="K120" s="41" t="str">
        <f aca="false">AM120</f>
        <v>Sand</v>
      </c>
      <c r="L120" s="41"/>
      <c r="M120" s="41"/>
      <c r="N120" s="46" t="n">
        <f aca="false">AN120</f>
        <v>25</v>
      </c>
      <c r="O120" s="46"/>
      <c r="P120" s="46"/>
      <c r="Q120" s="42" t="n">
        <f aca="false">AO120</f>
        <v>19.2</v>
      </c>
      <c r="R120" s="42"/>
      <c r="S120" s="42"/>
      <c r="T120" s="46" t="str">
        <f aca="false">IF(AR120="","-",AR120)</f>
        <v>-</v>
      </c>
      <c r="U120" s="46"/>
      <c r="V120" s="46" t="str">
        <f aca="false">IF(AT120="","-",AT120)</f>
        <v>-</v>
      </c>
      <c r="W120" s="46"/>
      <c r="X120" s="44" t="n">
        <f aca="false">AU120</f>
        <v>0.65</v>
      </c>
      <c r="Y120" s="44"/>
      <c r="Z120" s="55" t="n">
        <f aca="false">AV120</f>
        <v>0</v>
      </c>
      <c r="AA120" s="55"/>
      <c r="AB120" s="55"/>
      <c r="AC120" s="42" t="n">
        <f aca="false">AW120</f>
        <v>34.8266499625</v>
      </c>
      <c r="AD120" s="42"/>
      <c r="AE120" s="42"/>
      <c r="AF120" s="12"/>
      <c r="AI120" s="56" t="n">
        <v>55.5</v>
      </c>
      <c r="AJ120" s="56" t="n">
        <v>57</v>
      </c>
      <c r="AK120" s="57" t="n">
        <f aca="false">AJ120-AI120</f>
        <v>1.5</v>
      </c>
      <c r="AL120" s="57" t="n">
        <f aca="false">(AI120+AJ120)/2</f>
        <v>56.25</v>
      </c>
      <c r="AM120" s="56" t="s">
        <v>199</v>
      </c>
      <c r="AN120" s="56" t="n">
        <v>25</v>
      </c>
      <c r="AO120" s="58" t="n">
        <f aca="false">IF(AL120&gt;$AA$20,$AA$22,$AA$21)</f>
        <v>19.2</v>
      </c>
      <c r="AP120" s="57" t="n">
        <f aca="false">AP119+AO120*AK120</f>
        <v>1081.8</v>
      </c>
      <c r="AQ120" s="57" t="n">
        <f aca="false">AP120-AO120*AK120/2-10*MAX(AL120-$AA$20,0)</f>
        <v>594.899999999999</v>
      </c>
      <c r="AR120" s="56"/>
      <c r="AS120" s="56"/>
      <c r="AT120" s="57" t="str">
        <f aca="false">IF(AR120="","",AR120-AS120)</f>
        <v/>
      </c>
      <c r="AU120" s="56" t="n">
        <v>0.65</v>
      </c>
      <c r="AV120" s="57" t="n">
        <f aca="false">IF(AM120="Sand",0,Input!$AA$34*AN120)</f>
        <v>0</v>
      </c>
      <c r="AW120" s="57" t="n">
        <f aca="false">IF(AM120="Sand",27.1+0.3*MIN(Input!$AA$35*AN120,60)-0.00054*MIN(Input!$AA$35*AN120,60)^2,MIN(MAX(DEGREES(ASIN(0.8-0.094*LN(MAX(IF(AT120="",10,AT120),5)))),20),30))</f>
        <v>34.8266499625</v>
      </c>
      <c r="AX120" s="57" t="n">
        <f aca="false">IF(AM120="Sand",Input!$AA$36*Input!$AA$35*AN120,Input!$AA$37*AV120)</f>
        <v>27075</v>
      </c>
      <c r="AY120" s="59" t="n">
        <f aca="false">IF(AM120="Sand",Input!$AA$38,0.5)</f>
        <v>0.3</v>
      </c>
      <c r="AZ120" s="57" t="n">
        <f aca="false">Input!$AA$15/2/AL120</f>
        <v>0.657777777777778</v>
      </c>
      <c r="BA120" s="57" t="n">
        <f aca="false">Input!$AA$16/2/AL120</f>
        <v>1.79555555555556</v>
      </c>
      <c r="BB120" s="57" t="n">
        <f aca="false">1/(4*PI())*(2*AZ120*BA120*SQRT(AZ120^2+BA120^2+1)/(AZ120^2+BA120^2+1+AZ120^2*BA120^2)*(AZ120^2+BA120^2+2)/(AZ120^2+BA120^2+1)+ATAN2(AZ120^2+BA120^2+1-AZ120^2*BA120^2,2*AZ120*BA120*SQRT(AZ120^2+BA120^2+1)))</f>
        <v>0.161125248626343</v>
      </c>
      <c r="BC120" s="57" t="n">
        <f aca="false">4*Input!$AA$14*BB120</f>
        <v>87.6521352527307</v>
      </c>
      <c r="BD120" s="57" t="n">
        <f aca="false">((Input!$AA$16/Input!$AA$15)*LN((1+SQRT((Input!$AA$16/Input!$AA$15)^2+1))*SQRT((Input!$AA$16/Input!$AA$15)^2+(AJ120/(Input!$AA$15/2))^2)/((Input!$AA$16/Input!$AA$15)*(1+SQRT((Input!$AA$16/Input!$AA$15)^2+(AJ120/(Input!$AA$15/2))^2+1))))+LN(((Input!$AA$16/Input!$AA$15)+SQRT((Input!$AA$16/Input!$AA$15)^2+1))*SQRT(1+(AJ120/(Input!$AA$15/2))^2)/((Input!$AA$16/Input!$AA$15)+SQRT((Input!$AA$16/Input!$AA$15)^2+(AJ120/(Input!$AA$15/2))^2+1))))/PI()</f>
        <v>0.211468337918076</v>
      </c>
      <c r="BE120" s="57" t="n">
        <f aca="false">(AJ120/(Input!$AA$15/2))/(2*PI())*ATAN((Input!$AA$16/Input!$AA$15)/((AJ120/(Input!$AA$15/2))*SQRT((Input!$AA$16/Input!$AA$15)^2+(AJ120/(Input!$AA$15/2))^2+1)))</f>
        <v>0.121126659448925</v>
      </c>
      <c r="BF120" s="57" t="n">
        <f aca="false">MAX(0,AJ120-MAX(AI120,$AA$23))/AK120*IF(BC120&gt;=Input!$AA$21*AQ120,1,0)</f>
        <v>0</v>
      </c>
      <c r="BG120" s="57" t="n">
        <f aca="false">4*Input!$AA$14*(Input!$AA$15/2)*(1-AY120^2)/AX120*((BD120-BD119)+(1-2*AY120)/(1-AY120)*(BE120-BE119))*1000*BF120</f>
        <v>0</v>
      </c>
      <c r="BH120" s="57" t="n">
        <f aca="false">IF(AM120="Sand",0,0.009*(AR120-10))</f>
        <v>0</v>
      </c>
      <c r="BI120" s="57" t="n">
        <f aca="false">BH120*Input!$AA$39</f>
        <v>0</v>
      </c>
      <c r="BJ120" s="57" t="n">
        <f aca="false">IF(AM120="Sand",0,MAX(AV120/Input!$AA$40,AQ120))</f>
        <v>0</v>
      </c>
      <c r="BK120" s="57" t="n">
        <f aca="false">IF(AM120="Sand",0,1000*AK120/(1+AU120)*IF(AQ120+BC120&lt;=BJ120,BI120*LOG10((AQ120+BC120)/AQ120),BI120*LOG10(BJ120/AQ120)+BH120*LOG10((AQ120+BC120)/BJ120)))*BF120</f>
        <v>0</v>
      </c>
      <c r="BL120" s="57" t="n">
        <f aca="false">IF(AM120="Sand",0,10^(INDEX(Input!$Q$51:$Q$57,MIN(MATCH(MIN(MAX(AR120,30),120),Input!$C$51:$C$57,1),6))+(MIN(MAX(AR120,30),120)-INDEX(Input!$C$51:$C$57,MIN(MATCH(MIN(MAX(AR120,30),120),Input!$C$51:$C$57,1),6)))/(INDEX(Input!$C$51:$C$57,MIN(MATCH(MIN(MAX(AR120,30),120),Input!$C$51:$C$57,1),6)+1)-INDEX(Input!$C$51:$C$57,MIN(MATCH(MIN(MAX(AR120,30),120),Input!$C$51:$C$57,1),6)))*(INDEX(Input!$Q$51:$Q$57,MIN(MATCH(MIN(MAX(AR120,30),120),Input!$C$51:$C$57,1),6)+1)-INDEX(Input!$Q$51:$Q$57,MIN(MATCH(MIN(MAX(AR120,30),120),Input!$C$51:$C$57,1),6)))))</f>
        <v>0</v>
      </c>
      <c r="BM120" s="57" t="n">
        <f aca="false">IF(OR(AM120="Sand",BF120=0),0,Input!$AA$41*(AK120/2)^2/(BL120*0.0001*31536000))</f>
        <v>0</v>
      </c>
      <c r="BN120" s="57" t="n">
        <f aca="false">MAX(0,MIN(AJ120,Input!$AA$20)-AI120)</f>
        <v>0</v>
      </c>
      <c r="BO120" s="57" t="n">
        <f aca="false">MAX(0,MIN(AJ120,Input!$AA$20)-MAX(AI120,$AA$23))</f>
        <v>0</v>
      </c>
      <c r="BP120" s="57" t="n">
        <f aca="false">BG120+BK120</f>
        <v>0</v>
      </c>
      <c r="BQ120" s="57"/>
    </row>
    <row r="121" customFormat="false" ht="14.25" hidden="false" customHeight="false" outlineLevel="0" collapsed="false">
      <c r="B121" s="7"/>
      <c r="C121" s="46" t="n">
        <v>39</v>
      </c>
      <c r="D121" s="46"/>
      <c r="E121" s="44" t="n">
        <f aca="false">AI121</f>
        <v>57</v>
      </c>
      <c r="F121" s="44"/>
      <c r="G121" s="44"/>
      <c r="H121" s="44" t="n">
        <f aca="false">AJ121</f>
        <v>58.5</v>
      </c>
      <c r="I121" s="44"/>
      <c r="J121" s="44"/>
      <c r="K121" s="41" t="str">
        <f aca="false">AM121</f>
        <v>Sand</v>
      </c>
      <c r="L121" s="41"/>
      <c r="M121" s="41"/>
      <c r="N121" s="46" t="n">
        <f aca="false">AN121</f>
        <v>35</v>
      </c>
      <c r="O121" s="46"/>
      <c r="P121" s="46"/>
      <c r="Q121" s="42" t="n">
        <f aca="false">AO121</f>
        <v>19.2</v>
      </c>
      <c r="R121" s="42"/>
      <c r="S121" s="42"/>
      <c r="T121" s="46" t="str">
        <f aca="false">IF(AR121="","-",AR121)</f>
        <v>-</v>
      </c>
      <c r="U121" s="46"/>
      <c r="V121" s="46" t="str">
        <f aca="false">IF(AT121="","-",AT121)</f>
        <v>-</v>
      </c>
      <c r="W121" s="46"/>
      <c r="X121" s="44" t="n">
        <f aca="false">AU121</f>
        <v>0.65</v>
      </c>
      <c r="Y121" s="44"/>
      <c r="Z121" s="55" t="n">
        <f aca="false">AV121</f>
        <v>0</v>
      </c>
      <c r="AA121" s="55"/>
      <c r="AB121" s="55"/>
      <c r="AC121" s="42" t="n">
        <f aca="false">AW121</f>
        <v>37.6956339265</v>
      </c>
      <c r="AD121" s="42"/>
      <c r="AE121" s="42"/>
      <c r="AF121" s="12"/>
      <c r="AI121" s="56" t="n">
        <v>57</v>
      </c>
      <c r="AJ121" s="56" t="n">
        <v>58.5</v>
      </c>
      <c r="AK121" s="57" t="n">
        <f aca="false">AJ121-AI121</f>
        <v>1.5</v>
      </c>
      <c r="AL121" s="57" t="n">
        <f aca="false">(AI121+AJ121)/2</f>
        <v>57.75</v>
      </c>
      <c r="AM121" s="56" t="s">
        <v>199</v>
      </c>
      <c r="AN121" s="56" t="n">
        <v>35</v>
      </c>
      <c r="AO121" s="58" t="n">
        <f aca="false">IF(AL121&gt;$AA$20,$AA$22,$AA$21)</f>
        <v>19.2</v>
      </c>
      <c r="AP121" s="57" t="n">
        <f aca="false">AP120+AO121*AK121</f>
        <v>1110.6</v>
      </c>
      <c r="AQ121" s="57" t="n">
        <f aca="false">AP121-AO121*AK121/2-10*MAX(AL121-$AA$20,0)</f>
        <v>608.699999999999</v>
      </c>
      <c r="AR121" s="56"/>
      <c r="AS121" s="56"/>
      <c r="AT121" s="57" t="str">
        <f aca="false">IF(AR121="","",AR121-AS121)</f>
        <v/>
      </c>
      <c r="AU121" s="56" t="n">
        <v>0.65</v>
      </c>
      <c r="AV121" s="57" t="n">
        <f aca="false">IF(AM121="Sand",0,Input!$AA$34*AN121)</f>
        <v>0</v>
      </c>
      <c r="AW121" s="57" t="n">
        <f aca="false">IF(AM121="Sand",27.1+0.3*MIN(Input!$AA$35*AN121,60)-0.00054*MIN(Input!$AA$35*AN121,60)^2,MIN(MAX(DEGREES(ASIN(0.8-0.094*LN(MAX(IF(AT121="",10,AT121),5)))),20),30))</f>
        <v>37.6956339265</v>
      </c>
      <c r="AX121" s="57" t="n">
        <f aca="false">IF(AM121="Sand",Input!$AA$36*Input!$AA$35*AN121,Input!$AA$37*AV121)</f>
        <v>37905</v>
      </c>
      <c r="AY121" s="59" t="n">
        <f aca="false">IF(AM121="Sand",Input!$AA$38,0.5)</f>
        <v>0.3</v>
      </c>
      <c r="AZ121" s="57" t="n">
        <f aca="false">Input!$AA$15/2/AL121</f>
        <v>0.640692640692641</v>
      </c>
      <c r="BA121" s="57" t="n">
        <f aca="false">Input!$AA$16/2/AL121</f>
        <v>1.74891774891775</v>
      </c>
      <c r="BB121" s="57" t="n">
        <f aca="false">1/(4*PI())*(2*AZ121*BA121*SQRT(AZ121^2+BA121^2+1)/(AZ121^2+BA121^2+1+AZ121^2*BA121^2)*(AZ121^2+BA121^2+2)/(AZ121^2+BA121^2+1)+ATAN2(AZ121^2+BA121^2+1-AZ121^2*BA121^2,2*AZ121*BA121*SQRT(AZ121^2+BA121^2+1)))</f>
        <v>0.158161594063732</v>
      </c>
      <c r="BC121" s="57" t="n">
        <f aca="false">4*Input!$AA$14*BB121</f>
        <v>86.0399071706701</v>
      </c>
      <c r="BD121" s="57" t="n">
        <f aca="false">((Input!$AA$16/Input!$AA$15)*LN((1+SQRT((Input!$AA$16/Input!$AA$15)^2+1))*SQRT((Input!$AA$16/Input!$AA$15)^2+(AJ121/(Input!$AA$15/2))^2)/((Input!$AA$16/Input!$AA$15)*(1+SQRT((Input!$AA$16/Input!$AA$15)^2+(AJ121/(Input!$AA$15/2))^2+1))))+LN(((Input!$AA$16/Input!$AA$15)+SQRT((Input!$AA$16/Input!$AA$15)^2+1))*SQRT(1+(AJ121/(Input!$AA$15/2))^2)/((Input!$AA$16/Input!$AA$15)+SQRT((Input!$AA$16/Input!$AA$15)^2+(AJ121/(Input!$AA$15/2))^2+1))))/PI()</f>
        <v>0.218002728213384</v>
      </c>
      <c r="BE121" s="57" t="n">
        <f aca="false">(AJ121/(Input!$AA$15/2))/(2*PI())*ATAN((Input!$AA$16/Input!$AA$15)/((AJ121/(Input!$AA$15/2))*SQRT((Input!$AA$16/Input!$AA$15)^2+(AJ121/(Input!$AA$15/2))^2+1)))</f>
        <v>0.121004315773392</v>
      </c>
      <c r="BF121" s="57" t="n">
        <f aca="false">MAX(0,AJ121-MAX(AI121,$AA$23))/AK121*IF(BC121&gt;=Input!$AA$21*AQ121,1,0)</f>
        <v>0</v>
      </c>
      <c r="BG121" s="57" t="n">
        <f aca="false">4*Input!$AA$14*(Input!$AA$15/2)*(1-AY121^2)/AX121*((BD121-BD120)+(1-2*AY121)/(1-AY121)*(BE121-BE120))*1000*BF121</f>
        <v>0</v>
      </c>
      <c r="BH121" s="57" t="n">
        <f aca="false">IF(AM121="Sand",0,0.009*(AR121-10))</f>
        <v>0</v>
      </c>
      <c r="BI121" s="57" t="n">
        <f aca="false">BH121*Input!$AA$39</f>
        <v>0</v>
      </c>
      <c r="BJ121" s="57" t="n">
        <f aca="false">IF(AM121="Sand",0,MAX(AV121/Input!$AA$40,AQ121))</f>
        <v>0</v>
      </c>
      <c r="BK121" s="57" t="n">
        <f aca="false">IF(AM121="Sand",0,1000*AK121/(1+AU121)*IF(AQ121+BC121&lt;=BJ121,BI121*LOG10((AQ121+BC121)/AQ121),BI121*LOG10(BJ121/AQ121)+BH121*LOG10((AQ121+BC121)/BJ121)))*BF121</f>
        <v>0</v>
      </c>
      <c r="BL121" s="57" t="n">
        <f aca="false">IF(AM121="Sand",0,10^(INDEX(Input!$Q$51:$Q$57,MIN(MATCH(MIN(MAX(AR121,30),120),Input!$C$51:$C$57,1),6))+(MIN(MAX(AR121,30),120)-INDEX(Input!$C$51:$C$57,MIN(MATCH(MIN(MAX(AR121,30),120),Input!$C$51:$C$57,1),6)))/(INDEX(Input!$C$51:$C$57,MIN(MATCH(MIN(MAX(AR121,30),120),Input!$C$51:$C$57,1),6)+1)-INDEX(Input!$C$51:$C$57,MIN(MATCH(MIN(MAX(AR121,30),120),Input!$C$51:$C$57,1),6)))*(INDEX(Input!$Q$51:$Q$57,MIN(MATCH(MIN(MAX(AR121,30),120),Input!$C$51:$C$57,1),6)+1)-INDEX(Input!$Q$51:$Q$57,MIN(MATCH(MIN(MAX(AR121,30),120),Input!$C$51:$C$57,1),6)))))</f>
        <v>0</v>
      </c>
      <c r="BM121" s="57" t="n">
        <f aca="false">IF(OR(AM121="Sand",BF121=0),0,Input!$AA$41*(AK121/2)^2/(BL121*0.0001*31536000))</f>
        <v>0</v>
      </c>
      <c r="BN121" s="57" t="n">
        <f aca="false">MAX(0,MIN(AJ121,Input!$AA$20)-AI121)</f>
        <v>0</v>
      </c>
      <c r="BO121" s="57" t="n">
        <f aca="false">MAX(0,MIN(AJ121,Input!$AA$20)-MAX(AI121,$AA$23))</f>
        <v>0</v>
      </c>
      <c r="BP121" s="57" t="n">
        <f aca="false">BG121+BK121</f>
        <v>0</v>
      </c>
      <c r="BQ121" s="57"/>
    </row>
    <row r="122" customFormat="false" ht="14.25" hidden="false" customHeight="false" outlineLevel="0" collapsed="false">
      <c r="B122" s="7"/>
      <c r="C122" s="46" t="n">
        <v>40</v>
      </c>
      <c r="D122" s="46"/>
      <c r="E122" s="44" t="n">
        <f aca="false">AI122</f>
        <v>58.5</v>
      </c>
      <c r="F122" s="44"/>
      <c r="G122" s="44"/>
      <c r="H122" s="44" t="n">
        <f aca="false">AJ122</f>
        <v>59.5</v>
      </c>
      <c r="I122" s="44"/>
      <c r="J122" s="44"/>
      <c r="K122" s="41" t="str">
        <f aca="false">AM122</f>
        <v>Sand</v>
      </c>
      <c r="L122" s="41"/>
      <c r="M122" s="41"/>
      <c r="N122" s="46" t="n">
        <f aca="false">AN122</f>
        <v>42</v>
      </c>
      <c r="O122" s="46"/>
      <c r="P122" s="46"/>
      <c r="Q122" s="42" t="n">
        <f aca="false">AO122</f>
        <v>19.2</v>
      </c>
      <c r="R122" s="42"/>
      <c r="S122" s="42"/>
      <c r="T122" s="46" t="str">
        <f aca="false">IF(AR122="","-",AR122)</f>
        <v>-</v>
      </c>
      <c r="U122" s="46"/>
      <c r="V122" s="46" t="str">
        <f aca="false">IF(AT122="","-",AT122)</f>
        <v>-</v>
      </c>
      <c r="W122" s="46"/>
      <c r="X122" s="44" t="n">
        <f aca="false">AU122</f>
        <v>0.65</v>
      </c>
      <c r="Y122" s="44"/>
      <c r="Z122" s="55" t="n">
        <f aca="false">AV122</f>
        <v>0</v>
      </c>
      <c r="AA122" s="55"/>
      <c r="AB122" s="55"/>
      <c r="AC122" s="42" t="n">
        <f aca="false">AW122</f>
        <v>39.62855285416</v>
      </c>
      <c r="AD122" s="42"/>
      <c r="AE122" s="42"/>
      <c r="AF122" s="12"/>
      <c r="AI122" s="56" t="n">
        <v>58.5</v>
      </c>
      <c r="AJ122" s="56" t="n">
        <v>59.5</v>
      </c>
      <c r="AK122" s="57" t="n">
        <f aca="false">AJ122-AI122</f>
        <v>1</v>
      </c>
      <c r="AL122" s="57" t="n">
        <f aca="false">(AI122+AJ122)/2</f>
        <v>59</v>
      </c>
      <c r="AM122" s="56" t="s">
        <v>199</v>
      </c>
      <c r="AN122" s="56" t="n">
        <v>42</v>
      </c>
      <c r="AO122" s="58" t="n">
        <f aca="false">IF(AL122&gt;$AA$20,$AA$22,$AA$21)</f>
        <v>19.2</v>
      </c>
      <c r="AP122" s="57" t="n">
        <f aca="false">AP121+AO122*AK122</f>
        <v>1129.8</v>
      </c>
      <c r="AQ122" s="57" t="n">
        <f aca="false">AP122-AO122*AK122/2-10*MAX(AL122-$AA$20,0)</f>
        <v>620.199999999999</v>
      </c>
      <c r="AR122" s="56"/>
      <c r="AS122" s="56"/>
      <c r="AT122" s="57" t="str">
        <f aca="false">IF(AR122="","",AR122-AS122)</f>
        <v/>
      </c>
      <c r="AU122" s="56" t="n">
        <v>0.65</v>
      </c>
      <c r="AV122" s="57" t="n">
        <f aca="false">IF(AM122="Sand",0,Input!$AA$34*AN122)</f>
        <v>0</v>
      </c>
      <c r="AW122" s="57" t="n">
        <f aca="false">IF(AM122="Sand",27.1+0.3*MIN(Input!$AA$35*AN122,60)-0.00054*MIN(Input!$AA$35*AN122,60)^2,MIN(MAX(DEGREES(ASIN(0.8-0.094*LN(MAX(IF(AT122="",10,AT122),5)))),20),30))</f>
        <v>39.62855285416</v>
      </c>
      <c r="AX122" s="57" t="n">
        <f aca="false">IF(AM122="Sand",Input!$AA$36*Input!$AA$35*AN122,Input!$AA$37*AV122)</f>
        <v>45486</v>
      </c>
      <c r="AY122" s="59" t="n">
        <f aca="false">IF(AM122="Sand",Input!$AA$38,0.5)</f>
        <v>0.3</v>
      </c>
      <c r="AZ122" s="57" t="n">
        <f aca="false">Input!$AA$15/2/AL122</f>
        <v>0.627118644067797</v>
      </c>
      <c r="BA122" s="57" t="n">
        <f aca="false">Input!$AA$16/2/AL122</f>
        <v>1.71186440677966</v>
      </c>
      <c r="BB122" s="57" t="n">
        <f aca="false">1/(4*PI())*(2*AZ122*BA122*SQRT(AZ122^2+BA122^2+1)/(AZ122^2+BA122^2+1+AZ122^2*BA122^2)*(AZ122^2+BA122^2+2)/(AZ122^2+BA122^2+1)+ATAN2(AZ122^2+BA122^2+1-AZ122^2*BA122^2,2*AZ122*BA122*SQRT(AZ122^2+BA122^2+1)))</f>
        <v>0.15573258786151</v>
      </c>
      <c r="BC122" s="57" t="n">
        <f aca="false">4*Input!$AA$14*BB122</f>
        <v>84.7185277966616</v>
      </c>
      <c r="BD122" s="57" t="n">
        <f aca="false">((Input!$AA$16/Input!$AA$15)*LN((1+SQRT((Input!$AA$16/Input!$AA$15)^2+1))*SQRT((Input!$AA$16/Input!$AA$15)^2+(AJ122/(Input!$AA$15/2))^2)/((Input!$AA$16/Input!$AA$15)*(1+SQRT((Input!$AA$16/Input!$AA$15)^2+(AJ122/(Input!$AA$15/2))^2+1))))+LN(((Input!$AA$16/Input!$AA$15)+SQRT((Input!$AA$16/Input!$AA$15)^2+1))*SQRT(1+(AJ122/(Input!$AA$15/2))^2)/((Input!$AA$16/Input!$AA$15)+SQRT((Input!$AA$16/Input!$AA$15)^2+(AJ122/(Input!$AA$15/2))^2+1))))/PI()</f>
        <v>0.222320600711722</v>
      </c>
      <c r="BE122" s="57" t="n">
        <f aca="false">(AJ122/(Input!$AA$15/2))/(2*PI())*ATAN((Input!$AA$16/Input!$AA$15)/((AJ122/(Input!$AA$15/2))*SQRT((Input!$AA$16/Input!$AA$15)^2+(AJ122/(Input!$AA$15/2))^2+1)))</f>
        <v>0.120895459060618</v>
      </c>
      <c r="BF122" s="57" t="n">
        <f aca="false">MAX(0,AJ122-MAX(AI122,$AA$23))/AK122*IF(BC122&gt;=Input!$AA$21*AQ122,1,0)</f>
        <v>0</v>
      </c>
      <c r="BG122" s="57" t="n">
        <f aca="false">4*Input!$AA$14*(Input!$AA$15/2)*(1-AY122^2)/AX122*((BD122-BD121)+(1-2*AY122)/(1-AY122)*(BE122-BE121))*1000*BF122</f>
        <v>0</v>
      </c>
      <c r="BH122" s="57" t="n">
        <f aca="false">IF(AM122="Sand",0,0.009*(AR122-10))</f>
        <v>0</v>
      </c>
      <c r="BI122" s="57" t="n">
        <f aca="false">BH122*Input!$AA$39</f>
        <v>0</v>
      </c>
      <c r="BJ122" s="57" t="n">
        <f aca="false">IF(AM122="Sand",0,MAX(AV122/Input!$AA$40,AQ122))</f>
        <v>0</v>
      </c>
      <c r="BK122" s="57" t="n">
        <f aca="false">IF(AM122="Sand",0,1000*AK122/(1+AU122)*IF(AQ122+BC122&lt;=BJ122,BI122*LOG10((AQ122+BC122)/AQ122),BI122*LOG10(BJ122/AQ122)+BH122*LOG10((AQ122+BC122)/BJ122)))*BF122</f>
        <v>0</v>
      </c>
      <c r="BL122" s="57" t="n">
        <f aca="false">IF(AM122="Sand",0,10^(INDEX(Input!$Q$51:$Q$57,MIN(MATCH(MIN(MAX(AR122,30),120),Input!$C$51:$C$57,1),6))+(MIN(MAX(AR122,30),120)-INDEX(Input!$C$51:$C$57,MIN(MATCH(MIN(MAX(AR122,30),120),Input!$C$51:$C$57,1),6)))/(INDEX(Input!$C$51:$C$57,MIN(MATCH(MIN(MAX(AR122,30),120),Input!$C$51:$C$57,1),6)+1)-INDEX(Input!$C$51:$C$57,MIN(MATCH(MIN(MAX(AR122,30),120),Input!$C$51:$C$57,1),6)))*(INDEX(Input!$Q$51:$Q$57,MIN(MATCH(MIN(MAX(AR122,30),120),Input!$C$51:$C$57,1),6)+1)-INDEX(Input!$Q$51:$Q$57,MIN(MATCH(MIN(MAX(AR122,30),120),Input!$C$51:$C$57,1),6)))))</f>
        <v>0</v>
      </c>
      <c r="BM122" s="57" t="n">
        <f aca="false">IF(OR(AM122="Sand",BF122=0),0,Input!$AA$41*(AK122/2)^2/(BL122*0.0001*31536000))</f>
        <v>0</v>
      </c>
      <c r="BN122" s="57" t="n">
        <f aca="false">MAX(0,MIN(AJ122,Input!$AA$20)-AI122)</f>
        <v>0</v>
      </c>
      <c r="BO122" s="57" t="n">
        <f aca="false">MAX(0,MIN(AJ122,Input!$AA$20)-MAX(AI122,$AA$23))</f>
        <v>0</v>
      </c>
      <c r="BP122" s="57" t="n">
        <f aca="false">BG122+BK122</f>
        <v>0</v>
      </c>
      <c r="BQ122" s="57"/>
    </row>
    <row r="123" customFormat="false" ht="14.25" hidden="false" customHeight="false" outlineLevel="0" collapsed="false">
      <c r="B123" s="7"/>
      <c r="C123" s="60" t="n">
        <v>41</v>
      </c>
      <c r="D123" s="60"/>
      <c r="E123" s="61" t="n">
        <f aca="false">AI123</f>
        <v>59.5</v>
      </c>
      <c r="F123" s="61"/>
      <c r="G123" s="61"/>
      <c r="H123" s="61" t="n">
        <f aca="false">AJ123</f>
        <v>60</v>
      </c>
      <c r="I123" s="61"/>
      <c r="J123" s="61"/>
      <c r="K123" s="48" t="str">
        <f aca="false">AM123</f>
        <v>Sand</v>
      </c>
      <c r="L123" s="48"/>
      <c r="M123" s="48"/>
      <c r="N123" s="60" t="n">
        <f aca="false">AN123</f>
        <v>46</v>
      </c>
      <c r="O123" s="60"/>
      <c r="P123" s="60"/>
      <c r="Q123" s="49" t="n">
        <f aca="false">AO123</f>
        <v>19.2</v>
      </c>
      <c r="R123" s="49"/>
      <c r="S123" s="49"/>
      <c r="T123" s="60" t="str">
        <f aca="false">IF(AR123="","-",AR123)</f>
        <v>-</v>
      </c>
      <c r="U123" s="60"/>
      <c r="V123" s="60" t="str">
        <f aca="false">IF(AT123="","-",AT123)</f>
        <v>-</v>
      </c>
      <c r="W123" s="60"/>
      <c r="X123" s="61" t="n">
        <f aca="false">AU123</f>
        <v>0.65</v>
      </c>
      <c r="Y123" s="61"/>
      <c r="Z123" s="62" t="n">
        <f aca="false">AV123</f>
        <v>0</v>
      </c>
      <c r="AA123" s="62"/>
      <c r="AB123" s="62"/>
      <c r="AC123" s="49" t="n">
        <f aca="false">AW123</f>
        <v>40.70521011304</v>
      </c>
      <c r="AD123" s="49"/>
      <c r="AE123" s="49"/>
      <c r="AF123" s="12"/>
      <c r="AI123" s="56" t="n">
        <v>59.5</v>
      </c>
      <c r="AJ123" s="56" t="n">
        <v>60</v>
      </c>
      <c r="AK123" s="57" t="n">
        <f aca="false">AJ123-AI123</f>
        <v>0.5</v>
      </c>
      <c r="AL123" s="57" t="n">
        <f aca="false">(AI123+AJ123)/2</f>
        <v>59.75</v>
      </c>
      <c r="AM123" s="56" t="s">
        <v>199</v>
      </c>
      <c r="AN123" s="56" t="n">
        <v>46</v>
      </c>
      <c r="AO123" s="58" t="n">
        <f aca="false">IF(AL123&gt;$AA$20,$AA$22,$AA$21)</f>
        <v>19.2</v>
      </c>
      <c r="AP123" s="57" t="n">
        <f aca="false">AP122+AO123*AK123</f>
        <v>1139.4</v>
      </c>
      <c r="AQ123" s="57" t="n">
        <f aca="false">AP123-AO123*AK123/2-10*MAX(AL123-$AA$20,0)</f>
        <v>627.099999999999</v>
      </c>
      <c r="AR123" s="56"/>
      <c r="AS123" s="56"/>
      <c r="AT123" s="57" t="str">
        <f aca="false">IF(AR123="","",AR123-AS123)</f>
        <v/>
      </c>
      <c r="AU123" s="56" t="n">
        <v>0.65</v>
      </c>
      <c r="AV123" s="57" t="n">
        <f aca="false">IF(AM123="Sand",0,Input!$AA$34*AN123)</f>
        <v>0</v>
      </c>
      <c r="AW123" s="57" t="n">
        <f aca="false">IF(AM123="Sand",27.1+0.3*MIN(Input!$AA$35*AN123,60)-0.00054*MIN(Input!$AA$35*AN123,60)^2,MIN(MAX(DEGREES(ASIN(0.8-0.094*LN(MAX(IF(AT123="",10,AT123),5)))),20),30))</f>
        <v>40.70521011304</v>
      </c>
      <c r="AX123" s="57" t="n">
        <f aca="false">IF(AM123="Sand",Input!$AA$36*Input!$AA$35*AN123,Input!$AA$37*AV123)</f>
        <v>49818</v>
      </c>
      <c r="AY123" s="59" t="n">
        <f aca="false">IF(AM123="Sand",Input!$AA$38,0.5)</f>
        <v>0.3</v>
      </c>
      <c r="AZ123" s="57" t="n">
        <f aca="false">Input!$AA$15/2/AL123</f>
        <v>0.619246861924686</v>
      </c>
      <c r="BA123" s="57" t="n">
        <f aca="false">Input!$AA$16/2/AL123</f>
        <v>1.69037656903766</v>
      </c>
      <c r="BB123" s="57" t="n">
        <f aca="false">1/(4*PI())*(2*AZ123*BA123*SQRT(AZ123^2+BA123^2+1)/(AZ123^2+BA123^2+1+AZ123^2*BA123^2)*(AZ123^2+BA123^2+2)/(AZ123^2+BA123^2+1)+ATAN2(AZ123^2+BA123^2+1-AZ123^2*BA123^2,2*AZ123*BA123*SQRT(AZ123^2+BA123^2+1)))</f>
        <v>0.15429309651457</v>
      </c>
      <c r="BC123" s="57" t="n">
        <f aca="false">4*Input!$AA$14*BB123</f>
        <v>83.9354445039259</v>
      </c>
      <c r="BD123" s="57" t="n">
        <f aca="false">((Input!$AA$16/Input!$AA$15)*LN((1+SQRT((Input!$AA$16/Input!$AA$15)^2+1))*SQRT((Input!$AA$16/Input!$AA$15)^2+(AJ123/(Input!$AA$15/2))^2)/((Input!$AA$16/Input!$AA$15)*(1+SQRT((Input!$AA$16/Input!$AA$15)^2+(AJ123/(Input!$AA$15/2))^2+1))))+LN(((Input!$AA$16/Input!$AA$15)+SQRT((Input!$AA$16/Input!$AA$15)^2+1))*SQRT(1+(AJ123/(Input!$AA$15/2))^2)/((Input!$AA$16/Input!$AA$15)+SQRT((Input!$AA$16/Input!$AA$15)^2+(AJ123/(Input!$AA$15/2))^2+1))))/PI()</f>
        <v>0.224467837031054</v>
      </c>
      <c r="BE123" s="57" t="n">
        <f aca="false">(AJ123/(Input!$AA$15/2))/(2*PI())*ATAN((Input!$AA$16/Input!$AA$15)/((AJ123/(Input!$AA$15/2))*SQRT((Input!$AA$16/Input!$AA$15)^2+(AJ123/(Input!$AA$15/2))^2+1)))</f>
        <v>0.120833267963286</v>
      </c>
      <c r="BF123" s="57" t="n">
        <f aca="false">MAX(0,AJ123-MAX(AI123,$AA$23))/AK123*IF(BC123&gt;=Input!$AA$21*AQ123,1,0)</f>
        <v>0</v>
      </c>
      <c r="BG123" s="57" t="n">
        <f aca="false">4*Input!$AA$14*(Input!$AA$15/2)*(1-AY123^2)/AX123*((BD123-BD122)+(1-2*AY123)/(1-AY123)*(BE123-BE122))*1000*BF123</f>
        <v>0</v>
      </c>
      <c r="BH123" s="57" t="n">
        <f aca="false">IF(AM123="Sand",0,0.009*(AR123-10))</f>
        <v>0</v>
      </c>
      <c r="BI123" s="57" t="n">
        <f aca="false">BH123*Input!$AA$39</f>
        <v>0</v>
      </c>
      <c r="BJ123" s="57" t="n">
        <f aca="false">IF(AM123="Sand",0,MAX(AV123/Input!$AA$40,AQ123))</f>
        <v>0</v>
      </c>
      <c r="BK123" s="57" t="n">
        <f aca="false">IF(AM123="Sand",0,1000*AK123/(1+AU123)*IF(AQ123+BC123&lt;=BJ123,BI123*LOG10((AQ123+BC123)/AQ123),BI123*LOG10(BJ123/AQ123)+BH123*LOG10((AQ123+BC123)/BJ123)))*BF123</f>
        <v>0</v>
      </c>
      <c r="BL123" s="57" t="n">
        <f aca="false">IF(AM123="Sand",0,10^(INDEX(Input!$Q$51:$Q$57,MIN(MATCH(MIN(MAX(AR123,30),120),Input!$C$51:$C$57,1),6))+(MIN(MAX(AR123,30),120)-INDEX(Input!$C$51:$C$57,MIN(MATCH(MIN(MAX(AR123,30),120),Input!$C$51:$C$57,1),6)))/(INDEX(Input!$C$51:$C$57,MIN(MATCH(MIN(MAX(AR123,30),120),Input!$C$51:$C$57,1),6)+1)-INDEX(Input!$C$51:$C$57,MIN(MATCH(MIN(MAX(AR123,30),120),Input!$C$51:$C$57,1),6)))*(INDEX(Input!$Q$51:$Q$57,MIN(MATCH(MIN(MAX(AR123,30),120),Input!$C$51:$C$57,1),6)+1)-INDEX(Input!$Q$51:$Q$57,MIN(MATCH(MIN(MAX(AR123,30),120),Input!$C$51:$C$57,1),6)))))</f>
        <v>0</v>
      </c>
      <c r="BM123" s="57" t="n">
        <f aca="false">IF(OR(AM123="Sand",BF123=0),0,Input!$AA$41*(AK123/2)^2/(BL123*0.0001*31536000))</f>
        <v>0</v>
      </c>
      <c r="BN123" s="57" t="n">
        <f aca="false">MAX(0,MIN(AJ123,Input!$AA$20)-AI123)</f>
        <v>0</v>
      </c>
      <c r="BO123" s="57" t="n">
        <f aca="false">MAX(0,MIN(AJ123,Input!$AA$20)-MAX(AI123,$AA$23))</f>
        <v>0</v>
      </c>
      <c r="BP123" s="57" t="n">
        <f aca="false">BG123+BK123</f>
        <v>0</v>
      </c>
      <c r="BQ123" s="57"/>
    </row>
    <row r="124" customFormat="false" ht="14.25" hidden="false" customHeight="false" outlineLevel="0" collapsed="false">
      <c r="B124" s="7"/>
      <c r="C124" s="19" t="s">
        <v>201</v>
      </c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2"/>
    </row>
    <row r="125" customFormat="false" ht="14.25" hidden="false" customHeight="false" outlineLevel="0" collapsed="false">
      <c r="B125" s="7"/>
      <c r="AF125" s="12"/>
    </row>
    <row r="126" customFormat="false" ht="14.25" hidden="false" customHeight="false" outlineLevel="0" collapsed="false">
      <c r="B126" s="7"/>
      <c r="AF126" s="12"/>
    </row>
    <row r="127" customFormat="false" ht="14.25" hidden="false" customHeight="false" outlineLevel="0" collapsed="false">
      <c r="B127" s="7"/>
      <c r="AF127" s="12"/>
    </row>
    <row r="128" customFormat="false" ht="14.25" hidden="false" customHeight="false" outlineLevel="0" collapsed="false">
      <c r="B128" s="7"/>
      <c r="AF128" s="12"/>
    </row>
    <row r="129" customFormat="false" ht="14.25" hidden="false" customHeight="false" outlineLevel="0" collapsed="false">
      <c r="B129" s="7"/>
      <c r="AF129" s="12"/>
    </row>
    <row r="130" customFormat="false" ht="14.25" hidden="false" customHeight="false" outlineLevel="0" collapsed="false">
      <c r="B130" s="7"/>
      <c r="AF130" s="12"/>
    </row>
    <row r="131" customFormat="false" ht="14.25" hidden="false" customHeight="false" outlineLevel="0" collapsed="false">
      <c r="B131" s="7"/>
      <c r="AF131" s="12"/>
    </row>
    <row r="132" customFormat="false" ht="14.25" hidden="false" customHeight="false" outlineLevel="0" collapsed="false">
      <c r="B132" s="7"/>
      <c r="AF132" s="12"/>
    </row>
    <row r="133" customFormat="false" ht="14.25" hidden="false" customHeight="false" outlineLevel="0" collapsed="false">
      <c r="B133" s="7"/>
      <c r="AF133" s="12"/>
    </row>
    <row r="134" customFormat="false" ht="14.25" hidden="false" customHeight="false" outlineLevel="0" collapsed="false">
      <c r="B134" s="7"/>
      <c r="AF134" s="12"/>
    </row>
    <row r="135" customFormat="false" ht="14.25" hidden="false" customHeight="false" outlineLevel="0" collapsed="false">
      <c r="B135" s="7"/>
      <c r="AF135" s="12"/>
    </row>
    <row r="136" customFormat="false" ht="14.25" hidden="false" customHeight="false" outlineLevel="0" collapsed="false">
      <c r="B136" s="7"/>
      <c r="AF136" s="12"/>
    </row>
    <row r="137" customFormat="false" ht="14.25" hidden="false" customHeight="false" outlineLevel="0" collapsed="false">
      <c r="B137" s="7"/>
      <c r="AF137" s="12"/>
    </row>
    <row r="138" customFormat="false" ht="14.25" hidden="false" customHeight="false" outlineLevel="0" collapsed="false">
      <c r="B138" s="7"/>
      <c r="AF138" s="12"/>
    </row>
    <row r="139" customFormat="false" ht="14.25" hidden="false" customHeight="false" outlineLevel="0" collapsed="false">
      <c r="B139" s="7"/>
      <c r="AF139" s="12"/>
    </row>
    <row r="140" customFormat="false" ht="14.25" hidden="false" customHeight="false" outlineLevel="0" collapsed="false">
      <c r="B140" s="7"/>
      <c r="AF140" s="12"/>
    </row>
    <row r="141" customFormat="false" ht="14.25" hidden="false" customHeight="false" outlineLevel="0" collapsed="false">
      <c r="B141" s="7"/>
      <c r="AF141" s="12"/>
    </row>
    <row r="142" customFormat="false" ht="14.25" hidden="false" customHeight="false" outlineLevel="0" collapsed="false">
      <c r="B142" s="7"/>
      <c r="AF142" s="12"/>
    </row>
    <row r="143" customFormat="false" ht="14.25" hidden="false" customHeight="false" outlineLevel="0" collapsed="false">
      <c r="B143" s="7"/>
      <c r="AF143" s="12"/>
    </row>
    <row r="144" customFormat="false" ht="14.25" hidden="false" customHeight="false" outlineLevel="0" collapsed="false">
      <c r="B144" s="7"/>
      <c r="AF144" s="12"/>
    </row>
    <row r="145" customFormat="false" ht="14.25" hidden="false" customHeight="true" outlineLevel="0" collapsed="false">
      <c r="B145" s="36"/>
      <c r="C145" s="37"/>
      <c r="D145" s="37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8" t="s">
        <v>93</v>
      </c>
      <c r="Y145" s="38"/>
      <c r="Z145" s="38"/>
      <c r="AA145" s="38"/>
      <c r="AB145" s="38" t="n">
        <v>2</v>
      </c>
      <c r="AC145" s="38"/>
      <c r="AD145" s="38"/>
      <c r="AE145" s="38"/>
      <c r="AF145" s="39"/>
    </row>
    <row r="146" customFormat="false" ht="14.25" hidden="false" customHeight="true" outlineLevel="0" collapsed="false">
      <c r="B146" s="1"/>
      <c r="C146" s="2" t="s">
        <v>0</v>
      </c>
      <c r="D146" s="2"/>
      <c r="E146" s="2"/>
      <c r="F146" s="2"/>
      <c r="G146" s="2"/>
      <c r="H146" s="3" t="s">
        <v>1</v>
      </c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4" t="s">
        <v>2</v>
      </c>
      <c r="Y146" s="4"/>
      <c r="Z146" s="4"/>
      <c r="AA146" s="4"/>
      <c r="AB146" s="5" t="s">
        <v>3</v>
      </c>
      <c r="AC146" s="5"/>
      <c r="AD146" s="5"/>
      <c r="AE146" s="5"/>
      <c r="AF146" s="6"/>
    </row>
    <row r="147" customFormat="false" ht="14.25" hidden="false" customHeight="true" outlineLevel="0" collapsed="false">
      <c r="B147" s="7"/>
      <c r="C147" s="8" t="s">
        <v>4</v>
      </c>
      <c r="D147" s="8"/>
      <c r="E147" s="8"/>
      <c r="F147" s="8"/>
      <c r="G147" s="8"/>
      <c r="H147" s="9" t="s">
        <v>5</v>
      </c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10" t="s">
        <v>6</v>
      </c>
      <c r="Y147" s="10"/>
      <c r="Z147" s="10"/>
      <c r="AA147" s="10"/>
      <c r="AB147" s="11" t="n">
        <v>46301</v>
      </c>
      <c r="AC147" s="11"/>
      <c r="AD147" s="11"/>
      <c r="AE147" s="11"/>
      <c r="AF147" s="12"/>
    </row>
    <row r="148" customFormat="false" ht="14.25" hidden="false" customHeight="true" outlineLevel="0" collapsed="false">
      <c r="B148" s="7"/>
      <c r="C148" s="8" t="s">
        <v>7</v>
      </c>
      <c r="D148" s="8"/>
      <c r="E148" s="8"/>
      <c r="F148" s="8"/>
      <c r="G148" s="8"/>
      <c r="H148" s="9" t="s">
        <v>133</v>
      </c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10" t="s">
        <v>9</v>
      </c>
      <c r="Y148" s="10"/>
      <c r="Z148" s="10"/>
      <c r="AA148" s="10"/>
      <c r="AB148" s="11" t="s">
        <v>3</v>
      </c>
      <c r="AC148" s="11"/>
      <c r="AD148" s="11"/>
      <c r="AE148" s="11"/>
      <c r="AF148" s="12"/>
    </row>
    <row r="149" customFormat="false" ht="14.25" hidden="false" customHeight="true" outlineLevel="0" collapsed="false">
      <c r="B149" s="13"/>
      <c r="C149" s="14" t="s">
        <v>10</v>
      </c>
      <c r="D149" s="14"/>
      <c r="E149" s="14"/>
      <c r="F149" s="14"/>
      <c r="G149" s="14"/>
      <c r="H149" s="15" t="s">
        <v>134</v>
      </c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6" t="s">
        <v>12</v>
      </c>
      <c r="Y149" s="16"/>
      <c r="Z149" s="16"/>
      <c r="AA149" s="16"/>
      <c r="AB149" s="17" t="n">
        <v>46301</v>
      </c>
      <c r="AC149" s="17"/>
      <c r="AD149" s="17"/>
      <c r="AE149" s="17"/>
      <c r="AF149" s="18"/>
    </row>
    <row r="150" customFormat="false" ht="14.25" hidden="false" customHeight="false" outlineLevel="0" collapsed="false">
      <c r="B150" s="7"/>
      <c r="AF150" s="12"/>
    </row>
    <row r="151" customFormat="false" ht="14.25" hidden="false" customHeight="false" outlineLevel="0" collapsed="false">
      <c r="B151" s="7"/>
      <c r="C151" s="9" t="s">
        <v>202</v>
      </c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12"/>
    </row>
    <row r="152" customFormat="false" ht="14.25" hidden="false" customHeight="false" outlineLevel="0" collapsed="false">
      <c r="B152" s="7"/>
      <c r="C152" s="20" t="s">
        <v>203</v>
      </c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12"/>
    </row>
    <row r="153" customFormat="false" ht="14.25" hidden="false" customHeight="false" outlineLevel="0" collapsed="false">
      <c r="B153" s="7"/>
      <c r="C153" s="20" t="s">
        <v>204</v>
      </c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12"/>
    </row>
    <row r="154" customFormat="false" ht="14.25" hidden="false" customHeight="false" outlineLevel="0" collapsed="false">
      <c r="B154" s="7"/>
      <c r="C154" s="20" t="s">
        <v>205</v>
      </c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12"/>
    </row>
    <row r="155" customFormat="false" ht="14.25" hidden="false" customHeight="false" outlineLevel="0" collapsed="false">
      <c r="B155" s="7"/>
      <c r="C155" s="20" t="s">
        <v>206</v>
      </c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12"/>
    </row>
    <row r="156" customFormat="false" ht="14.25" hidden="false" customHeight="false" outlineLevel="0" collapsed="false">
      <c r="B156" s="7"/>
      <c r="C156" s="20" t="s">
        <v>207</v>
      </c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12"/>
    </row>
    <row r="157" customFormat="false" ht="14.25" hidden="false" customHeight="false" outlineLevel="0" collapsed="false">
      <c r="B157" s="7"/>
      <c r="AF157" s="12"/>
    </row>
    <row r="158" customFormat="false" ht="14.25" hidden="false" customHeight="false" outlineLevel="0" collapsed="false">
      <c r="B158" s="7"/>
      <c r="AF158" s="12"/>
    </row>
    <row r="159" customFormat="false" ht="14.25" hidden="false" customHeight="false" outlineLevel="0" collapsed="false">
      <c r="B159" s="7"/>
      <c r="AF159" s="12"/>
    </row>
    <row r="160" customFormat="false" ht="14.25" hidden="false" customHeight="false" outlineLevel="0" collapsed="false">
      <c r="B160" s="7"/>
      <c r="AF160" s="12"/>
    </row>
    <row r="161" customFormat="false" ht="14.25" hidden="false" customHeight="false" outlineLevel="0" collapsed="false">
      <c r="B161" s="7"/>
      <c r="AF161" s="12"/>
    </row>
    <row r="162" customFormat="false" ht="14.25" hidden="false" customHeight="false" outlineLevel="0" collapsed="false">
      <c r="B162" s="7"/>
      <c r="AF162" s="12"/>
    </row>
    <row r="163" customFormat="false" ht="14.25" hidden="false" customHeight="false" outlineLevel="0" collapsed="false">
      <c r="B163" s="7"/>
      <c r="AF163" s="12"/>
    </row>
    <row r="164" customFormat="false" ht="14.25" hidden="false" customHeight="false" outlineLevel="0" collapsed="false">
      <c r="B164" s="7"/>
      <c r="AF164" s="12"/>
    </row>
    <row r="165" customFormat="false" ht="14.25" hidden="false" customHeight="false" outlineLevel="0" collapsed="false">
      <c r="B165" s="7"/>
      <c r="AF165" s="12"/>
    </row>
    <row r="166" customFormat="false" ht="14.25" hidden="false" customHeight="false" outlineLevel="0" collapsed="false">
      <c r="B166" s="7"/>
      <c r="AF166" s="12"/>
    </row>
    <row r="167" customFormat="false" ht="14.25" hidden="false" customHeight="false" outlineLevel="0" collapsed="false">
      <c r="B167" s="7"/>
      <c r="AF167" s="12"/>
    </row>
    <row r="168" customFormat="false" ht="14.25" hidden="false" customHeight="false" outlineLevel="0" collapsed="false">
      <c r="B168" s="7"/>
      <c r="AF168" s="12"/>
    </row>
    <row r="169" customFormat="false" ht="14.25" hidden="false" customHeight="false" outlineLevel="0" collapsed="false">
      <c r="B169" s="7"/>
      <c r="AF169" s="12"/>
    </row>
    <row r="170" customFormat="false" ht="14.25" hidden="false" customHeight="false" outlineLevel="0" collapsed="false">
      <c r="B170" s="7"/>
      <c r="C170" s="52" t="s">
        <v>208</v>
      </c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Z170" s="52"/>
      <c r="AA170" s="52"/>
      <c r="AB170" s="52"/>
      <c r="AC170" s="52"/>
      <c r="AD170" s="52"/>
      <c r="AE170" s="52"/>
      <c r="AF170" s="12"/>
    </row>
    <row r="171" customFormat="false" ht="14.25" hidden="false" customHeight="false" outlineLevel="0" collapsed="false">
      <c r="B171" s="7"/>
      <c r="AF171" s="12"/>
    </row>
    <row r="172" customFormat="false" ht="14.25" hidden="false" customHeight="false" outlineLevel="0" collapsed="false">
      <c r="B172" s="7"/>
      <c r="C172" s="9" t="s">
        <v>209</v>
      </c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12"/>
    </row>
    <row r="173" customFormat="false" ht="14.25" hidden="false" customHeight="true" outlineLevel="0" collapsed="false">
      <c r="B173" s="7"/>
      <c r="C173" s="20" t="s">
        <v>210</v>
      </c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1" t="s">
        <v>211</v>
      </c>
      <c r="P173" s="21"/>
      <c r="Q173" s="21"/>
      <c r="R173" s="21"/>
      <c r="S173" s="21"/>
      <c r="T173" s="21"/>
      <c r="U173" s="21"/>
      <c r="V173" s="21"/>
      <c r="W173" s="21"/>
      <c r="X173" s="22" t="s">
        <v>212</v>
      </c>
      <c r="Y173" s="22"/>
      <c r="Z173" s="22"/>
      <c r="AA173" s="50" t="n">
        <f aca="false">SUMPRODUCT(--(AM83:AM123&lt;&gt;"Sand"),BN83:BN123)</f>
        <v>3</v>
      </c>
      <c r="AB173" s="50"/>
      <c r="AC173" s="50"/>
      <c r="AD173" s="20" t="s">
        <v>19</v>
      </c>
      <c r="AE173" s="20"/>
      <c r="AF173" s="12"/>
    </row>
    <row r="174" customFormat="false" ht="14.25" hidden="false" customHeight="true" outlineLevel="0" collapsed="false">
      <c r="B174" s="7"/>
      <c r="C174" s="20" t="s">
        <v>213</v>
      </c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1" t="s">
        <v>214</v>
      </c>
      <c r="P174" s="21"/>
      <c r="Q174" s="21"/>
      <c r="R174" s="21"/>
      <c r="S174" s="21"/>
      <c r="T174" s="21"/>
      <c r="U174" s="21"/>
      <c r="V174" s="21"/>
      <c r="W174" s="21"/>
      <c r="X174" s="22" t="s">
        <v>215</v>
      </c>
      <c r="Y174" s="22"/>
      <c r="Z174" s="22"/>
      <c r="AA174" s="51" t="n">
        <f aca="false">IF($AA$173=0,0,SUMPRODUCT(--(AM83:AM123&lt;&gt;"Sand"),BN83:BN123,AV83:AV123)/$AA$173)</f>
        <v>25</v>
      </c>
      <c r="AB174" s="51"/>
      <c r="AC174" s="51"/>
      <c r="AD174" s="20" t="s">
        <v>26</v>
      </c>
      <c r="AE174" s="20"/>
      <c r="AF174" s="12"/>
    </row>
    <row r="175" customFormat="false" ht="14.25" hidden="false" customHeight="true" outlineLevel="0" collapsed="false">
      <c r="B175" s="7"/>
      <c r="C175" s="20" t="s">
        <v>216</v>
      </c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1" t="s">
        <v>217</v>
      </c>
      <c r="P175" s="21"/>
      <c r="Q175" s="21"/>
      <c r="R175" s="21"/>
      <c r="S175" s="21"/>
      <c r="T175" s="21"/>
      <c r="U175" s="21"/>
      <c r="V175" s="21"/>
      <c r="W175" s="21"/>
      <c r="X175" s="22" t="s">
        <v>218</v>
      </c>
      <c r="Y175" s="22"/>
      <c r="Z175" s="22"/>
      <c r="AA175" s="51" t="n">
        <f aca="false">(SUMPRODUCT(BN83:BN123,AW83:AW123)+MIN(0,Input!$AA$20)*Input!$AA$29)/Input!$AA$20</f>
        <v>31.097196536224</v>
      </c>
      <c r="AB175" s="51"/>
      <c r="AC175" s="51"/>
      <c r="AD175" s="20" t="s">
        <v>60</v>
      </c>
      <c r="AE175" s="20"/>
      <c r="AF175" s="12"/>
    </row>
    <row r="176" customFormat="false" ht="14.25" hidden="false" customHeight="true" outlineLevel="0" collapsed="false">
      <c r="B176" s="7"/>
      <c r="C176" s="20" t="s">
        <v>219</v>
      </c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1" t="s">
        <v>220</v>
      </c>
      <c r="P176" s="21"/>
      <c r="Q176" s="21"/>
      <c r="R176" s="21"/>
      <c r="S176" s="21"/>
      <c r="T176" s="21"/>
      <c r="U176" s="21"/>
      <c r="V176" s="21"/>
      <c r="W176" s="21"/>
      <c r="X176" s="22" t="s">
        <v>221</v>
      </c>
      <c r="Y176" s="22"/>
      <c r="Z176" s="22"/>
      <c r="AA176" s="51" t="n">
        <f aca="false">(SUMPRODUCT(BN83:BN123,AO83:AO123)+MIN(0,Input!$AA$20)*Input!$AA$28)/Input!$AA$20-10*MAX(0,Input!$AA$20-$AA$20)/Input!$AA$20</f>
        <v>17.8</v>
      </c>
      <c r="AB176" s="51"/>
      <c r="AC176" s="51"/>
      <c r="AD176" s="20" t="s">
        <v>23</v>
      </c>
      <c r="AE176" s="20"/>
      <c r="AF176" s="12"/>
    </row>
    <row r="177" customFormat="false" ht="14.25" hidden="false" customHeight="true" outlineLevel="0" collapsed="false">
      <c r="B177" s="7"/>
      <c r="C177" s="20" t="s">
        <v>222</v>
      </c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1" t="s">
        <v>223</v>
      </c>
      <c r="P177" s="21"/>
      <c r="Q177" s="21"/>
      <c r="R177" s="21"/>
      <c r="S177" s="21"/>
      <c r="T177" s="21"/>
      <c r="U177" s="21"/>
      <c r="V177" s="21"/>
      <c r="W177" s="21"/>
      <c r="X177" s="22" t="s">
        <v>224</v>
      </c>
      <c r="Y177" s="22"/>
      <c r="Z177" s="22"/>
      <c r="AA177" s="50" t="n">
        <f aca="false">IF($AA$173=0,5.14,MAX(5.14,IF(Input!$AA$25&gt;0,MIN(Input!$AA$25,4.14+0.5*Input!$AA$15/$AA$173),4.14+0.5*Input!$AA$15/$AA$173)))</f>
        <v>16.4733333333333</v>
      </c>
      <c r="AB177" s="50"/>
      <c r="AC177" s="50"/>
      <c r="AD177" s="20" t="s">
        <v>38</v>
      </c>
      <c r="AE177" s="20"/>
      <c r="AF177" s="12"/>
    </row>
    <row r="178" customFormat="false" ht="14.25" hidden="false" customHeight="true" outlineLevel="0" collapsed="false">
      <c r="B178" s="7"/>
      <c r="C178" s="20" t="s">
        <v>225</v>
      </c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1" t="s">
        <v>226</v>
      </c>
      <c r="P178" s="21"/>
      <c r="Q178" s="21"/>
      <c r="R178" s="21"/>
      <c r="S178" s="21"/>
      <c r="T178" s="21"/>
      <c r="U178" s="21"/>
      <c r="V178" s="21"/>
      <c r="W178" s="21"/>
      <c r="X178" s="22" t="s">
        <v>227</v>
      </c>
      <c r="Y178" s="22"/>
      <c r="Z178" s="22"/>
      <c r="AA178" s="50" t="n">
        <f aca="false">1+0.2*Input!$AA$15/Input!$AA$16</f>
        <v>1.07326732673267</v>
      </c>
      <c r="AB178" s="50"/>
      <c r="AC178" s="50"/>
      <c r="AD178" s="20" t="s">
        <v>38</v>
      </c>
      <c r="AE178" s="20"/>
      <c r="AF178" s="12"/>
    </row>
    <row r="179" customFormat="false" ht="14.25" hidden="false" customHeight="true" outlineLevel="0" collapsed="false">
      <c r="B179" s="7"/>
      <c r="C179" s="20" t="s">
        <v>228</v>
      </c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1" t="s">
        <v>229</v>
      </c>
      <c r="P179" s="21"/>
      <c r="Q179" s="21"/>
      <c r="R179" s="21"/>
      <c r="S179" s="21"/>
      <c r="T179" s="21"/>
      <c r="U179" s="21"/>
      <c r="V179" s="21"/>
      <c r="W179" s="21"/>
      <c r="X179" s="22" t="s">
        <v>230</v>
      </c>
      <c r="Y179" s="22"/>
      <c r="Z179" s="22"/>
      <c r="AA179" s="51" t="n">
        <f aca="false">IF($AA$173=0,"n/a",$AA$174*$AA$177*$AA$178)</f>
        <v>442.007260726073</v>
      </c>
      <c r="AB179" s="51"/>
      <c r="AC179" s="51"/>
      <c r="AD179" s="20" t="s">
        <v>26</v>
      </c>
      <c r="AE179" s="20"/>
      <c r="AF179" s="12"/>
    </row>
    <row r="180" customFormat="false" ht="14.25" hidden="false" customHeight="true" outlineLevel="0" collapsed="false">
      <c r="B180" s="7"/>
      <c r="C180" s="20" t="s">
        <v>231</v>
      </c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1" t="s">
        <v>232</v>
      </c>
      <c r="P180" s="21"/>
      <c r="Q180" s="21"/>
      <c r="R180" s="21"/>
      <c r="S180" s="21"/>
      <c r="T180" s="21"/>
      <c r="U180" s="21"/>
      <c r="V180" s="21"/>
      <c r="W180" s="21"/>
      <c r="X180" s="22" t="s">
        <v>233</v>
      </c>
      <c r="Y180" s="22"/>
      <c r="Z180" s="22"/>
      <c r="AA180" s="50" t="n">
        <f aca="false">EXP(PI()*TAN(RADIANS($AA$175)))*TAN(RADIANS(45+$AA$175/2))^2</f>
        <v>20.8635964082743</v>
      </c>
      <c r="AB180" s="50"/>
      <c r="AC180" s="50"/>
      <c r="AD180" s="20" t="s">
        <v>38</v>
      </c>
      <c r="AE180" s="20"/>
      <c r="AF180" s="12"/>
    </row>
    <row r="181" customFormat="false" ht="14.25" hidden="false" customHeight="true" outlineLevel="0" collapsed="false">
      <c r="B181" s="7"/>
      <c r="C181" s="20" t="s">
        <v>234</v>
      </c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1" t="s">
        <v>235</v>
      </c>
      <c r="P181" s="21"/>
      <c r="Q181" s="21"/>
      <c r="R181" s="21"/>
      <c r="S181" s="21"/>
      <c r="T181" s="21"/>
      <c r="U181" s="21"/>
      <c r="V181" s="21"/>
      <c r="W181" s="21"/>
      <c r="X181" s="22" t="s">
        <v>236</v>
      </c>
      <c r="Y181" s="22"/>
      <c r="Z181" s="22"/>
      <c r="AA181" s="50" t="n">
        <f aca="false">2*($AA$180+1)*TAN(RADIANS($AA$175))</f>
        <v>26.3750110734029</v>
      </c>
      <c r="AB181" s="50"/>
      <c r="AC181" s="50"/>
      <c r="AD181" s="20" t="s">
        <v>38</v>
      </c>
      <c r="AE181" s="20"/>
      <c r="AF181" s="12"/>
    </row>
    <row r="182" customFormat="false" ht="14.25" hidden="false" customHeight="true" outlineLevel="0" collapsed="false">
      <c r="B182" s="7"/>
      <c r="C182" s="20" t="s">
        <v>237</v>
      </c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1" t="s">
        <v>238</v>
      </c>
      <c r="P182" s="21"/>
      <c r="Q182" s="21"/>
      <c r="R182" s="21"/>
      <c r="S182" s="21"/>
      <c r="T182" s="21"/>
      <c r="U182" s="21"/>
      <c r="V182" s="21"/>
      <c r="W182" s="21"/>
      <c r="X182" s="22" t="s">
        <v>239</v>
      </c>
      <c r="Y182" s="22"/>
      <c r="Z182" s="22"/>
      <c r="AA182" s="63" t="n">
        <f aca="false">(1-0.4*Input!$AA$15/Input!$AA$16)*IF(Input!$AA$15&gt;2,1-0.25*LOG10(Input!$AA$15/2),1)</f>
        <v>0.518863889567884</v>
      </c>
      <c r="AB182" s="63"/>
      <c r="AC182" s="63"/>
      <c r="AD182" s="20" t="s">
        <v>38</v>
      </c>
      <c r="AE182" s="20"/>
      <c r="AF182" s="12"/>
    </row>
    <row r="183" customFormat="false" ht="14.25" hidden="false" customHeight="true" outlineLevel="0" collapsed="false">
      <c r="B183" s="7"/>
      <c r="C183" s="20" t="s">
        <v>240</v>
      </c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1" t="s">
        <v>241</v>
      </c>
      <c r="P183" s="21"/>
      <c r="Q183" s="21"/>
      <c r="R183" s="21"/>
      <c r="S183" s="21"/>
      <c r="T183" s="21"/>
      <c r="U183" s="21"/>
      <c r="V183" s="21"/>
      <c r="W183" s="21"/>
      <c r="X183" s="22" t="s">
        <v>242</v>
      </c>
      <c r="Y183" s="22"/>
      <c r="Z183" s="22"/>
      <c r="AA183" s="51" t="n">
        <f aca="false">0.5*$AA$176*Input!$AA$15*$AA$181*$AA$182</f>
        <v>9012.96789257549</v>
      </c>
      <c r="AB183" s="51"/>
      <c r="AC183" s="51"/>
      <c r="AD183" s="20" t="s">
        <v>26</v>
      </c>
      <c r="AE183" s="20"/>
      <c r="AF183" s="12"/>
    </row>
    <row r="184" customFormat="false" ht="14.25" hidden="false" customHeight="true" outlineLevel="0" collapsed="false">
      <c r="B184" s="7"/>
      <c r="C184" s="20" t="s">
        <v>243</v>
      </c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1" t="s">
        <v>244</v>
      </c>
      <c r="P184" s="21"/>
      <c r="Q184" s="21"/>
      <c r="R184" s="21"/>
      <c r="S184" s="21"/>
      <c r="T184" s="21"/>
      <c r="U184" s="21"/>
      <c r="V184" s="21"/>
      <c r="W184" s="21"/>
      <c r="X184" s="22" t="s">
        <v>245</v>
      </c>
      <c r="Y184" s="22"/>
      <c r="Z184" s="22"/>
      <c r="AA184" s="24" t="n">
        <f aca="false">IF($AA$173=0,$AA$183,MIN($AA$179,$AA$183))</f>
        <v>442.007260726073</v>
      </c>
      <c r="AB184" s="24"/>
      <c r="AC184" s="24"/>
      <c r="AD184" s="20" t="s">
        <v>26</v>
      </c>
      <c r="AE184" s="20"/>
      <c r="AF184" s="12"/>
    </row>
    <row r="185" customFormat="false" ht="14.25" hidden="false" customHeight="true" outlineLevel="0" collapsed="false">
      <c r="B185" s="7"/>
      <c r="C185" s="20" t="s">
        <v>246</v>
      </c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1" t="s">
        <v>247</v>
      </c>
      <c r="P185" s="21"/>
      <c r="Q185" s="21"/>
      <c r="R185" s="21"/>
      <c r="S185" s="21"/>
      <c r="T185" s="21"/>
      <c r="U185" s="21"/>
      <c r="V185" s="21"/>
      <c r="W185" s="21"/>
      <c r="X185" s="22" t="s">
        <v>248</v>
      </c>
      <c r="Y185" s="22"/>
      <c r="Z185" s="22"/>
      <c r="AA185" s="24" t="n">
        <f aca="false">$AA$184/Input!$AA$19</f>
        <v>147.335753575358</v>
      </c>
      <c r="AB185" s="24"/>
      <c r="AC185" s="24"/>
      <c r="AD185" s="20" t="s">
        <v>26</v>
      </c>
      <c r="AE185" s="20"/>
      <c r="AF185" s="12"/>
    </row>
    <row r="186" customFormat="false" ht="14.25" hidden="false" customHeight="true" outlineLevel="0" collapsed="false">
      <c r="B186" s="7"/>
      <c r="C186" s="20" t="s">
        <v>249</v>
      </c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1" t="s">
        <v>28</v>
      </c>
      <c r="P186" s="21"/>
      <c r="Q186" s="21"/>
      <c r="R186" s="21"/>
      <c r="S186" s="21"/>
      <c r="T186" s="21"/>
      <c r="U186" s="21"/>
      <c r="V186" s="21"/>
      <c r="W186" s="21"/>
      <c r="X186" s="22" t="s">
        <v>29</v>
      </c>
      <c r="Y186" s="22"/>
      <c r="Z186" s="22"/>
      <c r="AA186" s="51" t="n">
        <f aca="false">Input!$AA$14</f>
        <v>136</v>
      </c>
      <c r="AB186" s="51"/>
      <c r="AC186" s="51"/>
      <c r="AD186" s="20" t="s">
        <v>26</v>
      </c>
      <c r="AE186" s="20"/>
      <c r="AF186" s="12"/>
    </row>
    <row r="187" customFormat="false" ht="14.25" hidden="false" customHeight="true" outlineLevel="0" collapsed="false">
      <c r="B187" s="7"/>
      <c r="C187" s="20" t="s">
        <v>250</v>
      </c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1" t="s">
        <v>251</v>
      </c>
      <c r="P187" s="21"/>
      <c r="Q187" s="21"/>
      <c r="R187" s="21"/>
      <c r="S187" s="21"/>
      <c r="T187" s="21"/>
      <c r="U187" s="21"/>
      <c r="V187" s="21"/>
      <c r="W187" s="21"/>
      <c r="X187" s="22" t="s">
        <v>252</v>
      </c>
      <c r="Y187" s="22"/>
      <c r="Z187" s="22"/>
      <c r="AA187" s="50" t="n">
        <f aca="false">$AA$184/Input!$AA$14</f>
        <v>3.25005338769171</v>
      </c>
      <c r="AB187" s="50"/>
      <c r="AC187" s="50"/>
      <c r="AD187" s="20" t="s">
        <v>38</v>
      </c>
      <c r="AE187" s="20"/>
      <c r="AF187" s="12"/>
    </row>
    <row r="188" customFormat="false" ht="14.25" hidden="false" customHeight="true" outlineLevel="0" collapsed="false">
      <c r="B188" s="7"/>
      <c r="C188" s="20" t="s">
        <v>253</v>
      </c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1" t="s">
        <v>254</v>
      </c>
      <c r="P188" s="21"/>
      <c r="Q188" s="21"/>
      <c r="R188" s="21"/>
      <c r="S188" s="21"/>
      <c r="T188" s="21"/>
      <c r="U188" s="21"/>
      <c r="V188" s="21"/>
      <c r="W188" s="21"/>
      <c r="X188" s="22" t="s">
        <v>255</v>
      </c>
      <c r="Y188" s="22"/>
      <c r="Z188" s="22"/>
      <c r="AA188" s="50" t="n">
        <f aca="false">MAX(0,($AA$185-Input!$AA$13)/Input!$AA$12)</f>
        <v>2.62976408751986</v>
      </c>
      <c r="AB188" s="50"/>
      <c r="AC188" s="50"/>
      <c r="AD188" s="20" t="s">
        <v>19</v>
      </c>
      <c r="AE188" s="20"/>
      <c r="AF188" s="12"/>
    </row>
    <row r="189" customFormat="false" ht="14.25" hidden="false" customHeight="false" outlineLevel="0" collapsed="false">
      <c r="B189" s="7"/>
      <c r="C189" s="9" t="s">
        <v>256</v>
      </c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X189" s="64" t="str">
        <f aca="false">IF($AA$185&gt;=Input!$AA$14,"qall ≥ q …. OK!!","qall &lt; q …. NG!!")</f>
        <v>qall ≥ q …. OK!!</v>
      </c>
      <c r="Y189" s="64"/>
      <c r="Z189" s="64"/>
      <c r="AA189" s="64"/>
      <c r="AB189" s="64"/>
      <c r="AC189" s="64"/>
      <c r="AD189" s="64"/>
      <c r="AE189" s="64"/>
      <c r="AF189" s="12"/>
    </row>
    <row r="190" customFormat="false" ht="14.25" hidden="false" customHeight="false" outlineLevel="0" collapsed="false">
      <c r="B190" s="7"/>
      <c r="AF190" s="12"/>
    </row>
    <row r="191" customFormat="false" ht="14.25" hidden="false" customHeight="false" outlineLevel="0" collapsed="false">
      <c r="B191" s="7"/>
      <c r="C191" s="9" t="s">
        <v>257</v>
      </c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12"/>
    </row>
    <row r="192" customFormat="false" ht="14.25" hidden="false" customHeight="true" outlineLevel="0" collapsed="false">
      <c r="B192" s="7"/>
      <c r="C192" s="20" t="s">
        <v>210</v>
      </c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1" t="s">
        <v>211</v>
      </c>
      <c r="P192" s="21"/>
      <c r="Q192" s="21"/>
      <c r="R192" s="21"/>
      <c r="S192" s="21"/>
      <c r="T192" s="21"/>
      <c r="U192" s="21"/>
      <c r="V192" s="21"/>
      <c r="W192" s="21"/>
      <c r="X192" s="22" t="s">
        <v>212</v>
      </c>
      <c r="Y192" s="22"/>
      <c r="Z192" s="22"/>
      <c r="AA192" s="50" t="n">
        <f aca="false">SUMPRODUCT(--(AM83:AM123&lt;&gt;"Sand"),BO83:BO123)</f>
        <v>2.5</v>
      </c>
      <c r="AB192" s="50"/>
      <c r="AC192" s="50"/>
      <c r="AD192" s="20" t="s">
        <v>19</v>
      </c>
      <c r="AE192" s="20"/>
      <c r="AF192" s="12"/>
    </row>
    <row r="193" customFormat="false" ht="14.25" hidden="false" customHeight="true" outlineLevel="0" collapsed="false">
      <c r="B193" s="7"/>
      <c r="C193" s="20" t="s">
        <v>213</v>
      </c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1" t="s">
        <v>214</v>
      </c>
      <c r="P193" s="21"/>
      <c r="Q193" s="21"/>
      <c r="R193" s="21"/>
      <c r="S193" s="21"/>
      <c r="T193" s="21"/>
      <c r="U193" s="21"/>
      <c r="V193" s="21"/>
      <c r="W193" s="21"/>
      <c r="X193" s="22" t="s">
        <v>215</v>
      </c>
      <c r="Y193" s="22"/>
      <c r="Z193" s="22"/>
      <c r="AA193" s="51" t="n">
        <f aca="false">IF($AA$192=0,0,SUMPRODUCT(--(AM83:AM123&lt;&gt;"Sand"),BO83:BO123,AV83:AV123)/$AA$192)</f>
        <v>25</v>
      </c>
      <c r="AB193" s="51"/>
      <c r="AC193" s="51"/>
      <c r="AD193" s="20" t="s">
        <v>26</v>
      </c>
      <c r="AE193" s="20"/>
      <c r="AF193" s="12"/>
    </row>
    <row r="194" customFormat="false" ht="14.25" hidden="false" customHeight="true" outlineLevel="0" collapsed="false">
      <c r="B194" s="7"/>
      <c r="C194" s="20" t="s">
        <v>216</v>
      </c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1" t="s">
        <v>217</v>
      </c>
      <c r="P194" s="21"/>
      <c r="Q194" s="21"/>
      <c r="R194" s="21"/>
      <c r="S194" s="21"/>
      <c r="T194" s="21"/>
      <c r="U194" s="21"/>
      <c r="V194" s="21"/>
      <c r="W194" s="21"/>
      <c r="X194" s="22" t="s">
        <v>218</v>
      </c>
      <c r="Y194" s="22"/>
      <c r="Z194" s="22"/>
      <c r="AA194" s="51" t="n">
        <f aca="false">(SUMPRODUCT(BO83:BO123,AW83:AW123)+MIN($AA$23,Input!$AA$20)*Input!$AA$29)/Input!$AA$20</f>
        <v>30.597196536224</v>
      </c>
      <c r="AB194" s="51"/>
      <c r="AC194" s="51"/>
      <c r="AD194" s="20" t="s">
        <v>60</v>
      </c>
      <c r="AE194" s="20"/>
      <c r="AF194" s="12"/>
    </row>
    <row r="195" customFormat="false" ht="14.25" hidden="false" customHeight="true" outlineLevel="0" collapsed="false">
      <c r="B195" s="7"/>
      <c r="C195" s="20" t="s">
        <v>219</v>
      </c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1" t="s">
        <v>220</v>
      </c>
      <c r="P195" s="21"/>
      <c r="Q195" s="21"/>
      <c r="R195" s="21"/>
      <c r="S195" s="21"/>
      <c r="T195" s="21"/>
      <c r="U195" s="21"/>
      <c r="V195" s="21"/>
      <c r="W195" s="21"/>
      <c r="X195" s="22" t="s">
        <v>221</v>
      </c>
      <c r="Y195" s="22"/>
      <c r="Z195" s="22"/>
      <c r="AA195" s="51" t="n">
        <f aca="false">(SUMPRODUCT(BO83:BO123,AO83:AO123)+MIN($AA$23,Input!$AA$20)*Input!$AA$28)/Input!$AA$20-10*MAX(0,Input!$AA$20-$AA$20)/Input!$AA$20</f>
        <v>17.92</v>
      </c>
      <c r="AB195" s="51"/>
      <c r="AC195" s="51"/>
      <c r="AD195" s="20" t="s">
        <v>23</v>
      </c>
      <c r="AE195" s="20"/>
      <c r="AF195" s="12"/>
    </row>
    <row r="196" customFormat="false" ht="14.25" hidden="false" customHeight="true" outlineLevel="0" collapsed="false">
      <c r="B196" s="7"/>
      <c r="C196" s="20" t="s">
        <v>222</v>
      </c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1" t="s">
        <v>223</v>
      </c>
      <c r="P196" s="21"/>
      <c r="Q196" s="21"/>
      <c r="R196" s="21"/>
      <c r="S196" s="21"/>
      <c r="T196" s="21"/>
      <c r="U196" s="21"/>
      <c r="V196" s="21"/>
      <c r="W196" s="21"/>
      <c r="X196" s="22" t="s">
        <v>224</v>
      </c>
      <c r="Y196" s="22"/>
      <c r="Z196" s="22"/>
      <c r="AA196" s="50" t="n">
        <f aca="false">IF($AA$192=0,5.14,MAX(5.14,IF(Input!$AA$25&gt;0,MIN(Input!$AA$25,4.14+0.5*Input!$AA$15/$AA$192),4.14+0.5*Input!$AA$15/$AA$192)))</f>
        <v>18.94</v>
      </c>
      <c r="AB196" s="50"/>
      <c r="AC196" s="50"/>
      <c r="AD196" s="20" t="s">
        <v>38</v>
      </c>
      <c r="AE196" s="20"/>
      <c r="AF196" s="12"/>
    </row>
    <row r="197" customFormat="false" ht="14.25" hidden="false" customHeight="true" outlineLevel="0" collapsed="false">
      <c r="B197" s="7"/>
      <c r="C197" s="20" t="s">
        <v>225</v>
      </c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1" t="s">
        <v>226</v>
      </c>
      <c r="P197" s="21"/>
      <c r="Q197" s="21"/>
      <c r="R197" s="21"/>
      <c r="S197" s="21"/>
      <c r="T197" s="21"/>
      <c r="U197" s="21"/>
      <c r="V197" s="21"/>
      <c r="W197" s="21"/>
      <c r="X197" s="22" t="s">
        <v>227</v>
      </c>
      <c r="Y197" s="22"/>
      <c r="Z197" s="22"/>
      <c r="AA197" s="50" t="n">
        <f aca="false">1+0.2*Input!$AA$15/Input!$AA$16</f>
        <v>1.07326732673267</v>
      </c>
      <c r="AB197" s="50"/>
      <c r="AC197" s="50"/>
      <c r="AD197" s="20" t="s">
        <v>38</v>
      </c>
      <c r="AE197" s="20"/>
      <c r="AF197" s="12"/>
    </row>
    <row r="198" customFormat="false" ht="14.25" hidden="false" customHeight="true" outlineLevel="0" collapsed="false">
      <c r="B198" s="7"/>
      <c r="C198" s="20" t="s">
        <v>228</v>
      </c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1" t="s">
        <v>229</v>
      </c>
      <c r="P198" s="21"/>
      <c r="Q198" s="21"/>
      <c r="R198" s="21"/>
      <c r="S198" s="21"/>
      <c r="T198" s="21"/>
      <c r="U198" s="21"/>
      <c r="V198" s="21"/>
      <c r="W198" s="21"/>
      <c r="X198" s="22" t="s">
        <v>230</v>
      </c>
      <c r="Y198" s="22"/>
      <c r="Z198" s="22"/>
      <c r="AA198" s="51" t="n">
        <f aca="false">IF($AA$192=0,"n/a",$AA$193*$AA$196*$AA$197)</f>
        <v>508.192079207921</v>
      </c>
      <c r="AB198" s="51"/>
      <c r="AC198" s="51"/>
      <c r="AD198" s="20" t="s">
        <v>26</v>
      </c>
      <c r="AE198" s="20"/>
      <c r="AF198" s="12"/>
    </row>
    <row r="199" customFormat="false" ht="14.25" hidden="false" customHeight="true" outlineLevel="0" collapsed="false">
      <c r="B199" s="7"/>
      <c r="C199" s="20" t="s">
        <v>231</v>
      </c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1" t="s">
        <v>232</v>
      </c>
      <c r="P199" s="21"/>
      <c r="Q199" s="21"/>
      <c r="R199" s="21"/>
      <c r="S199" s="21"/>
      <c r="T199" s="21"/>
      <c r="U199" s="21"/>
      <c r="V199" s="21"/>
      <c r="W199" s="21"/>
      <c r="X199" s="22" t="s">
        <v>233</v>
      </c>
      <c r="Y199" s="22"/>
      <c r="Z199" s="22"/>
      <c r="AA199" s="50" t="n">
        <f aca="false">EXP(PI()*TAN(RADIANS($AA$194)))*TAN(RADIANS(45+$AA$194/2))^2</f>
        <v>19.697302190406</v>
      </c>
      <c r="AB199" s="50"/>
      <c r="AC199" s="50"/>
      <c r="AD199" s="20" t="s">
        <v>38</v>
      </c>
      <c r="AE199" s="20"/>
      <c r="AF199" s="12"/>
    </row>
    <row r="200" customFormat="false" ht="14.25" hidden="false" customHeight="true" outlineLevel="0" collapsed="false">
      <c r="B200" s="7"/>
      <c r="C200" s="20" t="s">
        <v>234</v>
      </c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1" t="s">
        <v>235</v>
      </c>
      <c r="P200" s="21"/>
      <c r="Q200" s="21"/>
      <c r="R200" s="21"/>
      <c r="S200" s="21"/>
      <c r="T200" s="21"/>
      <c r="U200" s="21"/>
      <c r="V200" s="21"/>
      <c r="W200" s="21"/>
      <c r="X200" s="22" t="s">
        <v>236</v>
      </c>
      <c r="Y200" s="22"/>
      <c r="Z200" s="22"/>
      <c r="AA200" s="50" t="n">
        <f aca="false">2*($AA$199+1)*TAN(RADIANS($AA$194))</f>
        <v>24.4779670459987</v>
      </c>
      <c r="AB200" s="50"/>
      <c r="AC200" s="50"/>
      <c r="AD200" s="20" t="s">
        <v>38</v>
      </c>
      <c r="AE200" s="20"/>
      <c r="AF200" s="12"/>
    </row>
    <row r="201" customFormat="false" ht="14.25" hidden="false" customHeight="true" outlineLevel="0" collapsed="false">
      <c r="B201" s="7"/>
      <c r="C201" s="20" t="s">
        <v>237</v>
      </c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1" t="s">
        <v>238</v>
      </c>
      <c r="P201" s="21"/>
      <c r="Q201" s="21"/>
      <c r="R201" s="21"/>
      <c r="S201" s="21"/>
      <c r="T201" s="21"/>
      <c r="U201" s="21"/>
      <c r="V201" s="21"/>
      <c r="W201" s="21"/>
      <c r="X201" s="22" t="s">
        <v>239</v>
      </c>
      <c r="Y201" s="22"/>
      <c r="Z201" s="22"/>
      <c r="AA201" s="63" t="n">
        <f aca="false">(1-0.4*Input!$AA$15/Input!$AA$16)*IF(Input!$AA$15&gt;2,1-0.25*LOG10(Input!$AA$15/2),1)</f>
        <v>0.518863889567884</v>
      </c>
      <c r="AB201" s="63"/>
      <c r="AC201" s="63"/>
      <c r="AD201" s="20" t="s">
        <v>38</v>
      </c>
      <c r="AE201" s="20"/>
      <c r="AF201" s="12"/>
    </row>
    <row r="202" customFormat="false" ht="14.25" hidden="false" customHeight="true" outlineLevel="0" collapsed="false">
      <c r="B202" s="7"/>
      <c r="C202" s="20" t="s">
        <v>240</v>
      </c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1" t="s">
        <v>241</v>
      </c>
      <c r="P202" s="21"/>
      <c r="Q202" s="21"/>
      <c r="R202" s="21"/>
      <c r="S202" s="21"/>
      <c r="T202" s="21"/>
      <c r="U202" s="21"/>
      <c r="V202" s="21"/>
      <c r="W202" s="21"/>
      <c r="X202" s="22" t="s">
        <v>242</v>
      </c>
      <c r="Y202" s="22"/>
      <c r="Z202" s="22"/>
      <c r="AA202" s="51" t="n">
        <f aca="false">0.5*$AA$195*Input!$AA$15*$AA$200*$AA$201</f>
        <v>8421.09413443111</v>
      </c>
      <c r="AB202" s="51"/>
      <c r="AC202" s="51"/>
      <c r="AD202" s="20" t="s">
        <v>26</v>
      </c>
      <c r="AE202" s="20"/>
      <c r="AF202" s="12"/>
    </row>
    <row r="203" customFormat="false" ht="14.25" hidden="false" customHeight="true" outlineLevel="0" collapsed="false">
      <c r="B203" s="7"/>
      <c r="C203" s="20" t="s">
        <v>243</v>
      </c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1" t="s">
        <v>244</v>
      </c>
      <c r="P203" s="21"/>
      <c r="Q203" s="21"/>
      <c r="R203" s="21"/>
      <c r="S203" s="21"/>
      <c r="T203" s="21"/>
      <c r="U203" s="21"/>
      <c r="V203" s="21"/>
      <c r="W203" s="21"/>
      <c r="X203" s="22" t="s">
        <v>245</v>
      </c>
      <c r="Y203" s="22"/>
      <c r="Z203" s="22"/>
      <c r="AA203" s="24" t="n">
        <f aca="false">IF($AA$192=0,$AA$202,MIN($AA$198,$AA$202))</f>
        <v>508.192079207921</v>
      </c>
      <c r="AB203" s="24"/>
      <c r="AC203" s="24"/>
      <c r="AD203" s="20" t="s">
        <v>26</v>
      </c>
      <c r="AE203" s="20"/>
      <c r="AF203" s="12"/>
    </row>
    <row r="204" customFormat="false" ht="14.25" hidden="false" customHeight="true" outlineLevel="0" collapsed="false">
      <c r="B204" s="7"/>
      <c r="C204" s="20" t="s">
        <v>246</v>
      </c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1" t="s">
        <v>247</v>
      </c>
      <c r="P204" s="21"/>
      <c r="Q204" s="21"/>
      <c r="R204" s="21"/>
      <c r="S204" s="21"/>
      <c r="T204" s="21"/>
      <c r="U204" s="21"/>
      <c r="V204" s="21"/>
      <c r="W204" s="21"/>
      <c r="X204" s="22" t="s">
        <v>248</v>
      </c>
      <c r="Y204" s="22"/>
      <c r="Z204" s="22"/>
      <c r="AA204" s="24" t="n">
        <f aca="false">$AA$203/Input!$AA$19</f>
        <v>169.397359735974</v>
      </c>
      <c r="AB204" s="24"/>
      <c r="AC204" s="24"/>
      <c r="AD204" s="20" t="s">
        <v>26</v>
      </c>
      <c r="AE204" s="20"/>
      <c r="AF204" s="12"/>
    </row>
    <row r="205" customFormat="false" ht="14.25" hidden="false" customHeight="true" outlineLevel="0" collapsed="false">
      <c r="B205" s="7"/>
      <c r="C205" s="20" t="s">
        <v>249</v>
      </c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1" t="s">
        <v>28</v>
      </c>
      <c r="P205" s="21"/>
      <c r="Q205" s="21"/>
      <c r="R205" s="21"/>
      <c r="S205" s="21"/>
      <c r="T205" s="21"/>
      <c r="U205" s="21"/>
      <c r="V205" s="21"/>
      <c r="W205" s="21"/>
      <c r="X205" s="22" t="s">
        <v>29</v>
      </c>
      <c r="Y205" s="22"/>
      <c r="Z205" s="22"/>
      <c r="AA205" s="51" t="n">
        <f aca="false">Input!$AA$14</f>
        <v>136</v>
      </c>
      <c r="AB205" s="51"/>
      <c r="AC205" s="51"/>
      <c r="AD205" s="20" t="s">
        <v>26</v>
      </c>
      <c r="AE205" s="20"/>
      <c r="AF205" s="12"/>
    </row>
    <row r="206" customFormat="false" ht="14.25" hidden="false" customHeight="true" outlineLevel="0" collapsed="false">
      <c r="B206" s="7"/>
      <c r="C206" s="20" t="s">
        <v>250</v>
      </c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1" t="s">
        <v>251</v>
      </c>
      <c r="P206" s="21"/>
      <c r="Q206" s="21"/>
      <c r="R206" s="21"/>
      <c r="S206" s="21"/>
      <c r="T206" s="21"/>
      <c r="U206" s="21"/>
      <c r="V206" s="21"/>
      <c r="W206" s="21"/>
      <c r="X206" s="22" t="s">
        <v>252</v>
      </c>
      <c r="Y206" s="22"/>
      <c r="Z206" s="22"/>
      <c r="AA206" s="50" t="n">
        <f aca="false">$AA$203/Input!$AA$14</f>
        <v>3.73670646476412</v>
      </c>
      <c r="AB206" s="50"/>
      <c r="AC206" s="50"/>
      <c r="AD206" s="20" t="s">
        <v>38</v>
      </c>
      <c r="AE206" s="20"/>
      <c r="AF206" s="12"/>
    </row>
    <row r="207" customFormat="false" ht="14.25" hidden="false" customHeight="true" outlineLevel="0" collapsed="false">
      <c r="B207" s="7"/>
      <c r="C207" s="20" t="s">
        <v>253</v>
      </c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1" t="s">
        <v>254</v>
      </c>
      <c r="P207" s="21"/>
      <c r="Q207" s="21"/>
      <c r="R207" s="21"/>
      <c r="S207" s="21"/>
      <c r="T207" s="21"/>
      <c r="U207" s="21"/>
      <c r="V207" s="21"/>
      <c r="W207" s="21"/>
      <c r="X207" s="22" t="s">
        <v>255</v>
      </c>
      <c r="Y207" s="22"/>
      <c r="Z207" s="22"/>
      <c r="AA207" s="50" t="n">
        <f aca="false">MAX(0,($AA$204-Input!$AA$13)/Input!$AA$12)</f>
        <v>3.85540887422076</v>
      </c>
      <c r="AB207" s="50"/>
      <c r="AC207" s="50"/>
      <c r="AD207" s="20" t="s">
        <v>19</v>
      </c>
      <c r="AE207" s="20"/>
      <c r="AF207" s="12"/>
    </row>
    <row r="208" customFormat="false" ht="14.25" hidden="false" customHeight="false" outlineLevel="0" collapsed="false">
      <c r="B208" s="7"/>
      <c r="C208" s="9" t="s">
        <v>256</v>
      </c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X208" s="64" t="str">
        <f aca="false">IF($AA$204&gt;=Input!$AA$14,"qall ≥ q …. OK!!","qall &lt; q …. NG!!")</f>
        <v>qall ≥ q …. OK!!</v>
      </c>
      <c r="Y208" s="64"/>
      <c r="Z208" s="64"/>
      <c r="AA208" s="64"/>
      <c r="AB208" s="64"/>
      <c r="AC208" s="64"/>
      <c r="AD208" s="64"/>
      <c r="AE208" s="64"/>
      <c r="AF208" s="12"/>
    </row>
    <row r="209" customFormat="false" ht="14.25" hidden="false" customHeight="false" outlineLevel="0" collapsed="false">
      <c r="B209" s="7"/>
      <c r="AF209" s="12"/>
    </row>
    <row r="210" customFormat="false" ht="14.25" hidden="false" customHeight="false" outlineLevel="0" collapsed="false">
      <c r="B210" s="7"/>
      <c r="AF210" s="12"/>
    </row>
    <row r="211" customFormat="false" ht="14.25" hidden="false" customHeight="false" outlineLevel="0" collapsed="false">
      <c r="B211" s="7"/>
      <c r="AF211" s="12"/>
    </row>
    <row r="212" customFormat="false" ht="14.25" hidden="false" customHeight="false" outlineLevel="0" collapsed="false">
      <c r="B212" s="7"/>
      <c r="AF212" s="12"/>
    </row>
    <row r="213" customFormat="false" ht="14.25" hidden="false" customHeight="false" outlineLevel="0" collapsed="false">
      <c r="B213" s="7"/>
      <c r="AF213" s="12"/>
    </row>
    <row r="214" customFormat="false" ht="14.25" hidden="false" customHeight="false" outlineLevel="0" collapsed="false">
      <c r="B214" s="7"/>
      <c r="AF214" s="12"/>
    </row>
    <row r="215" customFormat="false" ht="14.25" hidden="false" customHeight="false" outlineLevel="0" collapsed="false">
      <c r="B215" s="7"/>
      <c r="AF215" s="12"/>
    </row>
    <row r="216" customFormat="false" ht="14.25" hidden="false" customHeight="false" outlineLevel="0" collapsed="false">
      <c r="B216" s="7"/>
      <c r="AF216" s="12"/>
    </row>
    <row r="217" customFormat="false" ht="14.25" hidden="false" customHeight="true" outlineLevel="0" collapsed="false">
      <c r="B217" s="36"/>
      <c r="C217" s="37"/>
      <c r="D217" s="37"/>
      <c r="E217" s="37"/>
      <c r="F217" s="37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8" t="s">
        <v>93</v>
      </c>
      <c r="Y217" s="38"/>
      <c r="Z217" s="38"/>
      <c r="AA217" s="38"/>
      <c r="AB217" s="38" t="n">
        <v>3</v>
      </c>
      <c r="AC217" s="38"/>
      <c r="AD217" s="38"/>
      <c r="AE217" s="38"/>
      <c r="AF217" s="39"/>
    </row>
    <row r="218" customFormat="false" ht="14.25" hidden="false" customHeight="true" outlineLevel="0" collapsed="false">
      <c r="B218" s="1"/>
      <c r="C218" s="2" t="s">
        <v>0</v>
      </c>
      <c r="D218" s="2"/>
      <c r="E218" s="2"/>
      <c r="F218" s="2"/>
      <c r="G218" s="2"/>
      <c r="H218" s="3" t="s">
        <v>1</v>
      </c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4" t="s">
        <v>2</v>
      </c>
      <c r="Y218" s="4"/>
      <c r="Z218" s="4"/>
      <c r="AA218" s="4"/>
      <c r="AB218" s="5" t="s">
        <v>3</v>
      </c>
      <c r="AC218" s="5"/>
      <c r="AD218" s="5"/>
      <c r="AE218" s="5"/>
      <c r="AF218" s="6"/>
    </row>
    <row r="219" customFormat="false" ht="14.25" hidden="false" customHeight="true" outlineLevel="0" collapsed="false">
      <c r="B219" s="7"/>
      <c r="C219" s="8" t="s">
        <v>4</v>
      </c>
      <c r="D219" s="8"/>
      <c r="E219" s="8"/>
      <c r="F219" s="8"/>
      <c r="G219" s="8"/>
      <c r="H219" s="9" t="s">
        <v>5</v>
      </c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10" t="s">
        <v>6</v>
      </c>
      <c r="Y219" s="10"/>
      <c r="Z219" s="10"/>
      <c r="AA219" s="10"/>
      <c r="AB219" s="11" t="n">
        <v>46301</v>
      </c>
      <c r="AC219" s="11"/>
      <c r="AD219" s="11"/>
      <c r="AE219" s="11"/>
      <c r="AF219" s="12"/>
    </row>
    <row r="220" customFormat="false" ht="14.25" hidden="false" customHeight="true" outlineLevel="0" collapsed="false">
      <c r="B220" s="7"/>
      <c r="C220" s="8" t="s">
        <v>7</v>
      </c>
      <c r="D220" s="8"/>
      <c r="E220" s="8"/>
      <c r="F220" s="8"/>
      <c r="G220" s="8"/>
      <c r="H220" s="9" t="s">
        <v>133</v>
      </c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10" t="s">
        <v>9</v>
      </c>
      <c r="Y220" s="10"/>
      <c r="Z220" s="10"/>
      <c r="AA220" s="10"/>
      <c r="AB220" s="11" t="s">
        <v>3</v>
      </c>
      <c r="AC220" s="11"/>
      <c r="AD220" s="11"/>
      <c r="AE220" s="11"/>
      <c r="AF220" s="12"/>
    </row>
    <row r="221" customFormat="false" ht="14.25" hidden="false" customHeight="true" outlineLevel="0" collapsed="false">
      <c r="B221" s="13"/>
      <c r="C221" s="14" t="s">
        <v>10</v>
      </c>
      <c r="D221" s="14"/>
      <c r="E221" s="14"/>
      <c r="F221" s="14"/>
      <c r="G221" s="14"/>
      <c r="H221" s="15" t="s">
        <v>134</v>
      </c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6" t="s">
        <v>12</v>
      </c>
      <c r="Y221" s="16"/>
      <c r="Z221" s="16"/>
      <c r="AA221" s="16"/>
      <c r="AB221" s="17" t="n">
        <v>46301</v>
      </c>
      <c r="AC221" s="17"/>
      <c r="AD221" s="17"/>
      <c r="AE221" s="17"/>
      <c r="AF221" s="18"/>
    </row>
    <row r="222" customFormat="false" ht="14.25" hidden="false" customHeight="false" outlineLevel="0" collapsed="false">
      <c r="B222" s="7"/>
      <c r="AF222" s="12"/>
    </row>
    <row r="223" customFormat="false" ht="14.25" hidden="false" customHeight="false" outlineLevel="0" collapsed="false">
      <c r="B223" s="7"/>
      <c r="C223" s="9" t="s">
        <v>258</v>
      </c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12"/>
    </row>
    <row r="224" customFormat="false" ht="14.25" hidden="false" customHeight="true" outlineLevel="0" collapsed="false">
      <c r="B224" s="7"/>
      <c r="C224" s="20" t="s">
        <v>259</v>
      </c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1"/>
      <c r="P224" s="21"/>
      <c r="Q224" s="21"/>
      <c r="R224" s="21"/>
      <c r="S224" s="21"/>
      <c r="T224" s="21"/>
      <c r="U224" s="21"/>
      <c r="V224" s="21"/>
      <c r="W224" s="21"/>
      <c r="X224" s="22" t="s">
        <v>260</v>
      </c>
      <c r="Y224" s="22"/>
      <c r="Z224" s="22"/>
      <c r="AA224" s="51" t="n">
        <f aca="false">IFERROR(SUMPRODUCT(--(AM83:AM123="Sand"),BN83:BN123,AN83:AN123)/SUMPRODUCT(--(AM83:AM123="Sand"),BN83:BN123)*Input!$AA$35,"n/a")</f>
        <v>19.494</v>
      </c>
      <c r="AB224" s="51"/>
      <c r="AC224" s="51"/>
      <c r="AD224" s="20" t="s">
        <v>38</v>
      </c>
      <c r="AE224" s="20"/>
      <c r="AF224" s="12"/>
    </row>
    <row r="225" customFormat="false" ht="14.25" hidden="false" customHeight="true" outlineLevel="0" collapsed="false">
      <c r="B225" s="7"/>
      <c r="C225" s="20" t="s">
        <v>261</v>
      </c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1" t="s">
        <v>262</v>
      </c>
      <c r="P225" s="21"/>
      <c r="Q225" s="21"/>
      <c r="R225" s="21"/>
      <c r="S225" s="21"/>
      <c r="T225" s="21"/>
      <c r="U225" s="21"/>
      <c r="V225" s="21"/>
      <c r="W225" s="21"/>
      <c r="X225" s="22" t="s">
        <v>263</v>
      </c>
      <c r="Y225" s="22"/>
      <c r="Z225" s="22"/>
      <c r="AA225" s="51" t="n">
        <f aca="false">IFERROR(($AA$224*60/55)/0.08*((Input!$AA$15+0.3)/Input!$AA$15)^2,"n/a")</f>
        <v>267.986997958032</v>
      </c>
      <c r="AB225" s="51"/>
      <c r="AC225" s="51"/>
      <c r="AD225" s="20" t="s">
        <v>26</v>
      </c>
      <c r="AE225" s="20"/>
      <c r="AF225" s="12"/>
    </row>
    <row r="226" customFormat="false" ht="14.25" hidden="false" customHeight="false" outlineLevel="0" collapsed="false">
      <c r="B226" s="7"/>
      <c r="C226" s="19" t="s">
        <v>264</v>
      </c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  <c r="AC226" s="19"/>
      <c r="AD226" s="19"/>
      <c r="AE226" s="19"/>
      <c r="AF226" s="12"/>
    </row>
    <row r="227" customFormat="false" ht="14.25" hidden="false" customHeight="false" outlineLevel="0" collapsed="false">
      <c r="B227" s="7"/>
      <c r="AF227" s="12"/>
    </row>
    <row r="228" customFormat="false" ht="14.25" hidden="false" customHeight="false" outlineLevel="0" collapsed="false">
      <c r="B228" s="7"/>
      <c r="C228" s="9" t="s">
        <v>265</v>
      </c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12"/>
    </row>
    <row r="229" customFormat="false" ht="14.25" hidden="false" customHeight="false" outlineLevel="0" collapsed="false">
      <c r="B229" s="7"/>
      <c r="C229" s="20" t="s">
        <v>266</v>
      </c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12"/>
    </row>
    <row r="230" customFormat="false" ht="14.25" hidden="false" customHeight="false" outlineLevel="0" collapsed="false">
      <c r="B230" s="7"/>
      <c r="C230" s="20" t="s">
        <v>267</v>
      </c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12"/>
    </row>
    <row r="231" customFormat="false" ht="14.25" hidden="false" customHeight="false" outlineLevel="0" collapsed="false">
      <c r="B231" s="7"/>
      <c r="C231" s="21" t="s">
        <v>268</v>
      </c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12"/>
    </row>
    <row r="232" customFormat="false" ht="14.25" hidden="false" customHeight="false" outlineLevel="0" collapsed="false">
      <c r="B232" s="7"/>
      <c r="AF232" s="12"/>
    </row>
    <row r="233" customFormat="false" ht="14.25" hidden="false" customHeight="false" outlineLevel="0" collapsed="false">
      <c r="B233" s="7"/>
      <c r="AF233" s="12"/>
    </row>
    <row r="234" customFormat="false" ht="14.25" hidden="false" customHeight="false" outlineLevel="0" collapsed="false">
      <c r="B234" s="7"/>
      <c r="AF234" s="12"/>
    </row>
    <row r="235" customFormat="false" ht="14.25" hidden="false" customHeight="false" outlineLevel="0" collapsed="false">
      <c r="B235" s="7"/>
      <c r="AF235" s="12"/>
    </row>
    <row r="236" customFormat="false" ht="14.25" hidden="false" customHeight="false" outlineLevel="0" collapsed="false">
      <c r="B236" s="7"/>
      <c r="AF236" s="12"/>
    </row>
    <row r="237" customFormat="false" ht="14.25" hidden="false" customHeight="false" outlineLevel="0" collapsed="false">
      <c r="B237" s="7"/>
      <c r="AF237" s="12"/>
    </row>
    <row r="238" customFormat="false" ht="14.25" hidden="false" customHeight="false" outlineLevel="0" collapsed="false">
      <c r="B238" s="7"/>
      <c r="AF238" s="12"/>
    </row>
    <row r="239" customFormat="false" ht="14.25" hidden="false" customHeight="false" outlineLevel="0" collapsed="false">
      <c r="B239" s="7"/>
      <c r="AF239" s="12"/>
    </row>
    <row r="240" customFormat="false" ht="14.25" hidden="false" customHeight="false" outlineLevel="0" collapsed="false">
      <c r="B240" s="7"/>
      <c r="AF240" s="12"/>
    </row>
    <row r="241" customFormat="false" ht="14.25" hidden="false" customHeight="false" outlineLevel="0" collapsed="false">
      <c r="B241" s="7"/>
      <c r="AF241" s="12"/>
    </row>
    <row r="242" customFormat="false" ht="14.25" hidden="false" customHeight="false" outlineLevel="0" collapsed="false">
      <c r="B242" s="7"/>
      <c r="AF242" s="12"/>
    </row>
    <row r="243" customFormat="false" ht="14.25" hidden="false" customHeight="false" outlineLevel="0" collapsed="false">
      <c r="B243" s="7"/>
      <c r="AF243" s="12"/>
    </row>
    <row r="244" customFormat="false" ht="14.25" hidden="false" customHeight="false" outlineLevel="0" collapsed="false">
      <c r="B244" s="7"/>
      <c r="AF244" s="12"/>
    </row>
    <row r="245" customFormat="false" ht="14.25" hidden="false" customHeight="false" outlineLevel="0" collapsed="false">
      <c r="B245" s="7"/>
      <c r="AF245" s="12"/>
    </row>
    <row r="246" customFormat="false" ht="14.25" hidden="false" customHeight="false" outlineLevel="0" collapsed="false">
      <c r="B246" s="7"/>
      <c r="AF246" s="12"/>
    </row>
    <row r="247" customFormat="false" ht="14.25" hidden="false" customHeight="false" outlineLevel="0" collapsed="false">
      <c r="B247" s="7"/>
      <c r="AF247" s="12"/>
    </row>
    <row r="248" customFormat="false" ht="14.25" hidden="false" customHeight="false" outlineLevel="0" collapsed="false">
      <c r="B248" s="7"/>
      <c r="AF248" s="12"/>
    </row>
    <row r="249" customFormat="false" ht="14.25" hidden="false" customHeight="false" outlineLevel="0" collapsed="false">
      <c r="B249" s="7"/>
      <c r="AF249" s="12"/>
    </row>
    <row r="250" customFormat="false" ht="14.25" hidden="false" customHeight="false" outlineLevel="0" collapsed="false">
      <c r="B250" s="7"/>
      <c r="AF250" s="12"/>
    </row>
    <row r="251" customFormat="false" ht="14.25" hidden="false" customHeight="false" outlineLevel="0" collapsed="false">
      <c r="B251" s="7"/>
      <c r="C251" s="52" t="s">
        <v>269</v>
      </c>
      <c r="D251" s="52"/>
      <c r="E251" s="52"/>
      <c r="F251" s="52"/>
      <c r="G251" s="52"/>
      <c r="H251" s="52"/>
      <c r="I251" s="52"/>
      <c r="J251" s="52"/>
      <c r="K251" s="52"/>
      <c r="L251" s="52"/>
      <c r="M251" s="52"/>
      <c r="N251" s="52"/>
      <c r="O251" s="52"/>
      <c r="P251" s="52"/>
      <c r="Q251" s="52"/>
      <c r="R251" s="52"/>
      <c r="S251" s="52"/>
      <c r="T251" s="52"/>
      <c r="U251" s="52"/>
      <c r="V251" s="52"/>
      <c r="W251" s="52"/>
      <c r="X251" s="52"/>
      <c r="Y251" s="52"/>
      <c r="Z251" s="52"/>
      <c r="AA251" s="52"/>
      <c r="AB251" s="52"/>
      <c r="AC251" s="52"/>
      <c r="AD251" s="52"/>
      <c r="AE251" s="52"/>
      <c r="AF251" s="12"/>
    </row>
    <row r="252" customFormat="false" ht="14.25" hidden="false" customHeight="false" outlineLevel="0" collapsed="false">
      <c r="B252" s="7"/>
      <c r="AF252" s="12"/>
    </row>
    <row r="253" customFormat="false" ht="14.25" hidden="false" customHeight="true" outlineLevel="0" collapsed="false">
      <c r="B253" s="7"/>
      <c r="C253" s="20" t="s">
        <v>270</v>
      </c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1" t="s">
        <v>271</v>
      </c>
      <c r="P253" s="21"/>
      <c r="Q253" s="21"/>
      <c r="R253" s="21"/>
      <c r="S253" s="21"/>
      <c r="T253" s="21"/>
      <c r="U253" s="21"/>
      <c r="V253" s="21"/>
      <c r="W253" s="21"/>
      <c r="X253" s="22" t="s">
        <v>272</v>
      </c>
      <c r="Y253" s="22"/>
      <c r="Z253" s="22"/>
      <c r="AA253" s="63" t="n">
        <f aca="false">1/Input!$AA$23</f>
        <v>0.5</v>
      </c>
      <c r="AB253" s="63"/>
      <c r="AC253" s="63"/>
      <c r="AD253" s="20" t="s">
        <v>38</v>
      </c>
      <c r="AE253" s="20"/>
      <c r="AF253" s="12"/>
    </row>
    <row r="254" customFormat="false" ht="14.25" hidden="false" customHeight="true" outlineLevel="0" collapsed="false">
      <c r="B254" s="7"/>
      <c r="C254" s="20" t="s">
        <v>273</v>
      </c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1" t="s">
        <v>274</v>
      </c>
      <c r="P254" s="21"/>
      <c r="Q254" s="21"/>
      <c r="R254" s="21"/>
      <c r="S254" s="21"/>
      <c r="T254" s="21"/>
      <c r="U254" s="21"/>
      <c r="V254" s="21"/>
      <c r="W254" s="21"/>
      <c r="X254" s="22" t="s">
        <v>275</v>
      </c>
      <c r="Y254" s="22"/>
      <c r="Z254" s="22"/>
      <c r="AA254" s="50" t="n">
        <f aca="false">Input!$AA$23*Input!$AA$11</f>
        <v>4</v>
      </c>
      <c r="AB254" s="50"/>
      <c r="AC254" s="50"/>
      <c r="AD254" s="20" t="s">
        <v>19</v>
      </c>
      <c r="AE254" s="20"/>
      <c r="AF254" s="12"/>
    </row>
    <row r="255" customFormat="false" ht="14.25" hidden="false" customHeight="true" outlineLevel="0" collapsed="false">
      <c r="B255" s="7"/>
      <c r="C255" s="20" t="s">
        <v>276</v>
      </c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1" t="s">
        <v>277</v>
      </c>
      <c r="P255" s="21"/>
      <c r="Q255" s="21"/>
      <c r="R255" s="21"/>
      <c r="S255" s="21"/>
      <c r="T255" s="21"/>
      <c r="U255" s="21"/>
      <c r="V255" s="21"/>
      <c r="W255" s="21"/>
      <c r="X255" s="22" t="s">
        <v>278</v>
      </c>
      <c r="Y255" s="22"/>
      <c r="Z255" s="22"/>
      <c r="AA255" s="50" t="n">
        <f aca="false">$AA$173</f>
        <v>3</v>
      </c>
      <c r="AB255" s="50"/>
      <c r="AC255" s="50"/>
      <c r="AD255" s="20" t="s">
        <v>19</v>
      </c>
      <c r="AE255" s="20"/>
      <c r="AF255" s="12"/>
    </row>
    <row r="256" customFormat="false" ht="14.25" hidden="false" customHeight="true" outlineLevel="0" collapsed="false">
      <c r="B256" s="7"/>
      <c r="C256" s="20" t="s">
        <v>279</v>
      </c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1"/>
      <c r="P256" s="21"/>
      <c r="Q256" s="21"/>
      <c r="R256" s="21"/>
      <c r="S256" s="21"/>
      <c r="T256" s="21"/>
      <c r="U256" s="21"/>
      <c r="V256" s="21"/>
      <c r="W256" s="21"/>
      <c r="X256" s="22" t="s">
        <v>252</v>
      </c>
      <c r="Y256" s="22"/>
      <c r="Z256" s="22"/>
      <c r="AA256" s="65" t="n">
        <f aca="false">IF($AA$173=0,"n/a",2*$AA$174/(Input!$AA$12*$AA$173*$AA$253)+4.14*$AA$174/Input!$AA$14)</f>
        <v>2.61288126361656</v>
      </c>
      <c r="AB256" s="65"/>
      <c r="AC256" s="65"/>
      <c r="AD256" s="20" t="s">
        <v>38</v>
      </c>
      <c r="AE256" s="20"/>
      <c r="AF256" s="12"/>
    </row>
    <row r="257" customFormat="false" ht="14.25" hidden="false" customHeight="false" outlineLevel="0" collapsed="false">
      <c r="B257" s="7"/>
      <c r="C257" s="20" t="s">
        <v>280</v>
      </c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X257" s="64" t="str">
        <f aca="false">IF($AA$173=0,"No soft layer - n/a",IF($AA$256&gt;=Input!$AA$24,"FS ≥ FS req …. OK!!","FS &lt; FS req …. NG!!"))</f>
        <v>FS ≥ FS req …. OK!!</v>
      </c>
      <c r="Y257" s="64"/>
      <c r="Z257" s="64"/>
      <c r="AA257" s="64"/>
      <c r="AB257" s="64"/>
      <c r="AC257" s="64"/>
      <c r="AD257" s="64"/>
      <c r="AE257" s="64"/>
      <c r="AF257" s="12"/>
    </row>
    <row r="258" customFormat="false" ht="14.25" hidden="false" customHeight="true" outlineLevel="0" collapsed="false">
      <c r="B258" s="7"/>
      <c r="C258" s="20" t="s">
        <v>281</v>
      </c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1" t="s">
        <v>277</v>
      </c>
      <c r="P258" s="21"/>
      <c r="Q258" s="21"/>
      <c r="R258" s="21"/>
      <c r="S258" s="21"/>
      <c r="T258" s="21"/>
      <c r="U258" s="21"/>
      <c r="V258" s="21"/>
      <c r="W258" s="21"/>
      <c r="X258" s="22" t="s">
        <v>278</v>
      </c>
      <c r="Y258" s="22"/>
      <c r="Z258" s="22"/>
      <c r="AA258" s="50" t="n">
        <f aca="false">$AA$192</f>
        <v>2.5</v>
      </c>
      <c r="AB258" s="50"/>
      <c r="AC258" s="50"/>
      <c r="AD258" s="20" t="s">
        <v>19</v>
      </c>
      <c r="AE258" s="20"/>
      <c r="AF258" s="12"/>
    </row>
    <row r="259" customFormat="false" ht="14.25" hidden="false" customHeight="true" outlineLevel="0" collapsed="false">
      <c r="B259" s="7"/>
      <c r="C259" s="20" t="s">
        <v>282</v>
      </c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1"/>
      <c r="P259" s="21"/>
      <c r="Q259" s="21"/>
      <c r="R259" s="21"/>
      <c r="S259" s="21"/>
      <c r="T259" s="21"/>
      <c r="U259" s="21"/>
      <c r="V259" s="21"/>
      <c r="W259" s="21"/>
      <c r="X259" s="22" t="s">
        <v>252</v>
      </c>
      <c r="Y259" s="22"/>
      <c r="Z259" s="22"/>
      <c r="AA259" s="65" t="n">
        <f aca="false">IF($AA$192=0,"n/a",2*$AA$193/(Input!$AA$12*$AA$192*$AA$253)+4.14*$AA$193/Input!$AA$14)</f>
        <v>2.98325163398693</v>
      </c>
      <c r="AB259" s="65"/>
      <c r="AC259" s="65"/>
      <c r="AD259" s="20" t="s">
        <v>38</v>
      </c>
      <c r="AE259" s="20"/>
      <c r="AF259" s="12"/>
    </row>
    <row r="260" customFormat="false" ht="14.25" hidden="false" customHeight="false" outlineLevel="0" collapsed="false">
      <c r="B260" s="7"/>
      <c r="C260" s="20" t="s">
        <v>280</v>
      </c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X260" s="64" t="str">
        <f aca="false">IF($AA$192=0,"No soft layer - n/a",IF($AA$259&gt;=Input!$AA$24,"FS ≥ FS req …. OK!!","FS &lt; FS req …. NG!!"))</f>
        <v>FS ≥ FS req …. OK!!</v>
      </c>
      <c r="Y260" s="64"/>
      <c r="Z260" s="64"/>
      <c r="AA260" s="64"/>
      <c r="AB260" s="64"/>
      <c r="AC260" s="64"/>
      <c r="AD260" s="64"/>
      <c r="AE260" s="64"/>
      <c r="AF260" s="12"/>
    </row>
    <row r="261" customFormat="false" ht="14.25" hidden="false" customHeight="false" outlineLevel="0" collapsed="false">
      <c r="B261" s="7"/>
      <c r="C261" s="19" t="s">
        <v>283</v>
      </c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  <c r="AC261" s="19"/>
      <c r="AD261" s="19"/>
      <c r="AE261" s="19"/>
      <c r="AF261" s="12"/>
    </row>
    <row r="262" customFormat="false" ht="14.25" hidden="false" customHeight="false" outlineLevel="0" collapsed="false">
      <c r="B262" s="7"/>
      <c r="AF262" s="12"/>
    </row>
    <row r="263" customFormat="false" ht="14.25" hidden="false" customHeight="false" outlineLevel="0" collapsed="false">
      <c r="B263" s="7"/>
      <c r="AF263" s="12"/>
    </row>
    <row r="264" customFormat="false" ht="14.25" hidden="false" customHeight="false" outlineLevel="0" collapsed="false">
      <c r="B264" s="7"/>
      <c r="AF264" s="12"/>
    </row>
    <row r="265" customFormat="false" ht="14.25" hidden="false" customHeight="false" outlineLevel="0" collapsed="false">
      <c r="B265" s="7"/>
      <c r="AF265" s="12"/>
    </row>
    <row r="266" customFormat="false" ht="14.25" hidden="false" customHeight="false" outlineLevel="0" collapsed="false">
      <c r="B266" s="7"/>
      <c r="AF266" s="12"/>
    </row>
    <row r="267" customFormat="false" ht="14.25" hidden="false" customHeight="false" outlineLevel="0" collapsed="false">
      <c r="B267" s="7"/>
      <c r="AF267" s="12"/>
    </row>
    <row r="268" customFormat="false" ht="14.25" hidden="false" customHeight="false" outlineLevel="0" collapsed="false">
      <c r="B268" s="7"/>
      <c r="AF268" s="12"/>
    </row>
    <row r="269" customFormat="false" ht="14.25" hidden="false" customHeight="false" outlineLevel="0" collapsed="false">
      <c r="B269" s="7"/>
      <c r="AF269" s="12"/>
    </row>
    <row r="270" customFormat="false" ht="14.25" hidden="false" customHeight="false" outlineLevel="0" collapsed="false">
      <c r="B270" s="7"/>
      <c r="AF270" s="12"/>
    </row>
    <row r="271" customFormat="false" ht="14.25" hidden="false" customHeight="false" outlineLevel="0" collapsed="false">
      <c r="B271" s="7"/>
      <c r="AF271" s="12"/>
    </row>
    <row r="272" customFormat="false" ht="14.25" hidden="false" customHeight="false" outlineLevel="0" collapsed="false">
      <c r="B272" s="7"/>
      <c r="AF272" s="12"/>
    </row>
    <row r="273" customFormat="false" ht="14.25" hidden="false" customHeight="false" outlineLevel="0" collapsed="false">
      <c r="B273" s="7"/>
      <c r="AF273" s="12"/>
    </row>
    <row r="274" customFormat="false" ht="14.25" hidden="false" customHeight="false" outlineLevel="0" collapsed="false">
      <c r="B274" s="7"/>
      <c r="AF274" s="12"/>
    </row>
    <row r="275" customFormat="false" ht="14.25" hidden="false" customHeight="false" outlineLevel="0" collapsed="false">
      <c r="B275" s="7"/>
      <c r="AF275" s="12"/>
    </row>
    <row r="276" customFormat="false" ht="14.25" hidden="false" customHeight="false" outlineLevel="0" collapsed="false">
      <c r="B276" s="7"/>
      <c r="AF276" s="12"/>
    </row>
    <row r="277" customFormat="false" ht="14.25" hidden="false" customHeight="false" outlineLevel="0" collapsed="false">
      <c r="B277" s="7"/>
      <c r="AF277" s="12"/>
    </row>
    <row r="278" customFormat="false" ht="14.25" hidden="false" customHeight="false" outlineLevel="0" collapsed="false">
      <c r="B278" s="7"/>
      <c r="AF278" s="12"/>
    </row>
    <row r="279" customFormat="false" ht="14.25" hidden="false" customHeight="false" outlineLevel="0" collapsed="false">
      <c r="B279" s="7"/>
      <c r="AF279" s="12"/>
    </row>
    <row r="280" customFormat="false" ht="14.25" hidden="false" customHeight="false" outlineLevel="0" collapsed="false">
      <c r="B280" s="7"/>
      <c r="AF280" s="12"/>
    </row>
    <row r="281" customFormat="false" ht="14.25" hidden="false" customHeight="false" outlineLevel="0" collapsed="false">
      <c r="B281" s="7"/>
      <c r="AF281" s="12"/>
    </row>
    <row r="282" customFormat="false" ht="14.25" hidden="false" customHeight="false" outlineLevel="0" collapsed="false">
      <c r="B282" s="7"/>
      <c r="AF282" s="12"/>
    </row>
    <row r="283" customFormat="false" ht="14.25" hidden="false" customHeight="false" outlineLevel="0" collapsed="false">
      <c r="B283" s="7"/>
      <c r="AF283" s="12"/>
    </row>
    <row r="284" customFormat="false" ht="14.25" hidden="false" customHeight="false" outlineLevel="0" collapsed="false">
      <c r="B284" s="7"/>
      <c r="AF284" s="12"/>
    </row>
    <row r="285" customFormat="false" ht="14.25" hidden="false" customHeight="false" outlineLevel="0" collapsed="false">
      <c r="B285" s="7"/>
      <c r="AF285" s="12"/>
    </row>
    <row r="286" customFormat="false" ht="14.25" hidden="false" customHeight="false" outlineLevel="0" collapsed="false">
      <c r="B286" s="7"/>
      <c r="AF286" s="12"/>
    </row>
    <row r="287" customFormat="false" ht="14.25" hidden="false" customHeight="false" outlineLevel="0" collapsed="false">
      <c r="B287" s="7"/>
      <c r="AF287" s="12"/>
    </row>
    <row r="288" customFormat="false" ht="14.25" hidden="false" customHeight="false" outlineLevel="0" collapsed="false">
      <c r="B288" s="7"/>
      <c r="AF288" s="12"/>
    </row>
    <row r="289" customFormat="false" ht="14.25" hidden="false" customHeight="true" outlineLevel="0" collapsed="false">
      <c r="B289" s="36"/>
      <c r="C289" s="37"/>
      <c r="D289" s="37"/>
      <c r="E289" s="37"/>
      <c r="F289" s="37"/>
      <c r="G289" s="37"/>
      <c r="H289" s="37"/>
      <c r="I289" s="37"/>
      <c r="J289" s="37"/>
      <c r="K289" s="37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8" t="s">
        <v>93</v>
      </c>
      <c r="Y289" s="38"/>
      <c r="Z289" s="38"/>
      <c r="AA289" s="38"/>
      <c r="AB289" s="38" t="n">
        <v>4</v>
      </c>
      <c r="AC289" s="38"/>
      <c r="AD289" s="38"/>
      <c r="AE289" s="38"/>
      <c r="AF289" s="39"/>
    </row>
    <row r="290" customFormat="false" ht="14.25" hidden="false" customHeight="true" outlineLevel="0" collapsed="false">
      <c r="B290" s="1"/>
      <c r="C290" s="2" t="s">
        <v>0</v>
      </c>
      <c r="D290" s="2"/>
      <c r="E290" s="2"/>
      <c r="F290" s="2"/>
      <c r="G290" s="2"/>
      <c r="H290" s="3" t="s">
        <v>1</v>
      </c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4" t="s">
        <v>2</v>
      </c>
      <c r="Y290" s="4"/>
      <c r="Z290" s="4"/>
      <c r="AA290" s="4"/>
      <c r="AB290" s="5" t="s">
        <v>3</v>
      </c>
      <c r="AC290" s="5"/>
      <c r="AD290" s="5"/>
      <c r="AE290" s="5"/>
      <c r="AF290" s="6"/>
    </row>
    <row r="291" customFormat="false" ht="14.25" hidden="false" customHeight="true" outlineLevel="0" collapsed="false">
      <c r="B291" s="7"/>
      <c r="C291" s="8" t="s">
        <v>4</v>
      </c>
      <c r="D291" s="8"/>
      <c r="E291" s="8"/>
      <c r="F291" s="8"/>
      <c r="G291" s="8"/>
      <c r="H291" s="9" t="s">
        <v>5</v>
      </c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10" t="s">
        <v>6</v>
      </c>
      <c r="Y291" s="10"/>
      <c r="Z291" s="10"/>
      <c r="AA291" s="10"/>
      <c r="AB291" s="11" t="n">
        <v>46301</v>
      </c>
      <c r="AC291" s="11"/>
      <c r="AD291" s="11"/>
      <c r="AE291" s="11"/>
      <c r="AF291" s="12"/>
    </row>
    <row r="292" customFormat="false" ht="14.25" hidden="false" customHeight="true" outlineLevel="0" collapsed="false">
      <c r="B292" s="7"/>
      <c r="C292" s="8" t="s">
        <v>7</v>
      </c>
      <c r="D292" s="8"/>
      <c r="E292" s="8"/>
      <c r="F292" s="8"/>
      <c r="G292" s="8"/>
      <c r="H292" s="9" t="s">
        <v>133</v>
      </c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10" t="s">
        <v>9</v>
      </c>
      <c r="Y292" s="10"/>
      <c r="Z292" s="10"/>
      <c r="AA292" s="10"/>
      <c r="AB292" s="11" t="s">
        <v>3</v>
      </c>
      <c r="AC292" s="11"/>
      <c r="AD292" s="11"/>
      <c r="AE292" s="11"/>
      <c r="AF292" s="12"/>
    </row>
    <row r="293" customFormat="false" ht="14.25" hidden="false" customHeight="true" outlineLevel="0" collapsed="false">
      <c r="B293" s="13"/>
      <c r="C293" s="14" t="s">
        <v>10</v>
      </c>
      <c r="D293" s="14"/>
      <c r="E293" s="14"/>
      <c r="F293" s="14"/>
      <c r="G293" s="14"/>
      <c r="H293" s="15" t="s">
        <v>134</v>
      </c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6" t="s">
        <v>12</v>
      </c>
      <c r="Y293" s="16"/>
      <c r="Z293" s="16"/>
      <c r="AA293" s="16"/>
      <c r="AB293" s="17" t="n">
        <v>46301</v>
      </c>
      <c r="AC293" s="17"/>
      <c r="AD293" s="17"/>
      <c r="AE293" s="17"/>
      <c r="AF293" s="18"/>
    </row>
    <row r="294" customFormat="false" ht="14.25" hidden="false" customHeight="false" outlineLevel="0" collapsed="false">
      <c r="B294" s="7"/>
      <c r="AF294" s="12"/>
    </row>
    <row r="295" customFormat="false" ht="14.25" hidden="false" customHeight="false" outlineLevel="0" collapsed="false">
      <c r="B295" s="7"/>
      <c r="C295" s="9" t="s">
        <v>284</v>
      </c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12"/>
    </row>
    <row r="296" customFormat="false" ht="14.25" hidden="false" customHeight="false" outlineLevel="0" collapsed="false">
      <c r="B296" s="7"/>
      <c r="C296" s="20" t="s">
        <v>285</v>
      </c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  <c r="AD296" s="20"/>
      <c r="AE296" s="20"/>
      <c r="AF296" s="12"/>
    </row>
    <row r="297" customFormat="false" ht="14.25" hidden="false" customHeight="false" outlineLevel="0" collapsed="false">
      <c r="B297" s="7"/>
      <c r="C297" s="20" t="s">
        <v>286</v>
      </c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  <c r="AE297" s="20"/>
      <c r="AF297" s="12"/>
    </row>
    <row r="298" customFormat="false" ht="14.25" hidden="false" customHeight="false" outlineLevel="0" collapsed="false">
      <c r="B298" s="7"/>
      <c r="C298" s="20" t="s">
        <v>287</v>
      </c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  <c r="AE298" s="20"/>
      <c r="AF298" s="12"/>
    </row>
    <row r="299" customFormat="false" ht="14.25" hidden="false" customHeight="false" outlineLevel="0" collapsed="false">
      <c r="B299" s="7"/>
      <c r="C299" s="20" t="s">
        <v>288</v>
      </c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  <c r="AF299" s="12"/>
    </row>
    <row r="300" customFormat="false" ht="14.25" hidden="false" customHeight="false" outlineLevel="0" collapsed="false">
      <c r="B300" s="7"/>
      <c r="C300" s="20" t="s">
        <v>289</v>
      </c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  <c r="AF300" s="12"/>
    </row>
    <row r="301" customFormat="false" ht="27" hidden="false" customHeight="true" outlineLevel="0" collapsed="false">
      <c r="B301" s="7"/>
      <c r="C301" s="28" t="s">
        <v>157</v>
      </c>
      <c r="D301" s="28"/>
      <c r="E301" s="28" t="s">
        <v>158</v>
      </c>
      <c r="F301" s="28"/>
      <c r="G301" s="28"/>
      <c r="H301" s="28" t="s">
        <v>159</v>
      </c>
      <c r="I301" s="28"/>
      <c r="J301" s="28"/>
      <c r="K301" s="28" t="s">
        <v>160</v>
      </c>
      <c r="L301" s="28"/>
      <c r="M301" s="28"/>
      <c r="N301" s="28" t="s">
        <v>178</v>
      </c>
      <c r="O301" s="28"/>
      <c r="P301" s="28"/>
      <c r="Q301" s="28" t="s">
        <v>290</v>
      </c>
      <c r="R301" s="28"/>
      <c r="S301" s="28" t="s">
        <v>291</v>
      </c>
      <c r="T301" s="28"/>
      <c r="U301" s="28"/>
      <c r="V301" s="28" t="s">
        <v>292</v>
      </c>
      <c r="W301" s="28"/>
      <c r="X301" s="28"/>
      <c r="Y301" s="28" t="s">
        <v>183</v>
      </c>
      <c r="Z301" s="28"/>
      <c r="AA301" s="28" t="s">
        <v>184</v>
      </c>
      <c r="AB301" s="28"/>
      <c r="AC301" s="28" t="s">
        <v>186</v>
      </c>
      <c r="AD301" s="28"/>
      <c r="AE301" s="28"/>
      <c r="AF301" s="12"/>
    </row>
    <row r="302" customFormat="false" ht="14.25" hidden="false" customHeight="true" outlineLevel="0" collapsed="false">
      <c r="B302" s="7"/>
      <c r="C302" s="29"/>
      <c r="D302" s="29"/>
      <c r="E302" s="29" t="s">
        <v>19</v>
      </c>
      <c r="F302" s="29"/>
      <c r="G302" s="29"/>
      <c r="H302" s="29" t="s">
        <v>19</v>
      </c>
      <c r="I302" s="29"/>
      <c r="J302" s="29"/>
      <c r="K302" s="29"/>
      <c r="L302" s="29"/>
      <c r="M302" s="29"/>
      <c r="N302" s="29" t="s">
        <v>26</v>
      </c>
      <c r="O302" s="29"/>
      <c r="P302" s="29"/>
      <c r="Q302" s="29" t="s">
        <v>38</v>
      </c>
      <c r="R302" s="29"/>
      <c r="S302" s="29" t="s">
        <v>26</v>
      </c>
      <c r="T302" s="29"/>
      <c r="U302" s="29"/>
      <c r="V302" s="29" t="s">
        <v>26</v>
      </c>
      <c r="W302" s="29"/>
      <c r="X302" s="29"/>
      <c r="Y302" s="29" t="s">
        <v>38</v>
      </c>
      <c r="Z302" s="29"/>
      <c r="AA302" s="29" t="s">
        <v>38</v>
      </c>
      <c r="AB302" s="29"/>
      <c r="AC302" s="29" t="s">
        <v>45</v>
      </c>
      <c r="AD302" s="29"/>
      <c r="AE302" s="29"/>
      <c r="AF302" s="12"/>
    </row>
    <row r="303" customFormat="false" ht="14.25" hidden="false" customHeight="false" outlineLevel="0" collapsed="false">
      <c r="B303" s="7"/>
      <c r="C303" s="46" t="n">
        <v>1</v>
      </c>
      <c r="D303" s="46"/>
      <c r="E303" s="44" t="n">
        <f aca="false">AI83</f>
        <v>0</v>
      </c>
      <c r="F303" s="44"/>
      <c r="G303" s="44"/>
      <c r="H303" s="44" t="n">
        <f aca="false">AJ83</f>
        <v>1.5</v>
      </c>
      <c r="I303" s="44"/>
      <c r="J303" s="44"/>
      <c r="K303" s="41" t="str">
        <f aca="false">AM83</f>
        <v>Clay</v>
      </c>
      <c r="L303" s="41"/>
      <c r="M303" s="41"/>
      <c r="N303" s="43" t="n">
        <f aca="false">AX83</f>
        <v>12500</v>
      </c>
      <c r="O303" s="43"/>
      <c r="P303" s="43"/>
      <c r="Q303" s="42" t="n">
        <f aca="false">AY83</f>
        <v>0.5</v>
      </c>
      <c r="R303" s="42"/>
      <c r="S303" s="42" t="n">
        <f aca="false">AQ83</f>
        <v>13.35</v>
      </c>
      <c r="T303" s="42"/>
      <c r="U303" s="42"/>
      <c r="V303" s="42" t="n">
        <f aca="false">BC83</f>
        <v>135.999510418892</v>
      </c>
      <c r="W303" s="42"/>
      <c r="X303" s="42"/>
      <c r="Y303" s="32" t="n">
        <f aca="false">BD83</f>
        <v>0.000278357738281407</v>
      </c>
      <c r="Z303" s="32"/>
      <c r="AA303" s="32" t="n">
        <f aca="false">BE83</f>
        <v>0.00985670448566872</v>
      </c>
      <c r="AB303" s="32"/>
      <c r="AC303" s="42" t="n">
        <f aca="false">BG83</f>
        <v>0.224111382245126</v>
      </c>
      <c r="AD303" s="42"/>
      <c r="AE303" s="42"/>
      <c r="AF303" s="12"/>
    </row>
    <row r="304" customFormat="false" ht="14.25" hidden="false" customHeight="false" outlineLevel="0" collapsed="false">
      <c r="B304" s="7"/>
      <c r="C304" s="46" t="n">
        <v>2</v>
      </c>
      <c r="D304" s="46"/>
      <c r="E304" s="44" t="n">
        <f aca="false">AI84</f>
        <v>1.5</v>
      </c>
      <c r="F304" s="44"/>
      <c r="G304" s="44"/>
      <c r="H304" s="44" t="n">
        <f aca="false">AJ84</f>
        <v>3</v>
      </c>
      <c r="I304" s="44"/>
      <c r="J304" s="44"/>
      <c r="K304" s="41" t="str">
        <f aca="false">AM84</f>
        <v>Clay</v>
      </c>
      <c r="L304" s="41"/>
      <c r="M304" s="41"/>
      <c r="N304" s="43" t="n">
        <f aca="false">AX84</f>
        <v>12500</v>
      </c>
      <c r="O304" s="43"/>
      <c r="P304" s="43"/>
      <c r="Q304" s="42" t="n">
        <f aca="false">AY84</f>
        <v>0.5</v>
      </c>
      <c r="R304" s="42"/>
      <c r="S304" s="42" t="n">
        <f aca="false">AQ84</f>
        <v>40.05</v>
      </c>
      <c r="T304" s="42"/>
      <c r="U304" s="42"/>
      <c r="V304" s="42" t="n">
        <f aca="false">BC84</f>
        <v>135.986832457853</v>
      </c>
      <c r="W304" s="42"/>
      <c r="X304" s="42"/>
      <c r="Y304" s="32" t="n">
        <f aca="false">BD84</f>
        <v>0.0011108168584366</v>
      </c>
      <c r="Z304" s="32"/>
      <c r="AA304" s="32" t="n">
        <f aca="false">BE84</f>
        <v>0.0191582913405592</v>
      </c>
      <c r="AB304" s="32"/>
      <c r="AC304" s="42" t="n">
        <f aca="false">BG84</f>
        <v>1.00534423022902</v>
      </c>
      <c r="AD304" s="42"/>
      <c r="AE304" s="42"/>
      <c r="AF304" s="12"/>
    </row>
    <row r="305" customFormat="false" ht="14.25" hidden="false" customHeight="false" outlineLevel="0" collapsed="false">
      <c r="B305" s="7"/>
      <c r="C305" s="46" t="n">
        <v>3</v>
      </c>
      <c r="D305" s="46"/>
      <c r="E305" s="44" t="n">
        <f aca="false">AI85</f>
        <v>3</v>
      </c>
      <c r="F305" s="44"/>
      <c r="G305" s="44"/>
      <c r="H305" s="44" t="n">
        <f aca="false">AJ85</f>
        <v>5.5</v>
      </c>
      <c r="I305" s="44"/>
      <c r="J305" s="44"/>
      <c r="K305" s="41" t="str">
        <f aca="false">AM85</f>
        <v>Sand</v>
      </c>
      <c r="L305" s="41"/>
      <c r="M305" s="41"/>
      <c r="N305" s="43" t="n">
        <f aca="false">AX85</f>
        <v>19494</v>
      </c>
      <c r="O305" s="43"/>
      <c r="P305" s="43"/>
      <c r="Q305" s="42" t="n">
        <f aca="false">AY85</f>
        <v>0.3</v>
      </c>
      <c r="R305" s="42"/>
      <c r="S305" s="42" t="n">
        <f aca="false">AQ85</f>
        <v>75.65</v>
      </c>
      <c r="T305" s="42"/>
      <c r="U305" s="42"/>
      <c r="V305" s="42" t="n">
        <f aca="false">BC85</f>
        <v>135.912241466939</v>
      </c>
      <c r="W305" s="42"/>
      <c r="X305" s="42"/>
      <c r="Y305" s="32" t="n">
        <f aca="false">BD85</f>
        <v>0.00370628354440385</v>
      </c>
      <c r="Z305" s="32"/>
      <c r="AA305" s="32" t="n">
        <f aca="false">BE85</f>
        <v>0.0334429083554106</v>
      </c>
      <c r="AB305" s="32"/>
      <c r="AC305" s="42" t="n">
        <f aca="false">BG85</f>
        <v>10.1082699654841</v>
      </c>
      <c r="AD305" s="42"/>
      <c r="AE305" s="42"/>
      <c r="AF305" s="12"/>
    </row>
    <row r="306" customFormat="false" ht="14.25" hidden="false" customHeight="false" outlineLevel="0" collapsed="false">
      <c r="B306" s="7"/>
      <c r="C306" s="46" t="n">
        <v>4</v>
      </c>
      <c r="D306" s="46"/>
      <c r="E306" s="44" t="n">
        <f aca="false">AI86</f>
        <v>5.5</v>
      </c>
      <c r="F306" s="44"/>
      <c r="G306" s="44"/>
      <c r="H306" s="44" t="n">
        <f aca="false">AJ86</f>
        <v>6</v>
      </c>
      <c r="I306" s="44"/>
      <c r="J306" s="44"/>
      <c r="K306" s="41" t="str">
        <f aca="false">AM86</f>
        <v>Silt</v>
      </c>
      <c r="L306" s="41"/>
      <c r="M306" s="41"/>
      <c r="N306" s="43" t="n">
        <f aca="false">AX86</f>
        <v>70000</v>
      </c>
      <c r="O306" s="43"/>
      <c r="P306" s="43"/>
      <c r="Q306" s="42" t="n">
        <f aca="false">AY86</f>
        <v>0.5</v>
      </c>
      <c r="R306" s="42"/>
      <c r="S306" s="42" t="n">
        <f aca="false">AQ86</f>
        <v>102.35</v>
      </c>
      <c r="T306" s="42"/>
      <c r="U306" s="42"/>
      <c r="V306" s="42" t="n">
        <f aca="false">BC86</f>
        <v>135.785414089253</v>
      </c>
      <c r="W306" s="42"/>
      <c r="X306" s="42"/>
      <c r="Y306" s="32" t="n">
        <f aca="false">BD86</f>
        <v>0.00440210534422831</v>
      </c>
      <c r="Z306" s="32"/>
      <c r="AA306" s="32" t="n">
        <f aca="false">BE86</f>
        <v>0.0361201249719141</v>
      </c>
      <c r="AB306" s="32"/>
      <c r="AC306" s="42" t="n">
        <f aca="false">BG86</f>
        <v>0.150058941287856</v>
      </c>
      <c r="AD306" s="42"/>
      <c r="AE306" s="42"/>
      <c r="AF306" s="12"/>
    </row>
    <row r="307" customFormat="false" ht="14.25" hidden="false" customHeight="false" outlineLevel="0" collapsed="false">
      <c r="B307" s="7"/>
      <c r="C307" s="46" t="n">
        <v>5</v>
      </c>
      <c r="D307" s="46"/>
      <c r="E307" s="44" t="n">
        <f aca="false">AI87</f>
        <v>6</v>
      </c>
      <c r="F307" s="44"/>
      <c r="G307" s="44"/>
      <c r="H307" s="44" t="n">
        <f aca="false">AJ87</f>
        <v>7.5</v>
      </c>
      <c r="I307" s="44"/>
      <c r="J307" s="44"/>
      <c r="K307" s="41" t="str">
        <f aca="false">AM87</f>
        <v>Silt</v>
      </c>
      <c r="L307" s="41"/>
      <c r="M307" s="41"/>
      <c r="N307" s="43" t="n">
        <f aca="false">AX87</f>
        <v>75000</v>
      </c>
      <c r="O307" s="43"/>
      <c r="P307" s="43"/>
      <c r="Q307" s="42" t="n">
        <f aca="false">AY87</f>
        <v>0.5</v>
      </c>
      <c r="R307" s="42"/>
      <c r="S307" s="42" t="n">
        <f aca="false">AQ87</f>
        <v>120.15</v>
      </c>
      <c r="T307" s="42"/>
      <c r="U307" s="42"/>
      <c r="V307" s="42" t="n">
        <f aca="false">BC87</f>
        <v>135.656483291149</v>
      </c>
      <c r="W307" s="42"/>
      <c r="X307" s="42"/>
      <c r="Y307" s="32" t="n">
        <f aca="false">BD87</f>
        <v>0.00683111017475556</v>
      </c>
      <c r="Z307" s="32"/>
      <c r="AA307" s="32" t="n">
        <f aca="false">BE87</f>
        <v>0.0438003669964678</v>
      </c>
      <c r="AB307" s="32"/>
      <c r="AC307" s="42" t="n">
        <f aca="false">BG87</f>
        <v>0.488910092288526</v>
      </c>
      <c r="AD307" s="42"/>
      <c r="AE307" s="42"/>
      <c r="AF307" s="12"/>
    </row>
    <row r="308" customFormat="false" ht="14.25" hidden="false" customHeight="false" outlineLevel="0" collapsed="false">
      <c r="B308" s="7"/>
      <c r="C308" s="46" t="n">
        <v>6</v>
      </c>
      <c r="D308" s="46"/>
      <c r="E308" s="44" t="n">
        <f aca="false">AI88</f>
        <v>7.5</v>
      </c>
      <c r="F308" s="44"/>
      <c r="G308" s="44"/>
      <c r="H308" s="44" t="n">
        <f aca="false">AJ88</f>
        <v>9</v>
      </c>
      <c r="I308" s="44"/>
      <c r="J308" s="44"/>
      <c r="K308" s="41" t="str">
        <f aca="false">AM88</f>
        <v>Sand</v>
      </c>
      <c r="L308" s="41"/>
      <c r="M308" s="41"/>
      <c r="N308" s="43" t="n">
        <f aca="false">AX88</f>
        <v>37905</v>
      </c>
      <c r="O308" s="43"/>
      <c r="P308" s="43"/>
      <c r="Q308" s="42" t="n">
        <f aca="false">AY88</f>
        <v>0.3</v>
      </c>
      <c r="R308" s="42"/>
      <c r="S308" s="42" t="n">
        <f aca="false">AQ88</f>
        <v>146.85</v>
      </c>
      <c r="T308" s="42"/>
      <c r="U308" s="42"/>
      <c r="V308" s="42" t="n">
        <f aca="false">BC88</f>
        <v>135.384419937794</v>
      </c>
      <c r="W308" s="42"/>
      <c r="X308" s="42"/>
      <c r="Y308" s="32" t="n">
        <f aca="false">BD88</f>
        <v>0.00975546893705105</v>
      </c>
      <c r="Z308" s="32"/>
      <c r="AA308" s="32" t="n">
        <f aca="false">BE88</f>
        <v>0.0509649376512068</v>
      </c>
      <c r="AB308" s="32"/>
      <c r="AC308" s="42" t="n">
        <f aca="false">BG88</f>
        <v>3.39143562628873</v>
      </c>
      <c r="AD308" s="42"/>
      <c r="AE308" s="42"/>
      <c r="AF308" s="12"/>
    </row>
    <row r="309" customFormat="false" ht="14.25" hidden="false" customHeight="false" outlineLevel="0" collapsed="false">
      <c r="B309" s="7"/>
      <c r="C309" s="46" t="n">
        <v>7</v>
      </c>
      <c r="D309" s="46"/>
      <c r="E309" s="44" t="n">
        <f aca="false">AI89</f>
        <v>9</v>
      </c>
      <c r="F309" s="44"/>
      <c r="G309" s="44"/>
      <c r="H309" s="44" t="n">
        <f aca="false">AJ89</f>
        <v>10.5</v>
      </c>
      <c r="I309" s="44"/>
      <c r="J309" s="44"/>
      <c r="K309" s="41" t="str">
        <f aca="false">AM89</f>
        <v>Sand</v>
      </c>
      <c r="L309" s="41"/>
      <c r="M309" s="41"/>
      <c r="N309" s="43" t="n">
        <f aca="false">AX89</f>
        <v>36822</v>
      </c>
      <c r="O309" s="43"/>
      <c r="P309" s="43"/>
      <c r="Q309" s="42" t="n">
        <f aca="false">AY89</f>
        <v>0.3</v>
      </c>
      <c r="R309" s="42"/>
      <c r="S309" s="42" t="n">
        <f aca="false">AQ89</f>
        <v>167.1</v>
      </c>
      <c r="T309" s="42"/>
      <c r="U309" s="42"/>
      <c r="V309" s="42" t="n">
        <f aca="false">BC89</f>
        <v>135.006063558054</v>
      </c>
      <c r="W309" s="42"/>
      <c r="X309" s="42"/>
      <c r="Y309" s="32" t="n">
        <f aca="false">BD89</f>
        <v>0.0131506198333031</v>
      </c>
      <c r="Z309" s="32"/>
      <c r="AA309" s="32" t="n">
        <f aca="false">BE89</f>
        <v>0.0576304881402393</v>
      </c>
      <c r="AB309" s="32"/>
      <c r="AC309" s="42" t="n">
        <f aca="false">BG89</f>
        <v>3.5835260880634</v>
      </c>
      <c r="AD309" s="42"/>
      <c r="AE309" s="42"/>
      <c r="AF309" s="12"/>
    </row>
    <row r="310" customFormat="false" ht="14.25" hidden="false" customHeight="false" outlineLevel="0" collapsed="false">
      <c r="B310" s="7"/>
      <c r="C310" s="46" t="n">
        <v>8</v>
      </c>
      <c r="D310" s="46"/>
      <c r="E310" s="44" t="n">
        <f aca="false">AI90</f>
        <v>10.5</v>
      </c>
      <c r="F310" s="44"/>
      <c r="G310" s="44"/>
      <c r="H310" s="44" t="n">
        <f aca="false">AJ90</f>
        <v>12</v>
      </c>
      <c r="I310" s="44"/>
      <c r="J310" s="44"/>
      <c r="K310" s="41" t="str">
        <f aca="false">AM90</f>
        <v>Sand</v>
      </c>
      <c r="L310" s="41"/>
      <c r="M310" s="41"/>
      <c r="N310" s="43" t="n">
        <f aca="false">AX90</f>
        <v>14079</v>
      </c>
      <c r="O310" s="43"/>
      <c r="P310" s="43"/>
      <c r="Q310" s="42" t="n">
        <f aca="false">AY90</f>
        <v>0.3</v>
      </c>
      <c r="R310" s="42"/>
      <c r="S310" s="42" t="n">
        <f aca="false">AQ90</f>
        <v>180.9</v>
      </c>
      <c r="T310" s="42"/>
      <c r="U310" s="42"/>
      <c r="V310" s="42" t="n">
        <f aca="false">BC90</f>
        <v>134.511190640081</v>
      </c>
      <c r="W310" s="42"/>
      <c r="X310" s="42"/>
      <c r="Y310" s="32" t="n">
        <f aca="false">BD90</f>
        <v>0.0169892586870808</v>
      </c>
      <c r="Z310" s="32"/>
      <c r="AA310" s="32" t="n">
        <f aca="false">BE90</f>
        <v>0.063815650361614</v>
      </c>
      <c r="AB310" s="32"/>
      <c r="AC310" s="42" t="n">
        <f aca="false">BG90</f>
        <v>9.59213888004789</v>
      </c>
      <c r="AD310" s="42"/>
      <c r="AE310" s="42"/>
      <c r="AF310" s="12"/>
    </row>
    <row r="311" customFormat="false" ht="14.25" hidden="false" customHeight="false" outlineLevel="0" collapsed="false">
      <c r="B311" s="7"/>
      <c r="C311" s="46" t="n">
        <v>9</v>
      </c>
      <c r="D311" s="46"/>
      <c r="E311" s="44" t="n">
        <f aca="false">AI91</f>
        <v>12</v>
      </c>
      <c r="F311" s="44"/>
      <c r="G311" s="44"/>
      <c r="H311" s="44" t="n">
        <f aca="false">AJ91</f>
        <v>13.5</v>
      </c>
      <c r="I311" s="44"/>
      <c r="J311" s="44"/>
      <c r="K311" s="41" t="str">
        <f aca="false">AM91</f>
        <v>Sand</v>
      </c>
      <c r="L311" s="41"/>
      <c r="M311" s="41"/>
      <c r="N311" s="43" t="n">
        <f aca="false">AX91</f>
        <v>18411</v>
      </c>
      <c r="O311" s="43"/>
      <c r="P311" s="43"/>
      <c r="Q311" s="42" t="n">
        <f aca="false">AY91</f>
        <v>0.3</v>
      </c>
      <c r="R311" s="42"/>
      <c r="S311" s="42" t="n">
        <f aca="false">AQ91</f>
        <v>194.7</v>
      </c>
      <c r="T311" s="42"/>
      <c r="U311" s="42"/>
      <c r="V311" s="42" t="n">
        <f aca="false">BC91</f>
        <v>133.893072357031</v>
      </c>
      <c r="W311" s="42"/>
      <c r="X311" s="42"/>
      <c r="Y311" s="32" t="n">
        <f aca="false">BD91</f>
        <v>0.0212420151090567</v>
      </c>
      <c r="Z311" s="32"/>
      <c r="AA311" s="32" t="n">
        <f aca="false">BE91</f>
        <v>0.0695406206380035</v>
      </c>
      <c r="AB311" s="32"/>
      <c r="AC311" s="42" t="n">
        <f aca="false">BG91</f>
        <v>7.48553977752651</v>
      </c>
      <c r="AD311" s="42"/>
      <c r="AE311" s="42"/>
      <c r="AF311" s="12"/>
    </row>
    <row r="312" customFormat="false" ht="14.25" hidden="false" customHeight="false" outlineLevel="0" collapsed="false">
      <c r="B312" s="7"/>
      <c r="C312" s="46" t="n">
        <v>10</v>
      </c>
      <c r="D312" s="46"/>
      <c r="E312" s="44" t="n">
        <f aca="false">AI92</f>
        <v>13.5</v>
      </c>
      <c r="F312" s="44"/>
      <c r="G312" s="44"/>
      <c r="H312" s="44" t="n">
        <f aca="false">AJ92</f>
        <v>15</v>
      </c>
      <c r="I312" s="44"/>
      <c r="J312" s="44"/>
      <c r="K312" s="41" t="str">
        <f aca="false">AM92</f>
        <v>Sand</v>
      </c>
      <c r="L312" s="41"/>
      <c r="M312" s="41"/>
      <c r="N312" s="43" t="n">
        <f aca="false">AX92</f>
        <v>19494</v>
      </c>
      <c r="O312" s="43"/>
      <c r="P312" s="43"/>
      <c r="Q312" s="42" t="n">
        <f aca="false">AY92</f>
        <v>0.3</v>
      </c>
      <c r="R312" s="42"/>
      <c r="S312" s="42" t="n">
        <f aca="false">AQ92</f>
        <v>208.5</v>
      </c>
      <c r="T312" s="42"/>
      <c r="U312" s="42"/>
      <c r="V312" s="42" t="n">
        <f aca="false">BC92</f>
        <v>133.148368665013</v>
      </c>
      <c r="W312" s="42"/>
      <c r="X312" s="42"/>
      <c r="Y312" s="32" t="n">
        <f aca="false">BD92</f>
        <v>0.0258781185005073</v>
      </c>
      <c r="Z312" s="32"/>
      <c r="AA312" s="32" t="n">
        <f aca="false">BE92</f>
        <v>0.0748267458113844</v>
      </c>
      <c r="AB312" s="32"/>
      <c r="AC312" s="42" t="n">
        <f aca="false">BG92</f>
        <v>7.19424650364924</v>
      </c>
      <c r="AD312" s="42"/>
      <c r="AE312" s="42"/>
      <c r="AF312" s="12"/>
    </row>
    <row r="313" customFormat="false" ht="14.25" hidden="false" customHeight="false" outlineLevel="0" collapsed="false">
      <c r="B313" s="7"/>
      <c r="C313" s="46" t="n">
        <v>11</v>
      </c>
      <c r="D313" s="46"/>
      <c r="E313" s="44" t="n">
        <f aca="false">AI93</f>
        <v>15</v>
      </c>
      <c r="F313" s="44"/>
      <c r="G313" s="44"/>
      <c r="H313" s="44" t="n">
        <f aca="false">AJ93</f>
        <v>16.5</v>
      </c>
      <c r="I313" s="44"/>
      <c r="J313" s="44"/>
      <c r="K313" s="41" t="str">
        <f aca="false">AM93</f>
        <v>Sand</v>
      </c>
      <c r="L313" s="41"/>
      <c r="M313" s="41"/>
      <c r="N313" s="43" t="n">
        <f aca="false">AX93</f>
        <v>20577</v>
      </c>
      <c r="O313" s="43"/>
      <c r="P313" s="43"/>
      <c r="Q313" s="42" t="n">
        <f aca="false">AY93</f>
        <v>0.3</v>
      </c>
      <c r="R313" s="42"/>
      <c r="S313" s="42" t="n">
        <f aca="false">AQ93</f>
        <v>222.3</v>
      </c>
      <c r="T313" s="42"/>
      <c r="U313" s="42"/>
      <c r="V313" s="42" t="n">
        <f aca="false">BC93</f>
        <v>132.27687978272</v>
      </c>
      <c r="W313" s="42"/>
      <c r="X313" s="42"/>
      <c r="Y313" s="32" t="n">
        <f aca="false">BD93</f>
        <v>0.0308660275726865</v>
      </c>
      <c r="Z313" s="32"/>
      <c r="AA313" s="32" t="n">
        <f aca="false">BE93</f>
        <v>0.0796961274153755</v>
      </c>
      <c r="AB313" s="32"/>
      <c r="AC313" s="42" t="n">
        <f aca="false">BG93</f>
        <v>6.91678142991971</v>
      </c>
      <c r="AD313" s="42"/>
      <c r="AE313" s="42"/>
      <c r="AF313" s="12"/>
    </row>
    <row r="314" customFormat="false" ht="14.25" hidden="false" customHeight="false" outlineLevel="0" collapsed="false">
      <c r="B314" s="7"/>
      <c r="C314" s="46" t="n">
        <v>12</v>
      </c>
      <c r="D314" s="46"/>
      <c r="E314" s="44" t="n">
        <f aca="false">AI94</f>
        <v>16.5</v>
      </c>
      <c r="F314" s="44"/>
      <c r="G314" s="44"/>
      <c r="H314" s="44" t="n">
        <f aca="false">AJ94</f>
        <v>18</v>
      </c>
      <c r="I314" s="44"/>
      <c r="J314" s="44"/>
      <c r="K314" s="41" t="str">
        <f aca="false">AM94</f>
        <v>Sand</v>
      </c>
      <c r="L314" s="41"/>
      <c r="M314" s="41"/>
      <c r="N314" s="43" t="n">
        <f aca="false">AX94</f>
        <v>12996</v>
      </c>
      <c r="O314" s="43"/>
      <c r="P314" s="43"/>
      <c r="Q314" s="42" t="n">
        <f aca="false">AY94</f>
        <v>0.3</v>
      </c>
      <c r="R314" s="42"/>
      <c r="S314" s="42" t="n">
        <f aca="false">AQ94</f>
        <v>236.1</v>
      </c>
      <c r="T314" s="42"/>
      <c r="U314" s="42"/>
      <c r="V314" s="42" t="n">
        <f aca="false">BC94</f>
        <v>131.281191431882</v>
      </c>
      <c r="W314" s="42"/>
      <c r="X314" s="42"/>
      <c r="Y314" s="32" t="n">
        <f aca="false">BD94</f>
        <v>0.0361740031105239</v>
      </c>
      <c r="Z314" s="32"/>
      <c r="AA314" s="32" t="n">
        <f aca="false">BE94</f>
        <v>0.0841712562846844</v>
      </c>
      <c r="AB314" s="32"/>
      <c r="AC314" s="42" t="n">
        <f aca="false">BG94</f>
        <v>11.0851517849832</v>
      </c>
      <c r="AD314" s="42"/>
      <c r="AE314" s="42"/>
      <c r="AF314" s="12"/>
    </row>
    <row r="315" customFormat="false" ht="14.25" hidden="false" customHeight="false" outlineLevel="0" collapsed="false">
      <c r="B315" s="7"/>
      <c r="C315" s="46" t="n">
        <v>13</v>
      </c>
      <c r="D315" s="46"/>
      <c r="E315" s="44" t="n">
        <f aca="false">AI95</f>
        <v>18</v>
      </c>
      <c r="F315" s="44"/>
      <c r="G315" s="44"/>
      <c r="H315" s="44" t="n">
        <f aca="false">AJ95</f>
        <v>19.5</v>
      </c>
      <c r="I315" s="44"/>
      <c r="J315" s="44"/>
      <c r="K315" s="41" t="str">
        <f aca="false">AM95</f>
        <v>Sand</v>
      </c>
      <c r="L315" s="41"/>
      <c r="M315" s="41"/>
      <c r="N315" s="43" t="n">
        <f aca="false">AX95</f>
        <v>45486</v>
      </c>
      <c r="O315" s="43"/>
      <c r="P315" s="43"/>
      <c r="Q315" s="42" t="n">
        <f aca="false">AY95</f>
        <v>0.3</v>
      </c>
      <c r="R315" s="42"/>
      <c r="S315" s="42" t="n">
        <f aca="false">AQ95</f>
        <v>249.9</v>
      </c>
      <c r="T315" s="42"/>
      <c r="U315" s="42"/>
      <c r="V315" s="42" t="n">
        <f aca="false">BC95</f>
        <v>130.166251943235</v>
      </c>
      <c r="W315" s="42"/>
      <c r="X315" s="42"/>
      <c r="Y315" s="32" t="n">
        <f aca="false">BD95</f>
        <v>0.0417706101655238</v>
      </c>
      <c r="Z315" s="32"/>
      <c r="AA315" s="32" t="n">
        <f aca="false">BE95</f>
        <v>0.0882746863320375</v>
      </c>
      <c r="AB315" s="32"/>
      <c r="AC315" s="42" t="n">
        <f aca="false">BG95</f>
        <v>3.19788370019766</v>
      </c>
      <c r="AD315" s="42"/>
      <c r="AE315" s="42"/>
      <c r="AF315" s="12"/>
    </row>
    <row r="316" customFormat="false" ht="14.25" hidden="false" customHeight="false" outlineLevel="0" collapsed="false">
      <c r="B316" s="7"/>
      <c r="C316" s="46" t="n">
        <v>14</v>
      </c>
      <c r="D316" s="46"/>
      <c r="E316" s="44" t="n">
        <f aca="false">AI96</f>
        <v>19.5</v>
      </c>
      <c r="F316" s="44"/>
      <c r="G316" s="44"/>
      <c r="H316" s="44" t="n">
        <f aca="false">AJ96</f>
        <v>21</v>
      </c>
      <c r="I316" s="44"/>
      <c r="J316" s="44"/>
      <c r="K316" s="41" t="str">
        <f aca="false">AM96</f>
        <v>Sand</v>
      </c>
      <c r="L316" s="41"/>
      <c r="M316" s="41"/>
      <c r="N316" s="43" t="n">
        <f aca="false">AX96</f>
        <v>53067</v>
      </c>
      <c r="O316" s="43"/>
      <c r="P316" s="43"/>
      <c r="Q316" s="42" t="n">
        <f aca="false">AY96</f>
        <v>0.3</v>
      </c>
      <c r="R316" s="42"/>
      <c r="S316" s="42" t="n">
        <f aca="false">AQ96</f>
        <v>263.7</v>
      </c>
      <c r="T316" s="42"/>
      <c r="U316" s="42"/>
      <c r="V316" s="42" t="n">
        <f aca="false">BC96</f>
        <v>128.938917112008</v>
      </c>
      <c r="W316" s="42"/>
      <c r="X316" s="42"/>
      <c r="Y316" s="32" t="n">
        <f aca="false">BD96</f>
        <v>0.0476251420550853</v>
      </c>
      <c r="Z316" s="32"/>
      <c r="AA316" s="32" t="n">
        <f aca="false">BE96</f>
        <v>0.0920287526961581</v>
      </c>
      <c r="AB316" s="32"/>
      <c r="AC316" s="42" t="n">
        <f aca="false">BG96</f>
        <v>2.76116187288831</v>
      </c>
      <c r="AD316" s="42"/>
      <c r="AE316" s="42"/>
      <c r="AF316" s="12"/>
    </row>
    <row r="317" customFormat="false" ht="14.25" hidden="false" customHeight="false" outlineLevel="0" collapsed="false">
      <c r="B317" s="7"/>
      <c r="C317" s="46" t="n">
        <v>15</v>
      </c>
      <c r="D317" s="46"/>
      <c r="E317" s="44" t="n">
        <f aca="false">AI97</f>
        <v>21</v>
      </c>
      <c r="F317" s="44"/>
      <c r="G317" s="44"/>
      <c r="H317" s="44" t="n">
        <f aca="false">AJ97</f>
        <v>22.5</v>
      </c>
      <c r="I317" s="44"/>
      <c r="J317" s="44"/>
      <c r="K317" s="41" t="str">
        <f aca="false">AM97</f>
        <v>Sand</v>
      </c>
      <c r="L317" s="41"/>
      <c r="M317" s="41"/>
      <c r="N317" s="43" t="n">
        <f aca="false">AX97</f>
        <v>53067</v>
      </c>
      <c r="O317" s="43"/>
      <c r="P317" s="43"/>
      <c r="Q317" s="42" t="n">
        <f aca="false">AY97</f>
        <v>0.3</v>
      </c>
      <c r="R317" s="42"/>
      <c r="S317" s="42" t="n">
        <f aca="false">AQ97</f>
        <v>277.5</v>
      </c>
      <c r="T317" s="42"/>
      <c r="U317" s="42"/>
      <c r="V317" s="42" t="n">
        <f aca="false">BC97</f>
        <v>127.607493683403</v>
      </c>
      <c r="W317" s="42"/>
      <c r="X317" s="42"/>
      <c r="Y317" s="32" t="n">
        <f aca="false">BD97</f>
        <v>0.0537079639877145</v>
      </c>
      <c r="Z317" s="32"/>
      <c r="AA317" s="32" t="n">
        <f aca="false">BE97</f>
        <v>0.0954553363186186</v>
      </c>
      <c r="AB317" s="32"/>
      <c r="AC317" s="42" t="n">
        <f aca="false">BG97</f>
        <v>2.77536754201417</v>
      </c>
      <c r="AD317" s="42"/>
      <c r="AE317" s="42"/>
      <c r="AF317" s="12"/>
    </row>
    <row r="318" customFormat="false" ht="14.25" hidden="false" customHeight="false" outlineLevel="0" collapsed="false">
      <c r="B318" s="7"/>
      <c r="C318" s="46" t="n">
        <v>16</v>
      </c>
      <c r="D318" s="46"/>
      <c r="E318" s="44" t="n">
        <f aca="false">AI98</f>
        <v>22.5</v>
      </c>
      <c r="F318" s="44"/>
      <c r="G318" s="44"/>
      <c r="H318" s="44" t="n">
        <f aca="false">AJ98</f>
        <v>24</v>
      </c>
      <c r="I318" s="44"/>
      <c r="J318" s="44"/>
      <c r="K318" s="41" t="str">
        <f aca="false">AM98</f>
        <v>Clay</v>
      </c>
      <c r="L318" s="41"/>
      <c r="M318" s="41"/>
      <c r="N318" s="43" t="n">
        <f aca="false">AX98</f>
        <v>110000</v>
      </c>
      <c r="O318" s="43"/>
      <c r="P318" s="43"/>
      <c r="Q318" s="42" t="n">
        <f aca="false">AY98</f>
        <v>0.5</v>
      </c>
      <c r="R318" s="42"/>
      <c r="S318" s="42" t="n">
        <f aca="false">AQ98</f>
        <v>291.3</v>
      </c>
      <c r="T318" s="42"/>
      <c r="U318" s="42"/>
      <c r="V318" s="42" t="n">
        <f aca="false">BC98</f>
        <v>126.181305793762</v>
      </c>
      <c r="W318" s="42"/>
      <c r="X318" s="42"/>
      <c r="Y318" s="32" t="n">
        <f aca="false">BD98</f>
        <v>0.0599907785392672</v>
      </c>
      <c r="Z318" s="32"/>
      <c r="AA318" s="32" t="n">
        <f aca="false">BE98</f>
        <v>0.0985756744132035</v>
      </c>
      <c r="AB318" s="32"/>
      <c r="AC318" s="42" t="n">
        <f aca="false">BG98</f>
        <v>0.862230622456717</v>
      </c>
      <c r="AD318" s="42"/>
      <c r="AE318" s="42"/>
      <c r="AF318" s="12"/>
    </row>
    <row r="319" customFormat="false" ht="14.25" hidden="false" customHeight="false" outlineLevel="0" collapsed="false">
      <c r="B319" s="7"/>
      <c r="C319" s="46" t="n">
        <v>17</v>
      </c>
      <c r="D319" s="46"/>
      <c r="E319" s="44" t="n">
        <f aca="false">AI99</f>
        <v>24</v>
      </c>
      <c r="F319" s="44"/>
      <c r="G319" s="44"/>
      <c r="H319" s="44" t="n">
        <f aca="false">AJ99</f>
        <v>25.5</v>
      </c>
      <c r="I319" s="44"/>
      <c r="J319" s="44"/>
      <c r="K319" s="41" t="str">
        <f aca="false">AM99</f>
        <v>Clay</v>
      </c>
      <c r="L319" s="41"/>
      <c r="M319" s="41"/>
      <c r="N319" s="43" t="n">
        <f aca="false">AX99</f>
        <v>50000</v>
      </c>
      <c r="O319" s="43"/>
      <c r="P319" s="43"/>
      <c r="Q319" s="42" t="n">
        <f aca="false">AY99</f>
        <v>0.5</v>
      </c>
      <c r="R319" s="42"/>
      <c r="S319" s="42" t="n">
        <f aca="false">AQ99</f>
        <v>305.1</v>
      </c>
      <c r="T319" s="42"/>
      <c r="U319" s="42"/>
      <c r="V319" s="42" t="n">
        <f aca="false">BC99</f>
        <v>124.670301678981</v>
      </c>
      <c r="W319" s="42"/>
      <c r="X319" s="42"/>
      <c r="Y319" s="32" t="n">
        <f aca="false">BD99</f>
        <v>0.0664468184683822</v>
      </c>
      <c r="Z319" s="32"/>
      <c r="AA319" s="32" t="n">
        <f aca="false">BE99</f>
        <v>0.101410214319719</v>
      </c>
      <c r="AB319" s="32"/>
      <c r="AC319" s="42" t="n">
        <f aca="false">BG99</f>
        <v>1.94920757539841</v>
      </c>
      <c r="AD319" s="42"/>
      <c r="AE319" s="42"/>
      <c r="AF319" s="12"/>
    </row>
    <row r="320" customFormat="false" ht="14.25" hidden="false" customHeight="false" outlineLevel="0" collapsed="false">
      <c r="B320" s="7"/>
      <c r="C320" s="46" t="n">
        <v>18</v>
      </c>
      <c r="D320" s="46"/>
      <c r="E320" s="44" t="n">
        <f aca="false">AI100</f>
        <v>25.5</v>
      </c>
      <c r="F320" s="44"/>
      <c r="G320" s="44"/>
      <c r="H320" s="44" t="n">
        <f aca="false">AJ100</f>
        <v>27</v>
      </c>
      <c r="I320" s="44"/>
      <c r="J320" s="44"/>
      <c r="K320" s="41" t="str">
        <f aca="false">AM100</f>
        <v>Clay</v>
      </c>
      <c r="L320" s="41"/>
      <c r="M320" s="41"/>
      <c r="N320" s="43" t="n">
        <f aca="false">AX100</f>
        <v>52500</v>
      </c>
      <c r="O320" s="43"/>
      <c r="P320" s="43"/>
      <c r="Q320" s="42" t="n">
        <f aca="false">AY100</f>
        <v>0.5</v>
      </c>
      <c r="R320" s="42"/>
      <c r="S320" s="42" t="n">
        <f aca="false">AQ100</f>
        <v>318.9</v>
      </c>
      <c r="T320" s="42"/>
      <c r="U320" s="42"/>
      <c r="V320" s="42" t="n">
        <f aca="false">BC100</f>
        <v>123.084711322374</v>
      </c>
      <c r="W320" s="42"/>
      <c r="X320" s="42"/>
      <c r="Y320" s="32" t="n">
        <f aca="false">BD100</f>
        <v>0.0730509745149719</v>
      </c>
      <c r="Z320" s="32"/>
      <c r="AA320" s="32" t="n">
        <f aca="false">BE100</f>
        <v>0.103978506876715</v>
      </c>
      <c r="AB320" s="32"/>
      <c r="AC320" s="42" t="n">
        <f aca="false">BG100</f>
        <v>1.89897789865368</v>
      </c>
      <c r="AD320" s="42"/>
      <c r="AE320" s="42"/>
      <c r="AF320" s="12"/>
    </row>
    <row r="321" customFormat="false" ht="14.25" hidden="false" customHeight="false" outlineLevel="0" collapsed="false">
      <c r="B321" s="7"/>
      <c r="C321" s="46" t="n">
        <v>19</v>
      </c>
      <c r="D321" s="46"/>
      <c r="E321" s="44" t="n">
        <f aca="false">AI101</f>
        <v>27</v>
      </c>
      <c r="F321" s="44"/>
      <c r="G321" s="44"/>
      <c r="H321" s="44" t="n">
        <f aca="false">AJ101</f>
        <v>28.5</v>
      </c>
      <c r="I321" s="44"/>
      <c r="J321" s="44"/>
      <c r="K321" s="41" t="str">
        <f aca="false">AM101</f>
        <v>Sand</v>
      </c>
      <c r="L321" s="41"/>
      <c r="M321" s="41"/>
      <c r="N321" s="43" t="n">
        <f aca="false">AX101</f>
        <v>22743</v>
      </c>
      <c r="O321" s="43"/>
      <c r="P321" s="43"/>
      <c r="Q321" s="42" t="n">
        <f aca="false">AY101</f>
        <v>0.3</v>
      </c>
      <c r="R321" s="42"/>
      <c r="S321" s="42" t="n">
        <f aca="false">AQ101</f>
        <v>332.7</v>
      </c>
      <c r="T321" s="42"/>
      <c r="U321" s="42"/>
      <c r="V321" s="42" t="n">
        <f aca="false">BC101</f>
        <v>121.434759989289</v>
      </c>
      <c r="W321" s="42"/>
      <c r="X321" s="42"/>
      <c r="Y321" s="32" t="n">
        <f aca="false">BD101</f>
        <v>0.0797798670040491</v>
      </c>
      <c r="Z321" s="32"/>
      <c r="AA321" s="32" t="n">
        <f aca="false">BE101</f>
        <v>0.106299134641581</v>
      </c>
      <c r="AB321" s="32"/>
      <c r="AC321" s="42" t="n">
        <f aca="false">BG101</f>
        <v>6.48720988598545</v>
      </c>
      <c r="AD321" s="42"/>
      <c r="AE321" s="42"/>
      <c r="AF321" s="12"/>
    </row>
    <row r="322" customFormat="false" ht="14.25" hidden="false" customHeight="false" outlineLevel="0" collapsed="false">
      <c r="B322" s="7"/>
      <c r="C322" s="46" t="n">
        <v>20</v>
      </c>
      <c r="D322" s="46"/>
      <c r="E322" s="44" t="n">
        <f aca="false">AI102</f>
        <v>28.5</v>
      </c>
      <c r="F322" s="44"/>
      <c r="G322" s="44"/>
      <c r="H322" s="44" t="n">
        <f aca="false">AJ102</f>
        <v>30</v>
      </c>
      <c r="I322" s="44"/>
      <c r="J322" s="44"/>
      <c r="K322" s="41" t="str">
        <f aca="false">AM102</f>
        <v>Clay</v>
      </c>
      <c r="L322" s="41"/>
      <c r="M322" s="41"/>
      <c r="N322" s="43" t="n">
        <f aca="false">AX102</f>
        <v>120000</v>
      </c>
      <c r="O322" s="43"/>
      <c r="P322" s="43"/>
      <c r="Q322" s="42" t="n">
        <f aca="false">AY102</f>
        <v>0.5</v>
      </c>
      <c r="R322" s="42"/>
      <c r="S322" s="42" t="n">
        <f aca="false">AQ102</f>
        <v>346.5</v>
      </c>
      <c r="T322" s="42"/>
      <c r="U322" s="42"/>
      <c r="V322" s="42" t="n">
        <f aca="false">BC102</f>
        <v>119.73043805321</v>
      </c>
      <c r="W322" s="42"/>
      <c r="X322" s="42"/>
      <c r="Y322" s="32" t="n">
        <f aca="false">BD102</f>
        <v>0.0866118704592208</v>
      </c>
      <c r="Z322" s="32"/>
      <c r="AA322" s="32" t="n">
        <f aca="false">BE102</f>
        <v>0.108389669938441</v>
      </c>
      <c r="AB322" s="32"/>
      <c r="AC322" s="42" t="n">
        <f aca="false">BG102</f>
        <v>0.859466034660599</v>
      </c>
      <c r="AD322" s="42"/>
      <c r="AE322" s="42"/>
      <c r="AF322" s="12"/>
    </row>
    <row r="323" customFormat="false" ht="14.25" hidden="false" customHeight="false" outlineLevel="0" collapsed="false">
      <c r="B323" s="7"/>
      <c r="C323" s="46" t="n">
        <v>21</v>
      </c>
      <c r="D323" s="46"/>
      <c r="E323" s="44" t="n">
        <f aca="false">AI103</f>
        <v>30</v>
      </c>
      <c r="F323" s="44"/>
      <c r="G323" s="44"/>
      <c r="H323" s="44" t="n">
        <f aca="false">AJ103</f>
        <v>31.5</v>
      </c>
      <c r="I323" s="44"/>
      <c r="J323" s="44"/>
      <c r="K323" s="41" t="str">
        <f aca="false">AM103</f>
        <v>Clay</v>
      </c>
      <c r="L323" s="41"/>
      <c r="M323" s="41"/>
      <c r="N323" s="43" t="n">
        <f aca="false">AX103</f>
        <v>125000</v>
      </c>
      <c r="O323" s="43"/>
      <c r="P323" s="43"/>
      <c r="Q323" s="42" t="n">
        <f aca="false">AY103</f>
        <v>0.5</v>
      </c>
      <c r="R323" s="42"/>
      <c r="S323" s="42" t="n">
        <f aca="false">AQ103</f>
        <v>360.3</v>
      </c>
      <c r="T323" s="42"/>
      <c r="U323" s="42"/>
      <c r="V323" s="42" t="n">
        <f aca="false">BC103</f>
        <v>117.981324211207</v>
      </c>
      <c r="W323" s="42"/>
      <c r="X323" s="42"/>
      <c r="Y323" s="32" t="n">
        <f aca="false">BD103</f>
        <v>0.0935271002119951</v>
      </c>
      <c r="Z323" s="32"/>
      <c r="AA323" s="32" t="n">
        <f aca="false">BE103</f>
        <v>0.11026665771977</v>
      </c>
      <c r="AB323" s="32"/>
      <c r="AC323" s="42" t="n">
        <f aca="false">BG103</f>
        <v>0.835138466783045</v>
      </c>
      <c r="AD323" s="42"/>
      <c r="AE323" s="42"/>
      <c r="AF323" s="12"/>
    </row>
    <row r="324" customFormat="false" ht="14.25" hidden="false" customHeight="false" outlineLevel="0" collapsed="false">
      <c r="B324" s="7"/>
      <c r="C324" s="46" t="n">
        <v>22</v>
      </c>
      <c r="D324" s="46"/>
      <c r="E324" s="44" t="n">
        <f aca="false">AI104</f>
        <v>31.5</v>
      </c>
      <c r="F324" s="44"/>
      <c r="G324" s="44"/>
      <c r="H324" s="44" t="n">
        <f aca="false">AJ104</f>
        <v>33</v>
      </c>
      <c r="I324" s="44"/>
      <c r="J324" s="44"/>
      <c r="K324" s="41" t="str">
        <f aca="false">AM104</f>
        <v>Clay</v>
      </c>
      <c r="L324" s="41"/>
      <c r="M324" s="41"/>
      <c r="N324" s="43" t="n">
        <f aca="false">AX104</f>
        <v>125000</v>
      </c>
      <c r="O324" s="43"/>
      <c r="P324" s="43"/>
      <c r="Q324" s="42" t="n">
        <f aca="false">AY104</f>
        <v>0.5</v>
      </c>
      <c r="R324" s="42"/>
      <c r="S324" s="42" t="n">
        <f aca="false">AQ104</f>
        <v>374.1</v>
      </c>
      <c r="T324" s="42"/>
      <c r="U324" s="42"/>
      <c r="V324" s="42" t="n">
        <f aca="false">BC104</f>
        <v>116.196457021307</v>
      </c>
      <c r="W324" s="42"/>
      <c r="X324" s="42"/>
      <c r="Y324" s="32" t="n">
        <f aca="false">BD104</f>
        <v>0.100507369360851</v>
      </c>
      <c r="Z324" s="32"/>
      <c r="AA324" s="32" t="n">
        <f aca="false">BE104</f>
        <v>0.111945618485189</v>
      </c>
      <c r="AB324" s="32"/>
      <c r="AC324" s="42" t="n">
        <f aca="false">BG104</f>
        <v>0.842993144568987</v>
      </c>
      <c r="AD324" s="42"/>
      <c r="AE324" s="42"/>
      <c r="AF324" s="12"/>
    </row>
    <row r="325" customFormat="false" ht="14.25" hidden="false" customHeight="false" outlineLevel="0" collapsed="false">
      <c r="B325" s="7"/>
      <c r="C325" s="46" t="n">
        <v>23</v>
      </c>
      <c r="D325" s="46"/>
      <c r="E325" s="44" t="n">
        <f aca="false">AI105</f>
        <v>33</v>
      </c>
      <c r="F325" s="44"/>
      <c r="G325" s="44"/>
      <c r="H325" s="44" t="n">
        <f aca="false">AJ105</f>
        <v>34.5</v>
      </c>
      <c r="I325" s="44"/>
      <c r="J325" s="44"/>
      <c r="K325" s="41" t="str">
        <f aca="false">AM105</f>
        <v>Clay</v>
      </c>
      <c r="L325" s="41"/>
      <c r="M325" s="41"/>
      <c r="N325" s="43" t="n">
        <f aca="false">AX105</f>
        <v>125000</v>
      </c>
      <c r="O325" s="43"/>
      <c r="P325" s="43"/>
      <c r="Q325" s="42" t="n">
        <f aca="false">AY105</f>
        <v>0.5</v>
      </c>
      <c r="R325" s="42"/>
      <c r="S325" s="42" t="n">
        <f aca="false">AQ105</f>
        <v>387.9</v>
      </c>
      <c r="T325" s="42"/>
      <c r="U325" s="42"/>
      <c r="V325" s="42" t="n">
        <f aca="false">BC105</f>
        <v>114.384248493289</v>
      </c>
      <c r="W325" s="42"/>
      <c r="X325" s="42"/>
      <c r="Y325" s="32" t="n">
        <f aca="false">BD105</f>
        <v>0.107536123549061</v>
      </c>
      <c r="Z325" s="32"/>
      <c r="AA325" s="32" t="n">
        <f aca="false">BE105</f>
        <v>0.113441066921048</v>
      </c>
      <c r="AB325" s="32"/>
      <c r="AC325" s="42" t="n">
        <f aca="false">BG105</f>
        <v>0.848848585801754</v>
      </c>
      <c r="AD325" s="42"/>
      <c r="AE325" s="42"/>
      <c r="AF325" s="12"/>
    </row>
    <row r="326" customFormat="false" ht="14.25" hidden="false" customHeight="false" outlineLevel="0" collapsed="false">
      <c r="B326" s="7"/>
      <c r="C326" s="46" t="n">
        <v>24</v>
      </c>
      <c r="D326" s="46"/>
      <c r="E326" s="44" t="n">
        <f aca="false">AI106</f>
        <v>34.5</v>
      </c>
      <c r="F326" s="44"/>
      <c r="G326" s="44"/>
      <c r="H326" s="44" t="n">
        <f aca="false">AJ106</f>
        <v>36</v>
      </c>
      <c r="I326" s="44"/>
      <c r="J326" s="44"/>
      <c r="K326" s="41" t="str">
        <f aca="false">AM106</f>
        <v>Clay</v>
      </c>
      <c r="L326" s="41"/>
      <c r="M326" s="41"/>
      <c r="N326" s="43" t="n">
        <f aca="false">AX106</f>
        <v>125000</v>
      </c>
      <c r="O326" s="43"/>
      <c r="P326" s="43"/>
      <c r="Q326" s="42" t="n">
        <f aca="false">AY106</f>
        <v>0.5</v>
      </c>
      <c r="R326" s="42"/>
      <c r="S326" s="42" t="n">
        <f aca="false">AQ106</f>
        <v>401.7</v>
      </c>
      <c r="T326" s="42"/>
      <c r="U326" s="42"/>
      <c r="V326" s="42" t="n">
        <f aca="false">BC106</f>
        <v>112.552433017023</v>
      </c>
      <c r="W326" s="42"/>
      <c r="X326" s="42"/>
      <c r="Y326" s="32" t="n">
        <f aca="false">BD106</f>
        <v>0.114598360022051</v>
      </c>
      <c r="Z326" s="32"/>
      <c r="AA326" s="32" t="n">
        <f aca="false">BE106</f>
        <v>0.114766542433847</v>
      </c>
      <c r="AB326" s="32"/>
      <c r="AC326" s="42" t="n">
        <f aca="false">BG106</f>
        <v>0.852892174370052</v>
      </c>
      <c r="AD326" s="42"/>
      <c r="AE326" s="42"/>
      <c r="AF326" s="12"/>
    </row>
    <row r="327" customFormat="false" ht="14.25" hidden="false" customHeight="false" outlineLevel="0" collapsed="false">
      <c r="B327" s="7"/>
      <c r="C327" s="46" t="n">
        <v>25</v>
      </c>
      <c r="D327" s="46"/>
      <c r="E327" s="44" t="n">
        <f aca="false">AI107</f>
        <v>36</v>
      </c>
      <c r="F327" s="44"/>
      <c r="G327" s="44"/>
      <c r="H327" s="44" t="n">
        <f aca="false">AJ107</f>
        <v>37.5</v>
      </c>
      <c r="I327" s="44"/>
      <c r="J327" s="44"/>
      <c r="K327" s="41" t="str">
        <f aca="false">AM107</f>
        <v>Sand</v>
      </c>
      <c r="L327" s="41"/>
      <c r="M327" s="41"/>
      <c r="N327" s="43" t="n">
        <f aca="false">AX107</f>
        <v>54150</v>
      </c>
      <c r="O327" s="43"/>
      <c r="P327" s="43"/>
      <c r="Q327" s="42" t="n">
        <f aca="false">AY107</f>
        <v>0.3</v>
      </c>
      <c r="R327" s="42"/>
      <c r="S327" s="42" t="n">
        <f aca="false">AQ107</f>
        <v>415.5</v>
      </c>
      <c r="T327" s="42"/>
      <c r="U327" s="42"/>
      <c r="V327" s="42" t="n">
        <f aca="false">BC107</f>
        <v>110.708045010863</v>
      </c>
      <c r="W327" s="42"/>
      <c r="X327" s="42"/>
      <c r="Y327" s="32" t="n">
        <f aca="false">BD107</f>
        <v>0.121680536390531</v>
      </c>
      <c r="Z327" s="32"/>
      <c r="AA327" s="32" t="n">
        <f aca="false">BE107</f>
        <v>0.115934648292991</v>
      </c>
      <c r="AB327" s="32"/>
      <c r="AC327" s="42" t="n">
        <f aca="false">BG107</f>
        <v>2.62135903731908</v>
      </c>
      <c r="AD327" s="42"/>
      <c r="AE327" s="42"/>
      <c r="AF327" s="12"/>
    </row>
    <row r="328" customFormat="false" ht="14.25" hidden="false" customHeight="false" outlineLevel="0" collapsed="false">
      <c r="B328" s="7"/>
      <c r="C328" s="46" t="n">
        <v>26</v>
      </c>
      <c r="D328" s="46"/>
      <c r="E328" s="44" t="n">
        <f aca="false">AI108</f>
        <v>37.5</v>
      </c>
      <c r="F328" s="44"/>
      <c r="G328" s="44"/>
      <c r="H328" s="44" t="n">
        <f aca="false">AJ108</f>
        <v>39</v>
      </c>
      <c r="I328" s="44"/>
      <c r="J328" s="44"/>
      <c r="K328" s="41" t="str">
        <f aca="false">AM108</f>
        <v>Clay</v>
      </c>
      <c r="L328" s="41"/>
      <c r="M328" s="41"/>
      <c r="N328" s="43" t="n">
        <f aca="false">AX108</f>
        <v>125000</v>
      </c>
      <c r="O328" s="43"/>
      <c r="P328" s="43"/>
      <c r="Q328" s="42" t="n">
        <f aca="false">AY108</f>
        <v>0.5</v>
      </c>
      <c r="R328" s="42"/>
      <c r="S328" s="42" t="n">
        <f aca="false">AQ108</f>
        <v>429.3</v>
      </c>
      <c r="T328" s="42"/>
      <c r="U328" s="42"/>
      <c r="V328" s="42" t="n">
        <f aca="false">BC108</f>
        <v>108.857419132691</v>
      </c>
      <c r="W328" s="42"/>
      <c r="X328" s="42"/>
      <c r="Y328" s="32" t="n">
        <f aca="false">BD108</f>
        <v>0.128770473532044</v>
      </c>
      <c r="Z328" s="32"/>
      <c r="AA328" s="32" t="n">
        <f aca="false">BE108</f>
        <v>0.116957096633813</v>
      </c>
      <c r="AB328" s="32"/>
      <c r="AC328" s="42" t="n">
        <f aca="false">BG108</f>
        <v>0.856237528706172</v>
      </c>
      <c r="AD328" s="42"/>
      <c r="AE328" s="42"/>
      <c r="AF328" s="12"/>
    </row>
    <row r="329" customFormat="false" ht="14.25" hidden="false" customHeight="false" outlineLevel="0" collapsed="false">
      <c r="B329" s="7"/>
      <c r="C329" s="46" t="n">
        <v>27</v>
      </c>
      <c r="D329" s="46"/>
      <c r="E329" s="44" t="n">
        <f aca="false">AI109</f>
        <v>39</v>
      </c>
      <c r="F329" s="44"/>
      <c r="G329" s="44"/>
      <c r="H329" s="44" t="n">
        <f aca="false">AJ109</f>
        <v>40.5</v>
      </c>
      <c r="I329" s="44"/>
      <c r="J329" s="44"/>
      <c r="K329" s="41" t="str">
        <f aca="false">AM109</f>
        <v>Clay</v>
      </c>
      <c r="L329" s="41"/>
      <c r="M329" s="41"/>
      <c r="N329" s="43" t="n">
        <f aca="false">AX109</f>
        <v>125000</v>
      </c>
      <c r="O329" s="43"/>
      <c r="P329" s="43"/>
      <c r="Q329" s="42" t="n">
        <f aca="false">AY109</f>
        <v>0.5</v>
      </c>
      <c r="R329" s="42"/>
      <c r="S329" s="42" t="n">
        <f aca="false">AQ109</f>
        <v>443.1</v>
      </c>
      <c r="T329" s="42"/>
      <c r="U329" s="42"/>
      <c r="V329" s="42" t="n">
        <f aca="false">BC109</f>
        <v>107.006207567439</v>
      </c>
      <c r="W329" s="42"/>
      <c r="X329" s="42"/>
      <c r="Y329" s="32" t="n">
        <f aca="false">BD109</f>
        <v>0.135857256153312</v>
      </c>
      <c r="Z329" s="32"/>
      <c r="AA329" s="32" t="n">
        <f aca="false">BE109</f>
        <v>0.117844757073459</v>
      </c>
      <c r="AB329" s="32"/>
      <c r="AC329" s="42" t="n">
        <f aca="false">BG109</f>
        <v>0.85585656360535</v>
      </c>
      <c r="AD329" s="42"/>
      <c r="AE329" s="42"/>
      <c r="AF329" s="12"/>
    </row>
    <row r="330" customFormat="false" ht="14.25" hidden="false" customHeight="false" outlineLevel="0" collapsed="false">
      <c r="B330" s="7"/>
      <c r="C330" s="46" t="n">
        <v>28</v>
      </c>
      <c r="D330" s="46"/>
      <c r="E330" s="44" t="n">
        <f aca="false">AI110</f>
        <v>40.5</v>
      </c>
      <c r="F330" s="44"/>
      <c r="G330" s="44"/>
      <c r="H330" s="44" t="n">
        <f aca="false">AJ110</f>
        <v>42</v>
      </c>
      <c r="I330" s="44"/>
      <c r="J330" s="44"/>
      <c r="K330" s="41" t="str">
        <f aca="false">AM110</f>
        <v>Clay</v>
      </c>
      <c r="L330" s="41"/>
      <c r="M330" s="41"/>
      <c r="N330" s="43" t="n">
        <f aca="false">AX110</f>
        <v>125000</v>
      </c>
      <c r="O330" s="43"/>
      <c r="P330" s="43"/>
      <c r="Q330" s="42" t="n">
        <f aca="false">AY110</f>
        <v>0.5</v>
      </c>
      <c r="R330" s="42"/>
      <c r="S330" s="42" t="n">
        <f aca="false">AQ110</f>
        <v>456.9</v>
      </c>
      <c r="T330" s="42"/>
      <c r="U330" s="42"/>
      <c r="V330" s="42" t="n">
        <f aca="false">BC110</f>
        <v>105.159409672716</v>
      </c>
      <c r="W330" s="42"/>
      <c r="X330" s="42"/>
      <c r="Y330" s="32" t="n">
        <f aca="false">BD110</f>
        <v>0.142931133731755</v>
      </c>
      <c r="Z330" s="32"/>
      <c r="AA330" s="32" t="n">
        <f aca="false">BE110</f>
        <v>0.118607707144671</v>
      </c>
      <c r="AB330" s="32"/>
      <c r="AC330" s="42" t="n">
        <f aca="false">BG110</f>
        <v>0.85429804739342</v>
      </c>
      <c r="AD330" s="42"/>
      <c r="AE330" s="42"/>
      <c r="AF330" s="12"/>
    </row>
    <row r="331" customFormat="false" ht="14.25" hidden="false" customHeight="false" outlineLevel="0" collapsed="false">
      <c r="B331" s="7"/>
      <c r="C331" s="46" t="n">
        <v>29</v>
      </c>
      <c r="D331" s="46"/>
      <c r="E331" s="44" t="n">
        <f aca="false">AI111</f>
        <v>42</v>
      </c>
      <c r="F331" s="44"/>
      <c r="G331" s="44"/>
      <c r="H331" s="44" t="n">
        <f aca="false">AJ111</f>
        <v>43.5</v>
      </c>
      <c r="I331" s="44"/>
      <c r="J331" s="44"/>
      <c r="K331" s="41" t="str">
        <f aca="false">AM111</f>
        <v>Clay</v>
      </c>
      <c r="L331" s="41"/>
      <c r="M331" s="41"/>
      <c r="N331" s="43" t="n">
        <f aca="false">AX111</f>
        <v>125000</v>
      </c>
      <c r="O331" s="43"/>
      <c r="P331" s="43"/>
      <c r="Q331" s="42" t="n">
        <f aca="false">AY111</f>
        <v>0.5</v>
      </c>
      <c r="R331" s="42"/>
      <c r="S331" s="42" t="n">
        <f aca="false">AQ111</f>
        <v>470.7</v>
      </c>
      <c r="T331" s="42"/>
      <c r="U331" s="42"/>
      <c r="V331" s="42" t="n">
        <f aca="false">BC111</f>
        <v>103.321410046931</v>
      </c>
      <c r="W331" s="42"/>
      <c r="X331" s="42"/>
      <c r="Y331" s="32" t="n">
        <f aca="false">BD111</f>
        <v>0.149983423865366</v>
      </c>
      <c r="Z331" s="32"/>
      <c r="AA331" s="32" t="n">
        <f aca="false">BE111</f>
        <v>0.11925528314828</v>
      </c>
      <c r="AB331" s="32"/>
      <c r="AC331" s="42" t="n">
        <f aca="false">BG111</f>
        <v>0.851690974855866</v>
      </c>
      <c r="AD331" s="42"/>
      <c r="AE331" s="42"/>
      <c r="AF331" s="12"/>
    </row>
    <row r="332" customFormat="false" ht="14.25" hidden="false" customHeight="false" outlineLevel="0" collapsed="false">
      <c r="B332" s="7"/>
      <c r="C332" s="46" t="n">
        <v>30</v>
      </c>
      <c r="D332" s="46"/>
      <c r="E332" s="44" t="n">
        <f aca="false">AI112</f>
        <v>43.5</v>
      </c>
      <c r="F332" s="44"/>
      <c r="G332" s="44"/>
      <c r="H332" s="44" t="n">
        <f aca="false">AJ112</f>
        <v>45</v>
      </c>
      <c r="I332" s="44"/>
      <c r="J332" s="44"/>
      <c r="K332" s="41" t="str">
        <f aca="false">AM112</f>
        <v>Clay</v>
      </c>
      <c r="L332" s="41"/>
      <c r="M332" s="41"/>
      <c r="N332" s="43" t="n">
        <f aca="false">AX112</f>
        <v>125000</v>
      </c>
      <c r="O332" s="43"/>
      <c r="P332" s="43"/>
      <c r="Q332" s="42" t="n">
        <f aca="false">AY112</f>
        <v>0.5</v>
      </c>
      <c r="R332" s="42"/>
      <c r="S332" s="42" t="n">
        <f aca="false">AQ112</f>
        <v>484.5</v>
      </c>
      <c r="T332" s="42"/>
      <c r="U332" s="42"/>
      <c r="V332" s="42" t="n">
        <f aca="false">BC112</f>
        <v>101.496021828265</v>
      </c>
      <c r="W332" s="42"/>
      <c r="X332" s="42"/>
      <c r="Y332" s="32" t="n">
        <f aca="false">BD112</f>
        <v>0.157006419484548</v>
      </c>
      <c r="Z332" s="32"/>
      <c r="AA332" s="32" t="n">
        <f aca="false">BE112</f>
        <v>0.119796130362691</v>
      </c>
      <c r="AB332" s="32"/>
      <c r="AC332" s="42" t="n">
        <f aca="false">BG112</f>
        <v>0.848153134937447</v>
      </c>
      <c r="AD332" s="42"/>
      <c r="AE332" s="42"/>
      <c r="AF332" s="12"/>
    </row>
    <row r="333" customFormat="false" ht="14.25" hidden="false" customHeight="false" outlineLevel="0" collapsed="false">
      <c r="B333" s="7"/>
      <c r="C333" s="46" t="n">
        <v>31</v>
      </c>
      <c r="D333" s="46"/>
      <c r="E333" s="44" t="n">
        <f aca="false">AI113</f>
        <v>45</v>
      </c>
      <c r="F333" s="44"/>
      <c r="G333" s="44"/>
      <c r="H333" s="44" t="n">
        <f aca="false">AJ113</f>
        <v>46.5</v>
      </c>
      <c r="I333" s="44"/>
      <c r="J333" s="44"/>
      <c r="K333" s="41" t="str">
        <f aca="false">AM113</f>
        <v>Clay</v>
      </c>
      <c r="L333" s="41"/>
      <c r="M333" s="41"/>
      <c r="N333" s="43" t="n">
        <f aca="false">AX113</f>
        <v>82500</v>
      </c>
      <c r="O333" s="43"/>
      <c r="P333" s="43"/>
      <c r="Q333" s="42" t="n">
        <f aca="false">AY113</f>
        <v>0.5</v>
      </c>
      <c r="R333" s="42"/>
      <c r="S333" s="42" t="n">
        <f aca="false">AQ113</f>
        <v>498.3</v>
      </c>
      <c r="T333" s="42"/>
      <c r="U333" s="42"/>
      <c r="V333" s="42" t="n">
        <f aca="false">BC113</f>
        <v>99.6865327062518</v>
      </c>
      <c r="W333" s="42"/>
      <c r="X333" s="42"/>
      <c r="Y333" s="32" t="n">
        <f aca="false">BD113</f>
        <v>0.163993300910008</v>
      </c>
      <c r="Z333" s="32"/>
      <c r="AA333" s="32" t="n">
        <f aca="false">BE113</f>
        <v>0.120238251830284</v>
      </c>
      <c r="AB333" s="32"/>
      <c r="AC333" s="42" t="n">
        <f aca="false">BG113</f>
        <v>1.2784722666513</v>
      </c>
      <c r="AD333" s="42"/>
      <c r="AE333" s="42"/>
      <c r="AF333" s="12"/>
    </row>
    <row r="334" customFormat="false" ht="14.25" hidden="false" customHeight="false" outlineLevel="0" collapsed="false">
      <c r="B334" s="7"/>
      <c r="C334" s="46" t="n">
        <v>32</v>
      </c>
      <c r="D334" s="46"/>
      <c r="E334" s="44" t="n">
        <f aca="false">AI114</f>
        <v>46.5</v>
      </c>
      <c r="F334" s="44"/>
      <c r="G334" s="44"/>
      <c r="H334" s="44" t="n">
        <f aca="false">AJ114</f>
        <v>48</v>
      </c>
      <c r="I334" s="44"/>
      <c r="J334" s="44"/>
      <c r="K334" s="41" t="str">
        <f aca="false">AM114</f>
        <v>Clay</v>
      </c>
      <c r="L334" s="41"/>
      <c r="M334" s="41"/>
      <c r="N334" s="43" t="n">
        <f aca="false">AX114</f>
        <v>90000</v>
      </c>
      <c r="O334" s="43"/>
      <c r="P334" s="43"/>
      <c r="Q334" s="42" t="n">
        <f aca="false">AY114</f>
        <v>0.5</v>
      </c>
      <c r="R334" s="42"/>
      <c r="S334" s="42" t="n">
        <f aca="false">AQ114</f>
        <v>512.1</v>
      </c>
      <c r="T334" s="42"/>
      <c r="U334" s="42"/>
      <c r="V334" s="42" t="n">
        <f aca="false">BC114</f>
        <v>97.8957517150986</v>
      </c>
      <c r="W334" s="42"/>
      <c r="X334" s="42"/>
      <c r="Y334" s="32" t="n">
        <f aca="false">BD114</f>
        <v>0.170938053366324</v>
      </c>
      <c r="Z334" s="32"/>
      <c r="AA334" s="32" t="n">
        <f aca="false">BE114</f>
        <v>0.120589055170862</v>
      </c>
      <c r="AB334" s="32"/>
      <c r="AC334" s="42" t="n">
        <f aca="false">BG114</f>
        <v>0</v>
      </c>
      <c r="AD334" s="42"/>
      <c r="AE334" s="42"/>
      <c r="AF334" s="12"/>
    </row>
    <row r="335" customFormat="false" ht="14.25" hidden="false" customHeight="false" outlineLevel="0" collapsed="false">
      <c r="B335" s="7"/>
      <c r="C335" s="46" t="n">
        <v>33</v>
      </c>
      <c r="D335" s="46"/>
      <c r="E335" s="44" t="n">
        <f aca="false">AI115</f>
        <v>48</v>
      </c>
      <c r="F335" s="44"/>
      <c r="G335" s="44"/>
      <c r="H335" s="44" t="n">
        <f aca="false">AJ115</f>
        <v>49.5</v>
      </c>
      <c r="I335" s="44"/>
      <c r="J335" s="44"/>
      <c r="K335" s="41" t="str">
        <f aca="false">AM115</f>
        <v>Clay</v>
      </c>
      <c r="L335" s="41"/>
      <c r="M335" s="41"/>
      <c r="N335" s="43" t="n">
        <f aca="false">AX115</f>
        <v>77500</v>
      </c>
      <c r="O335" s="43"/>
      <c r="P335" s="43"/>
      <c r="Q335" s="42" t="n">
        <f aca="false">AY115</f>
        <v>0.5</v>
      </c>
      <c r="R335" s="42"/>
      <c r="S335" s="42" t="n">
        <f aca="false">AQ115</f>
        <v>525.9</v>
      </c>
      <c r="T335" s="42"/>
      <c r="U335" s="42"/>
      <c r="V335" s="42" t="n">
        <f aca="false">BC115</f>
        <v>96.1260553748583</v>
      </c>
      <c r="W335" s="42"/>
      <c r="X335" s="42"/>
      <c r="Y335" s="32" t="n">
        <f aca="false">BD115</f>
        <v>0.177835390268971</v>
      </c>
      <c r="Z335" s="32"/>
      <c r="AA335" s="32" t="n">
        <f aca="false">BE115</f>
        <v>0.120855397057084</v>
      </c>
      <c r="AB335" s="32"/>
      <c r="AC335" s="42" t="n">
        <f aca="false">BG115</f>
        <v>0</v>
      </c>
      <c r="AD335" s="42"/>
      <c r="AE335" s="42"/>
      <c r="AF335" s="12"/>
    </row>
    <row r="336" customFormat="false" ht="14.25" hidden="false" customHeight="false" outlineLevel="0" collapsed="false">
      <c r="B336" s="7"/>
      <c r="C336" s="46" t="n">
        <v>34</v>
      </c>
      <c r="D336" s="46"/>
      <c r="E336" s="44" t="n">
        <f aca="false">AI116</f>
        <v>49.5</v>
      </c>
      <c r="F336" s="44"/>
      <c r="G336" s="44"/>
      <c r="H336" s="44" t="n">
        <f aca="false">AJ116</f>
        <v>51</v>
      </c>
      <c r="I336" s="44"/>
      <c r="J336" s="44"/>
      <c r="K336" s="41" t="str">
        <f aca="false">AM116</f>
        <v>Sand</v>
      </c>
      <c r="L336" s="41"/>
      <c r="M336" s="41"/>
      <c r="N336" s="43" t="n">
        <f aca="false">AX116</f>
        <v>32490</v>
      </c>
      <c r="O336" s="43"/>
      <c r="P336" s="43"/>
      <c r="Q336" s="42" t="n">
        <f aca="false">AY116</f>
        <v>0.3</v>
      </c>
      <c r="R336" s="42"/>
      <c r="S336" s="42" t="n">
        <f aca="false">AQ116</f>
        <v>539.7</v>
      </c>
      <c r="T336" s="42"/>
      <c r="U336" s="42"/>
      <c r="V336" s="42" t="n">
        <f aca="false">BC116</f>
        <v>94.379432156388</v>
      </c>
      <c r="W336" s="42"/>
      <c r="X336" s="42"/>
      <c r="Y336" s="32" t="n">
        <f aca="false">BD116</f>
        <v>0.184680682380465</v>
      </c>
      <c r="Z336" s="32"/>
      <c r="AA336" s="32" t="n">
        <f aca="false">BE116</f>
        <v>0.121043625132288</v>
      </c>
      <c r="AB336" s="32"/>
      <c r="AC336" s="42" t="n">
        <f aca="false">BG116</f>
        <v>0</v>
      </c>
      <c r="AD336" s="42"/>
      <c r="AE336" s="42"/>
      <c r="AF336" s="12"/>
    </row>
    <row r="337" customFormat="false" ht="14.25" hidden="false" customHeight="false" outlineLevel="0" collapsed="false">
      <c r="B337" s="7"/>
      <c r="C337" s="46" t="n">
        <v>35</v>
      </c>
      <c r="D337" s="46"/>
      <c r="E337" s="44" t="n">
        <f aca="false">AI117</f>
        <v>51</v>
      </c>
      <c r="F337" s="44"/>
      <c r="G337" s="44"/>
      <c r="H337" s="44" t="n">
        <f aca="false">AJ117</f>
        <v>52.5</v>
      </c>
      <c r="I337" s="44"/>
      <c r="J337" s="44"/>
      <c r="K337" s="41" t="str">
        <f aca="false">AM117</f>
        <v>Sand</v>
      </c>
      <c r="L337" s="41"/>
      <c r="M337" s="41"/>
      <c r="N337" s="43" t="n">
        <f aca="false">AX117</f>
        <v>36822</v>
      </c>
      <c r="O337" s="43"/>
      <c r="P337" s="43"/>
      <c r="Q337" s="42" t="n">
        <f aca="false">AY117</f>
        <v>0.3</v>
      </c>
      <c r="R337" s="42"/>
      <c r="S337" s="42" t="n">
        <f aca="false">AQ117</f>
        <v>553.499999999999</v>
      </c>
      <c r="T337" s="42"/>
      <c r="U337" s="42"/>
      <c r="V337" s="42" t="n">
        <f aca="false">BC117</f>
        <v>92.657524576064</v>
      </c>
      <c r="W337" s="42"/>
      <c r="X337" s="42"/>
      <c r="Y337" s="32" t="n">
        <f aca="false">BD117</f>
        <v>0.191469892767081</v>
      </c>
      <c r="Z337" s="32"/>
      <c r="AA337" s="32" t="n">
        <f aca="false">BE117</f>
        <v>0.121159617263437</v>
      </c>
      <c r="AB337" s="32"/>
      <c r="AC337" s="42" t="n">
        <f aca="false">BG117</f>
        <v>0</v>
      </c>
      <c r="AD337" s="42"/>
      <c r="AE337" s="42"/>
      <c r="AF337" s="12"/>
    </row>
    <row r="338" customFormat="false" ht="14.25" hidden="false" customHeight="false" outlineLevel="0" collapsed="false">
      <c r="B338" s="7"/>
      <c r="C338" s="46" t="n">
        <v>36</v>
      </c>
      <c r="D338" s="46"/>
      <c r="E338" s="44" t="n">
        <f aca="false">AI118</f>
        <v>52.5</v>
      </c>
      <c r="F338" s="44"/>
      <c r="G338" s="44"/>
      <c r="H338" s="44" t="n">
        <f aca="false">AJ118</f>
        <v>54</v>
      </c>
      <c r="I338" s="44"/>
      <c r="J338" s="44"/>
      <c r="K338" s="41" t="str">
        <f aca="false">AM118</f>
        <v>Clay</v>
      </c>
      <c r="L338" s="41"/>
      <c r="M338" s="41"/>
      <c r="N338" s="43" t="n">
        <f aca="false">AX118</f>
        <v>77500</v>
      </c>
      <c r="O338" s="43"/>
      <c r="P338" s="43"/>
      <c r="Q338" s="42" t="n">
        <f aca="false">AY118</f>
        <v>0.5</v>
      </c>
      <c r="R338" s="42"/>
      <c r="S338" s="42" t="n">
        <f aca="false">AQ118</f>
        <v>567.299999999999</v>
      </c>
      <c r="T338" s="42"/>
      <c r="U338" s="42"/>
      <c r="V338" s="42" t="n">
        <f aca="false">BC118</f>
        <v>90.9616684860851</v>
      </c>
      <c r="W338" s="42"/>
      <c r="X338" s="42"/>
      <c r="Y338" s="32" t="n">
        <f aca="false">BD118</f>
        <v>0.19819951737019</v>
      </c>
      <c r="Z338" s="32"/>
      <c r="AA338" s="32" t="n">
        <f aca="false">BE118</f>
        <v>0.121208818106769</v>
      </c>
      <c r="AB338" s="32"/>
      <c r="AC338" s="42" t="n">
        <f aca="false">BG118</f>
        <v>0</v>
      </c>
      <c r="AD338" s="42"/>
      <c r="AE338" s="42"/>
      <c r="AF338" s="12"/>
    </row>
    <row r="339" customFormat="false" ht="14.25" hidden="false" customHeight="false" outlineLevel="0" collapsed="false">
      <c r="B339" s="7"/>
      <c r="C339" s="46" t="n">
        <v>37</v>
      </c>
      <c r="D339" s="46"/>
      <c r="E339" s="44" t="n">
        <f aca="false">AI119</f>
        <v>54</v>
      </c>
      <c r="F339" s="44"/>
      <c r="G339" s="44"/>
      <c r="H339" s="44" t="n">
        <f aca="false">AJ119</f>
        <v>55.5</v>
      </c>
      <c r="I339" s="44"/>
      <c r="J339" s="44"/>
      <c r="K339" s="41" t="str">
        <f aca="false">AM119</f>
        <v>Sand</v>
      </c>
      <c r="L339" s="41"/>
      <c r="M339" s="41"/>
      <c r="N339" s="43" t="n">
        <f aca="false">AX119</f>
        <v>31407</v>
      </c>
      <c r="O339" s="43"/>
      <c r="P339" s="43"/>
      <c r="Q339" s="42" t="n">
        <f aca="false">AY119</f>
        <v>0.3</v>
      </c>
      <c r="R339" s="42"/>
      <c r="S339" s="42" t="n">
        <f aca="false">AQ119</f>
        <v>581.099999999999</v>
      </c>
      <c r="T339" s="42"/>
      <c r="U339" s="42"/>
      <c r="V339" s="42" t="n">
        <f aca="false">BC119</f>
        <v>89.2929293261871</v>
      </c>
      <c r="W339" s="42"/>
      <c r="X339" s="42"/>
      <c r="Y339" s="32" t="n">
        <f aca="false">BD119</f>
        <v>0.204866530926182</v>
      </c>
      <c r="Z339" s="32"/>
      <c r="AA339" s="32" t="n">
        <f aca="false">BE119</f>
        <v>0.121196273026185</v>
      </c>
      <c r="AB339" s="32"/>
      <c r="AC339" s="42" t="n">
        <f aca="false">BG119</f>
        <v>0</v>
      </c>
      <c r="AD339" s="42"/>
      <c r="AE339" s="42"/>
      <c r="AF339" s="12"/>
    </row>
    <row r="340" customFormat="false" ht="14.25" hidden="false" customHeight="false" outlineLevel="0" collapsed="false">
      <c r="B340" s="7"/>
      <c r="C340" s="46" t="n">
        <v>38</v>
      </c>
      <c r="D340" s="46"/>
      <c r="E340" s="44" t="n">
        <f aca="false">AI120</f>
        <v>55.5</v>
      </c>
      <c r="F340" s="44"/>
      <c r="G340" s="44"/>
      <c r="H340" s="44" t="n">
        <f aca="false">AJ120</f>
        <v>57</v>
      </c>
      <c r="I340" s="44"/>
      <c r="J340" s="44"/>
      <c r="K340" s="41" t="str">
        <f aca="false">AM120</f>
        <v>Sand</v>
      </c>
      <c r="L340" s="41"/>
      <c r="M340" s="41"/>
      <c r="N340" s="43" t="n">
        <f aca="false">AX120</f>
        <v>27075</v>
      </c>
      <c r="O340" s="43"/>
      <c r="P340" s="43"/>
      <c r="Q340" s="42" t="n">
        <f aca="false">AY120</f>
        <v>0.3</v>
      </c>
      <c r="R340" s="42"/>
      <c r="S340" s="42" t="n">
        <f aca="false">AQ120</f>
        <v>594.899999999999</v>
      </c>
      <c r="T340" s="42"/>
      <c r="U340" s="42"/>
      <c r="V340" s="42" t="n">
        <f aca="false">BC120</f>
        <v>87.6521352527307</v>
      </c>
      <c r="W340" s="42"/>
      <c r="X340" s="42"/>
      <c r="Y340" s="32" t="n">
        <f aca="false">BD120</f>
        <v>0.211468337918076</v>
      </c>
      <c r="Z340" s="32"/>
      <c r="AA340" s="32" t="n">
        <f aca="false">BE120</f>
        <v>0.121126659448925</v>
      </c>
      <c r="AB340" s="32"/>
      <c r="AC340" s="42" t="n">
        <f aca="false">BG120</f>
        <v>0</v>
      </c>
      <c r="AD340" s="42"/>
      <c r="AE340" s="42"/>
      <c r="AF340" s="12"/>
    </row>
    <row r="341" customFormat="false" ht="14.25" hidden="false" customHeight="false" outlineLevel="0" collapsed="false">
      <c r="B341" s="7"/>
      <c r="C341" s="46" t="n">
        <v>39</v>
      </c>
      <c r="D341" s="46"/>
      <c r="E341" s="44" t="n">
        <f aca="false">AI121</f>
        <v>57</v>
      </c>
      <c r="F341" s="44"/>
      <c r="G341" s="44"/>
      <c r="H341" s="44" t="n">
        <f aca="false">AJ121</f>
        <v>58.5</v>
      </c>
      <c r="I341" s="44"/>
      <c r="J341" s="44"/>
      <c r="K341" s="41" t="str">
        <f aca="false">AM121</f>
        <v>Sand</v>
      </c>
      <c r="L341" s="41"/>
      <c r="M341" s="41"/>
      <c r="N341" s="43" t="n">
        <f aca="false">AX121</f>
        <v>37905</v>
      </c>
      <c r="O341" s="43"/>
      <c r="P341" s="43"/>
      <c r="Q341" s="42" t="n">
        <f aca="false">AY121</f>
        <v>0.3</v>
      </c>
      <c r="R341" s="42"/>
      <c r="S341" s="42" t="n">
        <f aca="false">AQ121</f>
        <v>608.699999999999</v>
      </c>
      <c r="T341" s="42"/>
      <c r="U341" s="42"/>
      <c r="V341" s="42" t="n">
        <f aca="false">BC121</f>
        <v>86.0399071706701</v>
      </c>
      <c r="W341" s="42"/>
      <c r="X341" s="42"/>
      <c r="Y341" s="32" t="n">
        <f aca="false">BD121</f>
        <v>0.218002728213384</v>
      </c>
      <c r="Z341" s="32"/>
      <c r="AA341" s="32" t="n">
        <f aca="false">BE121</f>
        <v>0.121004315773392</v>
      </c>
      <c r="AB341" s="32"/>
      <c r="AC341" s="42" t="n">
        <f aca="false">BG121</f>
        <v>0</v>
      </c>
      <c r="AD341" s="42"/>
      <c r="AE341" s="42"/>
      <c r="AF341" s="12"/>
    </row>
    <row r="342" customFormat="false" ht="14.25" hidden="false" customHeight="false" outlineLevel="0" collapsed="false">
      <c r="B342" s="7"/>
      <c r="C342" s="46" t="n">
        <v>40</v>
      </c>
      <c r="D342" s="46"/>
      <c r="E342" s="44" t="n">
        <f aca="false">AI122</f>
        <v>58.5</v>
      </c>
      <c r="F342" s="44"/>
      <c r="G342" s="44"/>
      <c r="H342" s="44" t="n">
        <f aca="false">AJ122</f>
        <v>59.5</v>
      </c>
      <c r="I342" s="44"/>
      <c r="J342" s="44"/>
      <c r="K342" s="41" t="str">
        <f aca="false">AM122</f>
        <v>Sand</v>
      </c>
      <c r="L342" s="41"/>
      <c r="M342" s="41"/>
      <c r="N342" s="43" t="n">
        <f aca="false">AX122</f>
        <v>45486</v>
      </c>
      <c r="O342" s="43"/>
      <c r="P342" s="43"/>
      <c r="Q342" s="42" t="n">
        <f aca="false">AY122</f>
        <v>0.3</v>
      </c>
      <c r="R342" s="42"/>
      <c r="S342" s="42" t="n">
        <f aca="false">AQ122</f>
        <v>620.199999999999</v>
      </c>
      <c r="T342" s="42"/>
      <c r="U342" s="42"/>
      <c r="V342" s="42" t="n">
        <f aca="false">BC122</f>
        <v>84.7185277966616</v>
      </c>
      <c r="W342" s="42"/>
      <c r="X342" s="42"/>
      <c r="Y342" s="32" t="n">
        <f aca="false">BD122</f>
        <v>0.222320600711722</v>
      </c>
      <c r="Z342" s="32"/>
      <c r="AA342" s="32" t="n">
        <f aca="false">BE122</f>
        <v>0.120895459060618</v>
      </c>
      <c r="AB342" s="32"/>
      <c r="AC342" s="42" t="n">
        <f aca="false">BG122</f>
        <v>0</v>
      </c>
      <c r="AD342" s="42"/>
      <c r="AE342" s="42"/>
      <c r="AF342" s="12"/>
    </row>
    <row r="343" customFormat="false" ht="14.25" hidden="false" customHeight="false" outlineLevel="0" collapsed="false">
      <c r="B343" s="7"/>
      <c r="C343" s="60" t="n">
        <v>41</v>
      </c>
      <c r="D343" s="60"/>
      <c r="E343" s="61" t="n">
        <f aca="false">AI123</f>
        <v>59.5</v>
      </c>
      <c r="F343" s="61"/>
      <c r="G343" s="61"/>
      <c r="H343" s="61" t="n">
        <f aca="false">AJ123</f>
        <v>60</v>
      </c>
      <c r="I343" s="61"/>
      <c r="J343" s="61"/>
      <c r="K343" s="48" t="str">
        <f aca="false">AM123</f>
        <v>Sand</v>
      </c>
      <c r="L343" s="48"/>
      <c r="M343" s="48"/>
      <c r="N343" s="66" t="n">
        <f aca="false">AX123</f>
        <v>49818</v>
      </c>
      <c r="O343" s="66"/>
      <c r="P343" s="66"/>
      <c r="Q343" s="49" t="n">
        <f aca="false">AY123</f>
        <v>0.3</v>
      </c>
      <c r="R343" s="49"/>
      <c r="S343" s="49" t="n">
        <f aca="false">AQ123</f>
        <v>627.099999999999</v>
      </c>
      <c r="T343" s="49"/>
      <c r="U343" s="49"/>
      <c r="V343" s="49" t="n">
        <f aca="false">BC123</f>
        <v>83.9354445039259</v>
      </c>
      <c r="W343" s="49"/>
      <c r="X343" s="49"/>
      <c r="Y343" s="35" t="n">
        <f aca="false">BD123</f>
        <v>0.224467837031054</v>
      </c>
      <c r="Z343" s="35"/>
      <c r="AA343" s="35" t="n">
        <f aca="false">BE123</f>
        <v>0.120833267963286</v>
      </c>
      <c r="AB343" s="35"/>
      <c r="AC343" s="49" t="n">
        <f aca="false">BG123</f>
        <v>0</v>
      </c>
      <c r="AD343" s="49"/>
      <c r="AE343" s="49"/>
      <c r="AF343" s="12"/>
    </row>
    <row r="344" customFormat="false" ht="14.25" hidden="false" customHeight="false" outlineLevel="0" collapsed="false">
      <c r="B344" s="7"/>
      <c r="AF344" s="12"/>
    </row>
    <row r="345" customFormat="false" ht="14.25" hidden="false" customHeight="true" outlineLevel="0" collapsed="false">
      <c r="B345" s="7"/>
      <c r="C345" s="20" t="s">
        <v>293</v>
      </c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1" t="s">
        <v>294</v>
      </c>
      <c r="P345" s="21"/>
      <c r="Q345" s="21"/>
      <c r="R345" s="21"/>
      <c r="S345" s="21"/>
      <c r="T345" s="21"/>
      <c r="U345" s="21"/>
      <c r="V345" s="21"/>
      <c r="W345" s="21"/>
      <c r="X345" s="22" t="s">
        <v>295</v>
      </c>
      <c r="Y345" s="22"/>
      <c r="Z345" s="22"/>
      <c r="AA345" s="24" t="n">
        <f aca="false">SUM(BG83:BG123)</f>
        <v>93.5629597592608</v>
      </c>
      <c r="AB345" s="24"/>
      <c r="AC345" s="24"/>
      <c r="AD345" s="20" t="s">
        <v>45</v>
      </c>
      <c r="AE345" s="20"/>
      <c r="AF345" s="12"/>
    </row>
    <row r="346" customFormat="false" ht="14.25" hidden="false" customHeight="false" outlineLevel="0" collapsed="false">
      <c r="B346" s="7"/>
      <c r="C346" s="20" t="s">
        <v>296</v>
      </c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1"/>
      <c r="P346" s="21"/>
      <c r="Q346" s="21"/>
      <c r="R346" s="21"/>
      <c r="S346" s="21"/>
      <c r="T346" s="21"/>
      <c r="U346" s="21"/>
      <c r="V346" s="21"/>
      <c r="W346" s="21"/>
      <c r="X346" s="22"/>
      <c r="Y346" s="22"/>
      <c r="Z346" s="22"/>
      <c r="AA346" s="51" t="n">
        <f aca="false">SUMPRODUCT(--(AM83:AM123="Sand"),BG83:BG123)</f>
        <v>77.2000720943675</v>
      </c>
      <c r="AB346" s="51"/>
      <c r="AC346" s="51"/>
      <c r="AD346" s="20" t="s">
        <v>45</v>
      </c>
      <c r="AE346" s="20"/>
      <c r="AF346" s="12"/>
    </row>
    <row r="347" customFormat="false" ht="14.25" hidden="false" customHeight="false" outlineLevel="0" collapsed="false">
      <c r="B347" s="7"/>
      <c r="C347" s="20" t="s">
        <v>297</v>
      </c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1"/>
      <c r="P347" s="21"/>
      <c r="Q347" s="21"/>
      <c r="R347" s="21"/>
      <c r="S347" s="21"/>
      <c r="T347" s="21"/>
      <c r="U347" s="21"/>
      <c r="V347" s="21"/>
      <c r="W347" s="21"/>
      <c r="X347" s="22"/>
      <c r="Y347" s="22"/>
      <c r="Z347" s="22"/>
      <c r="AA347" s="51" t="n">
        <f aca="false">$AA$345-$AA$346</f>
        <v>16.3628876648933</v>
      </c>
      <c r="AB347" s="51"/>
      <c r="AC347" s="51"/>
      <c r="AD347" s="20" t="s">
        <v>45</v>
      </c>
      <c r="AE347" s="20"/>
      <c r="AF347" s="12"/>
    </row>
    <row r="348" customFormat="false" ht="14.25" hidden="false" customHeight="false" outlineLevel="0" collapsed="false">
      <c r="B348" s="7"/>
      <c r="AF348" s="12"/>
    </row>
    <row r="349" customFormat="false" ht="14.25" hidden="false" customHeight="false" outlineLevel="0" collapsed="false">
      <c r="B349" s="7"/>
      <c r="AF349" s="12"/>
    </row>
    <row r="350" customFormat="false" ht="14.25" hidden="false" customHeight="false" outlineLevel="0" collapsed="false">
      <c r="B350" s="7"/>
      <c r="AF350" s="12"/>
    </row>
    <row r="351" customFormat="false" ht="14.25" hidden="false" customHeight="false" outlineLevel="0" collapsed="false">
      <c r="B351" s="7"/>
      <c r="AF351" s="12"/>
    </row>
    <row r="352" customFormat="false" ht="14.25" hidden="false" customHeight="false" outlineLevel="0" collapsed="false">
      <c r="B352" s="7"/>
      <c r="AF352" s="12"/>
    </row>
    <row r="353" customFormat="false" ht="14.25" hidden="false" customHeight="false" outlineLevel="0" collapsed="false">
      <c r="B353" s="7"/>
      <c r="AF353" s="12"/>
    </row>
    <row r="354" customFormat="false" ht="14.25" hidden="false" customHeight="false" outlineLevel="0" collapsed="false">
      <c r="B354" s="7"/>
      <c r="AF354" s="12"/>
    </row>
    <row r="355" customFormat="false" ht="14.25" hidden="false" customHeight="false" outlineLevel="0" collapsed="false">
      <c r="B355" s="7"/>
      <c r="AF355" s="12"/>
    </row>
    <row r="356" customFormat="false" ht="14.25" hidden="false" customHeight="false" outlineLevel="0" collapsed="false">
      <c r="B356" s="7"/>
      <c r="AF356" s="12"/>
    </row>
    <row r="357" customFormat="false" ht="14.25" hidden="false" customHeight="false" outlineLevel="0" collapsed="false">
      <c r="B357" s="7"/>
      <c r="AF357" s="12"/>
    </row>
    <row r="358" customFormat="false" ht="14.25" hidden="false" customHeight="false" outlineLevel="0" collapsed="false">
      <c r="B358" s="7"/>
      <c r="AF358" s="12"/>
    </row>
    <row r="359" customFormat="false" ht="14.25" hidden="false" customHeight="false" outlineLevel="0" collapsed="false">
      <c r="B359" s="7"/>
      <c r="AF359" s="12"/>
    </row>
    <row r="360" customFormat="false" ht="14.25" hidden="false" customHeight="false" outlineLevel="0" collapsed="false">
      <c r="B360" s="7"/>
      <c r="AF360" s="12"/>
    </row>
    <row r="361" customFormat="false" ht="14.25" hidden="false" customHeight="true" outlineLevel="0" collapsed="false">
      <c r="B361" s="36"/>
      <c r="C361" s="37"/>
      <c r="D361" s="37"/>
      <c r="E361" s="37"/>
      <c r="F361" s="37"/>
      <c r="G361" s="37"/>
      <c r="H361" s="37"/>
      <c r="I361" s="37"/>
      <c r="J361" s="37"/>
      <c r="K361" s="37"/>
      <c r="L361" s="37"/>
      <c r="M361" s="37"/>
      <c r="N361" s="37"/>
      <c r="O361" s="37"/>
      <c r="P361" s="37"/>
      <c r="Q361" s="37"/>
      <c r="R361" s="37"/>
      <c r="S361" s="37"/>
      <c r="T361" s="37"/>
      <c r="U361" s="37"/>
      <c r="V361" s="37"/>
      <c r="W361" s="37"/>
      <c r="X361" s="38" t="s">
        <v>93</v>
      </c>
      <c r="Y361" s="38"/>
      <c r="Z361" s="38"/>
      <c r="AA361" s="38"/>
      <c r="AB361" s="38" t="n">
        <v>5</v>
      </c>
      <c r="AC361" s="38"/>
      <c r="AD361" s="38"/>
      <c r="AE361" s="38"/>
      <c r="AF361" s="39"/>
    </row>
    <row r="362" customFormat="false" ht="14.25" hidden="false" customHeight="true" outlineLevel="0" collapsed="false">
      <c r="B362" s="1"/>
      <c r="C362" s="2" t="s">
        <v>0</v>
      </c>
      <c r="D362" s="2"/>
      <c r="E362" s="2"/>
      <c r="F362" s="2"/>
      <c r="G362" s="2"/>
      <c r="H362" s="3" t="s">
        <v>1</v>
      </c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4" t="s">
        <v>2</v>
      </c>
      <c r="Y362" s="4"/>
      <c r="Z362" s="4"/>
      <c r="AA362" s="4"/>
      <c r="AB362" s="5" t="s">
        <v>3</v>
      </c>
      <c r="AC362" s="5"/>
      <c r="AD362" s="5"/>
      <c r="AE362" s="5"/>
      <c r="AF362" s="6"/>
    </row>
    <row r="363" customFormat="false" ht="14.25" hidden="false" customHeight="true" outlineLevel="0" collapsed="false">
      <c r="B363" s="7"/>
      <c r="C363" s="8" t="s">
        <v>4</v>
      </c>
      <c r="D363" s="8"/>
      <c r="E363" s="8"/>
      <c r="F363" s="8"/>
      <c r="G363" s="8"/>
      <c r="H363" s="9" t="s">
        <v>5</v>
      </c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10" t="s">
        <v>6</v>
      </c>
      <c r="Y363" s="10"/>
      <c r="Z363" s="10"/>
      <c r="AA363" s="10"/>
      <c r="AB363" s="11" t="n">
        <v>46301</v>
      </c>
      <c r="AC363" s="11"/>
      <c r="AD363" s="11"/>
      <c r="AE363" s="11"/>
      <c r="AF363" s="12"/>
    </row>
    <row r="364" customFormat="false" ht="14.25" hidden="false" customHeight="true" outlineLevel="0" collapsed="false">
      <c r="B364" s="7"/>
      <c r="C364" s="8" t="s">
        <v>7</v>
      </c>
      <c r="D364" s="8"/>
      <c r="E364" s="8"/>
      <c r="F364" s="8"/>
      <c r="G364" s="8"/>
      <c r="H364" s="9" t="s">
        <v>133</v>
      </c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10" t="s">
        <v>9</v>
      </c>
      <c r="Y364" s="10"/>
      <c r="Z364" s="10"/>
      <c r="AA364" s="10"/>
      <c r="AB364" s="11" t="s">
        <v>3</v>
      </c>
      <c r="AC364" s="11"/>
      <c r="AD364" s="11"/>
      <c r="AE364" s="11"/>
      <c r="AF364" s="12"/>
    </row>
    <row r="365" customFormat="false" ht="14.25" hidden="false" customHeight="true" outlineLevel="0" collapsed="false">
      <c r="B365" s="13"/>
      <c r="C365" s="14" t="s">
        <v>10</v>
      </c>
      <c r="D365" s="14"/>
      <c r="E365" s="14"/>
      <c r="F365" s="14"/>
      <c r="G365" s="14"/>
      <c r="H365" s="15" t="s">
        <v>134</v>
      </c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6" t="s">
        <v>12</v>
      </c>
      <c r="Y365" s="16"/>
      <c r="Z365" s="16"/>
      <c r="AA365" s="16"/>
      <c r="AB365" s="17" t="n">
        <v>46301</v>
      </c>
      <c r="AC365" s="17"/>
      <c r="AD365" s="17"/>
      <c r="AE365" s="17"/>
      <c r="AF365" s="18"/>
    </row>
    <row r="366" customFormat="false" ht="14.25" hidden="false" customHeight="false" outlineLevel="0" collapsed="false">
      <c r="B366" s="7"/>
      <c r="AF366" s="12"/>
    </row>
    <row r="367" customFormat="false" ht="14.25" hidden="false" customHeight="false" outlineLevel="0" collapsed="false">
      <c r="B367" s="7"/>
      <c r="AF367" s="12"/>
    </row>
    <row r="368" customFormat="false" ht="14.25" hidden="false" customHeight="false" outlineLevel="0" collapsed="false">
      <c r="B368" s="7"/>
      <c r="AF368" s="12"/>
    </row>
    <row r="369" customFormat="false" ht="14.25" hidden="false" customHeight="false" outlineLevel="0" collapsed="false">
      <c r="B369" s="7"/>
      <c r="AF369" s="12"/>
    </row>
    <row r="370" customFormat="false" ht="14.25" hidden="false" customHeight="false" outlineLevel="0" collapsed="false">
      <c r="B370" s="7"/>
      <c r="AF370" s="12"/>
    </row>
    <row r="371" customFormat="false" ht="14.25" hidden="false" customHeight="false" outlineLevel="0" collapsed="false">
      <c r="B371" s="7"/>
      <c r="AF371" s="12"/>
    </row>
    <row r="372" customFormat="false" ht="14.25" hidden="false" customHeight="false" outlineLevel="0" collapsed="false">
      <c r="B372" s="7"/>
      <c r="AF372" s="12"/>
    </row>
    <row r="373" customFormat="false" ht="14.25" hidden="false" customHeight="false" outlineLevel="0" collapsed="false">
      <c r="B373" s="7"/>
      <c r="AF373" s="12"/>
    </row>
    <row r="374" customFormat="false" ht="14.25" hidden="false" customHeight="false" outlineLevel="0" collapsed="false">
      <c r="B374" s="7"/>
      <c r="AF374" s="12"/>
    </row>
    <row r="375" customFormat="false" ht="14.25" hidden="false" customHeight="false" outlineLevel="0" collapsed="false">
      <c r="B375" s="7"/>
      <c r="AF375" s="12"/>
    </row>
    <row r="376" customFormat="false" ht="14.25" hidden="false" customHeight="false" outlineLevel="0" collapsed="false">
      <c r="B376" s="7"/>
      <c r="AF376" s="12"/>
    </row>
    <row r="377" customFormat="false" ht="14.25" hidden="false" customHeight="false" outlineLevel="0" collapsed="false">
      <c r="B377" s="7"/>
      <c r="AF377" s="12"/>
    </row>
    <row r="378" customFormat="false" ht="14.25" hidden="false" customHeight="false" outlineLevel="0" collapsed="false">
      <c r="B378" s="7"/>
      <c r="AF378" s="12"/>
    </row>
    <row r="379" customFormat="false" ht="14.25" hidden="false" customHeight="false" outlineLevel="0" collapsed="false">
      <c r="B379" s="7"/>
      <c r="AF379" s="12"/>
    </row>
    <row r="380" customFormat="false" ht="14.25" hidden="false" customHeight="false" outlineLevel="0" collapsed="false">
      <c r="B380" s="7"/>
      <c r="AF380" s="12"/>
    </row>
    <row r="381" customFormat="false" ht="14.25" hidden="false" customHeight="false" outlineLevel="0" collapsed="false">
      <c r="B381" s="7"/>
      <c r="AF381" s="12"/>
    </row>
    <row r="382" customFormat="false" ht="14.25" hidden="false" customHeight="false" outlineLevel="0" collapsed="false">
      <c r="B382" s="7"/>
      <c r="AF382" s="12"/>
    </row>
    <row r="383" customFormat="false" ht="14.25" hidden="false" customHeight="false" outlineLevel="0" collapsed="false">
      <c r="B383" s="7"/>
      <c r="AF383" s="12"/>
    </row>
    <row r="384" customFormat="false" ht="14.25" hidden="false" customHeight="false" outlineLevel="0" collapsed="false">
      <c r="B384" s="7"/>
      <c r="AF384" s="12"/>
    </row>
    <row r="385" customFormat="false" ht="14.25" hidden="false" customHeight="false" outlineLevel="0" collapsed="false">
      <c r="B385" s="7"/>
      <c r="AF385" s="12"/>
    </row>
    <row r="386" customFormat="false" ht="14.25" hidden="false" customHeight="false" outlineLevel="0" collapsed="false">
      <c r="B386" s="7"/>
      <c r="C386" s="52" t="s">
        <v>298</v>
      </c>
      <c r="D386" s="52"/>
      <c r="E386" s="52"/>
      <c r="F386" s="52"/>
      <c r="G386" s="52"/>
      <c r="H386" s="52"/>
      <c r="I386" s="52"/>
      <c r="J386" s="52"/>
      <c r="K386" s="52"/>
      <c r="L386" s="52"/>
      <c r="M386" s="52"/>
      <c r="N386" s="52"/>
      <c r="O386" s="52"/>
      <c r="P386" s="52"/>
      <c r="Q386" s="52"/>
      <c r="R386" s="52"/>
      <c r="S386" s="52"/>
      <c r="T386" s="52"/>
      <c r="U386" s="52"/>
      <c r="V386" s="52"/>
      <c r="W386" s="52"/>
      <c r="X386" s="52"/>
      <c r="Y386" s="52"/>
      <c r="Z386" s="52"/>
      <c r="AA386" s="52"/>
      <c r="AB386" s="52"/>
      <c r="AC386" s="52"/>
      <c r="AD386" s="52"/>
      <c r="AE386" s="52"/>
      <c r="AF386" s="12"/>
    </row>
    <row r="387" customFormat="false" ht="14.25" hidden="false" customHeight="false" outlineLevel="0" collapsed="false">
      <c r="B387" s="7"/>
      <c r="AF387" s="12"/>
    </row>
    <row r="388" customFormat="false" ht="14.25" hidden="false" customHeight="false" outlineLevel="0" collapsed="false">
      <c r="B388" s="7"/>
      <c r="C388" s="9" t="s">
        <v>299</v>
      </c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12"/>
    </row>
    <row r="389" customFormat="false" ht="14.25" hidden="false" customHeight="false" outlineLevel="0" collapsed="false">
      <c r="B389" s="7"/>
      <c r="C389" s="20" t="s">
        <v>300</v>
      </c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  <c r="AE389" s="20"/>
      <c r="AF389" s="12"/>
    </row>
    <row r="390" customFormat="false" ht="14.25" hidden="false" customHeight="false" outlineLevel="0" collapsed="false">
      <c r="B390" s="7"/>
      <c r="C390" s="20" t="s">
        <v>301</v>
      </c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  <c r="AD390" s="20"/>
      <c r="AE390" s="20"/>
      <c r="AF390" s="12"/>
    </row>
    <row r="391" customFormat="false" ht="14.25" hidden="false" customHeight="false" outlineLevel="0" collapsed="false">
      <c r="B391" s="7"/>
      <c r="AF391" s="12"/>
    </row>
    <row r="392" customFormat="false" ht="14.25" hidden="false" customHeight="false" outlineLevel="0" collapsed="false">
      <c r="B392" s="7"/>
      <c r="AF392" s="12"/>
    </row>
    <row r="393" customFormat="false" ht="14.25" hidden="false" customHeight="false" outlineLevel="0" collapsed="false">
      <c r="B393" s="7"/>
      <c r="AF393" s="12"/>
    </row>
    <row r="394" customFormat="false" ht="14.25" hidden="false" customHeight="false" outlineLevel="0" collapsed="false">
      <c r="B394" s="7"/>
      <c r="AF394" s="12"/>
    </row>
    <row r="395" customFormat="false" ht="14.25" hidden="false" customHeight="false" outlineLevel="0" collapsed="false">
      <c r="B395" s="7"/>
      <c r="AF395" s="12"/>
    </row>
    <row r="396" customFormat="false" ht="14.25" hidden="false" customHeight="false" outlineLevel="0" collapsed="false">
      <c r="B396" s="7"/>
      <c r="AF396" s="12"/>
    </row>
    <row r="397" customFormat="false" ht="14.25" hidden="false" customHeight="false" outlineLevel="0" collapsed="false">
      <c r="B397" s="7"/>
      <c r="AF397" s="12"/>
    </row>
    <row r="398" customFormat="false" ht="14.25" hidden="false" customHeight="false" outlineLevel="0" collapsed="false">
      <c r="B398" s="7"/>
      <c r="AF398" s="12"/>
    </row>
    <row r="399" customFormat="false" ht="14.25" hidden="false" customHeight="false" outlineLevel="0" collapsed="false">
      <c r="B399" s="7"/>
      <c r="AF399" s="12"/>
    </row>
    <row r="400" customFormat="false" ht="14.25" hidden="false" customHeight="false" outlineLevel="0" collapsed="false">
      <c r="B400" s="7"/>
      <c r="AF400" s="12"/>
    </row>
    <row r="401" customFormat="false" ht="14.25" hidden="false" customHeight="false" outlineLevel="0" collapsed="false">
      <c r="B401" s="7"/>
      <c r="AF401" s="12"/>
    </row>
    <row r="402" customFormat="false" ht="14.25" hidden="false" customHeight="false" outlineLevel="0" collapsed="false">
      <c r="B402" s="7"/>
      <c r="AF402" s="12"/>
    </row>
    <row r="403" customFormat="false" ht="14.25" hidden="false" customHeight="false" outlineLevel="0" collapsed="false">
      <c r="B403" s="7"/>
      <c r="AF403" s="12"/>
    </row>
    <row r="404" customFormat="false" ht="14.25" hidden="false" customHeight="false" outlineLevel="0" collapsed="false">
      <c r="B404" s="7"/>
      <c r="AF404" s="12"/>
    </row>
    <row r="405" customFormat="false" ht="14.25" hidden="false" customHeight="false" outlineLevel="0" collapsed="false">
      <c r="B405" s="7"/>
      <c r="AF405" s="12"/>
    </row>
    <row r="406" customFormat="false" ht="14.25" hidden="false" customHeight="false" outlineLevel="0" collapsed="false">
      <c r="B406" s="7"/>
      <c r="AF406" s="12"/>
    </row>
    <row r="407" customFormat="false" ht="14.25" hidden="false" customHeight="false" outlineLevel="0" collapsed="false">
      <c r="B407" s="7"/>
      <c r="C407" s="52" t="s">
        <v>302</v>
      </c>
      <c r="D407" s="52"/>
      <c r="E407" s="52"/>
      <c r="F407" s="52"/>
      <c r="G407" s="52"/>
      <c r="H407" s="52"/>
      <c r="I407" s="52"/>
      <c r="J407" s="52"/>
      <c r="K407" s="52"/>
      <c r="L407" s="52"/>
      <c r="M407" s="52"/>
      <c r="N407" s="52"/>
      <c r="O407" s="52"/>
      <c r="P407" s="52"/>
      <c r="Q407" s="52"/>
      <c r="R407" s="52"/>
      <c r="S407" s="52"/>
      <c r="T407" s="52"/>
      <c r="U407" s="52"/>
      <c r="V407" s="52"/>
      <c r="W407" s="52"/>
      <c r="X407" s="52"/>
      <c r="Y407" s="52"/>
      <c r="Z407" s="52"/>
      <c r="AA407" s="52"/>
      <c r="AB407" s="52"/>
      <c r="AC407" s="52"/>
      <c r="AD407" s="52"/>
      <c r="AE407" s="52"/>
      <c r="AF407" s="12"/>
    </row>
    <row r="408" customFormat="false" ht="14.25" hidden="false" customHeight="false" outlineLevel="0" collapsed="false">
      <c r="B408" s="7"/>
      <c r="AF408" s="12"/>
    </row>
    <row r="409" customFormat="false" ht="14.25" hidden="false" customHeight="false" outlineLevel="0" collapsed="false">
      <c r="B409" s="7"/>
      <c r="AF409" s="12"/>
    </row>
    <row r="410" customFormat="false" ht="14.25" hidden="false" customHeight="false" outlineLevel="0" collapsed="false">
      <c r="B410" s="7"/>
      <c r="AF410" s="12"/>
    </row>
    <row r="411" customFormat="false" ht="14.25" hidden="false" customHeight="false" outlineLevel="0" collapsed="false">
      <c r="B411" s="7"/>
      <c r="AF411" s="12"/>
    </row>
    <row r="412" customFormat="false" ht="14.25" hidden="false" customHeight="false" outlineLevel="0" collapsed="false">
      <c r="B412" s="7"/>
      <c r="AF412" s="12"/>
    </row>
    <row r="413" customFormat="false" ht="14.25" hidden="false" customHeight="false" outlineLevel="0" collapsed="false">
      <c r="B413" s="7"/>
      <c r="AF413" s="12"/>
    </row>
    <row r="414" customFormat="false" ht="14.25" hidden="false" customHeight="false" outlineLevel="0" collapsed="false">
      <c r="B414" s="7"/>
      <c r="AF414" s="12"/>
    </row>
    <row r="415" customFormat="false" ht="14.25" hidden="false" customHeight="false" outlineLevel="0" collapsed="false">
      <c r="B415" s="7"/>
      <c r="AF415" s="12"/>
    </row>
    <row r="416" customFormat="false" ht="14.25" hidden="false" customHeight="false" outlineLevel="0" collapsed="false">
      <c r="B416" s="7"/>
      <c r="AF416" s="12"/>
    </row>
    <row r="417" customFormat="false" ht="14.25" hidden="false" customHeight="false" outlineLevel="0" collapsed="false">
      <c r="B417" s="7"/>
      <c r="AF417" s="12"/>
    </row>
    <row r="418" customFormat="false" ht="14.25" hidden="false" customHeight="false" outlineLevel="0" collapsed="false">
      <c r="B418" s="7"/>
      <c r="AF418" s="12"/>
    </row>
    <row r="419" customFormat="false" ht="14.25" hidden="false" customHeight="false" outlineLevel="0" collapsed="false">
      <c r="B419" s="7"/>
      <c r="AF419" s="12"/>
    </row>
    <row r="420" customFormat="false" ht="14.25" hidden="false" customHeight="false" outlineLevel="0" collapsed="false">
      <c r="B420" s="7"/>
      <c r="AF420" s="12"/>
    </row>
    <row r="421" customFormat="false" ht="14.25" hidden="false" customHeight="false" outlineLevel="0" collapsed="false">
      <c r="B421" s="7"/>
      <c r="AF421" s="12"/>
    </row>
    <row r="422" customFormat="false" ht="14.25" hidden="false" customHeight="false" outlineLevel="0" collapsed="false">
      <c r="B422" s="7"/>
      <c r="AF422" s="12"/>
    </row>
    <row r="423" customFormat="false" ht="14.25" hidden="false" customHeight="false" outlineLevel="0" collapsed="false">
      <c r="B423" s="7"/>
      <c r="AF423" s="12"/>
    </row>
    <row r="424" customFormat="false" ht="14.25" hidden="false" customHeight="false" outlineLevel="0" collapsed="false">
      <c r="B424" s="7"/>
      <c r="AF424" s="12"/>
    </row>
    <row r="425" customFormat="false" ht="14.25" hidden="false" customHeight="false" outlineLevel="0" collapsed="false">
      <c r="B425" s="7"/>
      <c r="AF425" s="12"/>
    </row>
    <row r="426" customFormat="false" ht="14.25" hidden="false" customHeight="false" outlineLevel="0" collapsed="false">
      <c r="B426" s="7"/>
      <c r="AF426" s="12"/>
    </row>
    <row r="427" customFormat="false" ht="14.25" hidden="false" customHeight="false" outlineLevel="0" collapsed="false">
      <c r="B427" s="7"/>
      <c r="AF427" s="12"/>
    </row>
    <row r="428" customFormat="false" ht="14.25" hidden="false" customHeight="false" outlineLevel="0" collapsed="false">
      <c r="B428" s="7"/>
      <c r="AF428" s="12"/>
    </row>
    <row r="429" customFormat="false" ht="14.25" hidden="false" customHeight="false" outlineLevel="0" collapsed="false">
      <c r="B429" s="7"/>
      <c r="AF429" s="12"/>
    </row>
    <row r="430" customFormat="false" ht="14.25" hidden="false" customHeight="false" outlineLevel="0" collapsed="false">
      <c r="B430" s="7"/>
      <c r="AF430" s="12"/>
    </row>
    <row r="431" customFormat="false" ht="14.25" hidden="false" customHeight="false" outlineLevel="0" collapsed="false">
      <c r="B431" s="7"/>
      <c r="AF431" s="12"/>
    </row>
    <row r="432" customFormat="false" ht="14.25" hidden="false" customHeight="false" outlineLevel="0" collapsed="false">
      <c r="B432" s="7"/>
      <c r="AF432" s="12"/>
    </row>
    <row r="433" customFormat="false" ht="14.25" hidden="false" customHeight="true" outlineLevel="0" collapsed="false">
      <c r="B433" s="36"/>
      <c r="C433" s="37"/>
      <c r="D433" s="37"/>
      <c r="E433" s="37"/>
      <c r="F433" s="37"/>
      <c r="G433" s="37"/>
      <c r="H433" s="37"/>
      <c r="I433" s="37"/>
      <c r="J433" s="37"/>
      <c r="K433" s="37"/>
      <c r="L433" s="37"/>
      <c r="M433" s="37"/>
      <c r="N433" s="37"/>
      <c r="O433" s="37"/>
      <c r="P433" s="37"/>
      <c r="Q433" s="37"/>
      <c r="R433" s="37"/>
      <c r="S433" s="37"/>
      <c r="T433" s="37"/>
      <c r="U433" s="37"/>
      <c r="V433" s="37"/>
      <c r="W433" s="37"/>
      <c r="X433" s="38" t="s">
        <v>93</v>
      </c>
      <c r="Y433" s="38"/>
      <c r="Z433" s="38"/>
      <c r="AA433" s="38"/>
      <c r="AB433" s="38" t="n">
        <v>6</v>
      </c>
      <c r="AC433" s="38"/>
      <c r="AD433" s="38"/>
      <c r="AE433" s="38"/>
      <c r="AF433" s="39"/>
    </row>
    <row r="434" customFormat="false" ht="14.25" hidden="false" customHeight="true" outlineLevel="0" collapsed="false">
      <c r="B434" s="1"/>
      <c r="C434" s="2" t="s">
        <v>0</v>
      </c>
      <c r="D434" s="2"/>
      <c r="E434" s="2"/>
      <c r="F434" s="2"/>
      <c r="G434" s="2"/>
      <c r="H434" s="3" t="s">
        <v>1</v>
      </c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4" t="s">
        <v>2</v>
      </c>
      <c r="Y434" s="4"/>
      <c r="Z434" s="4"/>
      <c r="AA434" s="4"/>
      <c r="AB434" s="5" t="s">
        <v>3</v>
      </c>
      <c r="AC434" s="5"/>
      <c r="AD434" s="5"/>
      <c r="AE434" s="5"/>
      <c r="AF434" s="6"/>
    </row>
    <row r="435" customFormat="false" ht="14.25" hidden="false" customHeight="true" outlineLevel="0" collapsed="false">
      <c r="B435" s="7"/>
      <c r="C435" s="8" t="s">
        <v>4</v>
      </c>
      <c r="D435" s="8"/>
      <c r="E435" s="8"/>
      <c r="F435" s="8"/>
      <c r="G435" s="8"/>
      <c r="H435" s="9" t="s">
        <v>5</v>
      </c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10" t="s">
        <v>6</v>
      </c>
      <c r="Y435" s="10"/>
      <c r="Z435" s="10"/>
      <c r="AA435" s="10"/>
      <c r="AB435" s="11" t="n">
        <v>46301</v>
      </c>
      <c r="AC435" s="11"/>
      <c r="AD435" s="11"/>
      <c r="AE435" s="11"/>
      <c r="AF435" s="12"/>
    </row>
    <row r="436" customFormat="false" ht="14.25" hidden="false" customHeight="true" outlineLevel="0" collapsed="false">
      <c r="B436" s="7"/>
      <c r="C436" s="8" t="s">
        <v>7</v>
      </c>
      <c r="D436" s="8"/>
      <c r="E436" s="8"/>
      <c r="F436" s="8"/>
      <c r="G436" s="8"/>
      <c r="H436" s="9" t="s">
        <v>133</v>
      </c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10" t="s">
        <v>9</v>
      </c>
      <c r="Y436" s="10"/>
      <c r="Z436" s="10"/>
      <c r="AA436" s="10"/>
      <c r="AB436" s="11" t="s">
        <v>3</v>
      </c>
      <c r="AC436" s="11"/>
      <c r="AD436" s="11"/>
      <c r="AE436" s="11"/>
      <c r="AF436" s="12"/>
    </row>
    <row r="437" customFormat="false" ht="14.25" hidden="false" customHeight="true" outlineLevel="0" collapsed="false">
      <c r="B437" s="13"/>
      <c r="C437" s="14" t="s">
        <v>10</v>
      </c>
      <c r="D437" s="14"/>
      <c r="E437" s="14"/>
      <c r="F437" s="14"/>
      <c r="G437" s="14"/>
      <c r="H437" s="15" t="s">
        <v>134</v>
      </c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6" t="s">
        <v>12</v>
      </c>
      <c r="Y437" s="16"/>
      <c r="Z437" s="16"/>
      <c r="AA437" s="16"/>
      <c r="AB437" s="17" t="n">
        <v>46301</v>
      </c>
      <c r="AC437" s="17"/>
      <c r="AD437" s="17"/>
      <c r="AE437" s="17"/>
      <c r="AF437" s="18"/>
    </row>
    <row r="438" customFormat="false" ht="14.25" hidden="false" customHeight="false" outlineLevel="0" collapsed="false">
      <c r="B438" s="7"/>
      <c r="AF438" s="12"/>
    </row>
    <row r="439" customFormat="false" ht="14.25" hidden="false" customHeight="false" outlineLevel="0" collapsed="false">
      <c r="B439" s="7"/>
      <c r="C439" s="20" t="s">
        <v>303</v>
      </c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  <c r="AC439" s="20"/>
      <c r="AD439" s="20"/>
      <c r="AE439" s="20"/>
      <c r="AF439" s="12"/>
    </row>
    <row r="440" customFormat="false" ht="27" hidden="false" customHeight="true" outlineLevel="0" collapsed="false">
      <c r="B440" s="7"/>
      <c r="C440" s="28" t="s">
        <v>157</v>
      </c>
      <c r="D440" s="28"/>
      <c r="E440" s="28" t="s">
        <v>158</v>
      </c>
      <c r="F440" s="28"/>
      <c r="G440" s="28"/>
      <c r="H440" s="28" t="s">
        <v>160</v>
      </c>
      <c r="I440" s="28"/>
      <c r="J440" s="28"/>
      <c r="K440" s="28" t="s">
        <v>291</v>
      </c>
      <c r="L440" s="28"/>
      <c r="M440" s="28"/>
      <c r="N440" s="28" t="s">
        <v>292</v>
      </c>
      <c r="O440" s="28"/>
      <c r="P440" s="28"/>
      <c r="Q440" s="28" t="s">
        <v>304</v>
      </c>
      <c r="R440" s="28"/>
      <c r="S440" s="28"/>
      <c r="T440" s="28" t="s">
        <v>164</v>
      </c>
      <c r="U440" s="28"/>
      <c r="V440" s="28" t="s">
        <v>187</v>
      </c>
      <c r="W440" s="28"/>
      <c r="X440" s="28" t="s">
        <v>188</v>
      </c>
      <c r="Y440" s="28"/>
      <c r="Z440" s="28" t="s">
        <v>190</v>
      </c>
      <c r="AA440" s="28"/>
      <c r="AB440" s="28"/>
      <c r="AC440" s="28" t="s">
        <v>191</v>
      </c>
      <c r="AD440" s="28"/>
      <c r="AE440" s="28"/>
      <c r="AF440" s="12"/>
    </row>
    <row r="441" customFormat="false" ht="14.25" hidden="false" customHeight="true" outlineLevel="0" collapsed="false">
      <c r="B441" s="7"/>
      <c r="C441" s="29"/>
      <c r="D441" s="29"/>
      <c r="E441" s="29" t="s">
        <v>19</v>
      </c>
      <c r="F441" s="29"/>
      <c r="G441" s="29"/>
      <c r="H441" s="29"/>
      <c r="I441" s="29"/>
      <c r="J441" s="29"/>
      <c r="K441" s="29" t="s">
        <v>26</v>
      </c>
      <c r="L441" s="29"/>
      <c r="M441" s="29"/>
      <c r="N441" s="29" t="s">
        <v>26</v>
      </c>
      <c r="O441" s="29"/>
      <c r="P441" s="29"/>
      <c r="Q441" s="29" t="s">
        <v>26</v>
      </c>
      <c r="R441" s="29"/>
      <c r="S441" s="29"/>
      <c r="T441" s="29" t="s">
        <v>38</v>
      </c>
      <c r="U441" s="29"/>
      <c r="V441" s="29" t="s">
        <v>38</v>
      </c>
      <c r="W441" s="29"/>
      <c r="X441" s="29" t="s">
        <v>38</v>
      </c>
      <c r="Y441" s="29"/>
      <c r="Z441" s="29" t="s">
        <v>45</v>
      </c>
      <c r="AA441" s="29"/>
      <c r="AB441" s="29"/>
      <c r="AC441" s="29" t="s">
        <v>124</v>
      </c>
      <c r="AD441" s="29"/>
      <c r="AE441" s="29"/>
      <c r="AF441" s="12"/>
    </row>
    <row r="442" customFormat="false" ht="14.25" hidden="false" customHeight="false" outlineLevel="0" collapsed="false">
      <c r="B442" s="7"/>
      <c r="C442" s="46" t="n">
        <v>1</v>
      </c>
      <c r="D442" s="46"/>
      <c r="E442" s="44" t="n">
        <f aca="false">AI83</f>
        <v>0</v>
      </c>
      <c r="F442" s="44"/>
      <c r="G442" s="44"/>
      <c r="H442" s="41" t="str">
        <f aca="false">AM83</f>
        <v>Clay</v>
      </c>
      <c r="I442" s="41"/>
      <c r="J442" s="41"/>
      <c r="K442" s="42" t="n">
        <f aca="false">AQ83</f>
        <v>13.35</v>
      </c>
      <c r="L442" s="42"/>
      <c r="M442" s="42"/>
      <c r="N442" s="42" t="n">
        <f aca="false">BC83</f>
        <v>135.999510418892</v>
      </c>
      <c r="O442" s="42"/>
      <c r="P442" s="42"/>
      <c r="Q442" s="55" t="n">
        <f aca="false">BJ83</f>
        <v>113.636363636364</v>
      </c>
      <c r="R442" s="55"/>
      <c r="S442" s="55"/>
      <c r="T442" s="44" t="n">
        <f aca="false">AU83</f>
        <v>0.681</v>
      </c>
      <c r="U442" s="44"/>
      <c r="V442" s="67" t="n">
        <f aca="false">BH83</f>
        <v>0.176985</v>
      </c>
      <c r="W442" s="67"/>
      <c r="X442" s="67" t="n">
        <f aca="false">BI83</f>
        <v>0.035397</v>
      </c>
      <c r="Y442" s="67"/>
      <c r="Z442" s="68" t="n">
        <f aca="false">BK83</f>
        <v>32.0798407775112</v>
      </c>
      <c r="AA442" s="68"/>
      <c r="AB442" s="68"/>
      <c r="AC442" s="69" t="n">
        <f aca="false">BM83</f>
        <v>0.0504185692541857</v>
      </c>
      <c r="AD442" s="69"/>
      <c r="AE442" s="69"/>
      <c r="AF442" s="12"/>
    </row>
    <row r="443" customFormat="false" ht="14.25" hidden="false" customHeight="false" outlineLevel="0" collapsed="false">
      <c r="B443" s="7"/>
      <c r="C443" s="46" t="n">
        <v>2</v>
      </c>
      <c r="D443" s="46"/>
      <c r="E443" s="44" t="n">
        <f aca="false">AI84</f>
        <v>1.5</v>
      </c>
      <c r="F443" s="44"/>
      <c r="G443" s="44"/>
      <c r="H443" s="41" t="str">
        <f aca="false">AM84</f>
        <v>Clay</v>
      </c>
      <c r="I443" s="41"/>
      <c r="J443" s="41"/>
      <c r="K443" s="42" t="n">
        <f aca="false">AQ84</f>
        <v>40.05</v>
      </c>
      <c r="L443" s="42"/>
      <c r="M443" s="42"/>
      <c r="N443" s="42" t="n">
        <f aca="false">BC84</f>
        <v>135.986832457853</v>
      </c>
      <c r="O443" s="42"/>
      <c r="P443" s="42"/>
      <c r="Q443" s="55" t="n">
        <f aca="false">BJ84</f>
        <v>113.636363636364</v>
      </c>
      <c r="R443" s="55"/>
      <c r="S443" s="55"/>
      <c r="T443" s="44" t="n">
        <f aca="false">AU84</f>
        <v>0.952</v>
      </c>
      <c r="U443" s="44"/>
      <c r="V443" s="67" t="n">
        <f aca="false">BH84</f>
        <v>0.176985</v>
      </c>
      <c r="W443" s="67"/>
      <c r="X443" s="67" t="n">
        <f aca="false">BI84</f>
        <v>0.035397</v>
      </c>
      <c r="Y443" s="67"/>
      <c r="Z443" s="68" t="n">
        <f aca="false">BK84</f>
        <v>38.1717991723256</v>
      </c>
      <c r="AA443" s="68"/>
      <c r="AB443" s="68"/>
      <c r="AC443" s="69" t="n">
        <f aca="false">BM84</f>
        <v>0.0504185692541857</v>
      </c>
      <c r="AD443" s="69"/>
      <c r="AE443" s="69"/>
      <c r="AF443" s="12"/>
    </row>
    <row r="444" customFormat="false" ht="14.25" hidden="false" customHeight="false" outlineLevel="0" collapsed="false">
      <c r="B444" s="7"/>
      <c r="C444" s="46" t="n">
        <v>3</v>
      </c>
      <c r="D444" s="46"/>
      <c r="E444" s="44" t="n">
        <f aca="false">AI85</f>
        <v>3</v>
      </c>
      <c r="F444" s="44"/>
      <c r="G444" s="44"/>
      <c r="H444" s="41" t="str">
        <f aca="false">AM85</f>
        <v>Sand</v>
      </c>
      <c r="I444" s="41"/>
      <c r="J444" s="41"/>
      <c r="K444" s="42" t="n">
        <f aca="false">AQ85</f>
        <v>75.65</v>
      </c>
      <c r="L444" s="42"/>
      <c r="M444" s="42"/>
      <c r="N444" s="42" t="n">
        <f aca="false">BC85</f>
        <v>135.912241466939</v>
      </c>
      <c r="O444" s="42"/>
      <c r="P444" s="42"/>
      <c r="Q444" s="55" t="n">
        <f aca="false">BJ85</f>
        <v>0</v>
      </c>
      <c r="R444" s="55"/>
      <c r="S444" s="55"/>
      <c r="T444" s="44" t="n">
        <f aca="false">AU85</f>
        <v>0.759</v>
      </c>
      <c r="U444" s="44"/>
      <c r="V444" s="67" t="n">
        <f aca="false">BH85</f>
        <v>0</v>
      </c>
      <c r="W444" s="67"/>
      <c r="X444" s="67" t="n">
        <f aca="false">BI85</f>
        <v>0</v>
      </c>
      <c r="Y444" s="67"/>
      <c r="Z444" s="68" t="n">
        <f aca="false">BK85</f>
        <v>0</v>
      </c>
      <c r="AA444" s="68"/>
      <c r="AB444" s="68"/>
      <c r="AC444" s="69" t="n">
        <f aca="false">BM85</f>
        <v>0</v>
      </c>
      <c r="AD444" s="69"/>
      <c r="AE444" s="69"/>
      <c r="AF444" s="12"/>
    </row>
    <row r="445" customFormat="false" ht="14.25" hidden="false" customHeight="false" outlineLevel="0" collapsed="false">
      <c r="B445" s="7"/>
      <c r="C445" s="46" t="n">
        <v>4</v>
      </c>
      <c r="D445" s="46"/>
      <c r="E445" s="44" t="n">
        <f aca="false">AI86</f>
        <v>5.5</v>
      </c>
      <c r="F445" s="44"/>
      <c r="G445" s="44"/>
      <c r="H445" s="41" t="str">
        <f aca="false">AM86</f>
        <v>Silt</v>
      </c>
      <c r="I445" s="41"/>
      <c r="J445" s="41"/>
      <c r="K445" s="42" t="n">
        <f aca="false">AQ86</f>
        <v>102.35</v>
      </c>
      <c r="L445" s="42"/>
      <c r="M445" s="42"/>
      <c r="N445" s="42" t="n">
        <f aca="false">BC86</f>
        <v>135.785414089253</v>
      </c>
      <c r="O445" s="42"/>
      <c r="P445" s="42"/>
      <c r="Q445" s="55" t="n">
        <f aca="false">BJ86</f>
        <v>636.363636363636</v>
      </c>
      <c r="R445" s="55"/>
      <c r="S445" s="55"/>
      <c r="T445" s="44" t="n">
        <f aca="false">AU86</f>
        <v>0.681</v>
      </c>
      <c r="U445" s="44"/>
      <c r="V445" s="67" t="n">
        <f aca="false">BH86</f>
        <v>0.176985</v>
      </c>
      <c r="W445" s="67"/>
      <c r="X445" s="67" t="n">
        <f aca="false">BI86</f>
        <v>0.035397</v>
      </c>
      <c r="Y445" s="67"/>
      <c r="Z445" s="68" t="n">
        <f aca="false">BK86</f>
        <v>3.86120140069547</v>
      </c>
      <c r="AA445" s="68"/>
      <c r="AB445" s="68"/>
      <c r="AC445" s="69" t="n">
        <f aca="false">BM86</f>
        <v>0.00560206325046508</v>
      </c>
      <c r="AD445" s="69"/>
      <c r="AE445" s="69"/>
      <c r="AF445" s="12"/>
    </row>
    <row r="446" customFormat="false" ht="14.25" hidden="false" customHeight="false" outlineLevel="0" collapsed="false">
      <c r="B446" s="7"/>
      <c r="C446" s="46" t="n">
        <v>5</v>
      </c>
      <c r="D446" s="46"/>
      <c r="E446" s="44" t="n">
        <f aca="false">AI87</f>
        <v>6</v>
      </c>
      <c r="F446" s="44"/>
      <c r="G446" s="44"/>
      <c r="H446" s="41" t="str">
        <f aca="false">AM87</f>
        <v>Silt</v>
      </c>
      <c r="I446" s="41"/>
      <c r="J446" s="41"/>
      <c r="K446" s="42" t="n">
        <f aca="false">AQ87</f>
        <v>120.15</v>
      </c>
      <c r="L446" s="42"/>
      <c r="M446" s="42"/>
      <c r="N446" s="42" t="n">
        <f aca="false">BC87</f>
        <v>135.656483291149</v>
      </c>
      <c r="O446" s="42"/>
      <c r="P446" s="42"/>
      <c r="Q446" s="55" t="n">
        <f aca="false">BJ87</f>
        <v>681.818181818182</v>
      </c>
      <c r="R446" s="55"/>
      <c r="S446" s="55"/>
      <c r="T446" s="44" t="n">
        <f aca="false">AU87</f>
        <v>0.681</v>
      </c>
      <c r="U446" s="44"/>
      <c r="V446" s="67" t="n">
        <f aca="false">BH87</f>
        <v>0.176985</v>
      </c>
      <c r="W446" s="67"/>
      <c r="X446" s="67" t="n">
        <f aca="false">BI87</f>
        <v>0.035397</v>
      </c>
      <c r="Y446" s="67"/>
      <c r="Z446" s="68" t="n">
        <f aca="false">BK87</f>
        <v>10.3660284680933</v>
      </c>
      <c r="AA446" s="68"/>
      <c r="AB446" s="68"/>
      <c r="AC446" s="69" t="n">
        <f aca="false">BM87</f>
        <v>0.0504185692541857</v>
      </c>
      <c r="AD446" s="69"/>
      <c r="AE446" s="69"/>
      <c r="AF446" s="12"/>
    </row>
    <row r="447" customFormat="false" ht="14.25" hidden="false" customHeight="false" outlineLevel="0" collapsed="false">
      <c r="B447" s="7"/>
      <c r="C447" s="46" t="n">
        <v>6</v>
      </c>
      <c r="D447" s="46"/>
      <c r="E447" s="44" t="n">
        <f aca="false">AI88</f>
        <v>7.5</v>
      </c>
      <c r="F447" s="44"/>
      <c r="G447" s="44"/>
      <c r="H447" s="41" t="str">
        <f aca="false">AM88</f>
        <v>Sand</v>
      </c>
      <c r="I447" s="41"/>
      <c r="J447" s="41"/>
      <c r="K447" s="42" t="n">
        <f aca="false">AQ88</f>
        <v>146.85</v>
      </c>
      <c r="L447" s="42"/>
      <c r="M447" s="42"/>
      <c r="N447" s="42" t="n">
        <f aca="false">BC88</f>
        <v>135.384419937794</v>
      </c>
      <c r="O447" s="42"/>
      <c r="P447" s="42"/>
      <c r="Q447" s="55" t="n">
        <f aca="false">BJ88</f>
        <v>0</v>
      </c>
      <c r="R447" s="55"/>
      <c r="S447" s="55"/>
      <c r="T447" s="44" t="n">
        <f aca="false">AU88</f>
        <v>0.65</v>
      </c>
      <c r="U447" s="44"/>
      <c r="V447" s="67" t="n">
        <f aca="false">BH88</f>
        <v>0</v>
      </c>
      <c r="W447" s="67"/>
      <c r="X447" s="67" t="n">
        <f aca="false">BI88</f>
        <v>0</v>
      </c>
      <c r="Y447" s="67"/>
      <c r="Z447" s="68" t="n">
        <f aca="false">BK88</f>
        <v>0</v>
      </c>
      <c r="AA447" s="68"/>
      <c r="AB447" s="68"/>
      <c r="AC447" s="69" t="n">
        <f aca="false">BM88</f>
        <v>0</v>
      </c>
      <c r="AD447" s="69"/>
      <c r="AE447" s="69"/>
      <c r="AF447" s="12"/>
    </row>
    <row r="448" customFormat="false" ht="14.25" hidden="false" customHeight="false" outlineLevel="0" collapsed="false">
      <c r="B448" s="7"/>
      <c r="C448" s="46" t="n">
        <v>7</v>
      </c>
      <c r="D448" s="46"/>
      <c r="E448" s="44" t="n">
        <f aca="false">AI89</f>
        <v>9</v>
      </c>
      <c r="F448" s="44"/>
      <c r="G448" s="44"/>
      <c r="H448" s="41" t="str">
        <f aca="false">AM89</f>
        <v>Sand</v>
      </c>
      <c r="I448" s="41"/>
      <c r="J448" s="41"/>
      <c r="K448" s="42" t="n">
        <f aca="false">AQ89</f>
        <v>167.1</v>
      </c>
      <c r="L448" s="42"/>
      <c r="M448" s="42"/>
      <c r="N448" s="42" t="n">
        <f aca="false">BC89</f>
        <v>135.006063558054</v>
      </c>
      <c r="O448" s="42"/>
      <c r="P448" s="42"/>
      <c r="Q448" s="55" t="n">
        <f aca="false">BJ89</f>
        <v>0</v>
      </c>
      <c r="R448" s="55"/>
      <c r="S448" s="55"/>
      <c r="T448" s="44" t="n">
        <f aca="false">AU89</f>
        <v>0.465</v>
      </c>
      <c r="U448" s="44"/>
      <c r="V448" s="67" t="n">
        <f aca="false">BH89</f>
        <v>0</v>
      </c>
      <c r="W448" s="67"/>
      <c r="X448" s="67" t="n">
        <f aca="false">BI89</f>
        <v>0</v>
      </c>
      <c r="Y448" s="67"/>
      <c r="Z448" s="68" t="n">
        <f aca="false">BK89</f>
        <v>0</v>
      </c>
      <c r="AA448" s="68"/>
      <c r="AB448" s="68"/>
      <c r="AC448" s="69" t="n">
        <f aca="false">BM89</f>
        <v>0</v>
      </c>
      <c r="AD448" s="69"/>
      <c r="AE448" s="69"/>
      <c r="AF448" s="12"/>
    </row>
    <row r="449" customFormat="false" ht="14.25" hidden="false" customHeight="false" outlineLevel="0" collapsed="false">
      <c r="B449" s="7"/>
      <c r="C449" s="46" t="n">
        <v>8</v>
      </c>
      <c r="D449" s="46"/>
      <c r="E449" s="44" t="n">
        <f aca="false">AI90</f>
        <v>10.5</v>
      </c>
      <c r="F449" s="44"/>
      <c r="G449" s="44"/>
      <c r="H449" s="41" t="str">
        <f aca="false">AM90</f>
        <v>Sand</v>
      </c>
      <c r="I449" s="41"/>
      <c r="J449" s="41"/>
      <c r="K449" s="42" t="n">
        <f aca="false">AQ90</f>
        <v>180.9</v>
      </c>
      <c r="L449" s="42"/>
      <c r="M449" s="42"/>
      <c r="N449" s="42" t="n">
        <f aca="false">BC90</f>
        <v>134.511190640081</v>
      </c>
      <c r="O449" s="42"/>
      <c r="P449" s="42"/>
      <c r="Q449" s="55" t="n">
        <f aca="false">BJ90</f>
        <v>0</v>
      </c>
      <c r="R449" s="55"/>
      <c r="S449" s="55"/>
      <c r="T449" s="44" t="n">
        <f aca="false">AU90</f>
        <v>0.65</v>
      </c>
      <c r="U449" s="44"/>
      <c r="V449" s="67" t="n">
        <f aca="false">BH90</f>
        <v>0</v>
      </c>
      <c r="W449" s="67"/>
      <c r="X449" s="67" t="n">
        <f aca="false">BI90</f>
        <v>0</v>
      </c>
      <c r="Y449" s="67"/>
      <c r="Z449" s="68" t="n">
        <f aca="false">BK90</f>
        <v>0</v>
      </c>
      <c r="AA449" s="68"/>
      <c r="AB449" s="68"/>
      <c r="AC449" s="69" t="n">
        <f aca="false">BM90</f>
        <v>0</v>
      </c>
      <c r="AD449" s="69"/>
      <c r="AE449" s="69"/>
      <c r="AF449" s="12"/>
    </row>
    <row r="450" customFormat="false" ht="14.25" hidden="false" customHeight="false" outlineLevel="0" collapsed="false">
      <c r="B450" s="7"/>
      <c r="C450" s="46" t="n">
        <v>9</v>
      </c>
      <c r="D450" s="46"/>
      <c r="E450" s="44" t="n">
        <f aca="false">AI91</f>
        <v>12</v>
      </c>
      <c r="F450" s="44"/>
      <c r="G450" s="44"/>
      <c r="H450" s="41" t="str">
        <f aca="false">AM91</f>
        <v>Sand</v>
      </c>
      <c r="I450" s="41"/>
      <c r="J450" s="41"/>
      <c r="K450" s="42" t="n">
        <f aca="false">AQ91</f>
        <v>194.7</v>
      </c>
      <c r="L450" s="42"/>
      <c r="M450" s="42"/>
      <c r="N450" s="42" t="n">
        <f aca="false">BC91</f>
        <v>133.893072357031</v>
      </c>
      <c r="O450" s="42"/>
      <c r="P450" s="42"/>
      <c r="Q450" s="55" t="n">
        <f aca="false">BJ91</f>
        <v>0</v>
      </c>
      <c r="R450" s="55"/>
      <c r="S450" s="55"/>
      <c r="T450" s="44" t="n">
        <f aca="false">AU91</f>
        <v>0.414</v>
      </c>
      <c r="U450" s="44"/>
      <c r="V450" s="67" t="n">
        <f aca="false">BH91</f>
        <v>0</v>
      </c>
      <c r="W450" s="67"/>
      <c r="X450" s="67" t="n">
        <f aca="false">BI91</f>
        <v>0</v>
      </c>
      <c r="Y450" s="67"/>
      <c r="Z450" s="68" t="n">
        <f aca="false">BK91</f>
        <v>0</v>
      </c>
      <c r="AA450" s="68"/>
      <c r="AB450" s="68"/>
      <c r="AC450" s="69" t="n">
        <f aca="false">BM91</f>
        <v>0</v>
      </c>
      <c r="AD450" s="69"/>
      <c r="AE450" s="69"/>
      <c r="AF450" s="12"/>
    </row>
    <row r="451" customFormat="false" ht="14.25" hidden="false" customHeight="false" outlineLevel="0" collapsed="false">
      <c r="B451" s="7"/>
      <c r="C451" s="46" t="n">
        <v>10</v>
      </c>
      <c r="D451" s="46"/>
      <c r="E451" s="44" t="n">
        <f aca="false">AI92</f>
        <v>13.5</v>
      </c>
      <c r="F451" s="44"/>
      <c r="G451" s="44"/>
      <c r="H451" s="41" t="str">
        <f aca="false">AM92</f>
        <v>Sand</v>
      </c>
      <c r="I451" s="41"/>
      <c r="J451" s="41"/>
      <c r="K451" s="42" t="n">
        <f aca="false">AQ92</f>
        <v>208.5</v>
      </c>
      <c r="L451" s="42"/>
      <c r="M451" s="42"/>
      <c r="N451" s="42" t="n">
        <f aca="false">BC92</f>
        <v>133.148368665013</v>
      </c>
      <c r="O451" s="42"/>
      <c r="P451" s="42"/>
      <c r="Q451" s="55" t="n">
        <f aca="false">BJ92</f>
        <v>0</v>
      </c>
      <c r="R451" s="55"/>
      <c r="S451" s="55"/>
      <c r="T451" s="44" t="n">
        <f aca="false">AU92</f>
        <v>0.747</v>
      </c>
      <c r="U451" s="44"/>
      <c r="V451" s="67" t="n">
        <f aca="false">BH92</f>
        <v>0</v>
      </c>
      <c r="W451" s="67"/>
      <c r="X451" s="67" t="n">
        <f aca="false">BI92</f>
        <v>0</v>
      </c>
      <c r="Y451" s="67"/>
      <c r="Z451" s="68" t="n">
        <f aca="false">BK92</f>
        <v>0</v>
      </c>
      <c r="AA451" s="68"/>
      <c r="AB451" s="68"/>
      <c r="AC451" s="69" t="n">
        <f aca="false">BM92</f>
        <v>0</v>
      </c>
      <c r="AD451" s="69"/>
      <c r="AE451" s="69"/>
      <c r="AF451" s="12"/>
    </row>
    <row r="452" customFormat="false" ht="14.25" hidden="false" customHeight="false" outlineLevel="0" collapsed="false">
      <c r="B452" s="7"/>
      <c r="C452" s="46" t="n">
        <v>11</v>
      </c>
      <c r="D452" s="46"/>
      <c r="E452" s="44" t="n">
        <f aca="false">AI93</f>
        <v>15</v>
      </c>
      <c r="F452" s="44"/>
      <c r="G452" s="44"/>
      <c r="H452" s="41" t="str">
        <f aca="false">AM93</f>
        <v>Sand</v>
      </c>
      <c r="I452" s="41"/>
      <c r="J452" s="41"/>
      <c r="K452" s="42" t="n">
        <f aca="false">AQ93</f>
        <v>222.3</v>
      </c>
      <c r="L452" s="42"/>
      <c r="M452" s="42"/>
      <c r="N452" s="42" t="n">
        <f aca="false">BC93</f>
        <v>132.27687978272</v>
      </c>
      <c r="O452" s="42"/>
      <c r="P452" s="42"/>
      <c r="Q452" s="55" t="n">
        <f aca="false">BJ93</f>
        <v>0</v>
      </c>
      <c r="R452" s="55"/>
      <c r="S452" s="55"/>
      <c r="T452" s="44" t="n">
        <f aca="false">AU93</f>
        <v>0.65</v>
      </c>
      <c r="U452" s="44"/>
      <c r="V452" s="67" t="n">
        <f aca="false">BH93</f>
        <v>0</v>
      </c>
      <c r="W452" s="67"/>
      <c r="X452" s="67" t="n">
        <f aca="false">BI93</f>
        <v>0</v>
      </c>
      <c r="Y452" s="67"/>
      <c r="Z452" s="68" t="n">
        <f aca="false">BK93</f>
        <v>0</v>
      </c>
      <c r="AA452" s="68"/>
      <c r="AB452" s="68"/>
      <c r="AC452" s="69" t="n">
        <f aca="false">BM93</f>
        <v>0</v>
      </c>
      <c r="AD452" s="69"/>
      <c r="AE452" s="69"/>
      <c r="AF452" s="12"/>
    </row>
    <row r="453" customFormat="false" ht="14.25" hidden="false" customHeight="false" outlineLevel="0" collapsed="false">
      <c r="B453" s="7"/>
      <c r="C453" s="46" t="n">
        <v>12</v>
      </c>
      <c r="D453" s="46"/>
      <c r="E453" s="44" t="n">
        <f aca="false">AI94</f>
        <v>16.5</v>
      </c>
      <c r="F453" s="44"/>
      <c r="G453" s="44"/>
      <c r="H453" s="41" t="str">
        <f aca="false">AM94</f>
        <v>Sand</v>
      </c>
      <c r="I453" s="41"/>
      <c r="J453" s="41"/>
      <c r="K453" s="42" t="n">
        <f aca="false">AQ94</f>
        <v>236.1</v>
      </c>
      <c r="L453" s="42"/>
      <c r="M453" s="42"/>
      <c r="N453" s="42" t="n">
        <f aca="false">BC94</f>
        <v>131.281191431882</v>
      </c>
      <c r="O453" s="42"/>
      <c r="P453" s="42"/>
      <c r="Q453" s="55" t="n">
        <f aca="false">BJ94</f>
        <v>0</v>
      </c>
      <c r="R453" s="55"/>
      <c r="S453" s="55"/>
      <c r="T453" s="44" t="n">
        <f aca="false">AU94</f>
        <v>0.48</v>
      </c>
      <c r="U453" s="44"/>
      <c r="V453" s="67" t="n">
        <f aca="false">BH94</f>
        <v>0</v>
      </c>
      <c r="W453" s="67"/>
      <c r="X453" s="67" t="n">
        <f aca="false">BI94</f>
        <v>0</v>
      </c>
      <c r="Y453" s="67"/>
      <c r="Z453" s="68" t="n">
        <f aca="false">BK94</f>
        <v>0</v>
      </c>
      <c r="AA453" s="68"/>
      <c r="AB453" s="68"/>
      <c r="AC453" s="69" t="n">
        <f aca="false">BM94</f>
        <v>0</v>
      </c>
      <c r="AD453" s="69"/>
      <c r="AE453" s="69"/>
      <c r="AF453" s="12"/>
    </row>
    <row r="454" customFormat="false" ht="14.25" hidden="false" customHeight="false" outlineLevel="0" collapsed="false">
      <c r="B454" s="7"/>
      <c r="C454" s="46" t="n">
        <v>13</v>
      </c>
      <c r="D454" s="46"/>
      <c r="E454" s="44" t="n">
        <f aca="false">AI95</f>
        <v>18</v>
      </c>
      <c r="F454" s="44"/>
      <c r="G454" s="44"/>
      <c r="H454" s="41" t="str">
        <f aca="false">AM95</f>
        <v>Sand</v>
      </c>
      <c r="I454" s="41"/>
      <c r="J454" s="41"/>
      <c r="K454" s="42" t="n">
        <f aca="false">AQ95</f>
        <v>249.9</v>
      </c>
      <c r="L454" s="42"/>
      <c r="M454" s="42"/>
      <c r="N454" s="42" t="n">
        <f aca="false">BC95</f>
        <v>130.166251943235</v>
      </c>
      <c r="O454" s="42"/>
      <c r="P454" s="42"/>
      <c r="Q454" s="55" t="n">
        <f aca="false">BJ95</f>
        <v>0</v>
      </c>
      <c r="R454" s="55"/>
      <c r="S454" s="55"/>
      <c r="T454" s="44" t="n">
        <f aca="false">AU95</f>
        <v>0.65</v>
      </c>
      <c r="U454" s="44"/>
      <c r="V454" s="67" t="n">
        <f aca="false">BH95</f>
        <v>0</v>
      </c>
      <c r="W454" s="67"/>
      <c r="X454" s="67" t="n">
        <f aca="false">BI95</f>
        <v>0</v>
      </c>
      <c r="Y454" s="67"/>
      <c r="Z454" s="68" t="n">
        <f aca="false">BK95</f>
        <v>0</v>
      </c>
      <c r="AA454" s="68"/>
      <c r="AB454" s="68"/>
      <c r="AC454" s="69" t="n">
        <f aca="false">BM95</f>
        <v>0</v>
      </c>
      <c r="AD454" s="69"/>
      <c r="AE454" s="69"/>
      <c r="AF454" s="12"/>
    </row>
    <row r="455" customFormat="false" ht="14.25" hidden="false" customHeight="false" outlineLevel="0" collapsed="false">
      <c r="B455" s="7"/>
      <c r="C455" s="46" t="n">
        <v>14</v>
      </c>
      <c r="D455" s="46"/>
      <c r="E455" s="44" t="n">
        <f aca="false">AI96</f>
        <v>19.5</v>
      </c>
      <c r="F455" s="44"/>
      <c r="G455" s="44"/>
      <c r="H455" s="41" t="str">
        <f aca="false">AM96</f>
        <v>Sand</v>
      </c>
      <c r="I455" s="41"/>
      <c r="J455" s="41"/>
      <c r="K455" s="42" t="n">
        <f aca="false">AQ96</f>
        <v>263.7</v>
      </c>
      <c r="L455" s="42"/>
      <c r="M455" s="42"/>
      <c r="N455" s="42" t="n">
        <f aca="false">BC96</f>
        <v>128.938917112008</v>
      </c>
      <c r="O455" s="42"/>
      <c r="P455" s="42"/>
      <c r="Q455" s="55" t="n">
        <f aca="false">BJ96</f>
        <v>0</v>
      </c>
      <c r="R455" s="55"/>
      <c r="S455" s="55"/>
      <c r="T455" s="44" t="n">
        <f aca="false">AU96</f>
        <v>0.848</v>
      </c>
      <c r="U455" s="44"/>
      <c r="V455" s="67" t="n">
        <f aca="false">BH96</f>
        <v>0</v>
      </c>
      <c r="W455" s="67"/>
      <c r="X455" s="67" t="n">
        <f aca="false">BI96</f>
        <v>0</v>
      </c>
      <c r="Y455" s="67"/>
      <c r="Z455" s="68" t="n">
        <f aca="false">BK96</f>
        <v>0</v>
      </c>
      <c r="AA455" s="68"/>
      <c r="AB455" s="68"/>
      <c r="AC455" s="69" t="n">
        <f aca="false">BM96</f>
        <v>0</v>
      </c>
      <c r="AD455" s="69"/>
      <c r="AE455" s="69"/>
      <c r="AF455" s="12"/>
    </row>
    <row r="456" customFormat="false" ht="14.25" hidden="false" customHeight="false" outlineLevel="0" collapsed="false">
      <c r="B456" s="7"/>
      <c r="C456" s="46" t="n">
        <v>15</v>
      </c>
      <c r="D456" s="46"/>
      <c r="E456" s="44" t="n">
        <f aca="false">AI97</f>
        <v>21</v>
      </c>
      <c r="F456" s="44"/>
      <c r="G456" s="44"/>
      <c r="H456" s="41" t="str">
        <f aca="false">AM97</f>
        <v>Sand</v>
      </c>
      <c r="I456" s="41"/>
      <c r="J456" s="41"/>
      <c r="K456" s="42" t="n">
        <f aca="false">AQ97</f>
        <v>277.5</v>
      </c>
      <c r="L456" s="42"/>
      <c r="M456" s="42"/>
      <c r="N456" s="42" t="n">
        <f aca="false">BC97</f>
        <v>127.607493683403</v>
      </c>
      <c r="O456" s="42"/>
      <c r="P456" s="42"/>
      <c r="Q456" s="55" t="n">
        <f aca="false">BJ97</f>
        <v>0</v>
      </c>
      <c r="R456" s="55"/>
      <c r="S456" s="55"/>
      <c r="T456" s="44" t="n">
        <f aca="false">AU97</f>
        <v>0.65</v>
      </c>
      <c r="U456" s="44"/>
      <c r="V456" s="67" t="n">
        <f aca="false">BH97</f>
        <v>0</v>
      </c>
      <c r="W456" s="67"/>
      <c r="X456" s="67" t="n">
        <f aca="false">BI97</f>
        <v>0</v>
      </c>
      <c r="Y456" s="67"/>
      <c r="Z456" s="68" t="n">
        <f aca="false">BK97</f>
        <v>0</v>
      </c>
      <c r="AA456" s="68"/>
      <c r="AB456" s="68"/>
      <c r="AC456" s="69" t="n">
        <f aca="false">BM97</f>
        <v>0</v>
      </c>
      <c r="AD456" s="69"/>
      <c r="AE456" s="69"/>
      <c r="AF456" s="12"/>
    </row>
    <row r="457" customFormat="false" ht="14.25" hidden="false" customHeight="false" outlineLevel="0" collapsed="false">
      <c r="B457" s="7"/>
      <c r="C457" s="46" t="n">
        <v>16</v>
      </c>
      <c r="D457" s="46"/>
      <c r="E457" s="44" t="n">
        <f aca="false">AI98</f>
        <v>22.5</v>
      </c>
      <c r="F457" s="44"/>
      <c r="G457" s="44"/>
      <c r="H457" s="41" t="str">
        <f aca="false">AM98</f>
        <v>Clay</v>
      </c>
      <c r="I457" s="41"/>
      <c r="J457" s="41"/>
      <c r="K457" s="42" t="n">
        <f aca="false">AQ98</f>
        <v>291.3</v>
      </c>
      <c r="L457" s="42"/>
      <c r="M457" s="42"/>
      <c r="N457" s="42" t="n">
        <f aca="false">BC98</f>
        <v>126.181305793762</v>
      </c>
      <c r="O457" s="42"/>
      <c r="P457" s="42"/>
      <c r="Q457" s="55" t="n">
        <f aca="false">BJ98</f>
        <v>1000</v>
      </c>
      <c r="R457" s="55"/>
      <c r="S457" s="55"/>
      <c r="T457" s="44" t="n">
        <f aca="false">AU98</f>
        <v>0.662</v>
      </c>
      <c r="U457" s="44"/>
      <c r="V457" s="67" t="n">
        <f aca="false">BH98</f>
        <v>0.19179</v>
      </c>
      <c r="W457" s="67"/>
      <c r="X457" s="67" t="n">
        <f aca="false">BI98</f>
        <v>0.038358</v>
      </c>
      <c r="Y457" s="67"/>
      <c r="Z457" s="68" t="n">
        <f aca="false">BK98</f>
        <v>5.41085109146116</v>
      </c>
      <c r="AA457" s="68"/>
      <c r="AB457" s="68"/>
      <c r="AC457" s="69" t="n">
        <f aca="false">BM98</f>
        <v>0.055210978835673</v>
      </c>
      <c r="AD457" s="69"/>
      <c r="AE457" s="69"/>
      <c r="AF457" s="12"/>
    </row>
    <row r="458" customFormat="false" ht="14.25" hidden="false" customHeight="false" outlineLevel="0" collapsed="false">
      <c r="B458" s="7"/>
      <c r="C458" s="46" t="n">
        <v>17</v>
      </c>
      <c r="D458" s="46"/>
      <c r="E458" s="44" t="n">
        <f aca="false">AI99</f>
        <v>24</v>
      </c>
      <c r="F458" s="44"/>
      <c r="G458" s="44"/>
      <c r="H458" s="41" t="str">
        <f aca="false">AM99</f>
        <v>Clay</v>
      </c>
      <c r="I458" s="41"/>
      <c r="J458" s="41"/>
      <c r="K458" s="42" t="n">
        <f aca="false">AQ99</f>
        <v>305.1</v>
      </c>
      <c r="L458" s="42"/>
      <c r="M458" s="42"/>
      <c r="N458" s="42" t="n">
        <f aca="false">BC99</f>
        <v>124.670301678981</v>
      </c>
      <c r="O458" s="42"/>
      <c r="P458" s="42"/>
      <c r="Q458" s="55" t="n">
        <f aca="false">BJ99</f>
        <v>454.545454545455</v>
      </c>
      <c r="R458" s="55"/>
      <c r="S458" s="55"/>
      <c r="T458" s="44" t="n">
        <f aca="false">AU99</f>
        <v>0.775</v>
      </c>
      <c r="U458" s="44"/>
      <c r="V458" s="67" t="n">
        <f aca="false">BH99</f>
        <v>0.22167</v>
      </c>
      <c r="W458" s="67"/>
      <c r="X458" s="67" t="n">
        <f aca="false">BI99</f>
        <v>0.044334</v>
      </c>
      <c r="Y458" s="67"/>
      <c r="Z458" s="68" t="n">
        <f aca="false">BK99</f>
        <v>5.57462685537548</v>
      </c>
      <c r="AA458" s="68"/>
      <c r="AB458" s="68"/>
      <c r="AC458" s="69" t="n">
        <f aca="false">BM99</f>
        <v>0.0694972156656283</v>
      </c>
      <c r="AD458" s="69"/>
      <c r="AE458" s="69"/>
      <c r="AF458" s="12"/>
    </row>
    <row r="459" customFormat="false" ht="14.25" hidden="false" customHeight="false" outlineLevel="0" collapsed="false">
      <c r="B459" s="7"/>
      <c r="C459" s="46" t="n">
        <v>18</v>
      </c>
      <c r="D459" s="46"/>
      <c r="E459" s="44" t="n">
        <f aca="false">AI100</f>
        <v>25.5</v>
      </c>
      <c r="F459" s="44"/>
      <c r="G459" s="44"/>
      <c r="H459" s="41" t="str">
        <f aca="false">AM100</f>
        <v>Clay</v>
      </c>
      <c r="I459" s="41"/>
      <c r="J459" s="41"/>
      <c r="K459" s="42" t="n">
        <f aca="false">AQ100</f>
        <v>318.9</v>
      </c>
      <c r="L459" s="42"/>
      <c r="M459" s="42"/>
      <c r="N459" s="42" t="n">
        <f aca="false">BC100</f>
        <v>123.084711322374</v>
      </c>
      <c r="O459" s="42"/>
      <c r="P459" s="42"/>
      <c r="Q459" s="55" t="n">
        <f aca="false">BJ100</f>
        <v>477.272727272727</v>
      </c>
      <c r="R459" s="55"/>
      <c r="S459" s="55"/>
      <c r="T459" s="44" t="n">
        <f aca="false">AU100</f>
        <v>0.401</v>
      </c>
      <c r="U459" s="44"/>
      <c r="V459" s="67" t="n">
        <f aca="false">BH100</f>
        <v>0.176985</v>
      </c>
      <c r="W459" s="67"/>
      <c r="X459" s="67" t="n">
        <f aca="false">BI100</f>
        <v>0.035397</v>
      </c>
      <c r="Y459" s="67"/>
      <c r="Z459" s="68" t="n">
        <f aca="false">BK100</f>
        <v>5.37218554863442</v>
      </c>
      <c r="AA459" s="68"/>
      <c r="AB459" s="68"/>
      <c r="AC459" s="69" t="n">
        <f aca="false">BM100</f>
        <v>0.0504185692541857</v>
      </c>
      <c r="AD459" s="69"/>
      <c r="AE459" s="69"/>
      <c r="AF459" s="12"/>
    </row>
    <row r="460" customFormat="false" ht="14.25" hidden="false" customHeight="false" outlineLevel="0" collapsed="false">
      <c r="B460" s="7"/>
      <c r="C460" s="46" t="n">
        <v>19</v>
      </c>
      <c r="D460" s="46"/>
      <c r="E460" s="44" t="n">
        <f aca="false">AI101</f>
        <v>27</v>
      </c>
      <c r="F460" s="44"/>
      <c r="G460" s="44"/>
      <c r="H460" s="41" t="str">
        <f aca="false">AM101</f>
        <v>Sand</v>
      </c>
      <c r="I460" s="41"/>
      <c r="J460" s="41"/>
      <c r="K460" s="42" t="n">
        <f aca="false">AQ101</f>
        <v>332.7</v>
      </c>
      <c r="L460" s="42"/>
      <c r="M460" s="42"/>
      <c r="N460" s="42" t="n">
        <f aca="false">BC101</f>
        <v>121.434759989289</v>
      </c>
      <c r="O460" s="42"/>
      <c r="P460" s="42"/>
      <c r="Q460" s="55" t="n">
        <f aca="false">BJ101</f>
        <v>0</v>
      </c>
      <c r="R460" s="55"/>
      <c r="S460" s="55"/>
      <c r="T460" s="44" t="n">
        <f aca="false">AU101</f>
        <v>0.474</v>
      </c>
      <c r="U460" s="44"/>
      <c r="V460" s="67" t="n">
        <f aca="false">BH101</f>
        <v>0</v>
      </c>
      <c r="W460" s="67"/>
      <c r="X460" s="67" t="n">
        <f aca="false">BI101</f>
        <v>0</v>
      </c>
      <c r="Y460" s="67"/>
      <c r="Z460" s="68" t="n">
        <f aca="false">BK101</f>
        <v>0</v>
      </c>
      <c r="AA460" s="68"/>
      <c r="AB460" s="68"/>
      <c r="AC460" s="69" t="n">
        <f aca="false">BM101</f>
        <v>0</v>
      </c>
      <c r="AD460" s="69"/>
      <c r="AE460" s="69"/>
      <c r="AF460" s="12"/>
    </row>
    <row r="461" customFormat="false" ht="14.25" hidden="false" customHeight="false" outlineLevel="0" collapsed="false">
      <c r="B461" s="7"/>
      <c r="C461" s="46" t="n">
        <v>20</v>
      </c>
      <c r="D461" s="46"/>
      <c r="E461" s="44" t="n">
        <f aca="false">AI102</f>
        <v>28.5</v>
      </c>
      <c r="F461" s="44"/>
      <c r="G461" s="44"/>
      <c r="H461" s="41" t="str">
        <f aca="false">AM102</f>
        <v>Clay</v>
      </c>
      <c r="I461" s="41"/>
      <c r="J461" s="41"/>
      <c r="K461" s="42" t="n">
        <f aca="false">AQ102</f>
        <v>346.5</v>
      </c>
      <c r="L461" s="42"/>
      <c r="M461" s="42"/>
      <c r="N461" s="42" t="n">
        <f aca="false">BC102</f>
        <v>119.73043805321</v>
      </c>
      <c r="O461" s="42"/>
      <c r="P461" s="42"/>
      <c r="Q461" s="55" t="n">
        <f aca="false">BJ102</f>
        <v>1090.90909090909</v>
      </c>
      <c r="R461" s="55"/>
      <c r="S461" s="55"/>
      <c r="T461" s="44" t="n">
        <f aca="false">AU102</f>
        <v>0.745</v>
      </c>
      <c r="U461" s="44"/>
      <c r="V461" s="67" t="n">
        <f aca="false">BH102</f>
        <v>0.25155</v>
      </c>
      <c r="W461" s="67"/>
      <c r="X461" s="67" t="n">
        <f aca="false">BI102</f>
        <v>0.05031</v>
      </c>
      <c r="Y461" s="67"/>
      <c r="Z461" s="68" t="n">
        <f aca="false">BK102</f>
        <v>5.57435020252448</v>
      </c>
      <c r="AA461" s="68"/>
      <c r="AB461" s="68"/>
      <c r="AC461" s="69" t="n">
        <f aca="false">BM102</f>
        <v>0.0874801187577237</v>
      </c>
      <c r="AD461" s="69"/>
      <c r="AE461" s="69"/>
      <c r="AF461" s="12"/>
    </row>
    <row r="462" customFormat="false" ht="14.25" hidden="false" customHeight="false" outlineLevel="0" collapsed="false">
      <c r="B462" s="7"/>
      <c r="C462" s="46" t="n">
        <v>21</v>
      </c>
      <c r="D462" s="46"/>
      <c r="E462" s="44" t="n">
        <f aca="false">AI103</f>
        <v>30</v>
      </c>
      <c r="F462" s="44"/>
      <c r="G462" s="44"/>
      <c r="H462" s="41" t="str">
        <f aca="false">AM103</f>
        <v>Clay</v>
      </c>
      <c r="I462" s="41"/>
      <c r="J462" s="41"/>
      <c r="K462" s="42" t="n">
        <f aca="false">AQ103</f>
        <v>360.3</v>
      </c>
      <c r="L462" s="42"/>
      <c r="M462" s="42"/>
      <c r="N462" s="42" t="n">
        <f aca="false">BC103</f>
        <v>117.981324211207</v>
      </c>
      <c r="O462" s="42"/>
      <c r="P462" s="42"/>
      <c r="Q462" s="55" t="n">
        <f aca="false">BJ103</f>
        <v>1136.36363636364</v>
      </c>
      <c r="R462" s="55"/>
      <c r="S462" s="55"/>
      <c r="T462" s="44" t="n">
        <f aca="false">AU103</f>
        <v>0.681</v>
      </c>
      <c r="U462" s="44"/>
      <c r="V462" s="67" t="n">
        <f aca="false">BH103</f>
        <v>0.176985</v>
      </c>
      <c r="W462" s="67"/>
      <c r="X462" s="67" t="n">
        <f aca="false">BI103</f>
        <v>0.035397</v>
      </c>
      <c r="Y462" s="67"/>
      <c r="Z462" s="68" t="n">
        <f aca="false">BK103</f>
        <v>3.88564179437504</v>
      </c>
      <c r="AA462" s="68"/>
      <c r="AB462" s="68"/>
      <c r="AC462" s="69" t="n">
        <f aca="false">BM103</f>
        <v>0.0504185692541857</v>
      </c>
      <c r="AD462" s="69"/>
      <c r="AE462" s="69"/>
      <c r="AF462" s="12"/>
    </row>
    <row r="463" customFormat="false" ht="14.25" hidden="false" customHeight="false" outlineLevel="0" collapsed="false">
      <c r="B463" s="7"/>
      <c r="C463" s="46" t="n">
        <v>22</v>
      </c>
      <c r="D463" s="46"/>
      <c r="E463" s="44" t="n">
        <f aca="false">AI104</f>
        <v>31.5</v>
      </c>
      <c r="F463" s="44"/>
      <c r="G463" s="44"/>
      <c r="H463" s="41" t="str">
        <f aca="false">AM104</f>
        <v>Clay</v>
      </c>
      <c r="I463" s="41"/>
      <c r="J463" s="41"/>
      <c r="K463" s="42" t="n">
        <f aca="false">AQ104</f>
        <v>374.1</v>
      </c>
      <c r="L463" s="42"/>
      <c r="M463" s="42"/>
      <c r="N463" s="42" t="n">
        <f aca="false">BC104</f>
        <v>116.196457021307</v>
      </c>
      <c r="O463" s="42"/>
      <c r="P463" s="42"/>
      <c r="Q463" s="55" t="n">
        <f aca="false">BJ104</f>
        <v>1136.36363636364</v>
      </c>
      <c r="R463" s="55"/>
      <c r="S463" s="55"/>
      <c r="T463" s="44" t="n">
        <f aca="false">AU104</f>
        <v>0.681</v>
      </c>
      <c r="U463" s="44"/>
      <c r="V463" s="67" t="n">
        <f aca="false">BH104</f>
        <v>0.176985</v>
      </c>
      <c r="W463" s="67"/>
      <c r="X463" s="67" t="n">
        <f aca="false">BI104</f>
        <v>0.035397</v>
      </c>
      <c r="Y463" s="67"/>
      <c r="Z463" s="68" t="n">
        <f aca="false">BK104</f>
        <v>3.7104009300102</v>
      </c>
      <c r="AA463" s="68"/>
      <c r="AB463" s="68"/>
      <c r="AC463" s="69" t="n">
        <f aca="false">BM104</f>
        <v>0.0504185692541857</v>
      </c>
      <c r="AD463" s="69"/>
      <c r="AE463" s="69"/>
      <c r="AF463" s="12"/>
    </row>
    <row r="464" customFormat="false" ht="14.25" hidden="false" customHeight="false" outlineLevel="0" collapsed="false">
      <c r="B464" s="7"/>
      <c r="C464" s="46" t="n">
        <v>23</v>
      </c>
      <c r="D464" s="46"/>
      <c r="E464" s="44" t="n">
        <f aca="false">AI105</f>
        <v>33</v>
      </c>
      <c r="F464" s="44"/>
      <c r="G464" s="44"/>
      <c r="H464" s="41" t="str">
        <f aca="false">AM105</f>
        <v>Clay</v>
      </c>
      <c r="I464" s="41"/>
      <c r="J464" s="41"/>
      <c r="K464" s="42" t="n">
        <f aca="false">AQ105</f>
        <v>387.9</v>
      </c>
      <c r="L464" s="42"/>
      <c r="M464" s="42"/>
      <c r="N464" s="42" t="n">
        <f aca="false">BC105</f>
        <v>114.384248493289</v>
      </c>
      <c r="O464" s="42"/>
      <c r="P464" s="42"/>
      <c r="Q464" s="55" t="n">
        <f aca="false">BJ105</f>
        <v>1136.36363636364</v>
      </c>
      <c r="R464" s="55"/>
      <c r="S464" s="55"/>
      <c r="T464" s="44" t="n">
        <f aca="false">AU105</f>
        <v>0.681</v>
      </c>
      <c r="U464" s="44"/>
      <c r="V464" s="67" t="n">
        <f aca="false">BH105</f>
        <v>0.176985</v>
      </c>
      <c r="W464" s="67"/>
      <c r="X464" s="67" t="n">
        <f aca="false">BI105</f>
        <v>0.035397</v>
      </c>
      <c r="Y464" s="67"/>
      <c r="Z464" s="68" t="n">
        <f aca="false">BK105</f>
        <v>3.54485202413246</v>
      </c>
      <c r="AA464" s="68"/>
      <c r="AB464" s="68"/>
      <c r="AC464" s="69" t="n">
        <f aca="false">BM105</f>
        <v>0.0504185692541857</v>
      </c>
      <c r="AD464" s="69"/>
      <c r="AE464" s="69"/>
      <c r="AF464" s="12"/>
    </row>
    <row r="465" customFormat="false" ht="14.25" hidden="false" customHeight="false" outlineLevel="0" collapsed="false">
      <c r="B465" s="7"/>
      <c r="C465" s="46" t="n">
        <v>24</v>
      </c>
      <c r="D465" s="46"/>
      <c r="E465" s="44" t="n">
        <f aca="false">AI106</f>
        <v>34.5</v>
      </c>
      <c r="F465" s="44"/>
      <c r="G465" s="44"/>
      <c r="H465" s="41" t="str">
        <f aca="false">AM106</f>
        <v>Clay</v>
      </c>
      <c r="I465" s="41"/>
      <c r="J465" s="41"/>
      <c r="K465" s="42" t="n">
        <f aca="false">AQ106</f>
        <v>401.7</v>
      </c>
      <c r="L465" s="42"/>
      <c r="M465" s="42"/>
      <c r="N465" s="42" t="n">
        <f aca="false">BC106</f>
        <v>112.552433017023</v>
      </c>
      <c r="O465" s="42"/>
      <c r="P465" s="42"/>
      <c r="Q465" s="55" t="n">
        <f aca="false">BJ106</f>
        <v>1136.36363636364</v>
      </c>
      <c r="R465" s="55"/>
      <c r="S465" s="55"/>
      <c r="T465" s="44" t="n">
        <f aca="false">AU106</f>
        <v>0.51</v>
      </c>
      <c r="U465" s="44"/>
      <c r="V465" s="67" t="n">
        <f aca="false">BH106</f>
        <v>0.13851</v>
      </c>
      <c r="W465" s="67"/>
      <c r="X465" s="67" t="n">
        <f aca="false">BI106</f>
        <v>0.027702</v>
      </c>
      <c r="Y465" s="67"/>
      <c r="Z465" s="68" t="n">
        <f aca="false">BK106</f>
        <v>2.95203858891761</v>
      </c>
      <c r="AA465" s="68"/>
      <c r="AB465" s="68"/>
      <c r="AC465" s="69" t="n">
        <f aca="false">BM106</f>
        <v>0.0504185692541857</v>
      </c>
      <c r="AD465" s="69"/>
      <c r="AE465" s="69"/>
      <c r="AF465" s="12"/>
    </row>
    <row r="466" customFormat="false" ht="14.25" hidden="false" customHeight="false" outlineLevel="0" collapsed="false">
      <c r="B466" s="7"/>
      <c r="C466" s="46" t="n">
        <v>25</v>
      </c>
      <c r="D466" s="46"/>
      <c r="E466" s="44" t="n">
        <f aca="false">AI107</f>
        <v>36</v>
      </c>
      <c r="F466" s="44"/>
      <c r="G466" s="44"/>
      <c r="H466" s="41" t="str">
        <f aca="false">AM107</f>
        <v>Sand</v>
      </c>
      <c r="I466" s="41"/>
      <c r="J466" s="41"/>
      <c r="K466" s="42" t="n">
        <f aca="false">AQ107</f>
        <v>415.5</v>
      </c>
      <c r="L466" s="42"/>
      <c r="M466" s="42"/>
      <c r="N466" s="42" t="n">
        <f aca="false">BC107</f>
        <v>110.708045010863</v>
      </c>
      <c r="O466" s="42"/>
      <c r="P466" s="42"/>
      <c r="Q466" s="55" t="n">
        <f aca="false">BJ107</f>
        <v>0</v>
      </c>
      <c r="R466" s="55"/>
      <c r="S466" s="55"/>
      <c r="T466" s="44" t="n">
        <f aca="false">AU107</f>
        <v>0.65</v>
      </c>
      <c r="U466" s="44"/>
      <c r="V466" s="67" t="n">
        <f aca="false">BH107</f>
        <v>0</v>
      </c>
      <c r="W466" s="67"/>
      <c r="X466" s="67" t="n">
        <f aca="false">BI107</f>
        <v>0</v>
      </c>
      <c r="Y466" s="67"/>
      <c r="Z466" s="68" t="n">
        <f aca="false">BK107</f>
        <v>0</v>
      </c>
      <c r="AA466" s="68"/>
      <c r="AB466" s="68"/>
      <c r="AC466" s="69" t="n">
        <f aca="false">BM107</f>
        <v>0</v>
      </c>
      <c r="AD466" s="69"/>
      <c r="AE466" s="69"/>
      <c r="AF466" s="12"/>
    </row>
    <row r="467" customFormat="false" ht="14.25" hidden="false" customHeight="false" outlineLevel="0" collapsed="false">
      <c r="B467" s="7"/>
      <c r="C467" s="46" t="n">
        <v>26</v>
      </c>
      <c r="D467" s="46"/>
      <c r="E467" s="44" t="n">
        <f aca="false">AI108</f>
        <v>37.5</v>
      </c>
      <c r="F467" s="44"/>
      <c r="G467" s="44"/>
      <c r="H467" s="41" t="str">
        <f aca="false">AM108</f>
        <v>Clay</v>
      </c>
      <c r="I467" s="41"/>
      <c r="J467" s="41"/>
      <c r="K467" s="42" t="n">
        <f aca="false">AQ108</f>
        <v>429.3</v>
      </c>
      <c r="L467" s="42"/>
      <c r="M467" s="42"/>
      <c r="N467" s="42" t="n">
        <f aca="false">BC108</f>
        <v>108.857419132691</v>
      </c>
      <c r="O467" s="42"/>
      <c r="P467" s="42"/>
      <c r="Q467" s="55" t="n">
        <f aca="false">BJ108</f>
        <v>1136.36363636364</v>
      </c>
      <c r="R467" s="55"/>
      <c r="S467" s="55"/>
      <c r="T467" s="44" t="n">
        <f aca="false">AU108</f>
        <v>1.001</v>
      </c>
      <c r="U467" s="44"/>
      <c r="V467" s="67" t="n">
        <f aca="false">BH108</f>
        <v>0.29304</v>
      </c>
      <c r="W467" s="67"/>
      <c r="X467" s="67" t="n">
        <f aca="false">BI108</f>
        <v>0.058608</v>
      </c>
      <c r="Y467" s="67"/>
      <c r="Z467" s="68" t="n">
        <f aca="false">BK108</f>
        <v>4.31205695108541</v>
      </c>
      <c r="AA467" s="68"/>
      <c r="AB467" s="68"/>
      <c r="AC467" s="69" t="n">
        <f aca="false">BM108</f>
        <v>0.122561700249364</v>
      </c>
      <c r="AD467" s="69"/>
      <c r="AE467" s="69"/>
      <c r="AF467" s="12"/>
    </row>
    <row r="468" customFormat="false" ht="14.25" hidden="false" customHeight="false" outlineLevel="0" collapsed="false">
      <c r="B468" s="7"/>
      <c r="C468" s="46" t="n">
        <v>27</v>
      </c>
      <c r="D468" s="46"/>
      <c r="E468" s="44" t="n">
        <f aca="false">AI109</f>
        <v>39</v>
      </c>
      <c r="F468" s="44"/>
      <c r="G468" s="44"/>
      <c r="H468" s="41" t="str">
        <f aca="false">AM109</f>
        <v>Clay</v>
      </c>
      <c r="I468" s="41"/>
      <c r="J468" s="41"/>
      <c r="K468" s="42" t="n">
        <f aca="false">AQ109</f>
        <v>443.1</v>
      </c>
      <c r="L468" s="42"/>
      <c r="M468" s="42"/>
      <c r="N468" s="42" t="n">
        <f aca="false">BC109</f>
        <v>107.006207567439</v>
      </c>
      <c r="O468" s="42"/>
      <c r="P468" s="42"/>
      <c r="Q468" s="55" t="n">
        <f aca="false">BJ109</f>
        <v>1136.36363636364</v>
      </c>
      <c r="R468" s="55"/>
      <c r="S468" s="55"/>
      <c r="T468" s="44" t="n">
        <f aca="false">AU109</f>
        <v>0.681</v>
      </c>
      <c r="U468" s="44"/>
      <c r="V468" s="67" t="n">
        <f aca="false">BH109</f>
        <v>0.176985</v>
      </c>
      <c r="W468" s="67"/>
      <c r="X468" s="67" t="n">
        <f aca="false">BI109</f>
        <v>0.035397</v>
      </c>
      <c r="Y468" s="67"/>
      <c r="Z468" s="68" t="n">
        <f aca="false">BK109</f>
        <v>2.96730868403779</v>
      </c>
      <c r="AA468" s="68"/>
      <c r="AB468" s="68"/>
      <c r="AC468" s="69" t="n">
        <f aca="false">BM109</f>
        <v>0.0504185692541857</v>
      </c>
      <c r="AD468" s="69"/>
      <c r="AE468" s="69"/>
      <c r="AF468" s="12"/>
    </row>
    <row r="469" customFormat="false" ht="14.25" hidden="false" customHeight="false" outlineLevel="0" collapsed="false">
      <c r="B469" s="7"/>
      <c r="C469" s="46" t="n">
        <v>28</v>
      </c>
      <c r="D469" s="46"/>
      <c r="E469" s="44" t="n">
        <f aca="false">AI110</f>
        <v>40.5</v>
      </c>
      <c r="F469" s="44"/>
      <c r="G469" s="44"/>
      <c r="H469" s="41" t="str">
        <f aca="false">AM110</f>
        <v>Clay</v>
      </c>
      <c r="I469" s="41"/>
      <c r="J469" s="41"/>
      <c r="K469" s="42" t="n">
        <f aca="false">AQ110</f>
        <v>456.9</v>
      </c>
      <c r="L469" s="42"/>
      <c r="M469" s="42"/>
      <c r="N469" s="42" t="n">
        <f aca="false">BC110</f>
        <v>105.159409672716</v>
      </c>
      <c r="O469" s="42"/>
      <c r="P469" s="42"/>
      <c r="Q469" s="55" t="n">
        <f aca="false">BJ110</f>
        <v>1136.36363636364</v>
      </c>
      <c r="R469" s="55"/>
      <c r="S469" s="55"/>
      <c r="T469" s="44" t="n">
        <f aca="false">AU110</f>
        <v>0.836</v>
      </c>
      <c r="U469" s="44"/>
      <c r="V469" s="67" t="n">
        <f aca="false">BH110</f>
        <v>0.24138</v>
      </c>
      <c r="W469" s="67"/>
      <c r="X469" s="67" t="n">
        <f aca="false">BI110</f>
        <v>0.048276</v>
      </c>
      <c r="Y469" s="67"/>
      <c r="Z469" s="68" t="n">
        <f aca="false">BK110</f>
        <v>3.54817023466543</v>
      </c>
      <c r="AA469" s="68"/>
      <c r="AB469" s="68"/>
      <c r="AC469" s="69" t="n">
        <f aca="false">BM110</f>
        <v>0.0808896533802925</v>
      </c>
      <c r="AD469" s="69"/>
      <c r="AE469" s="69"/>
      <c r="AF469" s="12"/>
    </row>
    <row r="470" customFormat="false" ht="14.25" hidden="false" customHeight="false" outlineLevel="0" collapsed="false">
      <c r="B470" s="7"/>
      <c r="C470" s="46" t="n">
        <v>29</v>
      </c>
      <c r="D470" s="46"/>
      <c r="E470" s="44" t="n">
        <f aca="false">AI111</f>
        <v>42</v>
      </c>
      <c r="F470" s="44"/>
      <c r="G470" s="44"/>
      <c r="H470" s="41" t="str">
        <f aca="false">AM111</f>
        <v>Clay</v>
      </c>
      <c r="I470" s="41"/>
      <c r="J470" s="41"/>
      <c r="K470" s="42" t="n">
        <f aca="false">AQ111</f>
        <v>470.7</v>
      </c>
      <c r="L470" s="42"/>
      <c r="M470" s="42"/>
      <c r="N470" s="42" t="n">
        <f aca="false">BC111</f>
        <v>103.321410046931</v>
      </c>
      <c r="O470" s="42"/>
      <c r="P470" s="42"/>
      <c r="Q470" s="55" t="n">
        <f aca="false">BJ111</f>
        <v>1136.36363636364</v>
      </c>
      <c r="R470" s="55"/>
      <c r="S470" s="55"/>
      <c r="T470" s="44" t="n">
        <f aca="false">AU111</f>
        <v>0.681</v>
      </c>
      <c r="U470" s="44"/>
      <c r="V470" s="67" t="n">
        <f aca="false">BH111</f>
        <v>0.176985</v>
      </c>
      <c r="W470" s="67"/>
      <c r="X470" s="67" t="n">
        <f aca="false">BI111</f>
        <v>0.035397</v>
      </c>
      <c r="Y470" s="67"/>
      <c r="Z470" s="68" t="n">
        <f aca="false">BK111</f>
        <v>2.72217542131021</v>
      </c>
      <c r="AA470" s="68"/>
      <c r="AB470" s="68"/>
      <c r="AC470" s="69" t="n">
        <f aca="false">BM111</f>
        <v>0.0504185692541857</v>
      </c>
      <c r="AD470" s="69"/>
      <c r="AE470" s="69"/>
      <c r="AF470" s="12"/>
    </row>
    <row r="471" customFormat="false" ht="14.25" hidden="false" customHeight="false" outlineLevel="0" collapsed="false">
      <c r="B471" s="7"/>
      <c r="C471" s="46" t="n">
        <v>30</v>
      </c>
      <c r="D471" s="46"/>
      <c r="E471" s="44" t="n">
        <f aca="false">AI112</f>
        <v>43.5</v>
      </c>
      <c r="F471" s="44"/>
      <c r="G471" s="44"/>
      <c r="H471" s="41" t="str">
        <f aca="false">AM112</f>
        <v>Clay</v>
      </c>
      <c r="I471" s="41"/>
      <c r="J471" s="41"/>
      <c r="K471" s="42" t="n">
        <f aca="false">AQ112</f>
        <v>484.5</v>
      </c>
      <c r="L471" s="42"/>
      <c r="M471" s="42"/>
      <c r="N471" s="42" t="n">
        <f aca="false">BC112</f>
        <v>101.496021828265</v>
      </c>
      <c r="O471" s="42"/>
      <c r="P471" s="42"/>
      <c r="Q471" s="55" t="n">
        <f aca="false">BJ112</f>
        <v>1136.36363636364</v>
      </c>
      <c r="R471" s="55"/>
      <c r="S471" s="55"/>
      <c r="T471" s="44" t="n">
        <f aca="false">AU112</f>
        <v>0.703</v>
      </c>
      <c r="U471" s="44"/>
      <c r="V471" s="67" t="n">
        <f aca="false">BH112</f>
        <v>0.1809</v>
      </c>
      <c r="W471" s="67"/>
      <c r="X471" s="67" t="n">
        <f aca="false">BI112</f>
        <v>0.03618</v>
      </c>
      <c r="Y471" s="67"/>
      <c r="Z471" s="68" t="n">
        <f aca="false">BK112</f>
        <v>2.63226664779274</v>
      </c>
      <c r="AA471" s="68"/>
      <c r="AB471" s="68"/>
      <c r="AC471" s="69" t="n">
        <f aca="false">BM112</f>
        <v>0.0507692581364213</v>
      </c>
      <c r="AD471" s="69"/>
      <c r="AE471" s="69"/>
      <c r="AF471" s="12"/>
    </row>
    <row r="472" customFormat="false" ht="14.25" hidden="false" customHeight="false" outlineLevel="0" collapsed="false">
      <c r="B472" s="7"/>
      <c r="C472" s="46" t="n">
        <v>31</v>
      </c>
      <c r="D472" s="46"/>
      <c r="E472" s="44" t="n">
        <f aca="false">AI113</f>
        <v>45</v>
      </c>
      <c r="F472" s="44"/>
      <c r="G472" s="44"/>
      <c r="H472" s="41" t="str">
        <f aca="false">AM113</f>
        <v>Clay</v>
      </c>
      <c r="I472" s="41"/>
      <c r="J472" s="41"/>
      <c r="K472" s="42" t="n">
        <f aca="false">AQ113</f>
        <v>498.3</v>
      </c>
      <c r="L472" s="42"/>
      <c r="M472" s="42"/>
      <c r="N472" s="42" t="n">
        <f aca="false">BC113</f>
        <v>99.6865327062518</v>
      </c>
      <c r="O472" s="42"/>
      <c r="P472" s="42"/>
      <c r="Q472" s="55" t="n">
        <f aca="false">BJ113</f>
        <v>750</v>
      </c>
      <c r="R472" s="55"/>
      <c r="S472" s="55"/>
      <c r="T472" s="44" t="n">
        <f aca="false">AU113</f>
        <v>0.681</v>
      </c>
      <c r="U472" s="44"/>
      <c r="V472" s="67" t="n">
        <f aca="false">BH113</f>
        <v>0.176985</v>
      </c>
      <c r="W472" s="67"/>
      <c r="X472" s="67" t="n">
        <f aca="false">BI113</f>
        <v>0.035397</v>
      </c>
      <c r="Y472" s="67"/>
      <c r="Z472" s="68" t="n">
        <f aca="false">BK113</f>
        <v>2.50160083605425</v>
      </c>
      <c r="AA472" s="68"/>
      <c r="AB472" s="68"/>
      <c r="AC472" s="69" t="n">
        <f aca="false">BM113</f>
        <v>0.0504185692541857</v>
      </c>
      <c r="AD472" s="69"/>
      <c r="AE472" s="69"/>
      <c r="AF472" s="12"/>
    </row>
    <row r="473" customFormat="false" ht="14.25" hidden="false" customHeight="false" outlineLevel="0" collapsed="false">
      <c r="B473" s="7"/>
      <c r="C473" s="46" t="n">
        <v>32</v>
      </c>
      <c r="D473" s="46"/>
      <c r="E473" s="44" t="n">
        <f aca="false">AI114</f>
        <v>46.5</v>
      </c>
      <c r="F473" s="44"/>
      <c r="G473" s="44"/>
      <c r="H473" s="41" t="str">
        <f aca="false">AM114</f>
        <v>Clay</v>
      </c>
      <c r="I473" s="41"/>
      <c r="J473" s="41"/>
      <c r="K473" s="42" t="n">
        <f aca="false">AQ114</f>
        <v>512.1</v>
      </c>
      <c r="L473" s="42"/>
      <c r="M473" s="42"/>
      <c r="N473" s="42" t="n">
        <f aca="false">BC114</f>
        <v>97.8957517150986</v>
      </c>
      <c r="O473" s="42"/>
      <c r="P473" s="42"/>
      <c r="Q473" s="55" t="n">
        <f aca="false">BJ114</f>
        <v>818.181818181818</v>
      </c>
      <c r="R473" s="55"/>
      <c r="S473" s="55"/>
      <c r="T473" s="44" t="n">
        <f aca="false">AU114</f>
        <v>0.841</v>
      </c>
      <c r="U473" s="44"/>
      <c r="V473" s="67" t="n">
        <f aca="false">BH114</f>
        <v>0.26424</v>
      </c>
      <c r="W473" s="67"/>
      <c r="X473" s="67" t="n">
        <f aca="false">BI114</f>
        <v>0.052848</v>
      </c>
      <c r="Y473" s="67"/>
      <c r="Z473" s="68" t="n">
        <f aca="false">BK114</f>
        <v>0</v>
      </c>
      <c r="AA473" s="68"/>
      <c r="AB473" s="68"/>
      <c r="AC473" s="69" t="n">
        <f aca="false">BM114</f>
        <v>0</v>
      </c>
      <c r="AD473" s="69"/>
      <c r="AE473" s="69"/>
      <c r="AF473" s="12"/>
    </row>
    <row r="474" customFormat="false" ht="14.25" hidden="false" customHeight="false" outlineLevel="0" collapsed="false">
      <c r="B474" s="7"/>
      <c r="C474" s="46" t="n">
        <v>33</v>
      </c>
      <c r="D474" s="46"/>
      <c r="E474" s="44" t="n">
        <f aca="false">AI115</f>
        <v>48</v>
      </c>
      <c r="F474" s="44"/>
      <c r="G474" s="44"/>
      <c r="H474" s="41" t="str">
        <f aca="false">AM115</f>
        <v>Clay</v>
      </c>
      <c r="I474" s="41"/>
      <c r="J474" s="41"/>
      <c r="K474" s="42" t="n">
        <f aca="false">AQ115</f>
        <v>525.9</v>
      </c>
      <c r="L474" s="42"/>
      <c r="M474" s="42"/>
      <c r="N474" s="42" t="n">
        <f aca="false">BC115</f>
        <v>96.1260553748583</v>
      </c>
      <c r="O474" s="42"/>
      <c r="P474" s="42"/>
      <c r="Q474" s="55" t="n">
        <f aca="false">BJ115</f>
        <v>704.545454545455</v>
      </c>
      <c r="R474" s="55"/>
      <c r="S474" s="55"/>
      <c r="T474" s="44" t="n">
        <f aca="false">AU115</f>
        <v>0.681</v>
      </c>
      <c r="U474" s="44"/>
      <c r="V474" s="67" t="n">
        <f aca="false">BH115</f>
        <v>0.176985</v>
      </c>
      <c r="W474" s="67"/>
      <c r="X474" s="67" t="n">
        <f aca="false">BI115</f>
        <v>0.035397</v>
      </c>
      <c r="Y474" s="67"/>
      <c r="Z474" s="68" t="n">
        <f aca="false">BK115</f>
        <v>0</v>
      </c>
      <c r="AA474" s="68"/>
      <c r="AB474" s="68"/>
      <c r="AC474" s="69" t="n">
        <f aca="false">BM115</f>
        <v>0</v>
      </c>
      <c r="AD474" s="69"/>
      <c r="AE474" s="69"/>
      <c r="AF474" s="12"/>
    </row>
    <row r="475" customFormat="false" ht="14.25" hidden="false" customHeight="false" outlineLevel="0" collapsed="false">
      <c r="B475" s="7"/>
      <c r="C475" s="46" t="n">
        <v>34</v>
      </c>
      <c r="D475" s="46"/>
      <c r="E475" s="44" t="n">
        <f aca="false">AI116</f>
        <v>49.5</v>
      </c>
      <c r="F475" s="44"/>
      <c r="G475" s="44"/>
      <c r="H475" s="41" t="str">
        <f aca="false">AM116</f>
        <v>Sand</v>
      </c>
      <c r="I475" s="41"/>
      <c r="J475" s="41"/>
      <c r="K475" s="42" t="n">
        <f aca="false">AQ116</f>
        <v>539.7</v>
      </c>
      <c r="L475" s="42"/>
      <c r="M475" s="42"/>
      <c r="N475" s="42" t="n">
        <f aca="false">BC116</f>
        <v>94.379432156388</v>
      </c>
      <c r="O475" s="42"/>
      <c r="P475" s="42"/>
      <c r="Q475" s="55" t="n">
        <f aca="false">BJ116</f>
        <v>0</v>
      </c>
      <c r="R475" s="55"/>
      <c r="S475" s="55"/>
      <c r="T475" s="44" t="n">
        <f aca="false">AU116</f>
        <v>0.357</v>
      </c>
      <c r="U475" s="44"/>
      <c r="V475" s="67" t="n">
        <f aca="false">BH116</f>
        <v>0</v>
      </c>
      <c r="W475" s="67"/>
      <c r="X475" s="67" t="n">
        <f aca="false">BI116</f>
        <v>0</v>
      </c>
      <c r="Y475" s="67"/>
      <c r="Z475" s="68" t="n">
        <f aca="false">BK116</f>
        <v>0</v>
      </c>
      <c r="AA475" s="68"/>
      <c r="AB475" s="68"/>
      <c r="AC475" s="69" t="n">
        <f aca="false">BM116</f>
        <v>0</v>
      </c>
      <c r="AD475" s="69"/>
      <c r="AE475" s="69"/>
      <c r="AF475" s="12"/>
    </row>
    <row r="476" customFormat="false" ht="14.25" hidden="false" customHeight="false" outlineLevel="0" collapsed="false">
      <c r="B476" s="7"/>
      <c r="C476" s="46" t="n">
        <v>35</v>
      </c>
      <c r="D476" s="46"/>
      <c r="E476" s="44" t="n">
        <f aca="false">AI117</f>
        <v>51</v>
      </c>
      <c r="F476" s="44"/>
      <c r="G476" s="44"/>
      <c r="H476" s="41" t="str">
        <f aca="false">AM117</f>
        <v>Sand</v>
      </c>
      <c r="I476" s="41"/>
      <c r="J476" s="41"/>
      <c r="K476" s="42" t="n">
        <f aca="false">AQ117</f>
        <v>553.499999999999</v>
      </c>
      <c r="L476" s="42"/>
      <c r="M476" s="42"/>
      <c r="N476" s="42" t="n">
        <f aca="false">BC117</f>
        <v>92.657524576064</v>
      </c>
      <c r="O476" s="42"/>
      <c r="P476" s="42"/>
      <c r="Q476" s="55" t="n">
        <f aca="false">BJ117</f>
        <v>0</v>
      </c>
      <c r="R476" s="55"/>
      <c r="S476" s="55"/>
      <c r="T476" s="44" t="n">
        <f aca="false">AU117</f>
        <v>0.65</v>
      </c>
      <c r="U476" s="44"/>
      <c r="V476" s="67" t="n">
        <f aca="false">BH117</f>
        <v>0</v>
      </c>
      <c r="W476" s="67"/>
      <c r="X476" s="67" t="n">
        <f aca="false">BI117</f>
        <v>0</v>
      </c>
      <c r="Y476" s="67"/>
      <c r="Z476" s="68" t="n">
        <f aca="false">BK117</f>
        <v>0</v>
      </c>
      <c r="AA476" s="68"/>
      <c r="AB476" s="68"/>
      <c r="AC476" s="69" t="n">
        <f aca="false">BM117</f>
        <v>0</v>
      </c>
      <c r="AD476" s="69"/>
      <c r="AE476" s="69"/>
      <c r="AF476" s="12"/>
    </row>
    <row r="477" customFormat="false" ht="14.25" hidden="false" customHeight="false" outlineLevel="0" collapsed="false">
      <c r="B477" s="7"/>
      <c r="C477" s="46" t="n">
        <v>36</v>
      </c>
      <c r="D477" s="46"/>
      <c r="E477" s="44" t="n">
        <f aca="false">AI118</f>
        <v>52.5</v>
      </c>
      <c r="F477" s="44"/>
      <c r="G477" s="44"/>
      <c r="H477" s="41" t="str">
        <f aca="false">AM118</f>
        <v>Clay</v>
      </c>
      <c r="I477" s="41"/>
      <c r="J477" s="41"/>
      <c r="K477" s="42" t="n">
        <f aca="false">AQ118</f>
        <v>567.299999999999</v>
      </c>
      <c r="L477" s="42"/>
      <c r="M477" s="42"/>
      <c r="N477" s="42" t="n">
        <f aca="false">BC118</f>
        <v>90.9616684860851</v>
      </c>
      <c r="O477" s="42"/>
      <c r="P477" s="42"/>
      <c r="Q477" s="55" t="n">
        <f aca="false">BJ118</f>
        <v>704.545454545455</v>
      </c>
      <c r="R477" s="55"/>
      <c r="S477" s="55"/>
      <c r="T477" s="44" t="n">
        <f aca="false">AU118</f>
        <v>0.681</v>
      </c>
      <c r="U477" s="44"/>
      <c r="V477" s="67" t="n">
        <f aca="false">BH118</f>
        <v>0.176985</v>
      </c>
      <c r="W477" s="67"/>
      <c r="X477" s="67" t="n">
        <f aca="false">BI118</f>
        <v>0.035397</v>
      </c>
      <c r="Y477" s="67"/>
      <c r="Z477" s="68" t="n">
        <f aca="false">BK118</f>
        <v>0</v>
      </c>
      <c r="AA477" s="68"/>
      <c r="AB477" s="68"/>
      <c r="AC477" s="69" t="n">
        <f aca="false">BM118</f>
        <v>0</v>
      </c>
      <c r="AD477" s="69"/>
      <c r="AE477" s="69"/>
      <c r="AF477" s="12"/>
    </row>
    <row r="478" customFormat="false" ht="14.25" hidden="false" customHeight="false" outlineLevel="0" collapsed="false">
      <c r="B478" s="7"/>
      <c r="C478" s="46" t="n">
        <v>37</v>
      </c>
      <c r="D478" s="46"/>
      <c r="E478" s="44" t="n">
        <f aca="false">AI119</f>
        <v>54</v>
      </c>
      <c r="F478" s="44"/>
      <c r="G478" s="44"/>
      <c r="H478" s="41" t="str">
        <f aca="false">AM119</f>
        <v>Sand</v>
      </c>
      <c r="I478" s="41"/>
      <c r="J478" s="41"/>
      <c r="K478" s="42" t="n">
        <f aca="false">AQ119</f>
        <v>581.099999999999</v>
      </c>
      <c r="L478" s="42"/>
      <c r="M478" s="42"/>
      <c r="N478" s="42" t="n">
        <f aca="false">BC119</f>
        <v>89.2929293261871</v>
      </c>
      <c r="O478" s="42"/>
      <c r="P478" s="42"/>
      <c r="Q478" s="55" t="n">
        <f aca="false">BJ119</f>
        <v>0</v>
      </c>
      <c r="R478" s="55"/>
      <c r="S478" s="55"/>
      <c r="T478" s="44" t="n">
        <f aca="false">AU119</f>
        <v>0.65</v>
      </c>
      <c r="U478" s="44"/>
      <c r="V478" s="67" t="n">
        <f aca="false">BH119</f>
        <v>0</v>
      </c>
      <c r="W478" s="67"/>
      <c r="X478" s="67" t="n">
        <f aca="false">BI119</f>
        <v>0</v>
      </c>
      <c r="Y478" s="67"/>
      <c r="Z478" s="68" t="n">
        <f aca="false">BK119</f>
        <v>0</v>
      </c>
      <c r="AA478" s="68"/>
      <c r="AB478" s="68"/>
      <c r="AC478" s="69" t="n">
        <f aca="false">BM119</f>
        <v>0</v>
      </c>
      <c r="AD478" s="69"/>
      <c r="AE478" s="69"/>
      <c r="AF478" s="12"/>
    </row>
    <row r="479" customFormat="false" ht="14.25" hidden="false" customHeight="false" outlineLevel="0" collapsed="false">
      <c r="B479" s="7"/>
      <c r="C479" s="46" t="n">
        <v>38</v>
      </c>
      <c r="D479" s="46"/>
      <c r="E479" s="44" t="n">
        <f aca="false">AI120</f>
        <v>55.5</v>
      </c>
      <c r="F479" s="44"/>
      <c r="G479" s="44"/>
      <c r="H479" s="41" t="str">
        <f aca="false">AM120</f>
        <v>Sand</v>
      </c>
      <c r="I479" s="41"/>
      <c r="J479" s="41"/>
      <c r="K479" s="42" t="n">
        <f aca="false">AQ120</f>
        <v>594.899999999999</v>
      </c>
      <c r="L479" s="42"/>
      <c r="M479" s="42"/>
      <c r="N479" s="42" t="n">
        <f aca="false">BC120</f>
        <v>87.6521352527307</v>
      </c>
      <c r="O479" s="42"/>
      <c r="P479" s="42"/>
      <c r="Q479" s="55" t="n">
        <f aca="false">BJ120</f>
        <v>0</v>
      </c>
      <c r="R479" s="55"/>
      <c r="S479" s="55"/>
      <c r="T479" s="44" t="n">
        <f aca="false">AU120</f>
        <v>0.65</v>
      </c>
      <c r="U479" s="44"/>
      <c r="V479" s="67" t="n">
        <f aca="false">BH120</f>
        <v>0</v>
      </c>
      <c r="W479" s="67"/>
      <c r="X479" s="67" t="n">
        <f aca="false">BI120</f>
        <v>0</v>
      </c>
      <c r="Y479" s="67"/>
      <c r="Z479" s="68" t="n">
        <f aca="false">BK120</f>
        <v>0</v>
      </c>
      <c r="AA479" s="68"/>
      <c r="AB479" s="68"/>
      <c r="AC479" s="69" t="n">
        <f aca="false">BM120</f>
        <v>0</v>
      </c>
      <c r="AD479" s="69"/>
      <c r="AE479" s="69"/>
      <c r="AF479" s="12"/>
    </row>
    <row r="480" customFormat="false" ht="14.25" hidden="false" customHeight="false" outlineLevel="0" collapsed="false">
      <c r="B480" s="7"/>
      <c r="C480" s="46" t="n">
        <v>39</v>
      </c>
      <c r="D480" s="46"/>
      <c r="E480" s="44" t="n">
        <f aca="false">AI121</f>
        <v>57</v>
      </c>
      <c r="F480" s="44"/>
      <c r="G480" s="44"/>
      <c r="H480" s="41" t="str">
        <f aca="false">AM121</f>
        <v>Sand</v>
      </c>
      <c r="I480" s="41"/>
      <c r="J480" s="41"/>
      <c r="K480" s="42" t="n">
        <f aca="false">AQ121</f>
        <v>608.699999999999</v>
      </c>
      <c r="L480" s="42"/>
      <c r="M480" s="42"/>
      <c r="N480" s="42" t="n">
        <f aca="false">BC121</f>
        <v>86.0399071706701</v>
      </c>
      <c r="O480" s="42"/>
      <c r="P480" s="42"/>
      <c r="Q480" s="55" t="n">
        <f aca="false">BJ121</f>
        <v>0</v>
      </c>
      <c r="R480" s="55"/>
      <c r="S480" s="55"/>
      <c r="T480" s="44" t="n">
        <f aca="false">AU121</f>
        <v>0.65</v>
      </c>
      <c r="U480" s="44"/>
      <c r="V480" s="67" t="n">
        <f aca="false">BH121</f>
        <v>0</v>
      </c>
      <c r="W480" s="67"/>
      <c r="X480" s="67" t="n">
        <f aca="false">BI121</f>
        <v>0</v>
      </c>
      <c r="Y480" s="67"/>
      <c r="Z480" s="68" t="n">
        <f aca="false">BK121</f>
        <v>0</v>
      </c>
      <c r="AA480" s="68"/>
      <c r="AB480" s="68"/>
      <c r="AC480" s="69" t="n">
        <f aca="false">BM121</f>
        <v>0</v>
      </c>
      <c r="AD480" s="69"/>
      <c r="AE480" s="69"/>
      <c r="AF480" s="12"/>
    </row>
    <row r="481" customFormat="false" ht="14.25" hidden="false" customHeight="false" outlineLevel="0" collapsed="false">
      <c r="B481" s="7"/>
      <c r="C481" s="46" t="n">
        <v>40</v>
      </c>
      <c r="D481" s="46"/>
      <c r="E481" s="44" t="n">
        <f aca="false">AI122</f>
        <v>58.5</v>
      </c>
      <c r="F481" s="44"/>
      <c r="G481" s="44"/>
      <c r="H481" s="41" t="str">
        <f aca="false">AM122</f>
        <v>Sand</v>
      </c>
      <c r="I481" s="41"/>
      <c r="J481" s="41"/>
      <c r="K481" s="42" t="n">
        <f aca="false">AQ122</f>
        <v>620.199999999999</v>
      </c>
      <c r="L481" s="42"/>
      <c r="M481" s="42"/>
      <c r="N481" s="42" t="n">
        <f aca="false">BC122</f>
        <v>84.7185277966616</v>
      </c>
      <c r="O481" s="42"/>
      <c r="P481" s="42"/>
      <c r="Q481" s="55" t="n">
        <f aca="false">BJ122</f>
        <v>0</v>
      </c>
      <c r="R481" s="55"/>
      <c r="S481" s="55"/>
      <c r="T481" s="44" t="n">
        <f aca="false">AU122</f>
        <v>0.65</v>
      </c>
      <c r="U481" s="44"/>
      <c r="V481" s="67" t="n">
        <f aca="false">BH122</f>
        <v>0</v>
      </c>
      <c r="W481" s="67"/>
      <c r="X481" s="67" t="n">
        <f aca="false">BI122</f>
        <v>0</v>
      </c>
      <c r="Y481" s="67"/>
      <c r="Z481" s="68" t="n">
        <f aca="false">BK122</f>
        <v>0</v>
      </c>
      <c r="AA481" s="68"/>
      <c r="AB481" s="68"/>
      <c r="AC481" s="69" t="n">
        <f aca="false">BM122</f>
        <v>0</v>
      </c>
      <c r="AD481" s="69"/>
      <c r="AE481" s="69"/>
      <c r="AF481" s="12"/>
    </row>
    <row r="482" customFormat="false" ht="14.25" hidden="false" customHeight="false" outlineLevel="0" collapsed="false">
      <c r="B482" s="7"/>
      <c r="C482" s="60" t="n">
        <v>41</v>
      </c>
      <c r="D482" s="60"/>
      <c r="E482" s="61" t="n">
        <f aca="false">AI123</f>
        <v>59.5</v>
      </c>
      <c r="F482" s="61"/>
      <c r="G482" s="61"/>
      <c r="H482" s="48" t="str">
        <f aca="false">AM123</f>
        <v>Sand</v>
      </c>
      <c r="I482" s="48"/>
      <c r="J482" s="48"/>
      <c r="K482" s="49" t="n">
        <f aca="false">AQ123</f>
        <v>627.099999999999</v>
      </c>
      <c r="L482" s="49"/>
      <c r="M482" s="49"/>
      <c r="N482" s="49" t="n">
        <f aca="false">BC123</f>
        <v>83.9354445039259</v>
      </c>
      <c r="O482" s="49"/>
      <c r="P482" s="49"/>
      <c r="Q482" s="62" t="n">
        <f aca="false">BJ123</f>
        <v>0</v>
      </c>
      <c r="R482" s="62"/>
      <c r="S482" s="62"/>
      <c r="T482" s="61" t="n">
        <f aca="false">AU123</f>
        <v>0.65</v>
      </c>
      <c r="U482" s="61"/>
      <c r="V482" s="70" t="n">
        <f aca="false">BH123</f>
        <v>0</v>
      </c>
      <c r="W482" s="70"/>
      <c r="X482" s="70" t="n">
        <f aca="false">BI123</f>
        <v>0</v>
      </c>
      <c r="Y482" s="70"/>
      <c r="Z482" s="71" t="n">
        <f aca="false">BK123</f>
        <v>0</v>
      </c>
      <c r="AA482" s="71"/>
      <c r="AB482" s="71"/>
      <c r="AC482" s="72" t="n">
        <f aca="false">BM123</f>
        <v>0</v>
      </c>
      <c r="AD482" s="72"/>
      <c r="AE482" s="72"/>
      <c r="AF482" s="12"/>
    </row>
    <row r="483" customFormat="false" ht="14.25" hidden="false" customHeight="false" outlineLevel="0" collapsed="false">
      <c r="B483" s="7"/>
      <c r="AF483" s="12"/>
    </row>
    <row r="484" customFormat="false" ht="14.25" hidden="false" customHeight="true" outlineLevel="0" collapsed="false">
      <c r="B484" s="7"/>
      <c r="C484" s="20" t="s">
        <v>305</v>
      </c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1" t="s">
        <v>306</v>
      </c>
      <c r="P484" s="21"/>
      <c r="Q484" s="21"/>
      <c r="R484" s="21"/>
      <c r="S484" s="21"/>
      <c r="T484" s="21"/>
      <c r="U484" s="21"/>
      <c r="V484" s="21"/>
      <c r="W484" s="21"/>
      <c r="X484" s="22" t="s">
        <v>307</v>
      </c>
      <c r="Y484" s="22"/>
      <c r="Z484" s="22"/>
      <c r="AA484" s="24" t="n">
        <f aca="false">SUM(BK83:BK123)</f>
        <v>139.187395629002</v>
      </c>
      <c r="AB484" s="24"/>
      <c r="AC484" s="24"/>
      <c r="AD484" s="20" t="s">
        <v>45</v>
      </c>
      <c r="AE484" s="20"/>
      <c r="AF484" s="12"/>
    </row>
    <row r="485" customFormat="false" ht="14.25" hidden="false" customHeight="true" outlineLevel="0" collapsed="false">
      <c r="B485" s="7"/>
      <c r="C485" s="20" t="s">
        <v>308</v>
      </c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1" t="s">
        <v>309</v>
      </c>
      <c r="P485" s="21"/>
      <c r="Q485" s="21"/>
      <c r="R485" s="21"/>
      <c r="S485" s="21"/>
      <c r="T485" s="21"/>
      <c r="U485" s="21"/>
      <c r="V485" s="21"/>
      <c r="W485" s="21"/>
      <c r="X485" s="22" t="s">
        <v>310</v>
      </c>
      <c r="Y485" s="22"/>
      <c r="Z485" s="22"/>
      <c r="AA485" s="50" t="n">
        <f aca="false">MAX(BM83:BM123)</f>
        <v>0.122561700249364</v>
      </c>
      <c r="AB485" s="50"/>
      <c r="AC485" s="50"/>
      <c r="AD485" s="20" t="s">
        <v>124</v>
      </c>
      <c r="AE485" s="20"/>
      <c r="AF485" s="12"/>
    </row>
    <row r="486" customFormat="false" ht="14.25" hidden="false" customHeight="false" outlineLevel="0" collapsed="false">
      <c r="B486" s="7"/>
      <c r="AF486" s="12"/>
    </row>
    <row r="487" customFormat="false" ht="14.25" hidden="false" customHeight="false" outlineLevel="0" collapsed="false">
      <c r="B487" s="7"/>
      <c r="AF487" s="12"/>
    </row>
    <row r="488" customFormat="false" ht="14.25" hidden="false" customHeight="false" outlineLevel="0" collapsed="false">
      <c r="B488" s="7"/>
      <c r="AF488" s="12"/>
    </row>
    <row r="489" customFormat="false" ht="14.25" hidden="false" customHeight="false" outlineLevel="0" collapsed="false">
      <c r="B489" s="7"/>
      <c r="AF489" s="12"/>
    </row>
    <row r="490" customFormat="false" ht="14.25" hidden="false" customHeight="false" outlineLevel="0" collapsed="false">
      <c r="B490" s="7"/>
      <c r="AF490" s="12"/>
    </row>
    <row r="491" customFormat="false" ht="14.25" hidden="false" customHeight="false" outlineLevel="0" collapsed="false">
      <c r="B491" s="7"/>
      <c r="AF491" s="12"/>
    </row>
    <row r="492" customFormat="false" ht="14.25" hidden="false" customHeight="false" outlineLevel="0" collapsed="false">
      <c r="B492" s="7"/>
      <c r="AF492" s="12"/>
    </row>
    <row r="493" customFormat="false" ht="14.25" hidden="false" customHeight="false" outlineLevel="0" collapsed="false">
      <c r="B493" s="7"/>
      <c r="AF493" s="12"/>
    </row>
    <row r="494" customFormat="false" ht="14.25" hidden="false" customHeight="false" outlineLevel="0" collapsed="false">
      <c r="B494" s="7"/>
      <c r="AF494" s="12"/>
    </row>
    <row r="495" customFormat="false" ht="14.25" hidden="false" customHeight="false" outlineLevel="0" collapsed="false">
      <c r="B495" s="7"/>
      <c r="AF495" s="12"/>
    </row>
    <row r="496" customFormat="false" ht="14.25" hidden="false" customHeight="false" outlineLevel="0" collapsed="false">
      <c r="B496" s="7"/>
      <c r="AF496" s="12"/>
    </row>
    <row r="497" customFormat="false" ht="14.25" hidden="false" customHeight="false" outlineLevel="0" collapsed="false">
      <c r="B497" s="7"/>
      <c r="AF497" s="12"/>
    </row>
    <row r="498" customFormat="false" ht="14.25" hidden="false" customHeight="false" outlineLevel="0" collapsed="false">
      <c r="B498" s="7"/>
      <c r="AF498" s="12"/>
    </row>
    <row r="499" customFormat="false" ht="14.25" hidden="false" customHeight="false" outlineLevel="0" collapsed="false">
      <c r="B499" s="7"/>
      <c r="AF499" s="12"/>
    </row>
    <row r="500" customFormat="false" ht="14.25" hidden="false" customHeight="false" outlineLevel="0" collapsed="false">
      <c r="B500" s="7"/>
      <c r="AF500" s="12"/>
    </row>
    <row r="501" customFormat="false" ht="14.25" hidden="false" customHeight="false" outlineLevel="0" collapsed="false">
      <c r="B501" s="7"/>
      <c r="AF501" s="12"/>
    </row>
    <row r="502" customFormat="false" ht="14.25" hidden="false" customHeight="false" outlineLevel="0" collapsed="false">
      <c r="B502" s="7"/>
      <c r="AF502" s="12"/>
    </row>
    <row r="503" customFormat="false" ht="14.25" hidden="false" customHeight="false" outlineLevel="0" collapsed="false">
      <c r="B503" s="7"/>
      <c r="AF503" s="12"/>
    </row>
    <row r="504" customFormat="false" ht="14.25" hidden="false" customHeight="false" outlineLevel="0" collapsed="false">
      <c r="B504" s="7"/>
      <c r="AF504" s="12"/>
    </row>
    <row r="505" customFormat="false" ht="14.25" hidden="false" customHeight="true" outlineLevel="0" collapsed="false">
      <c r="B505" s="36"/>
      <c r="C505" s="37"/>
      <c r="D505" s="37"/>
      <c r="E505" s="37"/>
      <c r="F505" s="37"/>
      <c r="G505" s="37"/>
      <c r="H505" s="37"/>
      <c r="I505" s="37"/>
      <c r="J505" s="37"/>
      <c r="K505" s="37"/>
      <c r="L505" s="37"/>
      <c r="M505" s="37"/>
      <c r="N505" s="37"/>
      <c r="O505" s="37"/>
      <c r="P505" s="37"/>
      <c r="Q505" s="37"/>
      <c r="R505" s="37"/>
      <c r="S505" s="37"/>
      <c r="T505" s="37"/>
      <c r="U505" s="37"/>
      <c r="V505" s="37"/>
      <c r="W505" s="37"/>
      <c r="X505" s="38" t="s">
        <v>93</v>
      </c>
      <c r="Y505" s="38"/>
      <c r="Z505" s="38"/>
      <c r="AA505" s="38"/>
      <c r="AB505" s="38" t="n">
        <v>7</v>
      </c>
      <c r="AC505" s="38"/>
      <c r="AD505" s="38"/>
      <c r="AE505" s="38"/>
      <c r="AF505" s="39"/>
    </row>
    <row r="506" customFormat="false" ht="14.25" hidden="false" customHeight="true" outlineLevel="0" collapsed="false">
      <c r="B506" s="1"/>
      <c r="C506" s="2" t="s">
        <v>0</v>
      </c>
      <c r="D506" s="2"/>
      <c r="E506" s="2"/>
      <c r="F506" s="2"/>
      <c r="G506" s="2"/>
      <c r="H506" s="3" t="s">
        <v>1</v>
      </c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4" t="s">
        <v>2</v>
      </c>
      <c r="Y506" s="4"/>
      <c r="Z506" s="4"/>
      <c r="AA506" s="4"/>
      <c r="AB506" s="5" t="s">
        <v>3</v>
      </c>
      <c r="AC506" s="5"/>
      <c r="AD506" s="5"/>
      <c r="AE506" s="5"/>
      <c r="AF506" s="6"/>
    </row>
    <row r="507" customFormat="false" ht="14.25" hidden="false" customHeight="true" outlineLevel="0" collapsed="false">
      <c r="B507" s="7"/>
      <c r="C507" s="8" t="s">
        <v>4</v>
      </c>
      <c r="D507" s="8"/>
      <c r="E507" s="8"/>
      <c r="F507" s="8"/>
      <c r="G507" s="8"/>
      <c r="H507" s="9" t="s">
        <v>5</v>
      </c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10" t="s">
        <v>6</v>
      </c>
      <c r="Y507" s="10"/>
      <c r="Z507" s="10"/>
      <c r="AA507" s="10"/>
      <c r="AB507" s="11" t="n">
        <v>46301</v>
      </c>
      <c r="AC507" s="11"/>
      <c r="AD507" s="11"/>
      <c r="AE507" s="11"/>
      <c r="AF507" s="12"/>
    </row>
    <row r="508" customFormat="false" ht="14.25" hidden="false" customHeight="true" outlineLevel="0" collapsed="false">
      <c r="B508" s="7"/>
      <c r="C508" s="8" t="s">
        <v>7</v>
      </c>
      <c r="D508" s="8"/>
      <c r="E508" s="8"/>
      <c r="F508" s="8"/>
      <c r="G508" s="8"/>
      <c r="H508" s="9" t="s">
        <v>133</v>
      </c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10" t="s">
        <v>9</v>
      </c>
      <c r="Y508" s="10"/>
      <c r="Z508" s="10"/>
      <c r="AA508" s="10"/>
      <c r="AB508" s="11" t="s">
        <v>3</v>
      </c>
      <c r="AC508" s="11"/>
      <c r="AD508" s="11"/>
      <c r="AE508" s="11"/>
      <c r="AF508" s="12"/>
    </row>
    <row r="509" customFormat="false" ht="14.25" hidden="false" customHeight="true" outlineLevel="0" collapsed="false">
      <c r="B509" s="13"/>
      <c r="C509" s="14" t="s">
        <v>10</v>
      </c>
      <c r="D509" s="14"/>
      <c r="E509" s="14"/>
      <c r="F509" s="14"/>
      <c r="G509" s="14"/>
      <c r="H509" s="15" t="s">
        <v>134</v>
      </c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6" t="s">
        <v>12</v>
      </c>
      <c r="Y509" s="16"/>
      <c r="Z509" s="16"/>
      <c r="AA509" s="16"/>
      <c r="AB509" s="17" t="n">
        <v>46301</v>
      </c>
      <c r="AC509" s="17"/>
      <c r="AD509" s="17"/>
      <c r="AE509" s="17"/>
      <c r="AF509" s="18"/>
    </row>
    <row r="510" customFormat="false" ht="14.25" hidden="false" customHeight="false" outlineLevel="0" collapsed="false">
      <c r="B510" s="7"/>
      <c r="AF510" s="12"/>
    </row>
    <row r="511" customFormat="false" ht="14.25" hidden="false" customHeight="false" outlineLevel="0" collapsed="false">
      <c r="B511" s="7"/>
      <c r="C511" s="9" t="s">
        <v>311</v>
      </c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9"/>
      <c r="AF511" s="12"/>
    </row>
    <row r="512" customFormat="false" ht="14.25" hidden="false" customHeight="false" outlineLevel="0" collapsed="false">
      <c r="B512" s="7"/>
      <c r="AF512" s="12"/>
    </row>
    <row r="513" customFormat="false" ht="14.25" hidden="false" customHeight="true" outlineLevel="0" collapsed="false">
      <c r="B513" s="7"/>
      <c r="C513" s="20" t="s">
        <v>312</v>
      </c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1"/>
      <c r="P513" s="21"/>
      <c r="Q513" s="21"/>
      <c r="R513" s="21"/>
      <c r="S513" s="21"/>
      <c r="T513" s="21"/>
      <c r="U513" s="21"/>
      <c r="V513" s="21"/>
      <c r="W513" s="21"/>
      <c r="X513" s="22" t="s">
        <v>248</v>
      </c>
      <c r="Y513" s="22"/>
      <c r="Z513" s="22"/>
      <c r="AA513" s="51" t="n">
        <f aca="false">$AA$185</f>
        <v>147.335753575358</v>
      </c>
      <c r="AB513" s="51"/>
      <c r="AC513" s="51"/>
      <c r="AD513" s="20" t="s">
        <v>26</v>
      </c>
      <c r="AE513" s="20"/>
      <c r="AF513" s="12"/>
    </row>
    <row r="514" customFormat="false" ht="14.25" hidden="false" customHeight="false" outlineLevel="0" collapsed="false">
      <c r="B514" s="7"/>
      <c r="C514" s="20" t="s">
        <v>280</v>
      </c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X514" s="73" t="str">
        <f aca="false">$X$189</f>
        <v>qall ≥ q …. OK!!</v>
      </c>
      <c r="Y514" s="73"/>
      <c r="Z514" s="73"/>
      <c r="AA514" s="73"/>
      <c r="AB514" s="73"/>
      <c r="AC514" s="73"/>
      <c r="AD514" s="73"/>
      <c r="AE514" s="73"/>
      <c r="AF514" s="12"/>
    </row>
    <row r="515" customFormat="false" ht="14.25" hidden="false" customHeight="true" outlineLevel="0" collapsed="false">
      <c r="B515" s="7"/>
      <c r="C515" s="20" t="s">
        <v>313</v>
      </c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1" t="s">
        <v>314</v>
      </c>
      <c r="P515" s="21"/>
      <c r="Q515" s="21"/>
      <c r="R515" s="21"/>
      <c r="S515" s="21"/>
      <c r="T515" s="21"/>
      <c r="U515" s="21"/>
      <c r="V515" s="21"/>
      <c r="W515" s="21"/>
      <c r="X515" s="22" t="s">
        <v>248</v>
      </c>
      <c r="Y515" s="22"/>
      <c r="Z515" s="22"/>
      <c r="AA515" s="51" t="n">
        <f aca="false">$AA$204</f>
        <v>169.397359735974</v>
      </c>
      <c r="AB515" s="51"/>
      <c r="AC515" s="51"/>
      <c r="AD515" s="20" t="s">
        <v>26</v>
      </c>
      <c r="AE515" s="20"/>
      <c r="AF515" s="12"/>
    </row>
    <row r="516" customFormat="false" ht="14.25" hidden="false" customHeight="false" outlineLevel="0" collapsed="false">
      <c r="B516" s="7"/>
      <c r="C516" s="20" t="s">
        <v>280</v>
      </c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X516" s="73" t="str">
        <f aca="false">$X$208</f>
        <v>qall ≥ q …. OK!!</v>
      </c>
      <c r="Y516" s="73"/>
      <c r="Z516" s="73"/>
      <c r="AA516" s="73"/>
      <c r="AB516" s="73"/>
      <c r="AC516" s="73"/>
      <c r="AD516" s="73"/>
      <c r="AE516" s="73"/>
      <c r="AF516" s="12"/>
    </row>
    <row r="517" customFormat="false" ht="14.25" hidden="false" customHeight="true" outlineLevel="0" collapsed="false">
      <c r="B517" s="7"/>
      <c r="C517" s="20" t="s">
        <v>315</v>
      </c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1" t="s">
        <v>316</v>
      </c>
      <c r="P517" s="21"/>
      <c r="Q517" s="21"/>
      <c r="R517" s="21"/>
      <c r="S517" s="21"/>
      <c r="T517" s="21"/>
      <c r="U517" s="21"/>
      <c r="V517" s="21"/>
      <c r="W517" s="21"/>
      <c r="X517" s="22" t="s">
        <v>252</v>
      </c>
      <c r="Y517" s="22"/>
      <c r="Z517" s="22"/>
      <c r="AA517" s="50" t="n">
        <f aca="false">$AA$259</f>
        <v>2.98325163398693</v>
      </c>
      <c r="AB517" s="50"/>
      <c r="AC517" s="50"/>
      <c r="AD517" s="20" t="s">
        <v>38</v>
      </c>
      <c r="AE517" s="20"/>
      <c r="AF517" s="12"/>
    </row>
    <row r="518" customFormat="false" ht="14.25" hidden="false" customHeight="false" outlineLevel="0" collapsed="false">
      <c r="B518" s="7"/>
      <c r="C518" s="20" t="s">
        <v>280</v>
      </c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X518" s="73" t="str">
        <f aca="false">$X$260</f>
        <v>FS ≥ FS req …. OK!!</v>
      </c>
      <c r="Y518" s="73"/>
      <c r="Z518" s="73"/>
      <c r="AA518" s="73"/>
      <c r="AB518" s="73"/>
      <c r="AC518" s="73"/>
      <c r="AD518" s="73"/>
      <c r="AE518" s="73"/>
      <c r="AF518" s="12"/>
    </row>
    <row r="519" customFormat="false" ht="14.25" hidden="false" customHeight="true" outlineLevel="0" collapsed="false">
      <c r="B519" s="7"/>
      <c r="C519" s="20" t="s">
        <v>317</v>
      </c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1" t="s">
        <v>318</v>
      </c>
      <c r="P519" s="21"/>
      <c r="Q519" s="21"/>
      <c r="R519" s="21"/>
      <c r="S519" s="21"/>
      <c r="T519" s="21"/>
      <c r="U519" s="21"/>
      <c r="V519" s="21"/>
      <c r="W519" s="21"/>
      <c r="X519" s="22" t="s">
        <v>295</v>
      </c>
      <c r="Y519" s="22"/>
      <c r="Z519" s="22"/>
      <c r="AA519" s="51" t="n">
        <f aca="false">$AA$345</f>
        <v>93.5629597592608</v>
      </c>
      <c r="AB519" s="51"/>
      <c r="AC519" s="51"/>
      <c r="AD519" s="20" t="s">
        <v>45</v>
      </c>
      <c r="AE519" s="20"/>
      <c r="AF519" s="12"/>
    </row>
    <row r="520" customFormat="false" ht="14.25" hidden="false" customHeight="true" outlineLevel="0" collapsed="false">
      <c r="B520" s="7"/>
      <c r="C520" s="20" t="s">
        <v>319</v>
      </c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1" t="s">
        <v>320</v>
      </c>
      <c r="P520" s="21"/>
      <c r="Q520" s="21"/>
      <c r="R520" s="21"/>
      <c r="S520" s="21"/>
      <c r="T520" s="21"/>
      <c r="U520" s="21"/>
      <c r="V520" s="21"/>
      <c r="W520" s="21"/>
      <c r="X520" s="22" t="s">
        <v>307</v>
      </c>
      <c r="Y520" s="22"/>
      <c r="Z520" s="22"/>
      <c r="AA520" s="51" t="n">
        <f aca="false">$AA$484</f>
        <v>139.187395629002</v>
      </c>
      <c r="AB520" s="51"/>
      <c r="AC520" s="51"/>
      <c r="AD520" s="20" t="s">
        <v>45</v>
      </c>
      <c r="AE520" s="20"/>
      <c r="AF520" s="12"/>
    </row>
    <row r="521" customFormat="false" ht="14.25" hidden="false" customHeight="true" outlineLevel="0" collapsed="false">
      <c r="B521" s="7"/>
      <c r="C521" s="20" t="s">
        <v>123</v>
      </c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1" t="s">
        <v>320</v>
      </c>
      <c r="P521" s="21"/>
      <c r="Q521" s="21"/>
      <c r="R521" s="21"/>
      <c r="S521" s="21"/>
      <c r="T521" s="21"/>
      <c r="U521" s="21"/>
      <c r="V521" s="21"/>
      <c r="W521" s="21"/>
      <c r="X521" s="22" t="s">
        <v>310</v>
      </c>
      <c r="Y521" s="22"/>
      <c r="Z521" s="22"/>
      <c r="AA521" s="50" t="n">
        <f aca="false">$AA$485</f>
        <v>0.122561700249364</v>
      </c>
      <c r="AB521" s="50"/>
      <c r="AC521" s="50"/>
      <c r="AD521" s="20" t="s">
        <v>124</v>
      </c>
      <c r="AE521" s="20"/>
      <c r="AF521" s="12"/>
    </row>
    <row r="522" customFormat="false" ht="14.25" hidden="false" customHeight="true" outlineLevel="0" collapsed="false">
      <c r="B522" s="7"/>
      <c r="C522" s="20" t="s">
        <v>321</v>
      </c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1" t="s">
        <v>322</v>
      </c>
      <c r="P522" s="21"/>
      <c r="Q522" s="21"/>
      <c r="R522" s="21"/>
      <c r="S522" s="21"/>
      <c r="T522" s="21"/>
      <c r="U522" s="21"/>
      <c r="V522" s="21"/>
      <c r="W522" s="21"/>
      <c r="X522" s="22" t="s">
        <v>323</v>
      </c>
      <c r="Y522" s="22"/>
      <c r="Z522" s="22"/>
      <c r="AA522" s="24" t="n">
        <f aca="false">$AA$345+$AA$484</f>
        <v>232.750355388263</v>
      </c>
      <c r="AB522" s="24"/>
      <c r="AC522" s="24"/>
      <c r="AD522" s="20" t="s">
        <v>45</v>
      </c>
      <c r="AE522" s="20"/>
      <c r="AF522" s="12"/>
    </row>
    <row r="523" customFormat="false" ht="14.25" hidden="true" customHeight="false" outlineLevel="0" collapsed="false">
      <c r="B523" s="7"/>
      <c r="C523" s="9" t="s">
        <v>324</v>
      </c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X523" s="64" t="str">
        <f aca="false">IF($AA$522&lt;=Input!$AA$22,"S ≤ S all …. OK!!","S &gt; S all …. NG!!")</f>
        <v>S &gt; S all …. NG!!</v>
      </c>
      <c r="Y523" s="64"/>
      <c r="Z523" s="64"/>
      <c r="AA523" s="64"/>
      <c r="AB523" s="64"/>
      <c r="AC523" s="64"/>
      <c r="AD523" s="64"/>
      <c r="AE523" s="64"/>
      <c r="AF523" s="12"/>
    </row>
    <row r="524" customFormat="false" ht="14.25" hidden="false" customHeight="false" outlineLevel="0" collapsed="false">
      <c r="B524" s="7"/>
      <c r="AF524" s="12"/>
    </row>
    <row r="525" customFormat="false" ht="14.25" hidden="false" customHeight="false" outlineLevel="0" collapsed="false">
      <c r="B525" s="7"/>
      <c r="C525" s="19" t="s">
        <v>325</v>
      </c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  <c r="AA525" s="19"/>
      <c r="AB525" s="19"/>
      <c r="AC525" s="19"/>
      <c r="AD525" s="19"/>
      <c r="AE525" s="19"/>
      <c r="AF525" s="12"/>
    </row>
    <row r="526" customFormat="false" ht="14.25" hidden="false" customHeight="false" outlineLevel="0" collapsed="false">
      <c r="B526" s="7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  <c r="AA526" s="19"/>
      <c r="AB526" s="19"/>
      <c r="AC526" s="19"/>
      <c r="AD526" s="19"/>
      <c r="AE526" s="19"/>
      <c r="AF526" s="12"/>
    </row>
    <row r="527" customFormat="false" ht="14.25" hidden="false" customHeight="false" outlineLevel="0" collapsed="false">
      <c r="B527" s="7"/>
      <c r="AF527" s="12"/>
    </row>
    <row r="528" customFormat="false" ht="14.25" hidden="false" customHeight="false" outlineLevel="0" collapsed="false">
      <c r="B528" s="7"/>
      <c r="C528" s="9" t="s">
        <v>326</v>
      </c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  <c r="AE528" s="9"/>
      <c r="AF528" s="12"/>
    </row>
    <row r="529" customFormat="false" ht="14.25" hidden="false" customHeight="false" outlineLevel="0" collapsed="false">
      <c r="B529" s="7"/>
      <c r="AF529" s="12"/>
    </row>
    <row r="530" customFormat="false" ht="14.25" hidden="false" customHeight="false" outlineLevel="0" collapsed="false">
      <c r="B530" s="7"/>
      <c r="AF530" s="12"/>
    </row>
    <row r="531" customFormat="false" ht="14.25" hidden="false" customHeight="false" outlineLevel="0" collapsed="false">
      <c r="B531" s="7"/>
      <c r="AF531" s="12"/>
    </row>
    <row r="532" customFormat="false" ht="14.25" hidden="false" customHeight="false" outlineLevel="0" collapsed="false">
      <c r="B532" s="7"/>
      <c r="AF532" s="12"/>
    </row>
    <row r="533" customFormat="false" ht="14.25" hidden="false" customHeight="false" outlineLevel="0" collapsed="false">
      <c r="B533" s="7"/>
      <c r="AF533" s="12"/>
    </row>
    <row r="534" customFormat="false" ht="14.25" hidden="false" customHeight="false" outlineLevel="0" collapsed="false">
      <c r="B534" s="7"/>
      <c r="AF534" s="12"/>
    </row>
    <row r="535" customFormat="false" ht="14.25" hidden="false" customHeight="false" outlineLevel="0" collapsed="false">
      <c r="B535" s="7"/>
      <c r="AF535" s="12"/>
    </row>
    <row r="536" customFormat="false" ht="14.25" hidden="false" customHeight="false" outlineLevel="0" collapsed="false">
      <c r="B536" s="7"/>
      <c r="AF536" s="12"/>
    </row>
    <row r="537" customFormat="false" ht="14.25" hidden="false" customHeight="false" outlineLevel="0" collapsed="false">
      <c r="B537" s="7"/>
      <c r="AF537" s="12"/>
    </row>
    <row r="538" customFormat="false" ht="14.25" hidden="false" customHeight="false" outlineLevel="0" collapsed="false">
      <c r="B538" s="7"/>
      <c r="AF538" s="12"/>
    </row>
    <row r="539" customFormat="false" ht="14.25" hidden="false" customHeight="false" outlineLevel="0" collapsed="false">
      <c r="B539" s="7"/>
      <c r="AF539" s="12"/>
    </row>
    <row r="540" customFormat="false" ht="14.25" hidden="false" customHeight="false" outlineLevel="0" collapsed="false">
      <c r="B540" s="7"/>
      <c r="AF540" s="12"/>
    </row>
    <row r="541" customFormat="false" ht="14.25" hidden="false" customHeight="false" outlineLevel="0" collapsed="false">
      <c r="B541" s="7"/>
      <c r="AF541" s="12"/>
    </row>
    <row r="542" customFormat="false" ht="14.25" hidden="false" customHeight="false" outlineLevel="0" collapsed="false">
      <c r="B542" s="7"/>
      <c r="AF542" s="12"/>
    </row>
    <row r="543" customFormat="false" ht="14.25" hidden="false" customHeight="false" outlineLevel="0" collapsed="false">
      <c r="B543" s="7"/>
      <c r="AF543" s="12"/>
    </row>
    <row r="544" customFormat="false" ht="14.25" hidden="false" customHeight="false" outlineLevel="0" collapsed="false">
      <c r="B544" s="7"/>
      <c r="AF544" s="12"/>
    </row>
    <row r="545" customFormat="false" ht="14.25" hidden="false" customHeight="false" outlineLevel="0" collapsed="false">
      <c r="B545" s="7"/>
      <c r="AF545" s="12"/>
    </row>
    <row r="546" customFormat="false" ht="14.25" hidden="false" customHeight="false" outlineLevel="0" collapsed="false">
      <c r="B546" s="7"/>
      <c r="AF546" s="12"/>
    </row>
    <row r="547" customFormat="false" ht="14.25" hidden="false" customHeight="false" outlineLevel="0" collapsed="false">
      <c r="B547" s="7"/>
      <c r="AF547" s="12"/>
    </row>
    <row r="548" customFormat="false" ht="14.25" hidden="false" customHeight="false" outlineLevel="0" collapsed="false">
      <c r="B548" s="7"/>
      <c r="AF548" s="12"/>
    </row>
    <row r="549" customFormat="false" ht="14.25" hidden="false" customHeight="false" outlineLevel="0" collapsed="false">
      <c r="B549" s="7"/>
      <c r="AF549" s="12"/>
    </row>
    <row r="550" customFormat="false" ht="14.25" hidden="false" customHeight="false" outlineLevel="0" collapsed="false">
      <c r="B550" s="7"/>
      <c r="AF550" s="12"/>
    </row>
    <row r="551" customFormat="false" ht="14.25" hidden="false" customHeight="false" outlineLevel="0" collapsed="false">
      <c r="B551" s="7"/>
      <c r="AF551" s="12"/>
    </row>
    <row r="552" customFormat="false" ht="14.25" hidden="false" customHeight="false" outlineLevel="0" collapsed="false">
      <c r="B552" s="7"/>
      <c r="AF552" s="12"/>
    </row>
    <row r="553" customFormat="false" ht="14.25" hidden="false" customHeight="false" outlineLevel="0" collapsed="false">
      <c r="B553" s="7"/>
      <c r="AF553" s="12"/>
    </row>
    <row r="554" customFormat="false" ht="14.25" hidden="false" customHeight="false" outlineLevel="0" collapsed="false">
      <c r="B554" s="7"/>
      <c r="AF554" s="12"/>
    </row>
    <row r="555" customFormat="false" ht="14.25" hidden="false" customHeight="false" outlineLevel="0" collapsed="false">
      <c r="B555" s="7"/>
      <c r="AF555" s="12"/>
    </row>
    <row r="556" customFormat="false" ht="14.25" hidden="false" customHeight="false" outlineLevel="0" collapsed="false">
      <c r="B556" s="7"/>
      <c r="AF556" s="12"/>
    </row>
    <row r="557" customFormat="false" ht="14.25" hidden="false" customHeight="false" outlineLevel="0" collapsed="false">
      <c r="B557" s="7"/>
      <c r="AF557" s="12"/>
    </row>
    <row r="558" customFormat="false" ht="14.25" hidden="false" customHeight="false" outlineLevel="0" collapsed="false">
      <c r="B558" s="7"/>
      <c r="AF558" s="12"/>
    </row>
    <row r="559" customFormat="false" ht="14.25" hidden="false" customHeight="false" outlineLevel="0" collapsed="false">
      <c r="B559" s="7"/>
      <c r="AF559" s="12"/>
    </row>
    <row r="560" customFormat="false" ht="14.25" hidden="false" customHeight="false" outlineLevel="0" collapsed="false">
      <c r="B560" s="7"/>
      <c r="AF560" s="12"/>
    </row>
    <row r="561" customFormat="false" ht="14.25" hidden="false" customHeight="false" outlineLevel="0" collapsed="false">
      <c r="B561" s="7"/>
      <c r="AF561" s="12"/>
    </row>
    <row r="562" customFormat="false" ht="14.25" hidden="false" customHeight="false" outlineLevel="0" collapsed="false">
      <c r="B562" s="7"/>
      <c r="AF562" s="12"/>
    </row>
    <row r="563" customFormat="false" ht="14.25" hidden="false" customHeight="false" outlineLevel="0" collapsed="false">
      <c r="B563" s="7"/>
      <c r="AF563" s="12"/>
    </row>
    <row r="564" customFormat="false" ht="14.25" hidden="false" customHeight="false" outlineLevel="0" collapsed="false">
      <c r="B564" s="7"/>
      <c r="AF564" s="12"/>
    </row>
    <row r="565" customFormat="false" ht="14.25" hidden="false" customHeight="false" outlineLevel="0" collapsed="false">
      <c r="B565" s="7"/>
      <c r="AF565" s="12"/>
    </row>
    <row r="566" customFormat="false" ht="14.25" hidden="false" customHeight="false" outlineLevel="0" collapsed="false">
      <c r="B566" s="7"/>
      <c r="AF566" s="12"/>
    </row>
    <row r="567" customFormat="false" ht="14.25" hidden="false" customHeight="false" outlineLevel="0" collapsed="false">
      <c r="B567" s="7"/>
      <c r="AF567" s="12"/>
    </row>
    <row r="568" customFormat="false" ht="14.25" hidden="false" customHeight="false" outlineLevel="0" collapsed="false">
      <c r="B568" s="7"/>
      <c r="AF568" s="12"/>
    </row>
    <row r="569" customFormat="false" ht="14.25" hidden="false" customHeight="false" outlineLevel="0" collapsed="false">
      <c r="B569" s="7"/>
      <c r="AF569" s="12"/>
    </row>
    <row r="570" customFormat="false" ht="14.25" hidden="false" customHeight="false" outlineLevel="0" collapsed="false">
      <c r="B570" s="7"/>
      <c r="AF570" s="12"/>
    </row>
    <row r="571" customFormat="false" ht="14.25" hidden="false" customHeight="false" outlineLevel="0" collapsed="false">
      <c r="B571" s="7"/>
      <c r="AF571" s="12"/>
    </row>
    <row r="572" customFormat="false" ht="14.25" hidden="false" customHeight="false" outlineLevel="0" collapsed="false">
      <c r="B572" s="7"/>
      <c r="AF572" s="12"/>
    </row>
    <row r="573" customFormat="false" ht="14.25" hidden="false" customHeight="false" outlineLevel="0" collapsed="false">
      <c r="B573" s="7"/>
      <c r="AF573" s="12"/>
    </row>
    <row r="574" customFormat="false" ht="14.25" hidden="false" customHeight="false" outlineLevel="0" collapsed="false">
      <c r="B574" s="7"/>
      <c r="AF574" s="12"/>
    </row>
    <row r="575" customFormat="false" ht="14.25" hidden="false" customHeight="false" outlineLevel="0" collapsed="false">
      <c r="B575" s="7"/>
      <c r="AF575" s="12"/>
    </row>
    <row r="576" customFormat="false" ht="14.25" hidden="false" customHeight="false" outlineLevel="0" collapsed="false">
      <c r="B576" s="7"/>
      <c r="AF576" s="12"/>
    </row>
    <row r="577" customFormat="false" ht="14.25" hidden="false" customHeight="true" outlineLevel="0" collapsed="false">
      <c r="B577" s="36"/>
      <c r="C577" s="37"/>
      <c r="D577" s="37"/>
      <c r="E577" s="37"/>
      <c r="F577" s="37"/>
      <c r="G577" s="37"/>
      <c r="H577" s="37"/>
      <c r="I577" s="37"/>
      <c r="J577" s="37"/>
      <c r="K577" s="37"/>
      <c r="L577" s="37"/>
      <c r="M577" s="37"/>
      <c r="N577" s="37"/>
      <c r="O577" s="37"/>
      <c r="P577" s="37"/>
      <c r="Q577" s="37"/>
      <c r="R577" s="37"/>
      <c r="S577" s="37"/>
      <c r="T577" s="37"/>
      <c r="U577" s="37"/>
      <c r="V577" s="37"/>
      <c r="W577" s="37"/>
      <c r="X577" s="38" t="s">
        <v>93</v>
      </c>
      <c r="Y577" s="38"/>
      <c r="Z577" s="38"/>
      <c r="AA577" s="38"/>
      <c r="AB577" s="38" t="n">
        <v>8</v>
      </c>
      <c r="AC577" s="38"/>
      <c r="AD577" s="38"/>
      <c r="AE577" s="38"/>
      <c r="AF577" s="39"/>
    </row>
  </sheetData>
  <mergeCells count="1931">
    <mergeCell ref="C2:G2"/>
    <mergeCell ref="H2:W2"/>
    <mergeCell ref="X2:AA2"/>
    <mergeCell ref="AB2:AE2"/>
    <mergeCell ref="C3:G3"/>
    <mergeCell ref="H3:W3"/>
    <mergeCell ref="X3:AA3"/>
    <mergeCell ref="AB3:AE3"/>
    <mergeCell ref="C4:G4"/>
    <mergeCell ref="H4:W4"/>
    <mergeCell ref="X4:AA4"/>
    <mergeCell ref="AB4:AE4"/>
    <mergeCell ref="C5:G5"/>
    <mergeCell ref="H5:W5"/>
    <mergeCell ref="X5:AA5"/>
    <mergeCell ref="AB5:AE5"/>
    <mergeCell ref="C7:AE7"/>
    <mergeCell ref="C8:AE8"/>
    <mergeCell ref="C9:AE9"/>
    <mergeCell ref="C11:AE11"/>
    <mergeCell ref="C12:N12"/>
    <mergeCell ref="O12:W12"/>
    <mergeCell ref="X12:Z12"/>
    <mergeCell ref="AA12:AC12"/>
    <mergeCell ref="AD12:AE12"/>
    <mergeCell ref="C13:N13"/>
    <mergeCell ref="O13:W13"/>
    <mergeCell ref="X13:Z13"/>
    <mergeCell ref="AA13:AC13"/>
    <mergeCell ref="AD13:AE13"/>
    <mergeCell ref="C14:N14"/>
    <mergeCell ref="O14:W14"/>
    <mergeCell ref="X14:Z14"/>
    <mergeCell ref="AA14:AC14"/>
    <mergeCell ref="AD14:AE14"/>
    <mergeCell ref="C15:N15"/>
    <mergeCell ref="O15:W15"/>
    <mergeCell ref="X15:Z15"/>
    <mergeCell ref="AA15:AC15"/>
    <mergeCell ref="AD15:AE15"/>
    <mergeCell ref="C16:N16"/>
    <mergeCell ref="O16:W16"/>
    <mergeCell ref="X16:Z16"/>
    <mergeCell ref="AA16:AC16"/>
    <mergeCell ref="AD16:AE16"/>
    <mergeCell ref="C17:N17"/>
    <mergeCell ref="O17:W17"/>
    <mergeCell ref="X17:Z17"/>
    <mergeCell ref="AA17:AC17"/>
    <mergeCell ref="AD17:AE17"/>
    <mergeCell ref="C19:AE19"/>
    <mergeCell ref="C20:N20"/>
    <mergeCell ref="O20:W20"/>
    <mergeCell ref="X20:Z20"/>
    <mergeCell ref="AA20:AC20"/>
    <mergeCell ref="AD20:AE20"/>
    <mergeCell ref="C21:N21"/>
    <mergeCell ref="O21:W21"/>
    <mergeCell ref="X21:Z21"/>
    <mergeCell ref="AA21:AC21"/>
    <mergeCell ref="AD21:AE21"/>
    <mergeCell ref="C22:N22"/>
    <mergeCell ref="O22:W22"/>
    <mergeCell ref="X22:Z22"/>
    <mergeCell ref="AA22:AC22"/>
    <mergeCell ref="AD22:AE22"/>
    <mergeCell ref="C23:N23"/>
    <mergeCell ref="O23:W23"/>
    <mergeCell ref="X23:Z23"/>
    <mergeCell ref="AA23:AC23"/>
    <mergeCell ref="AD23:AE23"/>
    <mergeCell ref="C41:AE41"/>
    <mergeCell ref="X73:AA73"/>
    <mergeCell ref="AB73:AE73"/>
    <mergeCell ref="C74:G74"/>
    <mergeCell ref="H74:W74"/>
    <mergeCell ref="X74:AA74"/>
    <mergeCell ref="AB74:AE74"/>
    <mergeCell ref="C75:G75"/>
    <mergeCell ref="H75:W75"/>
    <mergeCell ref="X75:AA75"/>
    <mergeCell ref="AB75:AE75"/>
    <mergeCell ref="C76:G76"/>
    <mergeCell ref="H76:W76"/>
    <mergeCell ref="X76:AA76"/>
    <mergeCell ref="AB76:AE76"/>
    <mergeCell ref="C77:G77"/>
    <mergeCell ref="H77:W77"/>
    <mergeCell ref="X77:AA77"/>
    <mergeCell ref="AB77:AE77"/>
    <mergeCell ref="C79:AE79"/>
    <mergeCell ref="C80:AE80"/>
    <mergeCell ref="C81:D81"/>
    <mergeCell ref="E81:G81"/>
    <mergeCell ref="H81:J81"/>
    <mergeCell ref="K81:M81"/>
    <mergeCell ref="N81:P81"/>
    <mergeCell ref="Q81:S81"/>
    <mergeCell ref="T81:U81"/>
    <mergeCell ref="V81:W81"/>
    <mergeCell ref="X81:Y81"/>
    <mergeCell ref="Z81:AB81"/>
    <mergeCell ref="AC81:AE81"/>
    <mergeCell ref="C82:D82"/>
    <mergeCell ref="E82:G82"/>
    <mergeCell ref="H82:J82"/>
    <mergeCell ref="K82:M82"/>
    <mergeCell ref="N82:P82"/>
    <mergeCell ref="Q82:S82"/>
    <mergeCell ref="T82:U82"/>
    <mergeCell ref="V82:W82"/>
    <mergeCell ref="X82:Y82"/>
    <mergeCell ref="Z82:AB82"/>
    <mergeCell ref="AC82:AE82"/>
    <mergeCell ref="C83:D83"/>
    <mergeCell ref="E83:G83"/>
    <mergeCell ref="H83:J83"/>
    <mergeCell ref="K83:M83"/>
    <mergeCell ref="N83:P83"/>
    <mergeCell ref="Q83:S83"/>
    <mergeCell ref="T83:U83"/>
    <mergeCell ref="V83:W83"/>
    <mergeCell ref="X83:Y83"/>
    <mergeCell ref="Z83:AB83"/>
    <mergeCell ref="AC83:AE83"/>
    <mergeCell ref="C84:D84"/>
    <mergeCell ref="E84:G84"/>
    <mergeCell ref="H84:J84"/>
    <mergeCell ref="K84:M84"/>
    <mergeCell ref="N84:P84"/>
    <mergeCell ref="Q84:S84"/>
    <mergeCell ref="T84:U84"/>
    <mergeCell ref="V84:W84"/>
    <mergeCell ref="X84:Y84"/>
    <mergeCell ref="Z84:AB84"/>
    <mergeCell ref="AC84:AE84"/>
    <mergeCell ref="C85:D85"/>
    <mergeCell ref="E85:G85"/>
    <mergeCell ref="H85:J85"/>
    <mergeCell ref="K85:M85"/>
    <mergeCell ref="N85:P85"/>
    <mergeCell ref="Q85:S85"/>
    <mergeCell ref="T85:U85"/>
    <mergeCell ref="V85:W85"/>
    <mergeCell ref="X85:Y85"/>
    <mergeCell ref="Z85:AB85"/>
    <mergeCell ref="AC85:AE85"/>
    <mergeCell ref="C86:D86"/>
    <mergeCell ref="E86:G86"/>
    <mergeCell ref="H86:J86"/>
    <mergeCell ref="K86:M86"/>
    <mergeCell ref="N86:P86"/>
    <mergeCell ref="Q86:S86"/>
    <mergeCell ref="T86:U86"/>
    <mergeCell ref="V86:W86"/>
    <mergeCell ref="X86:Y86"/>
    <mergeCell ref="Z86:AB86"/>
    <mergeCell ref="AC86:AE86"/>
    <mergeCell ref="C87:D87"/>
    <mergeCell ref="E87:G87"/>
    <mergeCell ref="H87:J87"/>
    <mergeCell ref="K87:M87"/>
    <mergeCell ref="N87:P87"/>
    <mergeCell ref="Q87:S87"/>
    <mergeCell ref="T87:U87"/>
    <mergeCell ref="V87:W87"/>
    <mergeCell ref="X87:Y87"/>
    <mergeCell ref="Z87:AB87"/>
    <mergeCell ref="AC87:AE87"/>
    <mergeCell ref="C88:D88"/>
    <mergeCell ref="E88:G88"/>
    <mergeCell ref="H88:J88"/>
    <mergeCell ref="K88:M88"/>
    <mergeCell ref="N88:P88"/>
    <mergeCell ref="Q88:S88"/>
    <mergeCell ref="T88:U88"/>
    <mergeCell ref="V88:W88"/>
    <mergeCell ref="X88:Y88"/>
    <mergeCell ref="Z88:AB88"/>
    <mergeCell ref="AC88:AE88"/>
    <mergeCell ref="C89:D89"/>
    <mergeCell ref="E89:G89"/>
    <mergeCell ref="H89:J89"/>
    <mergeCell ref="K89:M89"/>
    <mergeCell ref="N89:P89"/>
    <mergeCell ref="Q89:S89"/>
    <mergeCell ref="T89:U89"/>
    <mergeCell ref="V89:W89"/>
    <mergeCell ref="X89:Y89"/>
    <mergeCell ref="Z89:AB89"/>
    <mergeCell ref="AC89:AE89"/>
    <mergeCell ref="C90:D90"/>
    <mergeCell ref="E90:G90"/>
    <mergeCell ref="H90:J90"/>
    <mergeCell ref="K90:M90"/>
    <mergeCell ref="N90:P90"/>
    <mergeCell ref="Q90:S90"/>
    <mergeCell ref="T90:U90"/>
    <mergeCell ref="V90:W90"/>
    <mergeCell ref="X90:Y90"/>
    <mergeCell ref="Z90:AB90"/>
    <mergeCell ref="AC90:AE90"/>
    <mergeCell ref="C91:D91"/>
    <mergeCell ref="E91:G91"/>
    <mergeCell ref="H91:J91"/>
    <mergeCell ref="K91:M91"/>
    <mergeCell ref="N91:P91"/>
    <mergeCell ref="Q91:S91"/>
    <mergeCell ref="T91:U91"/>
    <mergeCell ref="V91:W91"/>
    <mergeCell ref="X91:Y91"/>
    <mergeCell ref="Z91:AB91"/>
    <mergeCell ref="AC91:AE91"/>
    <mergeCell ref="C92:D92"/>
    <mergeCell ref="E92:G92"/>
    <mergeCell ref="H92:J92"/>
    <mergeCell ref="K92:M92"/>
    <mergeCell ref="N92:P92"/>
    <mergeCell ref="Q92:S92"/>
    <mergeCell ref="T92:U92"/>
    <mergeCell ref="V92:W92"/>
    <mergeCell ref="X92:Y92"/>
    <mergeCell ref="Z92:AB92"/>
    <mergeCell ref="AC92:AE92"/>
    <mergeCell ref="C93:D93"/>
    <mergeCell ref="E93:G93"/>
    <mergeCell ref="H93:J93"/>
    <mergeCell ref="K93:M93"/>
    <mergeCell ref="N93:P93"/>
    <mergeCell ref="Q93:S93"/>
    <mergeCell ref="T93:U93"/>
    <mergeCell ref="V93:W93"/>
    <mergeCell ref="X93:Y93"/>
    <mergeCell ref="Z93:AB93"/>
    <mergeCell ref="AC93:AE93"/>
    <mergeCell ref="C94:D94"/>
    <mergeCell ref="E94:G94"/>
    <mergeCell ref="H94:J94"/>
    <mergeCell ref="K94:M94"/>
    <mergeCell ref="N94:P94"/>
    <mergeCell ref="Q94:S94"/>
    <mergeCell ref="T94:U94"/>
    <mergeCell ref="V94:W94"/>
    <mergeCell ref="X94:Y94"/>
    <mergeCell ref="Z94:AB94"/>
    <mergeCell ref="AC94:AE94"/>
    <mergeCell ref="C95:D95"/>
    <mergeCell ref="E95:G95"/>
    <mergeCell ref="H95:J95"/>
    <mergeCell ref="K95:M95"/>
    <mergeCell ref="N95:P95"/>
    <mergeCell ref="Q95:S95"/>
    <mergeCell ref="T95:U95"/>
    <mergeCell ref="V95:W95"/>
    <mergeCell ref="X95:Y95"/>
    <mergeCell ref="Z95:AB95"/>
    <mergeCell ref="AC95:AE95"/>
    <mergeCell ref="C96:D96"/>
    <mergeCell ref="E96:G96"/>
    <mergeCell ref="H96:J96"/>
    <mergeCell ref="K96:M96"/>
    <mergeCell ref="N96:P96"/>
    <mergeCell ref="Q96:S96"/>
    <mergeCell ref="T96:U96"/>
    <mergeCell ref="V96:W96"/>
    <mergeCell ref="X96:Y96"/>
    <mergeCell ref="Z96:AB96"/>
    <mergeCell ref="AC96:AE96"/>
    <mergeCell ref="C97:D97"/>
    <mergeCell ref="E97:G97"/>
    <mergeCell ref="H97:J97"/>
    <mergeCell ref="K97:M97"/>
    <mergeCell ref="N97:P97"/>
    <mergeCell ref="Q97:S97"/>
    <mergeCell ref="T97:U97"/>
    <mergeCell ref="V97:W97"/>
    <mergeCell ref="X97:Y97"/>
    <mergeCell ref="Z97:AB97"/>
    <mergeCell ref="AC97:AE97"/>
    <mergeCell ref="C98:D98"/>
    <mergeCell ref="E98:G98"/>
    <mergeCell ref="H98:J98"/>
    <mergeCell ref="K98:M98"/>
    <mergeCell ref="N98:P98"/>
    <mergeCell ref="Q98:S98"/>
    <mergeCell ref="T98:U98"/>
    <mergeCell ref="V98:W98"/>
    <mergeCell ref="X98:Y98"/>
    <mergeCell ref="Z98:AB98"/>
    <mergeCell ref="AC98:AE98"/>
    <mergeCell ref="C99:D99"/>
    <mergeCell ref="E99:G99"/>
    <mergeCell ref="H99:J99"/>
    <mergeCell ref="K99:M99"/>
    <mergeCell ref="N99:P99"/>
    <mergeCell ref="Q99:S99"/>
    <mergeCell ref="T99:U99"/>
    <mergeCell ref="V99:W99"/>
    <mergeCell ref="X99:Y99"/>
    <mergeCell ref="Z99:AB99"/>
    <mergeCell ref="AC99:AE99"/>
    <mergeCell ref="C100:D100"/>
    <mergeCell ref="E100:G100"/>
    <mergeCell ref="H100:J100"/>
    <mergeCell ref="K100:M100"/>
    <mergeCell ref="N100:P100"/>
    <mergeCell ref="Q100:S100"/>
    <mergeCell ref="T100:U100"/>
    <mergeCell ref="V100:W100"/>
    <mergeCell ref="X100:Y100"/>
    <mergeCell ref="Z100:AB100"/>
    <mergeCell ref="AC100:AE100"/>
    <mergeCell ref="C101:D101"/>
    <mergeCell ref="E101:G101"/>
    <mergeCell ref="H101:J101"/>
    <mergeCell ref="K101:M101"/>
    <mergeCell ref="N101:P101"/>
    <mergeCell ref="Q101:S101"/>
    <mergeCell ref="T101:U101"/>
    <mergeCell ref="V101:W101"/>
    <mergeCell ref="X101:Y101"/>
    <mergeCell ref="Z101:AB101"/>
    <mergeCell ref="AC101:AE101"/>
    <mergeCell ref="C102:D102"/>
    <mergeCell ref="E102:G102"/>
    <mergeCell ref="H102:J102"/>
    <mergeCell ref="K102:M102"/>
    <mergeCell ref="N102:P102"/>
    <mergeCell ref="Q102:S102"/>
    <mergeCell ref="T102:U102"/>
    <mergeCell ref="V102:W102"/>
    <mergeCell ref="X102:Y102"/>
    <mergeCell ref="Z102:AB102"/>
    <mergeCell ref="AC102:AE102"/>
    <mergeCell ref="C103:D103"/>
    <mergeCell ref="E103:G103"/>
    <mergeCell ref="H103:J103"/>
    <mergeCell ref="K103:M103"/>
    <mergeCell ref="N103:P103"/>
    <mergeCell ref="Q103:S103"/>
    <mergeCell ref="T103:U103"/>
    <mergeCell ref="V103:W103"/>
    <mergeCell ref="X103:Y103"/>
    <mergeCell ref="Z103:AB103"/>
    <mergeCell ref="AC103:AE103"/>
    <mergeCell ref="C104:D104"/>
    <mergeCell ref="E104:G104"/>
    <mergeCell ref="H104:J104"/>
    <mergeCell ref="K104:M104"/>
    <mergeCell ref="N104:P104"/>
    <mergeCell ref="Q104:S104"/>
    <mergeCell ref="T104:U104"/>
    <mergeCell ref="V104:W104"/>
    <mergeCell ref="X104:Y104"/>
    <mergeCell ref="Z104:AB104"/>
    <mergeCell ref="AC104:AE104"/>
    <mergeCell ref="C105:D105"/>
    <mergeCell ref="E105:G105"/>
    <mergeCell ref="H105:J105"/>
    <mergeCell ref="K105:M105"/>
    <mergeCell ref="N105:P105"/>
    <mergeCell ref="Q105:S105"/>
    <mergeCell ref="T105:U105"/>
    <mergeCell ref="V105:W105"/>
    <mergeCell ref="X105:Y105"/>
    <mergeCell ref="Z105:AB105"/>
    <mergeCell ref="AC105:AE105"/>
    <mergeCell ref="C106:D106"/>
    <mergeCell ref="E106:G106"/>
    <mergeCell ref="H106:J106"/>
    <mergeCell ref="K106:M106"/>
    <mergeCell ref="N106:P106"/>
    <mergeCell ref="Q106:S106"/>
    <mergeCell ref="T106:U106"/>
    <mergeCell ref="V106:W106"/>
    <mergeCell ref="X106:Y106"/>
    <mergeCell ref="Z106:AB106"/>
    <mergeCell ref="AC106:AE106"/>
    <mergeCell ref="C107:D107"/>
    <mergeCell ref="E107:G107"/>
    <mergeCell ref="H107:J107"/>
    <mergeCell ref="K107:M107"/>
    <mergeCell ref="N107:P107"/>
    <mergeCell ref="Q107:S107"/>
    <mergeCell ref="T107:U107"/>
    <mergeCell ref="V107:W107"/>
    <mergeCell ref="X107:Y107"/>
    <mergeCell ref="Z107:AB107"/>
    <mergeCell ref="AC107:AE107"/>
    <mergeCell ref="C108:D108"/>
    <mergeCell ref="E108:G108"/>
    <mergeCell ref="H108:J108"/>
    <mergeCell ref="K108:M108"/>
    <mergeCell ref="N108:P108"/>
    <mergeCell ref="Q108:S108"/>
    <mergeCell ref="T108:U108"/>
    <mergeCell ref="V108:W108"/>
    <mergeCell ref="X108:Y108"/>
    <mergeCell ref="Z108:AB108"/>
    <mergeCell ref="AC108:AE108"/>
    <mergeCell ref="C109:D109"/>
    <mergeCell ref="E109:G109"/>
    <mergeCell ref="H109:J109"/>
    <mergeCell ref="K109:M109"/>
    <mergeCell ref="N109:P109"/>
    <mergeCell ref="Q109:S109"/>
    <mergeCell ref="T109:U109"/>
    <mergeCell ref="V109:W109"/>
    <mergeCell ref="X109:Y109"/>
    <mergeCell ref="Z109:AB109"/>
    <mergeCell ref="AC109:AE109"/>
    <mergeCell ref="C110:D110"/>
    <mergeCell ref="E110:G110"/>
    <mergeCell ref="H110:J110"/>
    <mergeCell ref="K110:M110"/>
    <mergeCell ref="N110:P110"/>
    <mergeCell ref="Q110:S110"/>
    <mergeCell ref="T110:U110"/>
    <mergeCell ref="V110:W110"/>
    <mergeCell ref="X110:Y110"/>
    <mergeCell ref="Z110:AB110"/>
    <mergeCell ref="AC110:AE110"/>
    <mergeCell ref="C111:D111"/>
    <mergeCell ref="E111:G111"/>
    <mergeCell ref="H111:J111"/>
    <mergeCell ref="K111:M111"/>
    <mergeCell ref="N111:P111"/>
    <mergeCell ref="Q111:S111"/>
    <mergeCell ref="T111:U111"/>
    <mergeCell ref="V111:W111"/>
    <mergeCell ref="X111:Y111"/>
    <mergeCell ref="Z111:AB111"/>
    <mergeCell ref="AC111:AE111"/>
    <mergeCell ref="C112:D112"/>
    <mergeCell ref="E112:G112"/>
    <mergeCell ref="H112:J112"/>
    <mergeCell ref="K112:M112"/>
    <mergeCell ref="N112:P112"/>
    <mergeCell ref="Q112:S112"/>
    <mergeCell ref="T112:U112"/>
    <mergeCell ref="V112:W112"/>
    <mergeCell ref="X112:Y112"/>
    <mergeCell ref="Z112:AB112"/>
    <mergeCell ref="AC112:AE112"/>
    <mergeCell ref="C113:D113"/>
    <mergeCell ref="E113:G113"/>
    <mergeCell ref="H113:J113"/>
    <mergeCell ref="K113:M113"/>
    <mergeCell ref="N113:P113"/>
    <mergeCell ref="Q113:S113"/>
    <mergeCell ref="T113:U113"/>
    <mergeCell ref="V113:W113"/>
    <mergeCell ref="X113:Y113"/>
    <mergeCell ref="Z113:AB113"/>
    <mergeCell ref="AC113:AE113"/>
    <mergeCell ref="C114:D114"/>
    <mergeCell ref="E114:G114"/>
    <mergeCell ref="H114:J114"/>
    <mergeCell ref="K114:M114"/>
    <mergeCell ref="N114:P114"/>
    <mergeCell ref="Q114:S114"/>
    <mergeCell ref="T114:U114"/>
    <mergeCell ref="V114:W114"/>
    <mergeCell ref="X114:Y114"/>
    <mergeCell ref="Z114:AB114"/>
    <mergeCell ref="AC114:AE114"/>
    <mergeCell ref="C115:D115"/>
    <mergeCell ref="E115:G115"/>
    <mergeCell ref="H115:J115"/>
    <mergeCell ref="K115:M115"/>
    <mergeCell ref="N115:P115"/>
    <mergeCell ref="Q115:S115"/>
    <mergeCell ref="T115:U115"/>
    <mergeCell ref="V115:W115"/>
    <mergeCell ref="X115:Y115"/>
    <mergeCell ref="Z115:AB115"/>
    <mergeCell ref="AC115:AE115"/>
    <mergeCell ref="C116:D116"/>
    <mergeCell ref="E116:G116"/>
    <mergeCell ref="H116:J116"/>
    <mergeCell ref="K116:M116"/>
    <mergeCell ref="N116:P116"/>
    <mergeCell ref="Q116:S116"/>
    <mergeCell ref="T116:U116"/>
    <mergeCell ref="V116:W116"/>
    <mergeCell ref="X116:Y116"/>
    <mergeCell ref="Z116:AB116"/>
    <mergeCell ref="AC116:AE116"/>
    <mergeCell ref="C117:D117"/>
    <mergeCell ref="E117:G117"/>
    <mergeCell ref="H117:J117"/>
    <mergeCell ref="K117:M117"/>
    <mergeCell ref="N117:P117"/>
    <mergeCell ref="Q117:S117"/>
    <mergeCell ref="T117:U117"/>
    <mergeCell ref="V117:W117"/>
    <mergeCell ref="X117:Y117"/>
    <mergeCell ref="Z117:AB117"/>
    <mergeCell ref="AC117:AE117"/>
    <mergeCell ref="C118:D118"/>
    <mergeCell ref="E118:G118"/>
    <mergeCell ref="H118:J118"/>
    <mergeCell ref="K118:M118"/>
    <mergeCell ref="N118:P118"/>
    <mergeCell ref="Q118:S118"/>
    <mergeCell ref="T118:U118"/>
    <mergeCell ref="V118:W118"/>
    <mergeCell ref="X118:Y118"/>
    <mergeCell ref="Z118:AB118"/>
    <mergeCell ref="AC118:AE118"/>
    <mergeCell ref="C119:D119"/>
    <mergeCell ref="E119:G119"/>
    <mergeCell ref="H119:J119"/>
    <mergeCell ref="K119:M119"/>
    <mergeCell ref="N119:P119"/>
    <mergeCell ref="Q119:S119"/>
    <mergeCell ref="T119:U119"/>
    <mergeCell ref="V119:W119"/>
    <mergeCell ref="X119:Y119"/>
    <mergeCell ref="Z119:AB119"/>
    <mergeCell ref="AC119:AE119"/>
    <mergeCell ref="C120:D120"/>
    <mergeCell ref="E120:G120"/>
    <mergeCell ref="H120:J120"/>
    <mergeCell ref="K120:M120"/>
    <mergeCell ref="N120:P120"/>
    <mergeCell ref="Q120:S120"/>
    <mergeCell ref="T120:U120"/>
    <mergeCell ref="V120:W120"/>
    <mergeCell ref="X120:Y120"/>
    <mergeCell ref="Z120:AB120"/>
    <mergeCell ref="AC120:AE120"/>
    <mergeCell ref="C121:D121"/>
    <mergeCell ref="E121:G121"/>
    <mergeCell ref="H121:J121"/>
    <mergeCell ref="K121:M121"/>
    <mergeCell ref="N121:P121"/>
    <mergeCell ref="Q121:S121"/>
    <mergeCell ref="T121:U121"/>
    <mergeCell ref="V121:W121"/>
    <mergeCell ref="X121:Y121"/>
    <mergeCell ref="Z121:AB121"/>
    <mergeCell ref="AC121:AE121"/>
    <mergeCell ref="C122:D122"/>
    <mergeCell ref="E122:G122"/>
    <mergeCell ref="H122:J122"/>
    <mergeCell ref="K122:M122"/>
    <mergeCell ref="N122:P122"/>
    <mergeCell ref="Q122:S122"/>
    <mergeCell ref="T122:U122"/>
    <mergeCell ref="V122:W122"/>
    <mergeCell ref="X122:Y122"/>
    <mergeCell ref="Z122:AB122"/>
    <mergeCell ref="AC122:AE122"/>
    <mergeCell ref="C123:D123"/>
    <mergeCell ref="E123:G123"/>
    <mergeCell ref="H123:J123"/>
    <mergeCell ref="K123:M123"/>
    <mergeCell ref="N123:P123"/>
    <mergeCell ref="Q123:S123"/>
    <mergeCell ref="T123:U123"/>
    <mergeCell ref="V123:W123"/>
    <mergeCell ref="X123:Y123"/>
    <mergeCell ref="Z123:AB123"/>
    <mergeCell ref="AC123:AE123"/>
    <mergeCell ref="C124:AE124"/>
    <mergeCell ref="X145:AA145"/>
    <mergeCell ref="AB145:AE145"/>
    <mergeCell ref="C146:G146"/>
    <mergeCell ref="H146:W146"/>
    <mergeCell ref="X146:AA146"/>
    <mergeCell ref="AB146:AE146"/>
    <mergeCell ref="C147:G147"/>
    <mergeCell ref="H147:W147"/>
    <mergeCell ref="X147:AA147"/>
    <mergeCell ref="AB147:AE147"/>
    <mergeCell ref="C148:G148"/>
    <mergeCell ref="H148:W148"/>
    <mergeCell ref="X148:AA148"/>
    <mergeCell ref="AB148:AE148"/>
    <mergeCell ref="C149:G149"/>
    <mergeCell ref="H149:W149"/>
    <mergeCell ref="X149:AA149"/>
    <mergeCell ref="AB149:AE149"/>
    <mergeCell ref="C151:AE151"/>
    <mergeCell ref="C152:AE152"/>
    <mergeCell ref="C153:AE153"/>
    <mergeCell ref="C154:AE154"/>
    <mergeCell ref="C155:AE155"/>
    <mergeCell ref="C156:AE156"/>
    <mergeCell ref="C170:AE170"/>
    <mergeCell ref="C172:AE172"/>
    <mergeCell ref="C173:N173"/>
    <mergeCell ref="O173:W173"/>
    <mergeCell ref="X173:Z173"/>
    <mergeCell ref="AA173:AC173"/>
    <mergeCell ref="AD173:AE173"/>
    <mergeCell ref="C174:N174"/>
    <mergeCell ref="O174:W174"/>
    <mergeCell ref="X174:Z174"/>
    <mergeCell ref="AA174:AC174"/>
    <mergeCell ref="AD174:AE174"/>
    <mergeCell ref="C175:N175"/>
    <mergeCell ref="O175:W175"/>
    <mergeCell ref="X175:Z175"/>
    <mergeCell ref="AA175:AC175"/>
    <mergeCell ref="AD175:AE175"/>
    <mergeCell ref="C176:N176"/>
    <mergeCell ref="O176:W176"/>
    <mergeCell ref="X176:Z176"/>
    <mergeCell ref="AA176:AC176"/>
    <mergeCell ref="AD176:AE176"/>
    <mergeCell ref="C177:N177"/>
    <mergeCell ref="O177:W177"/>
    <mergeCell ref="X177:Z177"/>
    <mergeCell ref="AA177:AC177"/>
    <mergeCell ref="AD177:AE177"/>
    <mergeCell ref="C178:N178"/>
    <mergeCell ref="O178:W178"/>
    <mergeCell ref="X178:Z178"/>
    <mergeCell ref="AA178:AC178"/>
    <mergeCell ref="AD178:AE178"/>
    <mergeCell ref="C179:N179"/>
    <mergeCell ref="O179:W179"/>
    <mergeCell ref="X179:Z179"/>
    <mergeCell ref="AA179:AC179"/>
    <mergeCell ref="AD179:AE179"/>
    <mergeCell ref="C180:N180"/>
    <mergeCell ref="O180:W180"/>
    <mergeCell ref="X180:Z180"/>
    <mergeCell ref="AA180:AC180"/>
    <mergeCell ref="AD180:AE180"/>
    <mergeCell ref="C181:N181"/>
    <mergeCell ref="O181:W181"/>
    <mergeCell ref="X181:Z181"/>
    <mergeCell ref="AA181:AC181"/>
    <mergeCell ref="AD181:AE181"/>
    <mergeCell ref="C182:N182"/>
    <mergeCell ref="O182:W182"/>
    <mergeCell ref="X182:Z182"/>
    <mergeCell ref="AA182:AC182"/>
    <mergeCell ref="AD182:AE182"/>
    <mergeCell ref="C183:N183"/>
    <mergeCell ref="O183:W183"/>
    <mergeCell ref="X183:Z183"/>
    <mergeCell ref="AA183:AC183"/>
    <mergeCell ref="AD183:AE183"/>
    <mergeCell ref="C184:N184"/>
    <mergeCell ref="O184:W184"/>
    <mergeCell ref="X184:Z184"/>
    <mergeCell ref="AA184:AC184"/>
    <mergeCell ref="AD184:AE184"/>
    <mergeCell ref="C185:N185"/>
    <mergeCell ref="O185:W185"/>
    <mergeCell ref="X185:Z185"/>
    <mergeCell ref="AA185:AC185"/>
    <mergeCell ref="AD185:AE185"/>
    <mergeCell ref="C186:N186"/>
    <mergeCell ref="O186:W186"/>
    <mergeCell ref="X186:Z186"/>
    <mergeCell ref="AA186:AC186"/>
    <mergeCell ref="AD186:AE186"/>
    <mergeCell ref="C187:N187"/>
    <mergeCell ref="O187:W187"/>
    <mergeCell ref="X187:Z187"/>
    <mergeCell ref="AA187:AC187"/>
    <mergeCell ref="AD187:AE187"/>
    <mergeCell ref="C188:N188"/>
    <mergeCell ref="O188:W188"/>
    <mergeCell ref="X188:Z188"/>
    <mergeCell ref="AA188:AC188"/>
    <mergeCell ref="AD188:AE188"/>
    <mergeCell ref="C189:N189"/>
    <mergeCell ref="X189:AE189"/>
    <mergeCell ref="C191:AE191"/>
    <mergeCell ref="C192:N192"/>
    <mergeCell ref="O192:W192"/>
    <mergeCell ref="X192:Z192"/>
    <mergeCell ref="AA192:AC192"/>
    <mergeCell ref="AD192:AE192"/>
    <mergeCell ref="C193:N193"/>
    <mergeCell ref="O193:W193"/>
    <mergeCell ref="X193:Z193"/>
    <mergeCell ref="AA193:AC193"/>
    <mergeCell ref="AD193:AE193"/>
    <mergeCell ref="C194:N194"/>
    <mergeCell ref="O194:W194"/>
    <mergeCell ref="X194:Z194"/>
    <mergeCell ref="AA194:AC194"/>
    <mergeCell ref="AD194:AE194"/>
    <mergeCell ref="C195:N195"/>
    <mergeCell ref="O195:W195"/>
    <mergeCell ref="X195:Z195"/>
    <mergeCell ref="AA195:AC195"/>
    <mergeCell ref="AD195:AE195"/>
    <mergeCell ref="C196:N196"/>
    <mergeCell ref="O196:W196"/>
    <mergeCell ref="X196:Z196"/>
    <mergeCell ref="AA196:AC196"/>
    <mergeCell ref="AD196:AE196"/>
    <mergeCell ref="C197:N197"/>
    <mergeCell ref="O197:W197"/>
    <mergeCell ref="X197:Z197"/>
    <mergeCell ref="AA197:AC197"/>
    <mergeCell ref="AD197:AE197"/>
    <mergeCell ref="C198:N198"/>
    <mergeCell ref="O198:W198"/>
    <mergeCell ref="X198:Z198"/>
    <mergeCell ref="AA198:AC198"/>
    <mergeCell ref="AD198:AE198"/>
    <mergeCell ref="C199:N199"/>
    <mergeCell ref="O199:W199"/>
    <mergeCell ref="X199:Z199"/>
    <mergeCell ref="AA199:AC199"/>
    <mergeCell ref="AD199:AE199"/>
    <mergeCell ref="C200:N200"/>
    <mergeCell ref="O200:W200"/>
    <mergeCell ref="X200:Z200"/>
    <mergeCell ref="AA200:AC200"/>
    <mergeCell ref="AD200:AE200"/>
    <mergeCell ref="C201:N201"/>
    <mergeCell ref="O201:W201"/>
    <mergeCell ref="X201:Z201"/>
    <mergeCell ref="AA201:AC201"/>
    <mergeCell ref="AD201:AE201"/>
    <mergeCell ref="C202:N202"/>
    <mergeCell ref="O202:W202"/>
    <mergeCell ref="X202:Z202"/>
    <mergeCell ref="AA202:AC202"/>
    <mergeCell ref="AD202:AE202"/>
    <mergeCell ref="C203:N203"/>
    <mergeCell ref="O203:W203"/>
    <mergeCell ref="X203:Z203"/>
    <mergeCell ref="AA203:AC203"/>
    <mergeCell ref="AD203:AE203"/>
    <mergeCell ref="C204:N204"/>
    <mergeCell ref="O204:W204"/>
    <mergeCell ref="X204:Z204"/>
    <mergeCell ref="AA204:AC204"/>
    <mergeCell ref="AD204:AE204"/>
    <mergeCell ref="C205:N205"/>
    <mergeCell ref="O205:W205"/>
    <mergeCell ref="X205:Z205"/>
    <mergeCell ref="AA205:AC205"/>
    <mergeCell ref="AD205:AE205"/>
    <mergeCell ref="C206:N206"/>
    <mergeCell ref="O206:W206"/>
    <mergeCell ref="X206:Z206"/>
    <mergeCell ref="AA206:AC206"/>
    <mergeCell ref="AD206:AE206"/>
    <mergeCell ref="C207:N207"/>
    <mergeCell ref="O207:W207"/>
    <mergeCell ref="X207:Z207"/>
    <mergeCell ref="AA207:AC207"/>
    <mergeCell ref="AD207:AE207"/>
    <mergeCell ref="C208:N208"/>
    <mergeCell ref="X208:AE208"/>
    <mergeCell ref="X217:AA217"/>
    <mergeCell ref="AB217:AE217"/>
    <mergeCell ref="C218:G218"/>
    <mergeCell ref="H218:W218"/>
    <mergeCell ref="X218:AA218"/>
    <mergeCell ref="AB218:AE218"/>
    <mergeCell ref="C219:G219"/>
    <mergeCell ref="H219:W219"/>
    <mergeCell ref="X219:AA219"/>
    <mergeCell ref="AB219:AE219"/>
    <mergeCell ref="C220:G220"/>
    <mergeCell ref="H220:W220"/>
    <mergeCell ref="X220:AA220"/>
    <mergeCell ref="AB220:AE220"/>
    <mergeCell ref="C221:G221"/>
    <mergeCell ref="H221:W221"/>
    <mergeCell ref="X221:AA221"/>
    <mergeCell ref="AB221:AE221"/>
    <mergeCell ref="C223:AE223"/>
    <mergeCell ref="C224:N224"/>
    <mergeCell ref="O224:W224"/>
    <mergeCell ref="X224:Z224"/>
    <mergeCell ref="AA224:AC224"/>
    <mergeCell ref="AD224:AE224"/>
    <mergeCell ref="C225:N225"/>
    <mergeCell ref="O225:W225"/>
    <mergeCell ref="X225:Z225"/>
    <mergeCell ref="AA225:AC225"/>
    <mergeCell ref="AD225:AE225"/>
    <mergeCell ref="C226:AE226"/>
    <mergeCell ref="C228:AE228"/>
    <mergeCell ref="C229:AE229"/>
    <mergeCell ref="C230:AE230"/>
    <mergeCell ref="C231:AE231"/>
    <mergeCell ref="C251:AE251"/>
    <mergeCell ref="C253:N253"/>
    <mergeCell ref="O253:W253"/>
    <mergeCell ref="X253:Z253"/>
    <mergeCell ref="AA253:AC253"/>
    <mergeCell ref="AD253:AE253"/>
    <mergeCell ref="C254:N254"/>
    <mergeCell ref="O254:W254"/>
    <mergeCell ref="X254:Z254"/>
    <mergeCell ref="AA254:AC254"/>
    <mergeCell ref="AD254:AE254"/>
    <mergeCell ref="C255:N255"/>
    <mergeCell ref="O255:W255"/>
    <mergeCell ref="X255:Z255"/>
    <mergeCell ref="AA255:AC255"/>
    <mergeCell ref="AD255:AE255"/>
    <mergeCell ref="C256:N256"/>
    <mergeCell ref="O256:W256"/>
    <mergeCell ref="X256:Z256"/>
    <mergeCell ref="AA256:AC256"/>
    <mergeCell ref="AD256:AE256"/>
    <mergeCell ref="C257:N257"/>
    <mergeCell ref="X257:AE257"/>
    <mergeCell ref="C258:N258"/>
    <mergeCell ref="O258:W258"/>
    <mergeCell ref="X258:Z258"/>
    <mergeCell ref="AA258:AC258"/>
    <mergeCell ref="AD258:AE258"/>
    <mergeCell ref="C259:N259"/>
    <mergeCell ref="O259:W259"/>
    <mergeCell ref="X259:Z259"/>
    <mergeCell ref="AA259:AC259"/>
    <mergeCell ref="AD259:AE259"/>
    <mergeCell ref="C260:N260"/>
    <mergeCell ref="X260:AE260"/>
    <mergeCell ref="C261:AE261"/>
    <mergeCell ref="X289:AA289"/>
    <mergeCell ref="AB289:AE289"/>
    <mergeCell ref="C290:G290"/>
    <mergeCell ref="H290:W290"/>
    <mergeCell ref="X290:AA290"/>
    <mergeCell ref="AB290:AE290"/>
    <mergeCell ref="C291:G291"/>
    <mergeCell ref="H291:W291"/>
    <mergeCell ref="X291:AA291"/>
    <mergeCell ref="AB291:AE291"/>
    <mergeCell ref="C292:G292"/>
    <mergeCell ref="H292:W292"/>
    <mergeCell ref="X292:AA292"/>
    <mergeCell ref="AB292:AE292"/>
    <mergeCell ref="C293:G293"/>
    <mergeCell ref="H293:W293"/>
    <mergeCell ref="X293:AA293"/>
    <mergeCell ref="AB293:AE293"/>
    <mergeCell ref="C295:AE295"/>
    <mergeCell ref="C296:AE296"/>
    <mergeCell ref="C297:AE297"/>
    <mergeCell ref="C298:AE298"/>
    <mergeCell ref="C299:AE299"/>
    <mergeCell ref="C300:AE300"/>
    <mergeCell ref="C301:D301"/>
    <mergeCell ref="E301:G301"/>
    <mergeCell ref="H301:J301"/>
    <mergeCell ref="K301:M301"/>
    <mergeCell ref="N301:P301"/>
    <mergeCell ref="Q301:R301"/>
    <mergeCell ref="S301:U301"/>
    <mergeCell ref="V301:X301"/>
    <mergeCell ref="Y301:Z301"/>
    <mergeCell ref="AA301:AB301"/>
    <mergeCell ref="AC301:AE301"/>
    <mergeCell ref="C302:D302"/>
    <mergeCell ref="E302:G302"/>
    <mergeCell ref="H302:J302"/>
    <mergeCell ref="K302:M302"/>
    <mergeCell ref="N302:P302"/>
    <mergeCell ref="Q302:R302"/>
    <mergeCell ref="S302:U302"/>
    <mergeCell ref="V302:X302"/>
    <mergeCell ref="Y302:Z302"/>
    <mergeCell ref="AA302:AB302"/>
    <mergeCell ref="AC302:AE302"/>
    <mergeCell ref="C303:D303"/>
    <mergeCell ref="E303:G303"/>
    <mergeCell ref="H303:J303"/>
    <mergeCell ref="K303:M303"/>
    <mergeCell ref="N303:P303"/>
    <mergeCell ref="Q303:R303"/>
    <mergeCell ref="S303:U303"/>
    <mergeCell ref="V303:X303"/>
    <mergeCell ref="Y303:Z303"/>
    <mergeCell ref="AA303:AB303"/>
    <mergeCell ref="AC303:AE303"/>
    <mergeCell ref="C304:D304"/>
    <mergeCell ref="E304:G304"/>
    <mergeCell ref="H304:J304"/>
    <mergeCell ref="K304:M304"/>
    <mergeCell ref="N304:P304"/>
    <mergeCell ref="Q304:R304"/>
    <mergeCell ref="S304:U304"/>
    <mergeCell ref="V304:X304"/>
    <mergeCell ref="Y304:Z304"/>
    <mergeCell ref="AA304:AB304"/>
    <mergeCell ref="AC304:AE304"/>
    <mergeCell ref="C305:D305"/>
    <mergeCell ref="E305:G305"/>
    <mergeCell ref="H305:J305"/>
    <mergeCell ref="K305:M305"/>
    <mergeCell ref="N305:P305"/>
    <mergeCell ref="Q305:R305"/>
    <mergeCell ref="S305:U305"/>
    <mergeCell ref="V305:X305"/>
    <mergeCell ref="Y305:Z305"/>
    <mergeCell ref="AA305:AB305"/>
    <mergeCell ref="AC305:AE305"/>
    <mergeCell ref="C306:D306"/>
    <mergeCell ref="E306:G306"/>
    <mergeCell ref="H306:J306"/>
    <mergeCell ref="K306:M306"/>
    <mergeCell ref="N306:P306"/>
    <mergeCell ref="Q306:R306"/>
    <mergeCell ref="S306:U306"/>
    <mergeCell ref="V306:X306"/>
    <mergeCell ref="Y306:Z306"/>
    <mergeCell ref="AA306:AB306"/>
    <mergeCell ref="AC306:AE306"/>
    <mergeCell ref="C307:D307"/>
    <mergeCell ref="E307:G307"/>
    <mergeCell ref="H307:J307"/>
    <mergeCell ref="K307:M307"/>
    <mergeCell ref="N307:P307"/>
    <mergeCell ref="Q307:R307"/>
    <mergeCell ref="S307:U307"/>
    <mergeCell ref="V307:X307"/>
    <mergeCell ref="Y307:Z307"/>
    <mergeCell ref="AA307:AB307"/>
    <mergeCell ref="AC307:AE307"/>
    <mergeCell ref="C308:D308"/>
    <mergeCell ref="E308:G308"/>
    <mergeCell ref="H308:J308"/>
    <mergeCell ref="K308:M308"/>
    <mergeCell ref="N308:P308"/>
    <mergeCell ref="Q308:R308"/>
    <mergeCell ref="S308:U308"/>
    <mergeCell ref="V308:X308"/>
    <mergeCell ref="Y308:Z308"/>
    <mergeCell ref="AA308:AB308"/>
    <mergeCell ref="AC308:AE308"/>
    <mergeCell ref="C309:D309"/>
    <mergeCell ref="E309:G309"/>
    <mergeCell ref="H309:J309"/>
    <mergeCell ref="K309:M309"/>
    <mergeCell ref="N309:P309"/>
    <mergeCell ref="Q309:R309"/>
    <mergeCell ref="S309:U309"/>
    <mergeCell ref="V309:X309"/>
    <mergeCell ref="Y309:Z309"/>
    <mergeCell ref="AA309:AB309"/>
    <mergeCell ref="AC309:AE309"/>
    <mergeCell ref="C310:D310"/>
    <mergeCell ref="E310:G310"/>
    <mergeCell ref="H310:J310"/>
    <mergeCell ref="K310:M310"/>
    <mergeCell ref="N310:P310"/>
    <mergeCell ref="Q310:R310"/>
    <mergeCell ref="S310:U310"/>
    <mergeCell ref="V310:X310"/>
    <mergeCell ref="Y310:Z310"/>
    <mergeCell ref="AA310:AB310"/>
    <mergeCell ref="AC310:AE310"/>
    <mergeCell ref="C311:D311"/>
    <mergeCell ref="E311:G311"/>
    <mergeCell ref="H311:J311"/>
    <mergeCell ref="K311:M311"/>
    <mergeCell ref="N311:P311"/>
    <mergeCell ref="Q311:R311"/>
    <mergeCell ref="S311:U311"/>
    <mergeCell ref="V311:X311"/>
    <mergeCell ref="Y311:Z311"/>
    <mergeCell ref="AA311:AB311"/>
    <mergeCell ref="AC311:AE311"/>
    <mergeCell ref="C312:D312"/>
    <mergeCell ref="E312:G312"/>
    <mergeCell ref="H312:J312"/>
    <mergeCell ref="K312:M312"/>
    <mergeCell ref="N312:P312"/>
    <mergeCell ref="Q312:R312"/>
    <mergeCell ref="S312:U312"/>
    <mergeCell ref="V312:X312"/>
    <mergeCell ref="Y312:Z312"/>
    <mergeCell ref="AA312:AB312"/>
    <mergeCell ref="AC312:AE312"/>
    <mergeCell ref="C313:D313"/>
    <mergeCell ref="E313:G313"/>
    <mergeCell ref="H313:J313"/>
    <mergeCell ref="K313:M313"/>
    <mergeCell ref="N313:P313"/>
    <mergeCell ref="Q313:R313"/>
    <mergeCell ref="S313:U313"/>
    <mergeCell ref="V313:X313"/>
    <mergeCell ref="Y313:Z313"/>
    <mergeCell ref="AA313:AB313"/>
    <mergeCell ref="AC313:AE313"/>
    <mergeCell ref="C314:D314"/>
    <mergeCell ref="E314:G314"/>
    <mergeCell ref="H314:J314"/>
    <mergeCell ref="K314:M314"/>
    <mergeCell ref="N314:P314"/>
    <mergeCell ref="Q314:R314"/>
    <mergeCell ref="S314:U314"/>
    <mergeCell ref="V314:X314"/>
    <mergeCell ref="Y314:Z314"/>
    <mergeCell ref="AA314:AB314"/>
    <mergeCell ref="AC314:AE314"/>
    <mergeCell ref="C315:D315"/>
    <mergeCell ref="E315:G315"/>
    <mergeCell ref="H315:J315"/>
    <mergeCell ref="K315:M315"/>
    <mergeCell ref="N315:P315"/>
    <mergeCell ref="Q315:R315"/>
    <mergeCell ref="S315:U315"/>
    <mergeCell ref="V315:X315"/>
    <mergeCell ref="Y315:Z315"/>
    <mergeCell ref="AA315:AB315"/>
    <mergeCell ref="AC315:AE315"/>
    <mergeCell ref="C316:D316"/>
    <mergeCell ref="E316:G316"/>
    <mergeCell ref="H316:J316"/>
    <mergeCell ref="K316:M316"/>
    <mergeCell ref="N316:P316"/>
    <mergeCell ref="Q316:R316"/>
    <mergeCell ref="S316:U316"/>
    <mergeCell ref="V316:X316"/>
    <mergeCell ref="Y316:Z316"/>
    <mergeCell ref="AA316:AB316"/>
    <mergeCell ref="AC316:AE316"/>
    <mergeCell ref="C317:D317"/>
    <mergeCell ref="E317:G317"/>
    <mergeCell ref="H317:J317"/>
    <mergeCell ref="K317:M317"/>
    <mergeCell ref="N317:P317"/>
    <mergeCell ref="Q317:R317"/>
    <mergeCell ref="S317:U317"/>
    <mergeCell ref="V317:X317"/>
    <mergeCell ref="Y317:Z317"/>
    <mergeCell ref="AA317:AB317"/>
    <mergeCell ref="AC317:AE317"/>
    <mergeCell ref="C318:D318"/>
    <mergeCell ref="E318:G318"/>
    <mergeCell ref="H318:J318"/>
    <mergeCell ref="K318:M318"/>
    <mergeCell ref="N318:P318"/>
    <mergeCell ref="Q318:R318"/>
    <mergeCell ref="S318:U318"/>
    <mergeCell ref="V318:X318"/>
    <mergeCell ref="Y318:Z318"/>
    <mergeCell ref="AA318:AB318"/>
    <mergeCell ref="AC318:AE318"/>
    <mergeCell ref="C319:D319"/>
    <mergeCell ref="E319:G319"/>
    <mergeCell ref="H319:J319"/>
    <mergeCell ref="K319:M319"/>
    <mergeCell ref="N319:P319"/>
    <mergeCell ref="Q319:R319"/>
    <mergeCell ref="S319:U319"/>
    <mergeCell ref="V319:X319"/>
    <mergeCell ref="Y319:Z319"/>
    <mergeCell ref="AA319:AB319"/>
    <mergeCell ref="AC319:AE319"/>
    <mergeCell ref="C320:D320"/>
    <mergeCell ref="E320:G320"/>
    <mergeCell ref="H320:J320"/>
    <mergeCell ref="K320:M320"/>
    <mergeCell ref="N320:P320"/>
    <mergeCell ref="Q320:R320"/>
    <mergeCell ref="S320:U320"/>
    <mergeCell ref="V320:X320"/>
    <mergeCell ref="Y320:Z320"/>
    <mergeCell ref="AA320:AB320"/>
    <mergeCell ref="AC320:AE320"/>
    <mergeCell ref="C321:D321"/>
    <mergeCell ref="E321:G321"/>
    <mergeCell ref="H321:J321"/>
    <mergeCell ref="K321:M321"/>
    <mergeCell ref="N321:P321"/>
    <mergeCell ref="Q321:R321"/>
    <mergeCell ref="S321:U321"/>
    <mergeCell ref="V321:X321"/>
    <mergeCell ref="Y321:Z321"/>
    <mergeCell ref="AA321:AB321"/>
    <mergeCell ref="AC321:AE321"/>
    <mergeCell ref="C322:D322"/>
    <mergeCell ref="E322:G322"/>
    <mergeCell ref="H322:J322"/>
    <mergeCell ref="K322:M322"/>
    <mergeCell ref="N322:P322"/>
    <mergeCell ref="Q322:R322"/>
    <mergeCell ref="S322:U322"/>
    <mergeCell ref="V322:X322"/>
    <mergeCell ref="Y322:Z322"/>
    <mergeCell ref="AA322:AB322"/>
    <mergeCell ref="AC322:AE322"/>
    <mergeCell ref="C323:D323"/>
    <mergeCell ref="E323:G323"/>
    <mergeCell ref="H323:J323"/>
    <mergeCell ref="K323:M323"/>
    <mergeCell ref="N323:P323"/>
    <mergeCell ref="Q323:R323"/>
    <mergeCell ref="S323:U323"/>
    <mergeCell ref="V323:X323"/>
    <mergeCell ref="Y323:Z323"/>
    <mergeCell ref="AA323:AB323"/>
    <mergeCell ref="AC323:AE323"/>
    <mergeCell ref="C324:D324"/>
    <mergeCell ref="E324:G324"/>
    <mergeCell ref="H324:J324"/>
    <mergeCell ref="K324:M324"/>
    <mergeCell ref="N324:P324"/>
    <mergeCell ref="Q324:R324"/>
    <mergeCell ref="S324:U324"/>
    <mergeCell ref="V324:X324"/>
    <mergeCell ref="Y324:Z324"/>
    <mergeCell ref="AA324:AB324"/>
    <mergeCell ref="AC324:AE324"/>
    <mergeCell ref="C325:D325"/>
    <mergeCell ref="E325:G325"/>
    <mergeCell ref="H325:J325"/>
    <mergeCell ref="K325:M325"/>
    <mergeCell ref="N325:P325"/>
    <mergeCell ref="Q325:R325"/>
    <mergeCell ref="S325:U325"/>
    <mergeCell ref="V325:X325"/>
    <mergeCell ref="Y325:Z325"/>
    <mergeCell ref="AA325:AB325"/>
    <mergeCell ref="AC325:AE325"/>
    <mergeCell ref="C326:D326"/>
    <mergeCell ref="E326:G326"/>
    <mergeCell ref="H326:J326"/>
    <mergeCell ref="K326:M326"/>
    <mergeCell ref="N326:P326"/>
    <mergeCell ref="Q326:R326"/>
    <mergeCell ref="S326:U326"/>
    <mergeCell ref="V326:X326"/>
    <mergeCell ref="Y326:Z326"/>
    <mergeCell ref="AA326:AB326"/>
    <mergeCell ref="AC326:AE326"/>
    <mergeCell ref="C327:D327"/>
    <mergeCell ref="E327:G327"/>
    <mergeCell ref="H327:J327"/>
    <mergeCell ref="K327:M327"/>
    <mergeCell ref="N327:P327"/>
    <mergeCell ref="Q327:R327"/>
    <mergeCell ref="S327:U327"/>
    <mergeCell ref="V327:X327"/>
    <mergeCell ref="Y327:Z327"/>
    <mergeCell ref="AA327:AB327"/>
    <mergeCell ref="AC327:AE327"/>
    <mergeCell ref="C328:D328"/>
    <mergeCell ref="E328:G328"/>
    <mergeCell ref="H328:J328"/>
    <mergeCell ref="K328:M328"/>
    <mergeCell ref="N328:P328"/>
    <mergeCell ref="Q328:R328"/>
    <mergeCell ref="S328:U328"/>
    <mergeCell ref="V328:X328"/>
    <mergeCell ref="Y328:Z328"/>
    <mergeCell ref="AA328:AB328"/>
    <mergeCell ref="AC328:AE328"/>
    <mergeCell ref="C329:D329"/>
    <mergeCell ref="E329:G329"/>
    <mergeCell ref="H329:J329"/>
    <mergeCell ref="K329:M329"/>
    <mergeCell ref="N329:P329"/>
    <mergeCell ref="Q329:R329"/>
    <mergeCell ref="S329:U329"/>
    <mergeCell ref="V329:X329"/>
    <mergeCell ref="Y329:Z329"/>
    <mergeCell ref="AA329:AB329"/>
    <mergeCell ref="AC329:AE329"/>
    <mergeCell ref="C330:D330"/>
    <mergeCell ref="E330:G330"/>
    <mergeCell ref="H330:J330"/>
    <mergeCell ref="K330:M330"/>
    <mergeCell ref="N330:P330"/>
    <mergeCell ref="Q330:R330"/>
    <mergeCell ref="S330:U330"/>
    <mergeCell ref="V330:X330"/>
    <mergeCell ref="Y330:Z330"/>
    <mergeCell ref="AA330:AB330"/>
    <mergeCell ref="AC330:AE330"/>
    <mergeCell ref="C331:D331"/>
    <mergeCell ref="E331:G331"/>
    <mergeCell ref="H331:J331"/>
    <mergeCell ref="K331:M331"/>
    <mergeCell ref="N331:P331"/>
    <mergeCell ref="Q331:R331"/>
    <mergeCell ref="S331:U331"/>
    <mergeCell ref="V331:X331"/>
    <mergeCell ref="Y331:Z331"/>
    <mergeCell ref="AA331:AB331"/>
    <mergeCell ref="AC331:AE331"/>
    <mergeCell ref="C332:D332"/>
    <mergeCell ref="E332:G332"/>
    <mergeCell ref="H332:J332"/>
    <mergeCell ref="K332:M332"/>
    <mergeCell ref="N332:P332"/>
    <mergeCell ref="Q332:R332"/>
    <mergeCell ref="S332:U332"/>
    <mergeCell ref="V332:X332"/>
    <mergeCell ref="Y332:Z332"/>
    <mergeCell ref="AA332:AB332"/>
    <mergeCell ref="AC332:AE332"/>
    <mergeCell ref="C333:D333"/>
    <mergeCell ref="E333:G333"/>
    <mergeCell ref="H333:J333"/>
    <mergeCell ref="K333:M333"/>
    <mergeCell ref="N333:P333"/>
    <mergeCell ref="Q333:R333"/>
    <mergeCell ref="S333:U333"/>
    <mergeCell ref="V333:X333"/>
    <mergeCell ref="Y333:Z333"/>
    <mergeCell ref="AA333:AB333"/>
    <mergeCell ref="AC333:AE333"/>
    <mergeCell ref="C334:D334"/>
    <mergeCell ref="E334:G334"/>
    <mergeCell ref="H334:J334"/>
    <mergeCell ref="K334:M334"/>
    <mergeCell ref="N334:P334"/>
    <mergeCell ref="Q334:R334"/>
    <mergeCell ref="S334:U334"/>
    <mergeCell ref="V334:X334"/>
    <mergeCell ref="Y334:Z334"/>
    <mergeCell ref="AA334:AB334"/>
    <mergeCell ref="AC334:AE334"/>
    <mergeCell ref="C335:D335"/>
    <mergeCell ref="E335:G335"/>
    <mergeCell ref="H335:J335"/>
    <mergeCell ref="K335:M335"/>
    <mergeCell ref="N335:P335"/>
    <mergeCell ref="Q335:R335"/>
    <mergeCell ref="S335:U335"/>
    <mergeCell ref="V335:X335"/>
    <mergeCell ref="Y335:Z335"/>
    <mergeCell ref="AA335:AB335"/>
    <mergeCell ref="AC335:AE335"/>
    <mergeCell ref="C336:D336"/>
    <mergeCell ref="E336:G336"/>
    <mergeCell ref="H336:J336"/>
    <mergeCell ref="K336:M336"/>
    <mergeCell ref="N336:P336"/>
    <mergeCell ref="Q336:R336"/>
    <mergeCell ref="S336:U336"/>
    <mergeCell ref="V336:X336"/>
    <mergeCell ref="Y336:Z336"/>
    <mergeCell ref="AA336:AB336"/>
    <mergeCell ref="AC336:AE336"/>
    <mergeCell ref="C337:D337"/>
    <mergeCell ref="E337:G337"/>
    <mergeCell ref="H337:J337"/>
    <mergeCell ref="K337:M337"/>
    <mergeCell ref="N337:P337"/>
    <mergeCell ref="Q337:R337"/>
    <mergeCell ref="S337:U337"/>
    <mergeCell ref="V337:X337"/>
    <mergeCell ref="Y337:Z337"/>
    <mergeCell ref="AA337:AB337"/>
    <mergeCell ref="AC337:AE337"/>
    <mergeCell ref="C338:D338"/>
    <mergeCell ref="E338:G338"/>
    <mergeCell ref="H338:J338"/>
    <mergeCell ref="K338:M338"/>
    <mergeCell ref="N338:P338"/>
    <mergeCell ref="Q338:R338"/>
    <mergeCell ref="S338:U338"/>
    <mergeCell ref="V338:X338"/>
    <mergeCell ref="Y338:Z338"/>
    <mergeCell ref="AA338:AB338"/>
    <mergeCell ref="AC338:AE338"/>
    <mergeCell ref="C339:D339"/>
    <mergeCell ref="E339:G339"/>
    <mergeCell ref="H339:J339"/>
    <mergeCell ref="K339:M339"/>
    <mergeCell ref="N339:P339"/>
    <mergeCell ref="Q339:R339"/>
    <mergeCell ref="S339:U339"/>
    <mergeCell ref="V339:X339"/>
    <mergeCell ref="Y339:Z339"/>
    <mergeCell ref="AA339:AB339"/>
    <mergeCell ref="AC339:AE339"/>
    <mergeCell ref="C340:D340"/>
    <mergeCell ref="E340:G340"/>
    <mergeCell ref="H340:J340"/>
    <mergeCell ref="K340:M340"/>
    <mergeCell ref="N340:P340"/>
    <mergeCell ref="Q340:R340"/>
    <mergeCell ref="S340:U340"/>
    <mergeCell ref="V340:X340"/>
    <mergeCell ref="Y340:Z340"/>
    <mergeCell ref="AA340:AB340"/>
    <mergeCell ref="AC340:AE340"/>
    <mergeCell ref="C341:D341"/>
    <mergeCell ref="E341:G341"/>
    <mergeCell ref="H341:J341"/>
    <mergeCell ref="K341:M341"/>
    <mergeCell ref="N341:P341"/>
    <mergeCell ref="Q341:R341"/>
    <mergeCell ref="S341:U341"/>
    <mergeCell ref="V341:X341"/>
    <mergeCell ref="Y341:Z341"/>
    <mergeCell ref="AA341:AB341"/>
    <mergeCell ref="AC341:AE341"/>
    <mergeCell ref="C342:D342"/>
    <mergeCell ref="E342:G342"/>
    <mergeCell ref="H342:J342"/>
    <mergeCell ref="K342:M342"/>
    <mergeCell ref="N342:P342"/>
    <mergeCell ref="Q342:R342"/>
    <mergeCell ref="S342:U342"/>
    <mergeCell ref="V342:X342"/>
    <mergeCell ref="Y342:Z342"/>
    <mergeCell ref="AA342:AB342"/>
    <mergeCell ref="AC342:AE342"/>
    <mergeCell ref="C343:D343"/>
    <mergeCell ref="E343:G343"/>
    <mergeCell ref="H343:J343"/>
    <mergeCell ref="K343:M343"/>
    <mergeCell ref="N343:P343"/>
    <mergeCell ref="Q343:R343"/>
    <mergeCell ref="S343:U343"/>
    <mergeCell ref="V343:X343"/>
    <mergeCell ref="Y343:Z343"/>
    <mergeCell ref="AA343:AB343"/>
    <mergeCell ref="AC343:AE343"/>
    <mergeCell ref="C345:N345"/>
    <mergeCell ref="O345:W345"/>
    <mergeCell ref="X345:Z345"/>
    <mergeCell ref="AA345:AC345"/>
    <mergeCell ref="AD345:AE345"/>
    <mergeCell ref="C346:N346"/>
    <mergeCell ref="O346:W346"/>
    <mergeCell ref="X346:Z346"/>
    <mergeCell ref="AA346:AC346"/>
    <mergeCell ref="AD346:AE346"/>
    <mergeCell ref="C347:N347"/>
    <mergeCell ref="O347:W347"/>
    <mergeCell ref="X347:Z347"/>
    <mergeCell ref="AA347:AC347"/>
    <mergeCell ref="AD347:AE347"/>
    <mergeCell ref="X361:AA361"/>
    <mergeCell ref="AB361:AE361"/>
    <mergeCell ref="C362:G362"/>
    <mergeCell ref="H362:W362"/>
    <mergeCell ref="X362:AA362"/>
    <mergeCell ref="AB362:AE362"/>
    <mergeCell ref="C363:G363"/>
    <mergeCell ref="H363:W363"/>
    <mergeCell ref="X363:AA363"/>
    <mergeCell ref="AB363:AE363"/>
    <mergeCell ref="C364:G364"/>
    <mergeCell ref="H364:W364"/>
    <mergeCell ref="X364:AA364"/>
    <mergeCell ref="AB364:AE364"/>
    <mergeCell ref="C365:G365"/>
    <mergeCell ref="H365:W365"/>
    <mergeCell ref="X365:AA365"/>
    <mergeCell ref="AB365:AE365"/>
    <mergeCell ref="C386:AE386"/>
    <mergeCell ref="C388:AE388"/>
    <mergeCell ref="C389:AE389"/>
    <mergeCell ref="C390:AE390"/>
    <mergeCell ref="C407:AE407"/>
    <mergeCell ref="X433:AA433"/>
    <mergeCell ref="AB433:AE433"/>
    <mergeCell ref="C434:G434"/>
    <mergeCell ref="H434:W434"/>
    <mergeCell ref="X434:AA434"/>
    <mergeCell ref="AB434:AE434"/>
    <mergeCell ref="C435:G435"/>
    <mergeCell ref="H435:W435"/>
    <mergeCell ref="X435:AA435"/>
    <mergeCell ref="AB435:AE435"/>
    <mergeCell ref="C436:G436"/>
    <mergeCell ref="H436:W436"/>
    <mergeCell ref="X436:AA436"/>
    <mergeCell ref="AB436:AE436"/>
    <mergeCell ref="C437:G437"/>
    <mergeCell ref="H437:W437"/>
    <mergeCell ref="X437:AA437"/>
    <mergeCell ref="AB437:AE437"/>
    <mergeCell ref="C439:AE439"/>
    <mergeCell ref="C440:D440"/>
    <mergeCell ref="E440:G440"/>
    <mergeCell ref="H440:J440"/>
    <mergeCell ref="K440:M440"/>
    <mergeCell ref="N440:P440"/>
    <mergeCell ref="Q440:S440"/>
    <mergeCell ref="T440:U440"/>
    <mergeCell ref="V440:W440"/>
    <mergeCell ref="X440:Y440"/>
    <mergeCell ref="Z440:AB440"/>
    <mergeCell ref="AC440:AE440"/>
    <mergeCell ref="C441:D441"/>
    <mergeCell ref="E441:G441"/>
    <mergeCell ref="H441:J441"/>
    <mergeCell ref="K441:M441"/>
    <mergeCell ref="N441:P441"/>
    <mergeCell ref="Q441:S441"/>
    <mergeCell ref="T441:U441"/>
    <mergeCell ref="V441:W441"/>
    <mergeCell ref="X441:Y441"/>
    <mergeCell ref="Z441:AB441"/>
    <mergeCell ref="AC441:AE441"/>
    <mergeCell ref="C442:D442"/>
    <mergeCell ref="E442:G442"/>
    <mergeCell ref="H442:J442"/>
    <mergeCell ref="K442:M442"/>
    <mergeCell ref="N442:P442"/>
    <mergeCell ref="Q442:S442"/>
    <mergeCell ref="T442:U442"/>
    <mergeCell ref="V442:W442"/>
    <mergeCell ref="X442:Y442"/>
    <mergeCell ref="Z442:AB442"/>
    <mergeCell ref="AC442:AE442"/>
    <mergeCell ref="C443:D443"/>
    <mergeCell ref="E443:G443"/>
    <mergeCell ref="H443:J443"/>
    <mergeCell ref="K443:M443"/>
    <mergeCell ref="N443:P443"/>
    <mergeCell ref="Q443:S443"/>
    <mergeCell ref="T443:U443"/>
    <mergeCell ref="V443:W443"/>
    <mergeCell ref="X443:Y443"/>
    <mergeCell ref="Z443:AB443"/>
    <mergeCell ref="AC443:AE443"/>
    <mergeCell ref="C444:D444"/>
    <mergeCell ref="E444:G444"/>
    <mergeCell ref="H444:J444"/>
    <mergeCell ref="K444:M444"/>
    <mergeCell ref="N444:P444"/>
    <mergeCell ref="Q444:S444"/>
    <mergeCell ref="T444:U444"/>
    <mergeCell ref="V444:W444"/>
    <mergeCell ref="X444:Y444"/>
    <mergeCell ref="Z444:AB444"/>
    <mergeCell ref="AC444:AE444"/>
    <mergeCell ref="C445:D445"/>
    <mergeCell ref="E445:G445"/>
    <mergeCell ref="H445:J445"/>
    <mergeCell ref="K445:M445"/>
    <mergeCell ref="N445:P445"/>
    <mergeCell ref="Q445:S445"/>
    <mergeCell ref="T445:U445"/>
    <mergeCell ref="V445:W445"/>
    <mergeCell ref="X445:Y445"/>
    <mergeCell ref="Z445:AB445"/>
    <mergeCell ref="AC445:AE445"/>
    <mergeCell ref="C446:D446"/>
    <mergeCell ref="E446:G446"/>
    <mergeCell ref="H446:J446"/>
    <mergeCell ref="K446:M446"/>
    <mergeCell ref="N446:P446"/>
    <mergeCell ref="Q446:S446"/>
    <mergeCell ref="T446:U446"/>
    <mergeCell ref="V446:W446"/>
    <mergeCell ref="X446:Y446"/>
    <mergeCell ref="Z446:AB446"/>
    <mergeCell ref="AC446:AE446"/>
    <mergeCell ref="C447:D447"/>
    <mergeCell ref="E447:G447"/>
    <mergeCell ref="H447:J447"/>
    <mergeCell ref="K447:M447"/>
    <mergeCell ref="N447:P447"/>
    <mergeCell ref="Q447:S447"/>
    <mergeCell ref="T447:U447"/>
    <mergeCell ref="V447:W447"/>
    <mergeCell ref="X447:Y447"/>
    <mergeCell ref="Z447:AB447"/>
    <mergeCell ref="AC447:AE447"/>
    <mergeCell ref="C448:D448"/>
    <mergeCell ref="E448:G448"/>
    <mergeCell ref="H448:J448"/>
    <mergeCell ref="K448:M448"/>
    <mergeCell ref="N448:P448"/>
    <mergeCell ref="Q448:S448"/>
    <mergeCell ref="T448:U448"/>
    <mergeCell ref="V448:W448"/>
    <mergeCell ref="X448:Y448"/>
    <mergeCell ref="Z448:AB448"/>
    <mergeCell ref="AC448:AE448"/>
    <mergeCell ref="C449:D449"/>
    <mergeCell ref="E449:G449"/>
    <mergeCell ref="H449:J449"/>
    <mergeCell ref="K449:M449"/>
    <mergeCell ref="N449:P449"/>
    <mergeCell ref="Q449:S449"/>
    <mergeCell ref="T449:U449"/>
    <mergeCell ref="V449:W449"/>
    <mergeCell ref="X449:Y449"/>
    <mergeCell ref="Z449:AB449"/>
    <mergeCell ref="AC449:AE449"/>
    <mergeCell ref="C450:D450"/>
    <mergeCell ref="E450:G450"/>
    <mergeCell ref="H450:J450"/>
    <mergeCell ref="K450:M450"/>
    <mergeCell ref="N450:P450"/>
    <mergeCell ref="Q450:S450"/>
    <mergeCell ref="T450:U450"/>
    <mergeCell ref="V450:W450"/>
    <mergeCell ref="X450:Y450"/>
    <mergeCell ref="Z450:AB450"/>
    <mergeCell ref="AC450:AE450"/>
    <mergeCell ref="C451:D451"/>
    <mergeCell ref="E451:G451"/>
    <mergeCell ref="H451:J451"/>
    <mergeCell ref="K451:M451"/>
    <mergeCell ref="N451:P451"/>
    <mergeCell ref="Q451:S451"/>
    <mergeCell ref="T451:U451"/>
    <mergeCell ref="V451:W451"/>
    <mergeCell ref="X451:Y451"/>
    <mergeCell ref="Z451:AB451"/>
    <mergeCell ref="AC451:AE451"/>
    <mergeCell ref="C452:D452"/>
    <mergeCell ref="E452:G452"/>
    <mergeCell ref="H452:J452"/>
    <mergeCell ref="K452:M452"/>
    <mergeCell ref="N452:P452"/>
    <mergeCell ref="Q452:S452"/>
    <mergeCell ref="T452:U452"/>
    <mergeCell ref="V452:W452"/>
    <mergeCell ref="X452:Y452"/>
    <mergeCell ref="Z452:AB452"/>
    <mergeCell ref="AC452:AE452"/>
    <mergeCell ref="C453:D453"/>
    <mergeCell ref="E453:G453"/>
    <mergeCell ref="H453:J453"/>
    <mergeCell ref="K453:M453"/>
    <mergeCell ref="N453:P453"/>
    <mergeCell ref="Q453:S453"/>
    <mergeCell ref="T453:U453"/>
    <mergeCell ref="V453:W453"/>
    <mergeCell ref="X453:Y453"/>
    <mergeCell ref="Z453:AB453"/>
    <mergeCell ref="AC453:AE453"/>
    <mergeCell ref="C454:D454"/>
    <mergeCell ref="E454:G454"/>
    <mergeCell ref="H454:J454"/>
    <mergeCell ref="K454:M454"/>
    <mergeCell ref="N454:P454"/>
    <mergeCell ref="Q454:S454"/>
    <mergeCell ref="T454:U454"/>
    <mergeCell ref="V454:W454"/>
    <mergeCell ref="X454:Y454"/>
    <mergeCell ref="Z454:AB454"/>
    <mergeCell ref="AC454:AE454"/>
    <mergeCell ref="C455:D455"/>
    <mergeCell ref="E455:G455"/>
    <mergeCell ref="H455:J455"/>
    <mergeCell ref="K455:M455"/>
    <mergeCell ref="N455:P455"/>
    <mergeCell ref="Q455:S455"/>
    <mergeCell ref="T455:U455"/>
    <mergeCell ref="V455:W455"/>
    <mergeCell ref="X455:Y455"/>
    <mergeCell ref="Z455:AB455"/>
    <mergeCell ref="AC455:AE455"/>
    <mergeCell ref="C456:D456"/>
    <mergeCell ref="E456:G456"/>
    <mergeCell ref="H456:J456"/>
    <mergeCell ref="K456:M456"/>
    <mergeCell ref="N456:P456"/>
    <mergeCell ref="Q456:S456"/>
    <mergeCell ref="T456:U456"/>
    <mergeCell ref="V456:W456"/>
    <mergeCell ref="X456:Y456"/>
    <mergeCell ref="Z456:AB456"/>
    <mergeCell ref="AC456:AE456"/>
    <mergeCell ref="C457:D457"/>
    <mergeCell ref="E457:G457"/>
    <mergeCell ref="H457:J457"/>
    <mergeCell ref="K457:M457"/>
    <mergeCell ref="N457:P457"/>
    <mergeCell ref="Q457:S457"/>
    <mergeCell ref="T457:U457"/>
    <mergeCell ref="V457:W457"/>
    <mergeCell ref="X457:Y457"/>
    <mergeCell ref="Z457:AB457"/>
    <mergeCell ref="AC457:AE457"/>
    <mergeCell ref="C458:D458"/>
    <mergeCell ref="E458:G458"/>
    <mergeCell ref="H458:J458"/>
    <mergeCell ref="K458:M458"/>
    <mergeCell ref="N458:P458"/>
    <mergeCell ref="Q458:S458"/>
    <mergeCell ref="T458:U458"/>
    <mergeCell ref="V458:W458"/>
    <mergeCell ref="X458:Y458"/>
    <mergeCell ref="Z458:AB458"/>
    <mergeCell ref="AC458:AE458"/>
    <mergeCell ref="C459:D459"/>
    <mergeCell ref="E459:G459"/>
    <mergeCell ref="H459:J459"/>
    <mergeCell ref="K459:M459"/>
    <mergeCell ref="N459:P459"/>
    <mergeCell ref="Q459:S459"/>
    <mergeCell ref="T459:U459"/>
    <mergeCell ref="V459:W459"/>
    <mergeCell ref="X459:Y459"/>
    <mergeCell ref="Z459:AB459"/>
    <mergeCell ref="AC459:AE459"/>
    <mergeCell ref="C460:D460"/>
    <mergeCell ref="E460:G460"/>
    <mergeCell ref="H460:J460"/>
    <mergeCell ref="K460:M460"/>
    <mergeCell ref="N460:P460"/>
    <mergeCell ref="Q460:S460"/>
    <mergeCell ref="T460:U460"/>
    <mergeCell ref="V460:W460"/>
    <mergeCell ref="X460:Y460"/>
    <mergeCell ref="Z460:AB460"/>
    <mergeCell ref="AC460:AE460"/>
    <mergeCell ref="C461:D461"/>
    <mergeCell ref="E461:G461"/>
    <mergeCell ref="H461:J461"/>
    <mergeCell ref="K461:M461"/>
    <mergeCell ref="N461:P461"/>
    <mergeCell ref="Q461:S461"/>
    <mergeCell ref="T461:U461"/>
    <mergeCell ref="V461:W461"/>
    <mergeCell ref="X461:Y461"/>
    <mergeCell ref="Z461:AB461"/>
    <mergeCell ref="AC461:AE461"/>
    <mergeCell ref="C462:D462"/>
    <mergeCell ref="E462:G462"/>
    <mergeCell ref="H462:J462"/>
    <mergeCell ref="K462:M462"/>
    <mergeCell ref="N462:P462"/>
    <mergeCell ref="Q462:S462"/>
    <mergeCell ref="T462:U462"/>
    <mergeCell ref="V462:W462"/>
    <mergeCell ref="X462:Y462"/>
    <mergeCell ref="Z462:AB462"/>
    <mergeCell ref="AC462:AE462"/>
    <mergeCell ref="C463:D463"/>
    <mergeCell ref="E463:G463"/>
    <mergeCell ref="H463:J463"/>
    <mergeCell ref="K463:M463"/>
    <mergeCell ref="N463:P463"/>
    <mergeCell ref="Q463:S463"/>
    <mergeCell ref="T463:U463"/>
    <mergeCell ref="V463:W463"/>
    <mergeCell ref="X463:Y463"/>
    <mergeCell ref="Z463:AB463"/>
    <mergeCell ref="AC463:AE463"/>
    <mergeCell ref="C464:D464"/>
    <mergeCell ref="E464:G464"/>
    <mergeCell ref="H464:J464"/>
    <mergeCell ref="K464:M464"/>
    <mergeCell ref="N464:P464"/>
    <mergeCell ref="Q464:S464"/>
    <mergeCell ref="T464:U464"/>
    <mergeCell ref="V464:W464"/>
    <mergeCell ref="X464:Y464"/>
    <mergeCell ref="Z464:AB464"/>
    <mergeCell ref="AC464:AE464"/>
    <mergeCell ref="C465:D465"/>
    <mergeCell ref="E465:G465"/>
    <mergeCell ref="H465:J465"/>
    <mergeCell ref="K465:M465"/>
    <mergeCell ref="N465:P465"/>
    <mergeCell ref="Q465:S465"/>
    <mergeCell ref="T465:U465"/>
    <mergeCell ref="V465:W465"/>
    <mergeCell ref="X465:Y465"/>
    <mergeCell ref="Z465:AB465"/>
    <mergeCell ref="AC465:AE465"/>
    <mergeCell ref="C466:D466"/>
    <mergeCell ref="E466:G466"/>
    <mergeCell ref="H466:J466"/>
    <mergeCell ref="K466:M466"/>
    <mergeCell ref="N466:P466"/>
    <mergeCell ref="Q466:S466"/>
    <mergeCell ref="T466:U466"/>
    <mergeCell ref="V466:W466"/>
    <mergeCell ref="X466:Y466"/>
    <mergeCell ref="Z466:AB466"/>
    <mergeCell ref="AC466:AE466"/>
    <mergeCell ref="C467:D467"/>
    <mergeCell ref="E467:G467"/>
    <mergeCell ref="H467:J467"/>
    <mergeCell ref="K467:M467"/>
    <mergeCell ref="N467:P467"/>
    <mergeCell ref="Q467:S467"/>
    <mergeCell ref="T467:U467"/>
    <mergeCell ref="V467:W467"/>
    <mergeCell ref="X467:Y467"/>
    <mergeCell ref="Z467:AB467"/>
    <mergeCell ref="AC467:AE467"/>
    <mergeCell ref="C468:D468"/>
    <mergeCell ref="E468:G468"/>
    <mergeCell ref="H468:J468"/>
    <mergeCell ref="K468:M468"/>
    <mergeCell ref="N468:P468"/>
    <mergeCell ref="Q468:S468"/>
    <mergeCell ref="T468:U468"/>
    <mergeCell ref="V468:W468"/>
    <mergeCell ref="X468:Y468"/>
    <mergeCell ref="Z468:AB468"/>
    <mergeCell ref="AC468:AE468"/>
    <mergeCell ref="C469:D469"/>
    <mergeCell ref="E469:G469"/>
    <mergeCell ref="H469:J469"/>
    <mergeCell ref="K469:M469"/>
    <mergeCell ref="N469:P469"/>
    <mergeCell ref="Q469:S469"/>
    <mergeCell ref="T469:U469"/>
    <mergeCell ref="V469:W469"/>
    <mergeCell ref="X469:Y469"/>
    <mergeCell ref="Z469:AB469"/>
    <mergeCell ref="AC469:AE469"/>
    <mergeCell ref="C470:D470"/>
    <mergeCell ref="E470:G470"/>
    <mergeCell ref="H470:J470"/>
    <mergeCell ref="K470:M470"/>
    <mergeCell ref="N470:P470"/>
    <mergeCell ref="Q470:S470"/>
    <mergeCell ref="T470:U470"/>
    <mergeCell ref="V470:W470"/>
    <mergeCell ref="X470:Y470"/>
    <mergeCell ref="Z470:AB470"/>
    <mergeCell ref="AC470:AE470"/>
    <mergeCell ref="C471:D471"/>
    <mergeCell ref="E471:G471"/>
    <mergeCell ref="H471:J471"/>
    <mergeCell ref="K471:M471"/>
    <mergeCell ref="N471:P471"/>
    <mergeCell ref="Q471:S471"/>
    <mergeCell ref="T471:U471"/>
    <mergeCell ref="V471:W471"/>
    <mergeCell ref="X471:Y471"/>
    <mergeCell ref="Z471:AB471"/>
    <mergeCell ref="AC471:AE471"/>
    <mergeCell ref="C472:D472"/>
    <mergeCell ref="E472:G472"/>
    <mergeCell ref="H472:J472"/>
    <mergeCell ref="K472:M472"/>
    <mergeCell ref="N472:P472"/>
    <mergeCell ref="Q472:S472"/>
    <mergeCell ref="T472:U472"/>
    <mergeCell ref="V472:W472"/>
    <mergeCell ref="X472:Y472"/>
    <mergeCell ref="Z472:AB472"/>
    <mergeCell ref="AC472:AE472"/>
    <mergeCell ref="C473:D473"/>
    <mergeCell ref="E473:G473"/>
    <mergeCell ref="H473:J473"/>
    <mergeCell ref="K473:M473"/>
    <mergeCell ref="N473:P473"/>
    <mergeCell ref="Q473:S473"/>
    <mergeCell ref="T473:U473"/>
    <mergeCell ref="V473:W473"/>
    <mergeCell ref="X473:Y473"/>
    <mergeCell ref="Z473:AB473"/>
    <mergeCell ref="AC473:AE473"/>
    <mergeCell ref="C474:D474"/>
    <mergeCell ref="E474:G474"/>
    <mergeCell ref="H474:J474"/>
    <mergeCell ref="K474:M474"/>
    <mergeCell ref="N474:P474"/>
    <mergeCell ref="Q474:S474"/>
    <mergeCell ref="T474:U474"/>
    <mergeCell ref="V474:W474"/>
    <mergeCell ref="X474:Y474"/>
    <mergeCell ref="Z474:AB474"/>
    <mergeCell ref="AC474:AE474"/>
    <mergeCell ref="C475:D475"/>
    <mergeCell ref="E475:G475"/>
    <mergeCell ref="H475:J475"/>
    <mergeCell ref="K475:M475"/>
    <mergeCell ref="N475:P475"/>
    <mergeCell ref="Q475:S475"/>
    <mergeCell ref="T475:U475"/>
    <mergeCell ref="V475:W475"/>
    <mergeCell ref="X475:Y475"/>
    <mergeCell ref="Z475:AB475"/>
    <mergeCell ref="AC475:AE475"/>
    <mergeCell ref="C476:D476"/>
    <mergeCell ref="E476:G476"/>
    <mergeCell ref="H476:J476"/>
    <mergeCell ref="K476:M476"/>
    <mergeCell ref="N476:P476"/>
    <mergeCell ref="Q476:S476"/>
    <mergeCell ref="T476:U476"/>
    <mergeCell ref="V476:W476"/>
    <mergeCell ref="X476:Y476"/>
    <mergeCell ref="Z476:AB476"/>
    <mergeCell ref="AC476:AE476"/>
    <mergeCell ref="C477:D477"/>
    <mergeCell ref="E477:G477"/>
    <mergeCell ref="H477:J477"/>
    <mergeCell ref="K477:M477"/>
    <mergeCell ref="N477:P477"/>
    <mergeCell ref="Q477:S477"/>
    <mergeCell ref="T477:U477"/>
    <mergeCell ref="V477:W477"/>
    <mergeCell ref="X477:Y477"/>
    <mergeCell ref="Z477:AB477"/>
    <mergeCell ref="AC477:AE477"/>
    <mergeCell ref="C478:D478"/>
    <mergeCell ref="E478:G478"/>
    <mergeCell ref="H478:J478"/>
    <mergeCell ref="K478:M478"/>
    <mergeCell ref="N478:P478"/>
    <mergeCell ref="Q478:S478"/>
    <mergeCell ref="T478:U478"/>
    <mergeCell ref="V478:W478"/>
    <mergeCell ref="X478:Y478"/>
    <mergeCell ref="Z478:AB478"/>
    <mergeCell ref="AC478:AE478"/>
    <mergeCell ref="C479:D479"/>
    <mergeCell ref="E479:G479"/>
    <mergeCell ref="H479:J479"/>
    <mergeCell ref="K479:M479"/>
    <mergeCell ref="N479:P479"/>
    <mergeCell ref="Q479:S479"/>
    <mergeCell ref="T479:U479"/>
    <mergeCell ref="V479:W479"/>
    <mergeCell ref="X479:Y479"/>
    <mergeCell ref="Z479:AB479"/>
    <mergeCell ref="AC479:AE479"/>
    <mergeCell ref="C480:D480"/>
    <mergeCell ref="E480:G480"/>
    <mergeCell ref="H480:J480"/>
    <mergeCell ref="K480:M480"/>
    <mergeCell ref="N480:P480"/>
    <mergeCell ref="Q480:S480"/>
    <mergeCell ref="T480:U480"/>
    <mergeCell ref="V480:W480"/>
    <mergeCell ref="X480:Y480"/>
    <mergeCell ref="Z480:AB480"/>
    <mergeCell ref="AC480:AE480"/>
    <mergeCell ref="C481:D481"/>
    <mergeCell ref="E481:G481"/>
    <mergeCell ref="H481:J481"/>
    <mergeCell ref="K481:M481"/>
    <mergeCell ref="N481:P481"/>
    <mergeCell ref="Q481:S481"/>
    <mergeCell ref="T481:U481"/>
    <mergeCell ref="V481:W481"/>
    <mergeCell ref="X481:Y481"/>
    <mergeCell ref="Z481:AB481"/>
    <mergeCell ref="AC481:AE481"/>
    <mergeCell ref="C482:D482"/>
    <mergeCell ref="E482:G482"/>
    <mergeCell ref="H482:J482"/>
    <mergeCell ref="K482:M482"/>
    <mergeCell ref="N482:P482"/>
    <mergeCell ref="Q482:S482"/>
    <mergeCell ref="T482:U482"/>
    <mergeCell ref="V482:W482"/>
    <mergeCell ref="X482:Y482"/>
    <mergeCell ref="Z482:AB482"/>
    <mergeCell ref="AC482:AE482"/>
    <mergeCell ref="C484:N484"/>
    <mergeCell ref="O484:W484"/>
    <mergeCell ref="X484:Z484"/>
    <mergeCell ref="AA484:AC484"/>
    <mergeCell ref="AD484:AE484"/>
    <mergeCell ref="C485:N485"/>
    <mergeCell ref="O485:W485"/>
    <mergeCell ref="X485:Z485"/>
    <mergeCell ref="AA485:AC485"/>
    <mergeCell ref="AD485:AE485"/>
    <mergeCell ref="X505:AA505"/>
    <mergeCell ref="AB505:AE505"/>
    <mergeCell ref="C506:G506"/>
    <mergeCell ref="H506:W506"/>
    <mergeCell ref="X506:AA506"/>
    <mergeCell ref="AB506:AE506"/>
    <mergeCell ref="C507:G507"/>
    <mergeCell ref="H507:W507"/>
    <mergeCell ref="X507:AA507"/>
    <mergeCell ref="AB507:AE507"/>
    <mergeCell ref="C508:G508"/>
    <mergeCell ref="H508:W508"/>
    <mergeCell ref="X508:AA508"/>
    <mergeCell ref="AB508:AE508"/>
    <mergeCell ref="C509:G509"/>
    <mergeCell ref="H509:W509"/>
    <mergeCell ref="X509:AA509"/>
    <mergeCell ref="AB509:AE509"/>
    <mergeCell ref="C511:AE511"/>
    <mergeCell ref="C513:N513"/>
    <mergeCell ref="O513:W513"/>
    <mergeCell ref="X513:Z513"/>
    <mergeCell ref="AA513:AC513"/>
    <mergeCell ref="AD513:AE513"/>
    <mergeCell ref="C514:N514"/>
    <mergeCell ref="X514:AE514"/>
    <mergeCell ref="C515:N515"/>
    <mergeCell ref="O515:W515"/>
    <mergeCell ref="X515:Z515"/>
    <mergeCell ref="AA515:AC515"/>
    <mergeCell ref="AD515:AE515"/>
    <mergeCell ref="C516:N516"/>
    <mergeCell ref="X516:AE516"/>
    <mergeCell ref="C517:N517"/>
    <mergeCell ref="O517:W517"/>
    <mergeCell ref="X517:Z517"/>
    <mergeCell ref="AA517:AC517"/>
    <mergeCell ref="AD517:AE517"/>
    <mergeCell ref="C518:N518"/>
    <mergeCell ref="X518:AE518"/>
    <mergeCell ref="C519:N519"/>
    <mergeCell ref="O519:W519"/>
    <mergeCell ref="X519:Z519"/>
    <mergeCell ref="AA519:AC519"/>
    <mergeCell ref="AD519:AE519"/>
    <mergeCell ref="C520:N520"/>
    <mergeCell ref="O520:W520"/>
    <mergeCell ref="X520:Z520"/>
    <mergeCell ref="AA520:AC520"/>
    <mergeCell ref="AD520:AE520"/>
    <mergeCell ref="C521:N521"/>
    <mergeCell ref="O521:W521"/>
    <mergeCell ref="X521:Z521"/>
    <mergeCell ref="AA521:AC521"/>
    <mergeCell ref="AD521:AE521"/>
    <mergeCell ref="C522:N522"/>
    <mergeCell ref="O522:W522"/>
    <mergeCell ref="X522:Z522"/>
    <mergeCell ref="AA522:AC522"/>
    <mergeCell ref="AD522:AE522"/>
    <mergeCell ref="C523:N523"/>
    <mergeCell ref="X523:AE523"/>
    <mergeCell ref="C525:AE525"/>
    <mergeCell ref="C526:AE526"/>
    <mergeCell ref="C528:AE528"/>
    <mergeCell ref="X577:AA577"/>
    <mergeCell ref="AB577:AE577"/>
  </mergeCells>
  <printOptions headings="false" gridLines="false" gridLinesSet="true" horizontalCentered="true" verticalCentered="false"/>
  <pageMargins left="0.5" right="0.5" top="0.6" bottom="0.6" header="0.511811023622047" footer="0.511811023622047"/>
  <pageSetup paperSize="9" scale="66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rowBreaks count="7" manualBreakCount="7">
    <brk id="73" man="true" max="16383" min="0"/>
    <brk id="145" man="true" max="16383" min="0"/>
    <brk id="217" man="true" max="16383" min="0"/>
    <brk id="289" man="true" max="16383" min="0"/>
    <brk id="361" man="true" max="16383" min="0"/>
    <brk id="433" man="true" max="16383" min="0"/>
    <brk id="505" man="true" max="16383" min="0"/>
  </rowBreak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Q577"/>
  <sheetViews>
    <sheetView showFormulas="false" showGridLines="false" showRowColHeaders="true" showZeros="true" rightToLeft="false" tabSelected="false" showOutlineSymbols="true" defaultGridColor="true" view="normal" topLeftCell="A163" colorId="64" zoomScale="85" zoomScaleNormal="85" zoomScalePageLayoutView="100" workbookViewId="0">
      <selection pane="topLeft" activeCell="X189" activeCellId="0" sqref="X189"/>
    </sheetView>
  </sheetViews>
  <sheetFormatPr defaultColWidth="8.5390625" defaultRowHeight="14.25" zeroHeight="false" outlineLevelRow="0" outlineLevelCol="0"/>
  <cols>
    <col collapsed="false" customWidth="true" hidden="false" outlineLevel="0" max="1" min="1" style="0" width="3.44"/>
    <col collapsed="false" customWidth="true" hidden="false" outlineLevel="0" max="2" min="2" style="0" width="4"/>
    <col collapsed="false" customWidth="true" hidden="false" outlineLevel="0" max="9" min="3" style="0" width="3.56"/>
    <col collapsed="false" customWidth="true" hidden="false" outlineLevel="0" max="10" min="10" style="0" width="3.89"/>
    <col collapsed="false" customWidth="true" hidden="false" outlineLevel="0" max="11" min="11" style="0" width="4"/>
    <col collapsed="false" customWidth="true" hidden="false" outlineLevel="0" max="31" min="12" style="0" width="4.56"/>
    <col collapsed="false" customWidth="true" hidden="false" outlineLevel="0" max="32" min="32" style="0" width="3.44"/>
    <col collapsed="false" customWidth="true" hidden="false" outlineLevel="0" max="68" min="35" style="0" width="9"/>
    <col collapsed="false" customWidth="true" hidden="false" outlineLevel="0" max="69" min="69" style="0" width="40"/>
  </cols>
  <sheetData>
    <row r="2" customFormat="false" ht="14.25" hidden="false" customHeight="true" outlineLevel="0" collapsed="false">
      <c r="B2" s="1"/>
      <c r="C2" s="2" t="s">
        <v>0</v>
      </c>
      <c r="D2" s="2"/>
      <c r="E2" s="2"/>
      <c r="F2" s="2"/>
      <c r="G2" s="2"/>
      <c r="H2" s="3" t="s">
        <v>1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4" t="s">
        <v>2</v>
      </c>
      <c r="Y2" s="4"/>
      <c r="Z2" s="4"/>
      <c r="AA2" s="4"/>
      <c r="AB2" s="5" t="s">
        <v>3</v>
      </c>
      <c r="AC2" s="5"/>
      <c r="AD2" s="5"/>
      <c r="AE2" s="5"/>
      <c r="AF2" s="6"/>
    </row>
    <row r="3" customFormat="false" ht="14.25" hidden="false" customHeight="true" outlineLevel="0" collapsed="false">
      <c r="B3" s="7"/>
      <c r="C3" s="8" t="s">
        <v>4</v>
      </c>
      <c r="D3" s="8"/>
      <c r="E3" s="8"/>
      <c r="F3" s="8"/>
      <c r="G3" s="8"/>
      <c r="H3" s="9" t="s">
        <v>5</v>
      </c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10" t="s">
        <v>6</v>
      </c>
      <c r="Y3" s="10"/>
      <c r="Z3" s="10"/>
      <c r="AA3" s="10"/>
      <c r="AB3" s="11" t="n">
        <v>46301</v>
      </c>
      <c r="AC3" s="11"/>
      <c r="AD3" s="11"/>
      <c r="AE3" s="11"/>
      <c r="AF3" s="12"/>
    </row>
    <row r="4" customFormat="false" ht="14.25" hidden="false" customHeight="true" outlineLevel="0" collapsed="false">
      <c r="B4" s="7"/>
      <c r="C4" s="8" t="s">
        <v>7</v>
      </c>
      <c r="D4" s="8"/>
      <c r="E4" s="8"/>
      <c r="F4" s="8"/>
      <c r="G4" s="8"/>
      <c r="H4" s="9" t="s">
        <v>327</v>
      </c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10" t="s">
        <v>9</v>
      </c>
      <c r="Y4" s="10"/>
      <c r="Z4" s="10"/>
      <c r="AA4" s="10"/>
      <c r="AB4" s="11" t="s">
        <v>3</v>
      </c>
      <c r="AC4" s="11"/>
      <c r="AD4" s="11"/>
      <c r="AE4" s="11"/>
      <c r="AF4" s="12"/>
    </row>
    <row r="5" customFormat="false" ht="14.25" hidden="false" customHeight="true" outlineLevel="0" collapsed="false">
      <c r="B5" s="13"/>
      <c r="C5" s="14" t="s">
        <v>10</v>
      </c>
      <c r="D5" s="14"/>
      <c r="E5" s="14"/>
      <c r="F5" s="14"/>
      <c r="G5" s="14"/>
      <c r="H5" s="15" t="s">
        <v>134</v>
      </c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6" t="s">
        <v>12</v>
      </c>
      <c r="Y5" s="16"/>
      <c r="Z5" s="16"/>
      <c r="AA5" s="16"/>
      <c r="AB5" s="17" t="n">
        <v>46301</v>
      </c>
      <c r="AC5" s="17"/>
      <c r="AD5" s="17"/>
      <c r="AE5" s="17"/>
      <c r="AF5" s="18"/>
    </row>
    <row r="6" customFormat="false" ht="14.25" hidden="false" customHeight="false" outlineLevel="0" collapsed="false">
      <c r="B6" s="7"/>
      <c r="AF6" s="12"/>
    </row>
    <row r="7" customFormat="false" ht="14.25" hidden="false" customHeight="false" outlineLevel="0" collapsed="false">
      <c r="B7" s="7"/>
      <c r="C7" s="9" t="s">
        <v>135</v>
      </c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12"/>
    </row>
    <row r="8" customFormat="false" ht="14.25" hidden="false" customHeight="false" outlineLevel="0" collapsed="false">
      <c r="B8" s="7"/>
      <c r="C8" s="20" t="s">
        <v>136</v>
      </c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12"/>
    </row>
    <row r="9" customFormat="false" ht="14.25" hidden="false" customHeight="false" outlineLevel="0" collapsed="false">
      <c r="B9" s="7"/>
      <c r="C9" s="20" t="s">
        <v>137</v>
      </c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12"/>
    </row>
    <row r="10" customFormat="false" ht="14.25" hidden="false" customHeight="false" outlineLevel="0" collapsed="false">
      <c r="B10" s="7"/>
      <c r="AF10" s="12"/>
    </row>
    <row r="11" customFormat="false" ht="14.25" hidden="false" customHeight="false" outlineLevel="0" collapsed="false">
      <c r="B11" s="7"/>
      <c r="C11" s="9" t="s">
        <v>138</v>
      </c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12"/>
    </row>
    <row r="12" customFormat="false" ht="14.25" hidden="false" customHeight="true" outlineLevel="0" collapsed="false">
      <c r="B12" s="7"/>
      <c r="C12" s="20" t="s">
        <v>16</v>
      </c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1"/>
      <c r="P12" s="21"/>
      <c r="Q12" s="21"/>
      <c r="R12" s="21"/>
      <c r="S12" s="21"/>
      <c r="T12" s="21"/>
      <c r="U12" s="21"/>
      <c r="V12" s="21"/>
      <c r="W12" s="21"/>
      <c r="X12" s="22" t="s">
        <v>18</v>
      </c>
      <c r="Y12" s="22"/>
      <c r="Z12" s="22"/>
      <c r="AA12" s="50" t="n">
        <f aca="false">Input!$AA$11</f>
        <v>2</v>
      </c>
      <c r="AB12" s="50"/>
      <c r="AC12" s="50"/>
      <c r="AD12" s="20" t="s">
        <v>19</v>
      </c>
      <c r="AE12" s="20"/>
      <c r="AF12" s="12"/>
    </row>
    <row r="13" customFormat="false" ht="14.25" hidden="false" customHeight="true" outlineLevel="0" collapsed="false">
      <c r="B13" s="7"/>
      <c r="C13" s="20" t="s">
        <v>139</v>
      </c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1"/>
      <c r="P13" s="21"/>
      <c r="Q13" s="21"/>
      <c r="R13" s="21"/>
      <c r="S13" s="21"/>
      <c r="T13" s="21"/>
      <c r="U13" s="21"/>
      <c r="V13" s="21"/>
      <c r="W13" s="21"/>
      <c r="X13" s="22" t="s">
        <v>25</v>
      </c>
      <c r="Y13" s="22"/>
      <c r="Z13" s="22"/>
      <c r="AA13" s="51" t="n">
        <f aca="false">Input!$AA$13</f>
        <v>100</v>
      </c>
      <c r="AB13" s="51"/>
      <c r="AC13" s="51"/>
      <c r="AD13" s="20" t="s">
        <v>26</v>
      </c>
      <c r="AE13" s="20"/>
      <c r="AF13" s="12"/>
    </row>
    <row r="14" customFormat="false" ht="14.25" hidden="false" customHeight="true" outlineLevel="0" collapsed="false">
      <c r="B14" s="7"/>
      <c r="C14" s="20" t="s">
        <v>27</v>
      </c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1" t="s">
        <v>28</v>
      </c>
      <c r="P14" s="21"/>
      <c r="Q14" s="21"/>
      <c r="R14" s="21"/>
      <c r="S14" s="21"/>
      <c r="T14" s="21"/>
      <c r="U14" s="21"/>
      <c r="V14" s="21"/>
      <c r="W14" s="21"/>
      <c r="X14" s="22" t="s">
        <v>29</v>
      </c>
      <c r="Y14" s="22"/>
      <c r="Z14" s="22"/>
      <c r="AA14" s="51" t="n">
        <f aca="false">Input!$AA$14</f>
        <v>136</v>
      </c>
      <c r="AB14" s="51"/>
      <c r="AC14" s="51"/>
      <c r="AD14" s="20" t="s">
        <v>26</v>
      </c>
      <c r="AE14" s="20"/>
      <c r="AF14" s="12"/>
    </row>
    <row r="15" customFormat="false" ht="14.25" hidden="false" customHeight="true" outlineLevel="0" collapsed="false">
      <c r="B15" s="7"/>
      <c r="C15" s="20" t="s">
        <v>140</v>
      </c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1" t="s">
        <v>141</v>
      </c>
      <c r="P15" s="21"/>
      <c r="Q15" s="21"/>
      <c r="R15" s="21"/>
      <c r="S15" s="21"/>
      <c r="T15" s="21"/>
      <c r="U15" s="21"/>
      <c r="V15" s="21"/>
      <c r="W15" s="21"/>
      <c r="X15" s="22" t="s">
        <v>31</v>
      </c>
      <c r="Y15" s="22"/>
      <c r="Z15" s="22"/>
      <c r="AA15" s="51" t="n">
        <f aca="false">Input!$AA$15</f>
        <v>74</v>
      </c>
      <c r="AB15" s="51"/>
      <c r="AC15" s="51"/>
      <c r="AD15" s="20" t="s">
        <v>19</v>
      </c>
      <c r="AE15" s="20"/>
      <c r="AF15" s="12"/>
    </row>
    <row r="16" customFormat="false" ht="14.25" hidden="false" customHeight="true" outlineLevel="0" collapsed="false">
      <c r="B16" s="7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1"/>
      <c r="P16" s="21"/>
      <c r="Q16" s="21"/>
      <c r="R16" s="21"/>
      <c r="S16" s="21"/>
      <c r="T16" s="21"/>
      <c r="U16" s="21"/>
      <c r="V16" s="21"/>
      <c r="W16" s="21"/>
      <c r="X16" s="22" t="s">
        <v>33</v>
      </c>
      <c r="Y16" s="22"/>
      <c r="Z16" s="22"/>
      <c r="AA16" s="51" t="n">
        <f aca="false">Input!$AA$16</f>
        <v>202</v>
      </c>
      <c r="AB16" s="51"/>
      <c r="AC16" s="51"/>
      <c r="AD16" s="20" t="s">
        <v>19</v>
      </c>
      <c r="AE16" s="20"/>
      <c r="AF16" s="12"/>
    </row>
    <row r="17" customFormat="false" ht="14.25" hidden="false" customHeight="true" outlineLevel="0" collapsed="false">
      <c r="B17" s="7"/>
      <c r="C17" s="20" t="s">
        <v>142</v>
      </c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1" t="s">
        <v>47</v>
      </c>
      <c r="P17" s="21"/>
      <c r="Q17" s="21"/>
      <c r="R17" s="21"/>
      <c r="S17" s="21"/>
      <c r="T17" s="21"/>
      <c r="U17" s="21"/>
      <c r="V17" s="21"/>
      <c r="W17" s="21"/>
      <c r="X17" s="22" t="s">
        <v>48</v>
      </c>
      <c r="Y17" s="22"/>
      <c r="Z17" s="22"/>
      <c r="AA17" s="51" t="n">
        <f aca="false">Input!$AA$23</f>
        <v>2</v>
      </c>
      <c r="AB17" s="51"/>
      <c r="AC17" s="51"/>
      <c r="AD17" s="20" t="s">
        <v>38</v>
      </c>
      <c r="AE17" s="20"/>
      <c r="AF17" s="12"/>
    </row>
    <row r="18" customFormat="false" ht="14.25" hidden="false" customHeight="false" outlineLevel="0" collapsed="false">
      <c r="B18" s="7"/>
      <c r="AF18" s="12"/>
    </row>
    <row r="19" customFormat="false" ht="14.25" hidden="false" customHeight="false" outlineLevel="0" collapsed="false">
      <c r="B19" s="7"/>
      <c r="C19" s="9" t="s">
        <v>143</v>
      </c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12"/>
    </row>
    <row r="20" customFormat="false" ht="14.25" hidden="false" customHeight="true" outlineLevel="0" collapsed="false">
      <c r="B20" s="7"/>
      <c r="C20" s="20" t="s">
        <v>144</v>
      </c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1"/>
      <c r="P20" s="21"/>
      <c r="Q20" s="21"/>
      <c r="R20" s="21"/>
      <c r="S20" s="21"/>
      <c r="T20" s="21"/>
      <c r="U20" s="21"/>
      <c r="V20" s="21"/>
      <c r="W20" s="21"/>
      <c r="X20" s="22" t="s">
        <v>145</v>
      </c>
      <c r="Y20" s="22"/>
      <c r="Z20" s="22"/>
      <c r="AA20" s="25" t="n">
        <v>7</v>
      </c>
      <c r="AB20" s="25"/>
      <c r="AC20" s="25"/>
      <c r="AD20" s="20" t="s">
        <v>19</v>
      </c>
      <c r="AE20" s="20"/>
      <c r="AF20" s="12"/>
    </row>
    <row r="21" customFormat="false" ht="14.25" hidden="false" customHeight="true" outlineLevel="0" collapsed="false">
      <c r="B21" s="7"/>
      <c r="C21" s="20" t="s">
        <v>146</v>
      </c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1"/>
      <c r="P21" s="21"/>
      <c r="Q21" s="21"/>
      <c r="R21" s="21"/>
      <c r="S21" s="21"/>
      <c r="T21" s="21"/>
      <c r="U21" s="21"/>
      <c r="V21" s="21"/>
      <c r="W21" s="21"/>
      <c r="X21" s="22" t="s">
        <v>147</v>
      </c>
      <c r="Y21" s="22"/>
      <c r="Z21" s="22"/>
      <c r="AA21" s="25" t="n">
        <v>18.5</v>
      </c>
      <c r="AB21" s="25"/>
      <c r="AC21" s="25"/>
      <c r="AD21" s="20" t="s">
        <v>23</v>
      </c>
      <c r="AE21" s="20"/>
      <c r="AF21" s="12"/>
    </row>
    <row r="22" customFormat="false" ht="14.25" hidden="false" customHeight="true" outlineLevel="0" collapsed="false">
      <c r="B22" s="7"/>
      <c r="C22" s="20" t="s">
        <v>148</v>
      </c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1"/>
      <c r="P22" s="21"/>
      <c r="Q22" s="21"/>
      <c r="R22" s="21"/>
      <c r="S22" s="21"/>
      <c r="T22" s="21"/>
      <c r="U22" s="21"/>
      <c r="V22" s="21"/>
      <c r="W22" s="21"/>
      <c r="X22" s="22" t="s">
        <v>149</v>
      </c>
      <c r="Y22" s="22"/>
      <c r="Z22" s="22"/>
      <c r="AA22" s="25" t="n">
        <v>18.4</v>
      </c>
      <c r="AB22" s="25"/>
      <c r="AC22" s="25"/>
      <c r="AD22" s="20" t="s">
        <v>23</v>
      </c>
      <c r="AE22" s="20"/>
      <c r="AF22" s="12"/>
    </row>
    <row r="23" customFormat="false" ht="14.25" hidden="false" customHeight="true" outlineLevel="0" collapsed="false">
      <c r="B23" s="7"/>
      <c r="C23" s="20" t="s">
        <v>150</v>
      </c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1" t="s">
        <v>151</v>
      </c>
      <c r="P23" s="21"/>
      <c r="Q23" s="21"/>
      <c r="R23" s="21"/>
      <c r="S23" s="21"/>
      <c r="T23" s="21"/>
      <c r="U23" s="21"/>
      <c r="V23" s="21"/>
      <c r="W23" s="21"/>
      <c r="X23" s="22" t="s">
        <v>152</v>
      </c>
      <c r="Y23" s="22"/>
      <c r="Z23" s="22"/>
      <c r="AA23" s="25" t="n">
        <v>0</v>
      </c>
      <c r="AB23" s="25"/>
      <c r="AC23" s="25"/>
      <c r="AD23" s="20" t="s">
        <v>19</v>
      </c>
      <c r="AE23" s="20"/>
      <c r="AF23" s="12"/>
    </row>
    <row r="24" customFormat="false" ht="14.25" hidden="false" customHeight="false" outlineLevel="0" collapsed="false">
      <c r="B24" s="7"/>
      <c r="AF24" s="12"/>
    </row>
    <row r="25" customFormat="false" ht="14.25" hidden="false" customHeight="false" outlineLevel="0" collapsed="false">
      <c r="B25" s="7"/>
      <c r="AF25" s="12"/>
    </row>
    <row r="26" customFormat="false" ht="14.25" hidden="false" customHeight="false" outlineLevel="0" collapsed="false">
      <c r="B26" s="7"/>
      <c r="AF26" s="12"/>
    </row>
    <row r="27" customFormat="false" ht="14.25" hidden="false" customHeight="false" outlineLevel="0" collapsed="false">
      <c r="B27" s="7"/>
      <c r="AF27" s="12"/>
    </row>
    <row r="28" customFormat="false" ht="14.25" hidden="false" customHeight="false" outlineLevel="0" collapsed="false">
      <c r="B28" s="7"/>
      <c r="AF28" s="12"/>
    </row>
    <row r="29" customFormat="false" ht="14.25" hidden="false" customHeight="false" outlineLevel="0" collapsed="false">
      <c r="B29" s="7"/>
      <c r="AF29" s="12"/>
    </row>
    <row r="30" customFormat="false" ht="14.25" hidden="false" customHeight="false" outlineLevel="0" collapsed="false">
      <c r="B30" s="7"/>
      <c r="AF30" s="12"/>
    </row>
    <row r="31" customFormat="false" ht="14.25" hidden="false" customHeight="false" outlineLevel="0" collapsed="false">
      <c r="B31" s="7"/>
      <c r="AF31" s="12"/>
    </row>
    <row r="32" customFormat="false" ht="14.25" hidden="false" customHeight="false" outlineLevel="0" collapsed="false">
      <c r="B32" s="7"/>
      <c r="AF32" s="12"/>
    </row>
    <row r="33" customFormat="false" ht="14.25" hidden="false" customHeight="false" outlineLevel="0" collapsed="false">
      <c r="B33" s="7"/>
      <c r="AF33" s="12"/>
    </row>
    <row r="34" customFormat="false" ht="14.25" hidden="false" customHeight="false" outlineLevel="0" collapsed="false">
      <c r="B34" s="7"/>
      <c r="AF34" s="12"/>
    </row>
    <row r="35" customFormat="false" ht="14.25" hidden="false" customHeight="false" outlineLevel="0" collapsed="false">
      <c r="B35" s="7"/>
      <c r="AF35" s="12"/>
    </row>
    <row r="36" customFormat="false" ht="14.25" hidden="false" customHeight="false" outlineLevel="0" collapsed="false">
      <c r="B36" s="7"/>
      <c r="AF36" s="12"/>
    </row>
    <row r="37" customFormat="false" ht="14.25" hidden="false" customHeight="false" outlineLevel="0" collapsed="false">
      <c r="B37" s="7"/>
      <c r="AF37" s="12"/>
    </row>
    <row r="38" customFormat="false" ht="14.25" hidden="false" customHeight="false" outlineLevel="0" collapsed="false">
      <c r="B38" s="7"/>
      <c r="AF38" s="12"/>
    </row>
    <row r="39" customFormat="false" ht="14.25" hidden="false" customHeight="false" outlineLevel="0" collapsed="false">
      <c r="B39" s="7"/>
      <c r="AF39" s="12"/>
    </row>
    <row r="40" customFormat="false" ht="14.25" hidden="false" customHeight="false" outlineLevel="0" collapsed="false">
      <c r="B40" s="7"/>
      <c r="AF40" s="12"/>
    </row>
    <row r="41" customFormat="false" ht="14.25" hidden="false" customHeight="false" outlineLevel="0" collapsed="false">
      <c r="B41" s="7"/>
      <c r="C41" s="52" t="s">
        <v>153</v>
      </c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  <c r="AA41" s="52"/>
      <c r="AB41" s="52"/>
      <c r="AC41" s="52"/>
      <c r="AD41" s="52"/>
      <c r="AE41" s="52"/>
      <c r="AF41" s="12"/>
    </row>
    <row r="42" customFormat="false" ht="14.25" hidden="false" customHeight="false" outlineLevel="0" collapsed="false">
      <c r="B42" s="7"/>
      <c r="AF42" s="12"/>
    </row>
    <row r="43" customFormat="false" ht="14.25" hidden="false" customHeight="false" outlineLevel="0" collapsed="false">
      <c r="B43" s="7"/>
      <c r="AF43" s="12"/>
    </row>
    <row r="44" customFormat="false" ht="14.25" hidden="false" customHeight="false" outlineLevel="0" collapsed="false">
      <c r="B44" s="7"/>
      <c r="AF44" s="12"/>
    </row>
    <row r="45" customFormat="false" ht="14.25" hidden="false" customHeight="false" outlineLevel="0" collapsed="false">
      <c r="B45" s="7"/>
      <c r="AF45" s="12"/>
    </row>
    <row r="46" customFormat="false" ht="14.25" hidden="false" customHeight="false" outlineLevel="0" collapsed="false">
      <c r="B46" s="7"/>
      <c r="AF46" s="12"/>
    </row>
    <row r="47" customFormat="false" ht="14.25" hidden="false" customHeight="false" outlineLevel="0" collapsed="false">
      <c r="B47" s="7"/>
      <c r="AF47" s="12"/>
    </row>
    <row r="48" customFormat="false" ht="14.25" hidden="false" customHeight="false" outlineLevel="0" collapsed="false">
      <c r="B48" s="7"/>
      <c r="AF48" s="12"/>
    </row>
    <row r="49" customFormat="false" ht="14.25" hidden="false" customHeight="false" outlineLevel="0" collapsed="false">
      <c r="B49" s="7"/>
      <c r="AF49" s="12"/>
    </row>
    <row r="50" customFormat="false" ht="14.25" hidden="false" customHeight="false" outlineLevel="0" collapsed="false">
      <c r="B50" s="7"/>
      <c r="AF50" s="12"/>
    </row>
    <row r="51" customFormat="false" ht="14.25" hidden="false" customHeight="false" outlineLevel="0" collapsed="false">
      <c r="B51" s="7"/>
      <c r="AF51" s="12"/>
    </row>
    <row r="52" customFormat="false" ht="14.25" hidden="false" customHeight="false" outlineLevel="0" collapsed="false">
      <c r="B52" s="7"/>
      <c r="AF52" s="12"/>
    </row>
    <row r="53" customFormat="false" ht="14.25" hidden="false" customHeight="false" outlineLevel="0" collapsed="false">
      <c r="B53" s="7"/>
      <c r="AF53" s="12"/>
    </row>
    <row r="54" customFormat="false" ht="14.25" hidden="false" customHeight="false" outlineLevel="0" collapsed="false">
      <c r="B54" s="7"/>
      <c r="AF54" s="12"/>
    </row>
    <row r="55" customFormat="false" ht="14.25" hidden="false" customHeight="false" outlineLevel="0" collapsed="false">
      <c r="B55" s="7"/>
      <c r="AF55" s="12"/>
    </row>
    <row r="56" customFormat="false" ht="14.25" hidden="false" customHeight="false" outlineLevel="0" collapsed="false">
      <c r="B56" s="7"/>
      <c r="AF56" s="12"/>
    </row>
    <row r="57" customFormat="false" ht="14.25" hidden="false" customHeight="false" outlineLevel="0" collapsed="false">
      <c r="B57" s="7"/>
      <c r="AF57" s="12"/>
    </row>
    <row r="58" customFormat="false" ht="14.25" hidden="false" customHeight="false" outlineLevel="0" collapsed="false">
      <c r="B58" s="7"/>
      <c r="AF58" s="12"/>
    </row>
    <row r="59" customFormat="false" ht="14.25" hidden="false" customHeight="false" outlineLevel="0" collapsed="false">
      <c r="B59" s="7"/>
      <c r="AF59" s="12"/>
    </row>
    <row r="60" customFormat="false" ht="14.25" hidden="false" customHeight="false" outlineLevel="0" collapsed="false">
      <c r="B60" s="7"/>
      <c r="AF60" s="12"/>
    </row>
    <row r="61" customFormat="false" ht="14.25" hidden="false" customHeight="false" outlineLevel="0" collapsed="false">
      <c r="B61" s="7"/>
      <c r="AF61" s="12"/>
    </row>
    <row r="62" customFormat="false" ht="14.25" hidden="false" customHeight="false" outlineLevel="0" collapsed="false">
      <c r="B62" s="7"/>
      <c r="AF62" s="12"/>
    </row>
    <row r="63" customFormat="false" ht="14.25" hidden="false" customHeight="false" outlineLevel="0" collapsed="false">
      <c r="B63" s="7"/>
      <c r="AF63" s="12"/>
    </row>
    <row r="64" customFormat="false" ht="14.25" hidden="false" customHeight="false" outlineLevel="0" collapsed="false">
      <c r="B64" s="7"/>
      <c r="AF64" s="12"/>
    </row>
    <row r="65" customFormat="false" ht="14.25" hidden="false" customHeight="false" outlineLevel="0" collapsed="false">
      <c r="B65" s="7"/>
      <c r="AF65" s="12"/>
    </row>
    <row r="66" customFormat="false" ht="14.25" hidden="false" customHeight="false" outlineLevel="0" collapsed="false">
      <c r="B66" s="7"/>
      <c r="AF66" s="12"/>
    </row>
    <row r="67" customFormat="false" ht="14.25" hidden="false" customHeight="false" outlineLevel="0" collapsed="false">
      <c r="B67" s="7"/>
      <c r="AF67" s="12"/>
    </row>
    <row r="68" customFormat="false" ht="14.25" hidden="false" customHeight="false" outlineLevel="0" collapsed="false">
      <c r="B68" s="7"/>
      <c r="AF68" s="12"/>
    </row>
    <row r="69" customFormat="false" ht="14.25" hidden="false" customHeight="false" outlineLevel="0" collapsed="false">
      <c r="B69" s="7"/>
      <c r="AF69" s="12"/>
    </row>
    <row r="70" customFormat="false" ht="14.25" hidden="false" customHeight="false" outlineLevel="0" collapsed="false">
      <c r="B70" s="7"/>
      <c r="AF70" s="12"/>
    </row>
    <row r="71" customFormat="false" ht="14.25" hidden="false" customHeight="false" outlineLevel="0" collapsed="false">
      <c r="B71" s="7"/>
      <c r="AF71" s="12"/>
    </row>
    <row r="72" customFormat="false" ht="14.25" hidden="false" customHeight="false" outlineLevel="0" collapsed="false">
      <c r="B72" s="7"/>
      <c r="AF72" s="12"/>
    </row>
    <row r="73" customFormat="false" ht="14.25" hidden="false" customHeight="true" outlineLevel="0" collapsed="false">
      <c r="B73" s="36"/>
      <c r="C73" s="37"/>
      <c r="D73" s="37"/>
      <c r="E73" s="37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8" t="s">
        <v>93</v>
      </c>
      <c r="Y73" s="38"/>
      <c r="Z73" s="38"/>
      <c r="AA73" s="38"/>
      <c r="AB73" s="38" t="n">
        <v>1</v>
      </c>
      <c r="AC73" s="38"/>
      <c r="AD73" s="38"/>
      <c r="AE73" s="38"/>
      <c r="AF73" s="39"/>
    </row>
    <row r="74" customFormat="false" ht="14.25" hidden="false" customHeight="true" outlineLevel="0" collapsed="false">
      <c r="B74" s="1"/>
      <c r="C74" s="2" t="s">
        <v>0</v>
      </c>
      <c r="D74" s="2"/>
      <c r="E74" s="2"/>
      <c r="F74" s="2"/>
      <c r="G74" s="2"/>
      <c r="H74" s="3" t="s">
        <v>1</v>
      </c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4" t="s">
        <v>2</v>
      </c>
      <c r="Y74" s="4"/>
      <c r="Z74" s="4"/>
      <c r="AA74" s="4"/>
      <c r="AB74" s="5" t="s">
        <v>3</v>
      </c>
      <c r="AC74" s="5"/>
      <c r="AD74" s="5"/>
      <c r="AE74" s="5"/>
      <c r="AF74" s="6"/>
    </row>
    <row r="75" customFormat="false" ht="14.25" hidden="false" customHeight="true" outlineLevel="0" collapsed="false">
      <c r="B75" s="7"/>
      <c r="C75" s="8" t="s">
        <v>4</v>
      </c>
      <c r="D75" s="8"/>
      <c r="E75" s="8"/>
      <c r="F75" s="8"/>
      <c r="G75" s="8"/>
      <c r="H75" s="9" t="s">
        <v>5</v>
      </c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10" t="s">
        <v>6</v>
      </c>
      <c r="Y75" s="10"/>
      <c r="Z75" s="10"/>
      <c r="AA75" s="10"/>
      <c r="AB75" s="11" t="n">
        <v>46301</v>
      </c>
      <c r="AC75" s="11"/>
      <c r="AD75" s="11"/>
      <c r="AE75" s="11"/>
      <c r="AF75" s="12"/>
    </row>
    <row r="76" customFormat="false" ht="14.25" hidden="false" customHeight="true" outlineLevel="0" collapsed="false">
      <c r="B76" s="7"/>
      <c r="C76" s="8" t="s">
        <v>7</v>
      </c>
      <c r="D76" s="8"/>
      <c r="E76" s="8"/>
      <c r="F76" s="8"/>
      <c r="G76" s="8"/>
      <c r="H76" s="9" t="s">
        <v>327</v>
      </c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10" t="s">
        <v>9</v>
      </c>
      <c r="Y76" s="10"/>
      <c r="Z76" s="10"/>
      <c r="AA76" s="10"/>
      <c r="AB76" s="11" t="s">
        <v>3</v>
      </c>
      <c r="AC76" s="11"/>
      <c r="AD76" s="11"/>
      <c r="AE76" s="11"/>
      <c r="AF76" s="12"/>
    </row>
    <row r="77" customFormat="false" ht="14.25" hidden="false" customHeight="true" outlineLevel="0" collapsed="false">
      <c r="B77" s="13"/>
      <c r="C77" s="14" t="s">
        <v>10</v>
      </c>
      <c r="D77" s="14"/>
      <c r="E77" s="14"/>
      <c r="F77" s="14"/>
      <c r="G77" s="14"/>
      <c r="H77" s="15" t="s">
        <v>134</v>
      </c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6" t="s">
        <v>12</v>
      </c>
      <c r="Y77" s="16"/>
      <c r="Z77" s="16"/>
      <c r="AA77" s="16"/>
      <c r="AB77" s="17" t="n">
        <v>46301</v>
      </c>
      <c r="AC77" s="17"/>
      <c r="AD77" s="17"/>
      <c r="AE77" s="17"/>
      <c r="AF77" s="18"/>
    </row>
    <row r="78" customFormat="false" ht="14.25" hidden="false" customHeight="false" outlineLevel="0" collapsed="false">
      <c r="B78" s="7"/>
      <c r="AF78" s="12"/>
    </row>
    <row r="79" customFormat="false" ht="14.25" hidden="false" customHeight="false" outlineLevel="0" collapsed="false">
      <c r="B79" s="7"/>
      <c r="C79" s="9" t="s">
        <v>154</v>
      </c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12"/>
    </row>
    <row r="80" customFormat="false" ht="14.25" hidden="false" customHeight="false" outlineLevel="0" collapsed="false">
      <c r="B80" s="7"/>
      <c r="C80" s="20" t="s">
        <v>328</v>
      </c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12"/>
      <c r="AI80" s="53" t="s">
        <v>156</v>
      </c>
    </row>
    <row r="81" customFormat="false" ht="27" hidden="false" customHeight="true" outlineLevel="0" collapsed="false">
      <c r="B81" s="7"/>
      <c r="C81" s="28" t="s">
        <v>157</v>
      </c>
      <c r="D81" s="28"/>
      <c r="E81" s="28" t="s">
        <v>158</v>
      </c>
      <c r="F81" s="28"/>
      <c r="G81" s="28"/>
      <c r="H81" s="28" t="s">
        <v>159</v>
      </c>
      <c r="I81" s="28"/>
      <c r="J81" s="28"/>
      <c r="K81" s="28" t="s">
        <v>160</v>
      </c>
      <c r="L81" s="28"/>
      <c r="M81" s="28"/>
      <c r="N81" s="28" t="s">
        <v>161</v>
      </c>
      <c r="O81" s="28"/>
      <c r="P81" s="28"/>
      <c r="Q81" s="28" t="s">
        <v>162</v>
      </c>
      <c r="R81" s="28"/>
      <c r="S81" s="28"/>
      <c r="T81" s="28" t="s">
        <v>88</v>
      </c>
      <c r="U81" s="28"/>
      <c r="V81" s="28" t="s">
        <v>163</v>
      </c>
      <c r="W81" s="28"/>
      <c r="X81" s="28" t="s">
        <v>164</v>
      </c>
      <c r="Y81" s="28"/>
      <c r="Z81" s="28" t="s">
        <v>165</v>
      </c>
      <c r="AA81" s="28"/>
      <c r="AB81" s="28"/>
      <c r="AC81" s="28" t="s">
        <v>166</v>
      </c>
      <c r="AD81" s="28"/>
      <c r="AE81" s="28"/>
      <c r="AF81" s="12"/>
      <c r="AI81" s="54" t="s">
        <v>167</v>
      </c>
      <c r="AJ81" s="54" t="s">
        <v>168</v>
      </c>
      <c r="AK81" s="54" t="s">
        <v>169</v>
      </c>
      <c r="AL81" s="54" t="s">
        <v>170</v>
      </c>
      <c r="AM81" s="54" t="s">
        <v>171</v>
      </c>
      <c r="AN81" s="54" t="s">
        <v>172</v>
      </c>
      <c r="AO81" s="54" t="s">
        <v>173</v>
      </c>
      <c r="AP81" s="54" t="s">
        <v>174</v>
      </c>
      <c r="AQ81" s="54" t="s">
        <v>175</v>
      </c>
      <c r="AR81" s="54" t="s">
        <v>88</v>
      </c>
      <c r="AS81" s="54" t="s">
        <v>176</v>
      </c>
      <c r="AT81" s="54" t="s">
        <v>163</v>
      </c>
      <c r="AU81" s="54" t="s">
        <v>164</v>
      </c>
      <c r="AV81" s="54" t="s">
        <v>165</v>
      </c>
      <c r="AW81" s="54" t="s">
        <v>177</v>
      </c>
      <c r="AX81" s="54" t="s">
        <v>178</v>
      </c>
      <c r="AY81" s="54" t="s">
        <v>179</v>
      </c>
      <c r="AZ81" s="54" t="s">
        <v>19</v>
      </c>
      <c r="BA81" s="54" t="s">
        <v>180</v>
      </c>
      <c r="BB81" s="54" t="s">
        <v>181</v>
      </c>
      <c r="BC81" s="54" t="s">
        <v>182</v>
      </c>
      <c r="BD81" s="54" t="s">
        <v>183</v>
      </c>
      <c r="BE81" s="54" t="s">
        <v>184</v>
      </c>
      <c r="BF81" s="54" t="s">
        <v>185</v>
      </c>
      <c r="BG81" s="54" t="s">
        <v>186</v>
      </c>
      <c r="BH81" s="54" t="s">
        <v>187</v>
      </c>
      <c r="BI81" s="54" t="s">
        <v>188</v>
      </c>
      <c r="BJ81" s="54" t="s">
        <v>189</v>
      </c>
      <c r="BK81" s="54" t="s">
        <v>190</v>
      </c>
      <c r="BL81" s="54" t="s">
        <v>89</v>
      </c>
      <c r="BM81" s="54" t="s">
        <v>191</v>
      </c>
      <c r="BN81" s="54" t="s">
        <v>192</v>
      </c>
      <c r="BO81" s="54" t="s">
        <v>193</v>
      </c>
      <c r="BP81" s="54" t="s">
        <v>194</v>
      </c>
      <c r="BQ81" s="54" t="s">
        <v>195</v>
      </c>
    </row>
    <row r="82" customFormat="false" ht="14.25" hidden="false" customHeight="true" outlineLevel="0" collapsed="false">
      <c r="B82" s="7"/>
      <c r="C82" s="29"/>
      <c r="D82" s="29"/>
      <c r="E82" s="29" t="s">
        <v>19</v>
      </c>
      <c r="F82" s="29"/>
      <c r="G82" s="29"/>
      <c r="H82" s="29" t="s">
        <v>19</v>
      </c>
      <c r="I82" s="29"/>
      <c r="J82" s="29"/>
      <c r="K82" s="29"/>
      <c r="L82" s="29"/>
      <c r="M82" s="29"/>
      <c r="N82" s="29"/>
      <c r="O82" s="29"/>
      <c r="P82" s="29"/>
      <c r="Q82" s="29" t="s">
        <v>23</v>
      </c>
      <c r="R82" s="29"/>
      <c r="S82" s="29"/>
      <c r="T82" s="29" t="s">
        <v>91</v>
      </c>
      <c r="U82" s="29"/>
      <c r="V82" s="29" t="s">
        <v>91</v>
      </c>
      <c r="W82" s="29"/>
      <c r="X82" s="29" t="s">
        <v>38</v>
      </c>
      <c r="Y82" s="29"/>
      <c r="Z82" s="29" t="s">
        <v>26</v>
      </c>
      <c r="AA82" s="29"/>
      <c r="AB82" s="29"/>
      <c r="AC82" s="29" t="s">
        <v>60</v>
      </c>
      <c r="AD82" s="29"/>
      <c r="AE82" s="29"/>
      <c r="AF82" s="12"/>
    </row>
    <row r="83" customFormat="false" ht="14.25" hidden="false" customHeight="false" outlineLevel="0" collapsed="false">
      <c r="B83" s="7"/>
      <c r="C83" s="46" t="n">
        <v>1</v>
      </c>
      <c r="D83" s="46"/>
      <c r="E83" s="44" t="n">
        <f aca="false">AI83</f>
        <v>0</v>
      </c>
      <c r="F83" s="44"/>
      <c r="G83" s="44"/>
      <c r="H83" s="44" t="n">
        <f aca="false">AJ83</f>
        <v>1.5</v>
      </c>
      <c r="I83" s="44"/>
      <c r="J83" s="44"/>
      <c r="K83" s="41" t="str">
        <f aca="false">AM83</f>
        <v>Sand</v>
      </c>
      <c r="L83" s="41"/>
      <c r="M83" s="41"/>
      <c r="N83" s="46" t="n">
        <f aca="false">AN83</f>
        <v>50</v>
      </c>
      <c r="O83" s="46"/>
      <c r="P83" s="46"/>
      <c r="Q83" s="42" t="n">
        <f aca="false">AO83</f>
        <v>18.5</v>
      </c>
      <c r="R83" s="42"/>
      <c r="S83" s="42"/>
      <c r="T83" s="46" t="str">
        <f aca="false">IF(AR83="","-",AR83)</f>
        <v>-</v>
      </c>
      <c r="U83" s="46"/>
      <c r="V83" s="46" t="str">
        <f aca="false">IF(AT83="","-",AT83)</f>
        <v>-</v>
      </c>
      <c r="W83" s="46"/>
      <c r="X83" s="44" t="n">
        <f aca="false">AU83</f>
        <v>0.65</v>
      </c>
      <c r="Y83" s="44"/>
      <c r="Z83" s="55" t="n">
        <f aca="false">AV83</f>
        <v>0</v>
      </c>
      <c r="AA83" s="55"/>
      <c r="AB83" s="55"/>
      <c r="AC83" s="42" t="n">
        <f aca="false">AW83</f>
        <v>41.76159985</v>
      </c>
      <c r="AD83" s="42"/>
      <c r="AE83" s="42"/>
      <c r="AF83" s="12"/>
      <c r="AI83" s="56" t="n">
        <v>0</v>
      </c>
      <c r="AJ83" s="56" t="n">
        <v>1.5</v>
      </c>
      <c r="AK83" s="57" t="n">
        <f aca="false">AJ83-AI83</f>
        <v>1.5</v>
      </c>
      <c r="AL83" s="57" t="n">
        <f aca="false">(AI83+AJ83)/2</f>
        <v>0.75</v>
      </c>
      <c r="AM83" s="56" t="s">
        <v>199</v>
      </c>
      <c r="AN83" s="56" t="n">
        <v>50</v>
      </c>
      <c r="AO83" s="58" t="n">
        <f aca="false">IF(AL83&gt;$AA$20,$AA$22,$AA$21)</f>
        <v>18.5</v>
      </c>
      <c r="AP83" s="57" t="n">
        <f aca="false">AO83*AK83</f>
        <v>27.75</v>
      </c>
      <c r="AQ83" s="57" t="n">
        <f aca="false">AP83-AO83*AK83/2-10*MAX(AL83-$AA$20,0)</f>
        <v>13.875</v>
      </c>
      <c r="AR83" s="56"/>
      <c r="AS83" s="56"/>
      <c r="AT83" s="57" t="str">
        <f aca="false">IF(AR83="","",AR83-AS83)</f>
        <v/>
      </c>
      <c r="AU83" s="56" t="n">
        <v>0.65</v>
      </c>
      <c r="AV83" s="57" t="n">
        <f aca="false">IF(AM83="Sand",0,Input!$AA$34*AN83)</f>
        <v>0</v>
      </c>
      <c r="AW83" s="57" t="n">
        <f aca="false">IF(AM83="Sand",27.1+0.3*MIN(Input!$AA$35*AN83,60)-0.00054*MIN(Input!$AA$35*AN83,60)^2,MIN(MAX(DEGREES(ASIN(0.8-0.094*LN(MAX(IF(AT83="",10,AT83),5)))),20),30))</f>
        <v>41.76159985</v>
      </c>
      <c r="AX83" s="57" t="n">
        <f aca="false">IF(AM83="Sand",Input!$AA$36*Input!$AA$35*AN83,Input!$AA$37*AV83)</f>
        <v>54150</v>
      </c>
      <c r="AY83" s="59" t="n">
        <f aca="false">IF(AM83="Sand",Input!$AA$38,0.5)</f>
        <v>0.3</v>
      </c>
      <c r="AZ83" s="57" t="n">
        <f aca="false">Input!$AA$15/2/AL83</f>
        <v>49.3333333333333</v>
      </c>
      <c r="BA83" s="57" t="n">
        <f aca="false">Input!$AA$16/2/AL83</f>
        <v>134.666666666667</v>
      </c>
      <c r="BB83" s="57" t="n">
        <f aca="false">1/(4*PI())*(2*AZ83*BA83*SQRT(AZ83^2+BA83^2+1)/(AZ83^2+BA83^2+1+AZ83^2*BA83^2)*(AZ83^2+BA83^2+2)/(AZ83^2+BA83^2+1)+ATAN2(AZ83^2+BA83^2+1-AZ83^2*BA83^2,2*AZ83*BA83*SQRT(AZ83^2+BA83^2+1)))</f>
        <v>0.249999100034729</v>
      </c>
      <c r="BC83" s="57" t="n">
        <f aca="false">4*Input!$AA$14*BB83</f>
        <v>135.999510418892</v>
      </c>
      <c r="BD83" s="57" t="n">
        <f aca="false">((Input!$AA$16/Input!$AA$15)*LN((1+SQRT((Input!$AA$16/Input!$AA$15)^2+1))*SQRT((Input!$AA$16/Input!$AA$15)^2+(AJ83/(Input!$AA$15/2))^2)/((Input!$AA$16/Input!$AA$15)*(1+SQRT((Input!$AA$16/Input!$AA$15)^2+(AJ83/(Input!$AA$15/2))^2+1))))+LN(((Input!$AA$16/Input!$AA$15)+SQRT((Input!$AA$16/Input!$AA$15)^2+1))*SQRT(1+(AJ83/(Input!$AA$15/2))^2)/((Input!$AA$16/Input!$AA$15)+SQRT((Input!$AA$16/Input!$AA$15)^2+(AJ83/(Input!$AA$15/2))^2+1))))/PI()</f>
        <v>0.000278357738281407</v>
      </c>
      <c r="BE83" s="57" t="n">
        <f aca="false">(AJ83/(Input!$AA$15/2))/(2*PI())*ATAN((Input!$AA$16/Input!$AA$15)/((AJ83/(Input!$AA$15/2))*SQRT((Input!$AA$16/Input!$AA$15)^2+(AJ83/(Input!$AA$15/2))^2+1)))</f>
        <v>0.00985670448566872</v>
      </c>
      <c r="BF83" s="57" t="n">
        <f aca="false">MAX(0,AJ83-MAX(AI83,$AA$23))/AK83*IF(BC83&gt;=Input!$AA$21*AQ83,1,0)</f>
        <v>1</v>
      </c>
      <c r="BG83" s="57" t="n">
        <f aca="false">4*Input!$AA$14*(Input!$AA$15/2)*(1-AY83^2)/AX83*((BD83-0)+(1-2*AY83)/(1-AY83)*(BE83-0))*1000*BF83</f>
        <v>1.99934114215323</v>
      </c>
      <c r="BH83" s="57" t="n">
        <f aca="false">IF(AM83="Sand",0,0.009*(AR83-10))</f>
        <v>0</v>
      </c>
      <c r="BI83" s="57" t="n">
        <f aca="false">BH83*Input!$AA$39</f>
        <v>0</v>
      </c>
      <c r="BJ83" s="57" t="n">
        <f aca="false">IF(AM83="Sand",0,MAX(AV83/Input!$AA$40,AQ83))</f>
        <v>0</v>
      </c>
      <c r="BK83" s="57" t="n">
        <f aca="false">IF(AM83="Sand",0,1000*AK83/(1+AU83)*IF(AQ83+BC83&lt;=BJ83,BI83*LOG10((AQ83+BC83)/AQ83),BI83*LOG10(BJ83/AQ83)+BH83*LOG10((AQ83+BC83)/BJ83)))*BF83</f>
        <v>0</v>
      </c>
      <c r="BL83" s="57" t="n">
        <f aca="false">IF(AM83="Sand",0,10^(INDEX(Input!$Q$51:$Q$57,MIN(MATCH(MIN(MAX(AR83,30),120),Input!$C$51:$C$57,1),6))+(MIN(MAX(AR83,30),120)-INDEX(Input!$C$51:$C$57,MIN(MATCH(MIN(MAX(AR83,30),120),Input!$C$51:$C$57,1),6)))/(INDEX(Input!$C$51:$C$57,MIN(MATCH(MIN(MAX(AR83,30),120),Input!$C$51:$C$57,1),6)+1)-INDEX(Input!$C$51:$C$57,MIN(MATCH(MIN(MAX(AR83,30),120),Input!$C$51:$C$57,1),6)))*(INDEX(Input!$Q$51:$Q$57,MIN(MATCH(MIN(MAX(AR83,30),120),Input!$C$51:$C$57,1),6)+1)-INDEX(Input!$Q$51:$Q$57,MIN(MATCH(MIN(MAX(AR83,30),120),Input!$C$51:$C$57,1),6)))))</f>
        <v>0</v>
      </c>
      <c r="BM83" s="57" t="n">
        <f aca="false">IF(OR(AM83="Sand",BF83=0),0,Input!$AA$41*(AK83/2)^2/(BL83*0.0001*31536000))</f>
        <v>0</v>
      </c>
      <c r="BN83" s="57" t="n">
        <f aca="false">MAX(0,MIN(AJ83,Input!$AA$20)-AI83)</f>
        <v>1.5</v>
      </c>
      <c r="BO83" s="57" t="n">
        <f aca="false">MAX(0,MIN(AJ83,Input!$AA$20)-MAX(AI83,$AA$23))</f>
        <v>1.5</v>
      </c>
      <c r="BP83" s="57" t="n">
        <f aca="false">BG83+BK83</f>
        <v>1.99934114215323</v>
      </c>
      <c r="BQ83" s="57" t="s">
        <v>329</v>
      </c>
    </row>
    <row r="84" customFormat="false" ht="14.25" hidden="false" customHeight="false" outlineLevel="0" collapsed="false">
      <c r="B84" s="7"/>
      <c r="C84" s="46" t="n">
        <v>2</v>
      </c>
      <c r="D84" s="46"/>
      <c r="E84" s="44" t="n">
        <f aca="false">AI84</f>
        <v>1.5</v>
      </c>
      <c r="F84" s="44"/>
      <c r="G84" s="44"/>
      <c r="H84" s="44" t="n">
        <f aca="false">AJ84</f>
        <v>3</v>
      </c>
      <c r="I84" s="44"/>
      <c r="J84" s="44"/>
      <c r="K84" s="41" t="str">
        <f aca="false">AM84</f>
        <v>Sand</v>
      </c>
      <c r="L84" s="41"/>
      <c r="M84" s="41"/>
      <c r="N84" s="46" t="n">
        <f aca="false">AN84</f>
        <v>50</v>
      </c>
      <c r="O84" s="46"/>
      <c r="P84" s="46"/>
      <c r="Q84" s="42" t="n">
        <f aca="false">AO84</f>
        <v>18.5</v>
      </c>
      <c r="R84" s="42"/>
      <c r="S84" s="42"/>
      <c r="T84" s="46" t="str">
        <f aca="false">IF(AR84="","-",AR84)</f>
        <v>-</v>
      </c>
      <c r="U84" s="46"/>
      <c r="V84" s="46" t="str">
        <f aca="false">IF(AT84="","-",AT84)</f>
        <v>-</v>
      </c>
      <c r="W84" s="46"/>
      <c r="X84" s="44" t="n">
        <f aca="false">AU84</f>
        <v>0.65</v>
      </c>
      <c r="Y84" s="44"/>
      <c r="Z84" s="55" t="n">
        <f aca="false">AV84</f>
        <v>0</v>
      </c>
      <c r="AA84" s="55"/>
      <c r="AB84" s="55"/>
      <c r="AC84" s="42" t="n">
        <f aca="false">AW84</f>
        <v>41.76159985</v>
      </c>
      <c r="AD84" s="42"/>
      <c r="AE84" s="42"/>
      <c r="AF84" s="12"/>
      <c r="AI84" s="56" t="n">
        <v>1.5</v>
      </c>
      <c r="AJ84" s="56" t="n">
        <v>3</v>
      </c>
      <c r="AK84" s="57" t="n">
        <f aca="false">AJ84-AI84</f>
        <v>1.5</v>
      </c>
      <c r="AL84" s="57" t="n">
        <f aca="false">(AI84+AJ84)/2</f>
        <v>2.25</v>
      </c>
      <c r="AM84" s="56" t="s">
        <v>199</v>
      </c>
      <c r="AN84" s="56" t="n">
        <v>50</v>
      </c>
      <c r="AO84" s="58" t="n">
        <f aca="false">IF(AL84&gt;$AA$20,$AA$22,$AA$21)</f>
        <v>18.5</v>
      </c>
      <c r="AP84" s="57" t="n">
        <f aca="false">AP83+AO84*AK84</f>
        <v>55.5</v>
      </c>
      <c r="AQ84" s="57" t="n">
        <f aca="false">AP84-AO84*AK84/2-10*MAX(AL84-$AA$20,0)</f>
        <v>41.625</v>
      </c>
      <c r="AR84" s="56"/>
      <c r="AS84" s="56"/>
      <c r="AT84" s="57" t="str">
        <f aca="false">IF(AR84="","",AR84-AS84)</f>
        <v/>
      </c>
      <c r="AU84" s="56" t="n">
        <v>0.65</v>
      </c>
      <c r="AV84" s="57" t="n">
        <f aca="false">IF(AM84="Sand",0,Input!$AA$34*AN84)</f>
        <v>0</v>
      </c>
      <c r="AW84" s="57" t="n">
        <f aca="false">IF(AM84="Sand",27.1+0.3*MIN(Input!$AA$35*AN84,60)-0.00054*MIN(Input!$AA$35*AN84,60)^2,MIN(MAX(DEGREES(ASIN(0.8-0.094*LN(MAX(IF(AT84="",10,AT84),5)))),20),30))</f>
        <v>41.76159985</v>
      </c>
      <c r="AX84" s="57" t="n">
        <f aca="false">IF(AM84="Sand",Input!$AA$36*Input!$AA$35*AN84,Input!$AA$37*AV84)</f>
        <v>54150</v>
      </c>
      <c r="AY84" s="59" t="n">
        <f aca="false">IF(AM84="Sand",Input!$AA$38,0.5)</f>
        <v>0.3</v>
      </c>
      <c r="AZ84" s="57" t="n">
        <f aca="false">Input!$AA$15/2/AL84</f>
        <v>16.4444444444444</v>
      </c>
      <c r="BA84" s="57" t="n">
        <f aca="false">Input!$AA$16/2/AL84</f>
        <v>44.8888888888889</v>
      </c>
      <c r="BB84" s="57" t="n">
        <f aca="false">1/(4*PI())*(2*AZ84*BA84*SQRT(AZ84^2+BA84^2+1)/(AZ84^2+BA84^2+1+AZ84^2*BA84^2)*(AZ84^2+BA84^2+2)/(AZ84^2+BA84^2+1)+ATAN2(AZ84^2+BA84^2+1-AZ84^2*BA84^2,2*AZ84*BA84*SQRT(AZ84^2+BA84^2+1)))</f>
        <v>0.249975794959289</v>
      </c>
      <c r="BC84" s="57" t="n">
        <f aca="false">4*Input!$AA$14*BB84</f>
        <v>135.986832457853</v>
      </c>
      <c r="BD84" s="57" t="n">
        <f aca="false">((Input!$AA$16/Input!$AA$15)*LN((1+SQRT((Input!$AA$16/Input!$AA$15)^2+1))*SQRT((Input!$AA$16/Input!$AA$15)^2+(AJ84/(Input!$AA$15/2))^2)/((Input!$AA$16/Input!$AA$15)*(1+SQRT((Input!$AA$16/Input!$AA$15)^2+(AJ84/(Input!$AA$15/2))^2+1))))+LN(((Input!$AA$16/Input!$AA$15)+SQRT((Input!$AA$16/Input!$AA$15)^2+1))*SQRT(1+(AJ84/(Input!$AA$15/2))^2)/((Input!$AA$16/Input!$AA$15)+SQRT((Input!$AA$16/Input!$AA$15)^2+(AJ84/(Input!$AA$15/2))^2+1))))/PI()</f>
        <v>0.0011108168584366</v>
      </c>
      <c r="BE84" s="57" t="n">
        <f aca="false">(AJ84/(Input!$AA$15/2))/(2*PI())*ATAN((Input!$AA$16/Input!$AA$15)/((AJ84/(Input!$AA$15/2))*SQRT((Input!$AA$16/Input!$AA$15)^2+(AJ84/(Input!$AA$15/2))^2+1)))</f>
        <v>0.0191582913405592</v>
      </c>
      <c r="BF84" s="57" t="n">
        <f aca="false">MAX(0,AJ84-MAX(AI84,$AA$23))/AK84*IF(BC84&gt;=Input!$AA$21*AQ84,1,0)</f>
        <v>1</v>
      </c>
      <c r="BG84" s="57" t="n">
        <f aca="false">4*Input!$AA$14*(Input!$AA$15/2)*(1-AY84^2)/AX84*((BD84-BD83)+(1-2*AY84)/(1-AY84)*(BE84-BE83))*1000*BF84</f>
        <v>2.07947068766506</v>
      </c>
      <c r="BH84" s="57" t="n">
        <f aca="false">IF(AM84="Sand",0,0.009*(AR84-10))</f>
        <v>0</v>
      </c>
      <c r="BI84" s="57" t="n">
        <f aca="false">BH84*Input!$AA$39</f>
        <v>0</v>
      </c>
      <c r="BJ84" s="57" t="n">
        <f aca="false">IF(AM84="Sand",0,MAX(AV84/Input!$AA$40,AQ84))</f>
        <v>0</v>
      </c>
      <c r="BK84" s="57" t="n">
        <f aca="false">IF(AM84="Sand",0,1000*AK84/(1+AU84)*IF(AQ84+BC84&lt;=BJ84,BI84*LOG10((AQ84+BC84)/AQ84),BI84*LOG10(BJ84/AQ84)+BH84*LOG10((AQ84+BC84)/BJ84)))*BF84</f>
        <v>0</v>
      </c>
      <c r="BL84" s="57" t="n">
        <f aca="false">IF(AM84="Sand",0,10^(INDEX(Input!$Q$51:$Q$57,MIN(MATCH(MIN(MAX(AR84,30),120),Input!$C$51:$C$57,1),6))+(MIN(MAX(AR84,30),120)-INDEX(Input!$C$51:$C$57,MIN(MATCH(MIN(MAX(AR84,30),120),Input!$C$51:$C$57,1),6)))/(INDEX(Input!$C$51:$C$57,MIN(MATCH(MIN(MAX(AR84,30),120),Input!$C$51:$C$57,1),6)+1)-INDEX(Input!$C$51:$C$57,MIN(MATCH(MIN(MAX(AR84,30),120),Input!$C$51:$C$57,1),6)))*(INDEX(Input!$Q$51:$Q$57,MIN(MATCH(MIN(MAX(AR84,30),120),Input!$C$51:$C$57,1),6)+1)-INDEX(Input!$Q$51:$Q$57,MIN(MATCH(MIN(MAX(AR84,30),120),Input!$C$51:$C$57,1),6)))))</f>
        <v>0</v>
      </c>
      <c r="BM84" s="57" t="n">
        <f aca="false">IF(OR(AM84="Sand",BF84=0),0,Input!$AA$41*(AK84/2)^2/(BL84*0.0001*31536000))</f>
        <v>0</v>
      </c>
      <c r="BN84" s="57" t="n">
        <f aca="false">MAX(0,MIN(AJ84,Input!$AA$20)-AI84)</f>
        <v>1.5</v>
      </c>
      <c r="BO84" s="57" t="n">
        <f aca="false">MAX(0,MIN(AJ84,Input!$AA$20)-MAX(AI84,$AA$23))</f>
        <v>1.5</v>
      </c>
      <c r="BP84" s="57" t="n">
        <f aca="false">BG84+BK84</f>
        <v>2.07947068766506</v>
      </c>
      <c r="BQ84" s="57"/>
    </row>
    <row r="85" customFormat="false" ht="14.25" hidden="false" customHeight="false" outlineLevel="0" collapsed="false">
      <c r="B85" s="7"/>
      <c r="C85" s="46" t="n">
        <v>3</v>
      </c>
      <c r="D85" s="46"/>
      <c r="E85" s="44" t="n">
        <f aca="false">AI85</f>
        <v>3</v>
      </c>
      <c r="F85" s="44"/>
      <c r="G85" s="44"/>
      <c r="H85" s="44" t="n">
        <f aca="false">AJ85</f>
        <v>4.5</v>
      </c>
      <c r="I85" s="44"/>
      <c r="J85" s="44"/>
      <c r="K85" s="41" t="str">
        <f aca="false">AM85</f>
        <v>Sand</v>
      </c>
      <c r="L85" s="41"/>
      <c r="M85" s="41"/>
      <c r="N85" s="46" t="n">
        <f aca="false">AN85</f>
        <v>50</v>
      </c>
      <c r="O85" s="46"/>
      <c r="P85" s="46"/>
      <c r="Q85" s="42" t="n">
        <f aca="false">AO85</f>
        <v>18.5</v>
      </c>
      <c r="R85" s="42"/>
      <c r="S85" s="42"/>
      <c r="T85" s="46" t="str">
        <f aca="false">IF(AR85="","-",AR85)</f>
        <v>-</v>
      </c>
      <c r="U85" s="46"/>
      <c r="V85" s="46" t="str">
        <f aca="false">IF(AT85="","-",AT85)</f>
        <v>-</v>
      </c>
      <c r="W85" s="46"/>
      <c r="X85" s="44" t="n">
        <f aca="false">AU85</f>
        <v>0.65</v>
      </c>
      <c r="Y85" s="44"/>
      <c r="Z85" s="55" t="n">
        <f aca="false">AV85</f>
        <v>0</v>
      </c>
      <c r="AA85" s="55"/>
      <c r="AB85" s="55"/>
      <c r="AC85" s="42" t="n">
        <f aca="false">AW85</f>
        <v>41.76159985</v>
      </c>
      <c r="AD85" s="42"/>
      <c r="AE85" s="42"/>
      <c r="AF85" s="12"/>
      <c r="AI85" s="56" t="n">
        <v>3</v>
      </c>
      <c r="AJ85" s="56" t="n">
        <v>4.5</v>
      </c>
      <c r="AK85" s="57" t="n">
        <f aca="false">AJ85-AI85</f>
        <v>1.5</v>
      </c>
      <c r="AL85" s="57" t="n">
        <f aca="false">(AI85+AJ85)/2</f>
        <v>3.75</v>
      </c>
      <c r="AM85" s="56" t="s">
        <v>199</v>
      </c>
      <c r="AN85" s="56" t="n">
        <v>50</v>
      </c>
      <c r="AO85" s="58" t="n">
        <f aca="false">IF(AL85&gt;$AA$20,$AA$22,$AA$21)</f>
        <v>18.5</v>
      </c>
      <c r="AP85" s="57" t="n">
        <f aca="false">AP84+AO85*AK85</f>
        <v>83.25</v>
      </c>
      <c r="AQ85" s="57" t="n">
        <f aca="false">AP85-AO85*AK85/2-10*MAX(AL85-$AA$20,0)</f>
        <v>69.375</v>
      </c>
      <c r="AR85" s="56"/>
      <c r="AS85" s="56"/>
      <c r="AT85" s="57" t="str">
        <f aca="false">IF(AR85="","",AR85-AS85)</f>
        <v/>
      </c>
      <c r="AU85" s="56" t="n">
        <v>0.65</v>
      </c>
      <c r="AV85" s="57" t="n">
        <f aca="false">IF(AM85="Sand",0,Input!$AA$34*AN85)</f>
        <v>0</v>
      </c>
      <c r="AW85" s="57" t="n">
        <f aca="false">IF(AM85="Sand",27.1+0.3*MIN(Input!$AA$35*AN85,60)-0.00054*MIN(Input!$AA$35*AN85,60)^2,MIN(MAX(DEGREES(ASIN(0.8-0.094*LN(MAX(IF(AT85="",10,AT85),5)))),20),30))</f>
        <v>41.76159985</v>
      </c>
      <c r="AX85" s="57" t="n">
        <f aca="false">IF(AM85="Sand",Input!$AA$36*Input!$AA$35*AN85,Input!$AA$37*AV85)</f>
        <v>54150</v>
      </c>
      <c r="AY85" s="59" t="n">
        <f aca="false">IF(AM85="Sand",Input!$AA$38,0.5)</f>
        <v>0.3</v>
      </c>
      <c r="AZ85" s="57" t="n">
        <f aca="false">Input!$AA$15/2/AL85</f>
        <v>9.86666666666667</v>
      </c>
      <c r="BA85" s="57" t="n">
        <f aca="false">Input!$AA$16/2/AL85</f>
        <v>26.9333333333333</v>
      </c>
      <c r="BB85" s="57" t="n">
        <f aca="false">1/(4*PI())*(2*AZ85*BA85*SQRT(AZ85^2+BA85^2+1)/(AZ85^2+BA85^2+1+AZ85^2*BA85^2)*(AZ85^2+BA85^2+2)/(AZ85^2+BA85^2+1)+ATAN2(AZ85^2+BA85^2+1-AZ85^2*BA85^2,2*AZ85*BA85*SQRT(AZ85^2+BA85^2+1)))</f>
        <v>0.249888801120386</v>
      </c>
      <c r="BC85" s="57" t="n">
        <f aca="false">4*Input!$AA$14*BB85</f>
        <v>135.93950780949</v>
      </c>
      <c r="BD85" s="57" t="n">
        <f aca="false">((Input!$AA$16/Input!$AA$15)*LN((1+SQRT((Input!$AA$16/Input!$AA$15)^2+1))*SQRT((Input!$AA$16/Input!$AA$15)^2+(AJ85/(Input!$AA$15/2))^2)/((Input!$AA$16/Input!$AA$15)*(1+SQRT((Input!$AA$16/Input!$AA$15)^2+(AJ85/(Input!$AA$15/2))^2+1))))+LN(((Input!$AA$16/Input!$AA$15)+SQRT((Input!$AA$16/Input!$AA$15)^2+1))*SQRT(1+(AJ85/(Input!$AA$15/2))^2)/((Input!$AA$16/Input!$AA$15)+SQRT((Input!$AA$16/Input!$AA$15)^2+(AJ85/(Input!$AA$15/2))^2+1))))/PI()</f>
        <v>0.00248961870853131</v>
      </c>
      <c r="BE85" s="57" t="n">
        <f aca="false">(AJ85/(Input!$AA$15/2))/(2*PI())*ATAN((Input!$AA$16/Input!$AA$15)/((AJ85/(Input!$AA$15/2))*SQRT((Input!$AA$16/Input!$AA$15)^2+(AJ85/(Input!$AA$15/2))^2+1)))</f>
        <v>0.027909941348913</v>
      </c>
      <c r="BF85" s="57" t="n">
        <f aca="false">MAX(0,AJ85-MAX(AI85,$AA$23))/AK85*IF(BC85&gt;=Input!$AA$21*AQ85,1,0)</f>
        <v>1</v>
      </c>
      <c r="BG85" s="57" t="n">
        <f aca="false">4*Input!$AA$14*(Input!$AA$15/2)*(1-AY85^2)/AX85*((BD85-BD84)+(1-2*AY85)/(1-AY85)*(BE85-BE84))*1000*BF85</f>
        <v>2.15797721925499</v>
      </c>
      <c r="BH85" s="57" t="n">
        <f aca="false">IF(AM85="Sand",0,0.009*(AR85-10))</f>
        <v>0</v>
      </c>
      <c r="BI85" s="57" t="n">
        <f aca="false">BH85*Input!$AA$39</f>
        <v>0</v>
      </c>
      <c r="BJ85" s="57" t="n">
        <f aca="false">IF(AM85="Sand",0,MAX(AV85/Input!$AA$40,AQ85))</f>
        <v>0</v>
      </c>
      <c r="BK85" s="57" t="n">
        <f aca="false">IF(AM85="Sand",0,1000*AK85/(1+AU85)*IF(AQ85+BC85&lt;=BJ85,BI85*LOG10((AQ85+BC85)/AQ85),BI85*LOG10(BJ85/AQ85)+BH85*LOG10((AQ85+BC85)/BJ85)))*BF85</f>
        <v>0</v>
      </c>
      <c r="BL85" s="57" t="n">
        <f aca="false">IF(AM85="Sand",0,10^(INDEX(Input!$Q$51:$Q$57,MIN(MATCH(MIN(MAX(AR85,30),120),Input!$C$51:$C$57,1),6))+(MIN(MAX(AR85,30),120)-INDEX(Input!$C$51:$C$57,MIN(MATCH(MIN(MAX(AR85,30),120),Input!$C$51:$C$57,1),6)))/(INDEX(Input!$C$51:$C$57,MIN(MATCH(MIN(MAX(AR85,30),120),Input!$C$51:$C$57,1),6)+1)-INDEX(Input!$C$51:$C$57,MIN(MATCH(MIN(MAX(AR85,30),120),Input!$C$51:$C$57,1),6)))*(INDEX(Input!$Q$51:$Q$57,MIN(MATCH(MIN(MAX(AR85,30),120),Input!$C$51:$C$57,1),6)+1)-INDEX(Input!$Q$51:$Q$57,MIN(MATCH(MIN(MAX(AR85,30),120),Input!$C$51:$C$57,1),6)))))</f>
        <v>0</v>
      </c>
      <c r="BM85" s="57" t="n">
        <f aca="false">IF(OR(AM85="Sand",BF85=0),0,Input!$AA$41*(AK85/2)^2/(BL85*0.0001*31536000))</f>
        <v>0</v>
      </c>
      <c r="BN85" s="57" t="n">
        <f aca="false">MAX(0,MIN(AJ85,Input!$AA$20)-AI85)</f>
        <v>1.5</v>
      </c>
      <c r="BO85" s="57" t="n">
        <f aca="false">MAX(0,MIN(AJ85,Input!$AA$20)-MAX(AI85,$AA$23))</f>
        <v>1.5</v>
      </c>
      <c r="BP85" s="57" t="n">
        <f aca="false">BG85+BK85</f>
        <v>2.15797721925499</v>
      </c>
      <c r="BQ85" s="57"/>
    </row>
    <row r="86" customFormat="false" ht="14.25" hidden="false" customHeight="false" outlineLevel="0" collapsed="false">
      <c r="B86" s="7"/>
      <c r="C86" s="46" t="n">
        <v>4</v>
      </c>
      <c r="D86" s="46"/>
      <c r="E86" s="44" t="n">
        <f aca="false">AI86</f>
        <v>4.5</v>
      </c>
      <c r="F86" s="44"/>
      <c r="G86" s="44"/>
      <c r="H86" s="44" t="n">
        <f aca="false">AJ86</f>
        <v>6</v>
      </c>
      <c r="I86" s="44"/>
      <c r="J86" s="44"/>
      <c r="K86" s="41" t="str">
        <f aca="false">AM86</f>
        <v>Sand</v>
      </c>
      <c r="L86" s="41"/>
      <c r="M86" s="41"/>
      <c r="N86" s="46" t="n">
        <f aca="false">AN86</f>
        <v>41</v>
      </c>
      <c r="O86" s="46"/>
      <c r="P86" s="46"/>
      <c r="Q86" s="42" t="n">
        <f aca="false">AO86</f>
        <v>18.5</v>
      </c>
      <c r="R86" s="42"/>
      <c r="S86" s="42"/>
      <c r="T86" s="46" t="str">
        <f aca="false">IF(AR86="","-",AR86)</f>
        <v>-</v>
      </c>
      <c r="U86" s="46"/>
      <c r="V86" s="46" t="str">
        <f aca="false">IF(AT86="","-",AT86)</f>
        <v>-</v>
      </c>
      <c r="W86" s="46"/>
      <c r="X86" s="44" t="n">
        <f aca="false">AU86</f>
        <v>0.588</v>
      </c>
      <c r="Y86" s="44"/>
      <c r="Z86" s="55" t="n">
        <f aca="false">AV86</f>
        <v>0</v>
      </c>
      <c r="AA86" s="55"/>
      <c r="AB86" s="55"/>
      <c r="AC86" s="42" t="n">
        <f aca="false">AW86</f>
        <v>39.35622173914</v>
      </c>
      <c r="AD86" s="42"/>
      <c r="AE86" s="42"/>
      <c r="AF86" s="12"/>
      <c r="AI86" s="56" t="n">
        <v>4.5</v>
      </c>
      <c r="AJ86" s="56" t="n">
        <v>6</v>
      </c>
      <c r="AK86" s="57" t="n">
        <f aca="false">AJ86-AI86</f>
        <v>1.5</v>
      </c>
      <c r="AL86" s="57" t="n">
        <f aca="false">(AI86+AJ86)/2</f>
        <v>5.25</v>
      </c>
      <c r="AM86" s="56" t="s">
        <v>199</v>
      </c>
      <c r="AN86" s="56" t="n">
        <v>41</v>
      </c>
      <c r="AO86" s="58" t="n">
        <f aca="false">IF(AL86&gt;$AA$20,$AA$22,$AA$21)</f>
        <v>18.5</v>
      </c>
      <c r="AP86" s="57" t="n">
        <f aca="false">AP85+AO86*AK86</f>
        <v>111</v>
      </c>
      <c r="AQ86" s="57" t="n">
        <f aca="false">AP86-AO86*AK86/2-10*MAX(AL86-$AA$20,0)</f>
        <v>97.125</v>
      </c>
      <c r="AR86" s="56"/>
      <c r="AS86" s="56"/>
      <c r="AT86" s="57" t="str">
        <f aca="false">IF(AR86="","",AR86-AS86)</f>
        <v/>
      </c>
      <c r="AU86" s="56" t="n">
        <v>0.588</v>
      </c>
      <c r="AV86" s="57" t="n">
        <f aca="false">IF(AM86="Sand",0,Input!$AA$34*AN86)</f>
        <v>0</v>
      </c>
      <c r="AW86" s="57" t="n">
        <f aca="false">IF(AM86="Sand",27.1+0.3*MIN(Input!$AA$35*AN86,60)-0.00054*MIN(Input!$AA$35*AN86,60)^2,MIN(MAX(DEGREES(ASIN(0.8-0.094*LN(MAX(IF(AT86="",10,AT86),5)))),20),30))</f>
        <v>39.35622173914</v>
      </c>
      <c r="AX86" s="57" t="n">
        <f aca="false">IF(AM86="Sand",Input!$AA$36*Input!$AA$35*AN86,Input!$AA$37*AV86)</f>
        <v>44403</v>
      </c>
      <c r="AY86" s="59" t="n">
        <f aca="false">IF(AM86="Sand",Input!$AA$38,0.5)</f>
        <v>0.3</v>
      </c>
      <c r="AZ86" s="57" t="n">
        <f aca="false">Input!$AA$15/2/AL86</f>
        <v>7.04761904761905</v>
      </c>
      <c r="BA86" s="57" t="n">
        <f aca="false">Input!$AA$16/2/AL86</f>
        <v>19.2380952380952</v>
      </c>
      <c r="BB86" s="57" t="n">
        <f aca="false">1/(4*PI())*(2*AZ86*BA86*SQRT(AZ86^2+BA86^2+1)/(AZ86^2+BA86^2+1+AZ86^2*BA86^2)*(AZ86^2+BA86^2+2)/(AZ86^2+BA86^2+1)+ATAN2(AZ86^2+BA86^2+1-AZ86^2*BA86^2,2*AZ86*BA86*SQRT(AZ86^2+BA86^2+1)))</f>
        <v>0.249698355166716</v>
      </c>
      <c r="BC86" s="57" t="n">
        <f aca="false">4*Input!$AA$14*BB86</f>
        <v>135.835905210694</v>
      </c>
      <c r="BD86" s="57" t="n">
        <f aca="false">((Input!$AA$16/Input!$AA$15)*LN((1+SQRT((Input!$AA$16/Input!$AA$15)^2+1))*SQRT((Input!$AA$16/Input!$AA$15)^2+(AJ86/(Input!$AA$15/2))^2)/((Input!$AA$16/Input!$AA$15)*(1+SQRT((Input!$AA$16/Input!$AA$15)^2+(AJ86/(Input!$AA$15/2))^2+1))))+LN(((Input!$AA$16/Input!$AA$15)+SQRT((Input!$AA$16/Input!$AA$15)^2+1))*SQRT(1+(AJ86/(Input!$AA$15/2))^2)/((Input!$AA$16/Input!$AA$15)+SQRT((Input!$AA$16/Input!$AA$15)^2+(AJ86/(Input!$AA$15/2))^2+1))))/PI()</f>
        <v>0.00440210534422831</v>
      </c>
      <c r="BE86" s="57" t="n">
        <f aca="false">(AJ86/(Input!$AA$15/2))/(2*PI())*ATAN((Input!$AA$16/Input!$AA$15)/((AJ86/(Input!$AA$15/2))*SQRT((Input!$AA$16/Input!$AA$15)^2+(AJ86/(Input!$AA$15/2))^2+1)))</f>
        <v>0.0361201249719141</v>
      </c>
      <c r="BF86" s="57" t="n">
        <f aca="false">MAX(0,AJ86-MAX(AI86,$AA$23))/AK86*IF(BC86&gt;=Input!$AA$21*AQ86,1,0)</f>
        <v>1</v>
      </c>
      <c r="BG86" s="57" t="n">
        <f aca="false">4*Input!$AA$14*(Input!$AA$15/2)*(1-AY86^2)/AX86*((BD86-BD85)+(1-2*AY86)/(1-AY86)*(BE86-BE85))*1000*BF86</f>
        <v>2.72419437232101</v>
      </c>
      <c r="BH86" s="57" t="n">
        <f aca="false">IF(AM86="Sand",0,0.009*(AR86-10))</f>
        <v>0</v>
      </c>
      <c r="BI86" s="57" t="n">
        <f aca="false">BH86*Input!$AA$39</f>
        <v>0</v>
      </c>
      <c r="BJ86" s="57" t="n">
        <f aca="false">IF(AM86="Sand",0,MAX(AV86/Input!$AA$40,AQ86))</f>
        <v>0</v>
      </c>
      <c r="BK86" s="57" t="n">
        <f aca="false">IF(AM86="Sand",0,1000*AK86/(1+AU86)*IF(AQ86+BC86&lt;=BJ86,BI86*LOG10((AQ86+BC86)/AQ86),BI86*LOG10(BJ86/AQ86)+BH86*LOG10((AQ86+BC86)/BJ86)))*BF86</f>
        <v>0</v>
      </c>
      <c r="BL86" s="57" t="n">
        <f aca="false">IF(AM86="Sand",0,10^(INDEX(Input!$Q$51:$Q$57,MIN(MATCH(MIN(MAX(AR86,30),120),Input!$C$51:$C$57,1),6))+(MIN(MAX(AR86,30),120)-INDEX(Input!$C$51:$C$57,MIN(MATCH(MIN(MAX(AR86,30),120),Input!$C$51:$C$57,1),6)))/(INDEX(Input!$C$51:$C$57,MIN(MATCH(MIN(MAX(AR86,30),120),Input!$C$51:$C$57,1),6)+1)-INDEX(Input!$C$51:$C$57,MIN(MATCH(MIN(MAX(AR86,30),120),Input!$C$51:$C$57,1),6)))*(INDEX(Input!$Q$51:$Q$57,MIN(MATCH(MIN(MAX(AR86,30),120),Input!$C$51:$C$57,1),6)+1)-INDEX(Input!$Q$51:$Q$57,MIN(MATCH(MIN(MAX(AR86,30),120),Input!$C$51:$C$57,1),6)))))</f>
        <v>0</v>
      </c>
      <c r="BM86" s="57" t="n">
        <f aca="false">IF(OR(AM86="Sand",BF86=0),0,Input!$AA$41*(AK86/2)^2/(BL86*0.0001*31536000))</f>
        <v>0</v>
      </c>
      <c r="BN86" s="57" t="n">
        <f aca="false">MAX(0,MIN(AJ86,Input!$AA$20)-AI86)</f>
        <v>0.5</v>
      </c>
      <c r="BO86" s="57" t="n">
        <f aca="false">MAX(0,MIN(AJ86,Input!$AA$20)-MAX(AI86,$AA$23))</f>
        <v>0.5</v>
      </c>
      <c r="BP86" s="57" t="n">
        <f aca="false">BG86+BK86</f>
        <v>2.72419437232101</v>
      </c>
      <c r="BQ86" s="57"/>
    </row>
    <row r="87" customFormat="false" ht="14.25" hidden="false" customHeight="false" outlineLevel="0" collapsed="false">
      <c r="B87" s="7"/>
      <c r="C87" s="46" t="n">
        <v>5</v>
      </c>
      <c r="D87" s="46"/>
      <c r="E87" s="44" t="n">
        <f aca="false">AI87</f>
        <v>6</v>
      </c>
      <c r="F87" s="44"/>
      <c r="G87" s="44"/>
      <c r="H87" s="44" t="n">
        <f aca="false">AJ87</f>
        <v>7.5</v>
      </c>
      <c r="I87" s="44"/>
      <c r="J87" s="44"/>
      <c r="K87" s="41" t="str">
        <f aca="false">AM87</f>
        <v>Sand</v>
      </c>
      <c r="L87" s="41"/>
      <c r="M87" s="41"/>
      <c r="N87" s="46" t="n">
        <f aca="false">AN87</f>
        <v>50</v>
      </c>
      <c r="O87" s="46"/>
      <c r="P87" s="46"/>
      <c r="Q87" s="42" t="n">
        <f aca="false">AO87</f>
        <v>18.5</v>
      </c>
      <c r="R87" s="42"/>
      <c r="S87" s="42"/>
      <c r="T87" s="46" t="str">
        <f aca="false">IF(AR87="","-",AR87)</f>
        <v>-</v>
      </c>
      <c r="U87" s="46"/>
      <c r="V87" s="46" t="str">
        <f aca="false">IF(AT87="","-",AT87)</f>
        <v>-</v>
      </c>
      <c r="W87" s="46"/>
      <c r="X87" s="44" t="n">
        <f aca="false">AU87</f>
        <v>0.503</v>
      </c>
      <c r="Y87" s="44"/>
      <c r="Z87" s="55" t="n">
        <f aca="false">AV87</f>
        <v>0</v>
      </c>
      <c r="AA87" s="55"/>
      <c r="AB87" s="55"/>
      <c r="AC87" s="42" t="n">
        <f aca="false">AW87</f>
        <v>41.76159985</v>
      </c>
      <c r="AD87" s="42"/>
      <c r="AE87" s="42"/>
      <c r="AF87" s="12"/>
      <c r="AI87" s="56" t="n">
        <v>6</v>
      </c>
      <c r="AJ87" s="56" t="n">
        <v>7.5</v>
      </c>
      <c r="AK87" s="57" t="n">
        <f aca="false">AJ87-AI87</f>
        <v>1.5</v>
      </c>
      <c r="AL87" s="57" t="n">
        <f aca="false">(AI87+AJ87)/2</f>
        <v>6.75</v>
      </c>
      <c r="AM87" s="56" t="s">
        <v>199</v>
      </c>
      <c r="AN87" s="56" t="n">
        <v>50</v>
      </c>
      <c r="AO87" s="58" t="n">
        <f aca="false">IF(AL87&gt;$AA$20,$AA$22,$AA$21)</f>
        <v>18.5</v>
      </c>
      <c r="AP87" s="57" t="n">
        <f aca="false">AP86+AO87*AK87</f>
        <v>138.75</v>
      </c>
      <c r="AQ87" s="57" t="n">
        <f aca="false">AP87-AO87*AK87/2-10*MAX(AL87-$AA$20,0)</f>
        <v>124.875</v>
      </c>
      <c r="AR87" s="56"/>
      <c r="AS87" s="56"/>
      <c r="AT87" s="57" t="str">
        <f aca="false">IF(AR87="","",AR87-AS87)</f>
        <v/>
      </c>
      <c r="AU87" s="56" t="n">
        <v>0.503</v>
      </c>
      <c r="AV87" s="57" t="n">
        <f aca="false">IF(AM87="Sand",0,Input!$AA$34*AN87)</f>
        <v>0</v>
      </c>
      <c r="AW87" s="57" t="n">
        <f aca="false">IF(AM87="Sand",27.1+0.3*MIN(Input!$AA$35*AN87,60)-0.00054*MIN(Input!$AA$35*AN87,60)^2,MIN(MAX(DEGREES(ASIN(0.8-0.094*LN(MAX(IF(AT87="",10,AT87),5)))),20),30))</f>
        <v>41.76159985</v>
      </c>
      <c r="AX87" s="57" t="n">
        <f aca="false">IF(AM87="Sand",Input!$AA$36*Input!$AA$35*AN87,Input!$AA$37*AV87)</f>
        <v>54150</v>
      </c>
      <c r="AY87" s="59" t="n">
        <f aca="false">IF(AM87="Sand",Input!$AA$38,0.5)</f>
        <v>0.3</v>
      </c>
      <c r="AZ87" s="57" t="n">
        <f aca="false">Input!$AA$15/2/AL87</f>
        <v>5.48148148148148</v>
      </c>
      <c r="BA87" s="57" t="n">
        <f aca="false">Input!$AA$16/2/AL87</f>
        <v>14.962962962963</v>
      </c>
      <c r="BB87" s="57" t="n">
        <f aca="false">1/(4*PI())*(2*AZ87*BA87*SQRT(AZ87^2+BA87^2+1)/(AZ87^2+BA87^2+1+AZ87^2*BA87^2)*(AZ87^2+BA87^2+2)/(AZ87^2+BA87^2+1)+ATAN2(AZ87^2+BA87^2+1-AZ87^2*BA87^2,2*AZ87*BA87*SQRT(AZ87^2+BA87^2+1)))</f>
        <v>0.249368535461671</v>
      </c>
      <c r="BC87" s="57" t="n">
        <f aca="false">4*Input!$AA$14*BB87</f>
        <v>135.656483291149</v>
      </c>
      <c r="BD87" s="57" t="n">
        <f aca="false">((Input!$AA$16/Input!$AA$15)*LN((1+SQRT((Input!$AA$16/Input!$AA$15)^2+1))*SQRT((Input!$AA$16/Input!$AA$15)^2+(AJ87/(Input!$AA$15/2))^2)/((Input!$AA$16/Input!$AA$15)*(1+SQRT((Input!$AA$16/Input!$AA$15)^2+(AJ87/(Input!$AA$15/2))^2+1))))+LN(((Input!$AA$16/Input!$AA$15)+SQRT((Input!$AA$16/Input!$AA$15)^2+1))*SQRT(1+(AJ87/(Input!$AA$15/2))^2)/((Input!$AA$16/Input!$AA$15)+SQRT((Input!$AA$16/Input!$AA$15)^2+(AJ87/(Input!$AA$15/2))^2+1))))/PI()</f>
        <v>0.00683111017475556</v>
      </c>
      <c r="BE87" s="57" t="n">
        <f aca="false">(AJ87/(Input!$AA$15/2))/(2*PI())*ATAN((Input!$AA$16/Input!$AA$15)/((AJ87/(Input!$AA$15/2))*SQRT((Input!$AA$16/Input!$AA$15)^2+(AJ87/(Input!$AA$15/2))^2+1)))</f>
        <v>0.0438003669964678</v>
      </c>
      <c r="BF87" s="57" t="n">
        <f aca="false">MAX(0,AJ87-MAX(AI87,$AA$23))/AK87*IF(BC87&gt;=Input!$AA$21*AQ87,1,0)</f>
        <v>1</v>
      </c>
      <c r="BG87" s="57" t="n">
        <f aca="false">4*Input!$AA$14*(Input!$AA$15/2)*(1-AY87^2)/AX87*((BD87-BD86)+(1-2*AY87)/(1-AY87)*(BE87-BE86))*1000*BF87</f>
        <v>2.30612248130691</v>
      </c>
      <c r="BH87" s="57" t="n">
        <f aca="false">IF(AM87="Sand",0,0.009*(AR87-10))</f>
        <v>0</v>
      </c>
      <c r="BI87" s="57" t="n">
        <f aca="false">BH87*Input!$AA$39</f>
        <v>0</v>
      </c>
      <c r="BJ87" s="57" t="n">
        <f aca="false">IF(AM87="Sand",0,MAX(AV87/Input!$AA$40,AQ87))</f>
        <v>0</v>
      </c>
      <c r="BK87" s="57" t="n">
        <f aca="false">IF(AM87="Sand",0,1000*AK87/(1+AU87)*IF(AQ87+BC87&lt;=BJ87,BI87*LOG10((AQ87+BC87)/AQ87),BI87*LOG10(BJ87/AQ87)+BH87*LOG10((AQ87+BC87)/BJ87)))*BF87</f>
        <v>0</v>
      </c>
      <c r="BL87" s="57" t="n">
        <f aca="false">IF(AM87="Sand",0,10^(INDEX(Input!$Q$51:$Q$57,MIN(MATCH(MIN(MAX(AR87,30),120),Input!$C$51:$C$57,1),6))+(MIN(MAX(AR87,30),120)-INDEX(Input!$C$51:$C$57,MIN(MATCH(MIN(MAX(AR87,30),120),Input!$C$51:$C$57,1),6)))/(INDEX(Input!$C$51:$C$57,MIN(MATCH(MIN(MAX(AR87,30),120),Input!$C$51:$C$57,1),6)+1)-INDEX(Input!$C$51:$C$57,MIN(MATCH(MIN(MAX(AR87,30),120),Input!$C$51:$C$57,1),6)))*(INDEX(Input!$Q$51:$Q$57,MIN(MATCH(MIN(MAX(AR87,30),120),Input!$C$51:$C$57,1),6)+1)-INDEX(Input!$Q$51:$Q$57,MIN(MATCH(MIN(MAX(AR87,30),120),Input!$C$51:$C$57,1),6)))))</f>
        <v>0</v>
      </c>
      <c r="BM87" s="57" t="n">
        <f aca="false">IF(OR(AM87="Sand",BF87=0),0,Input!$AA$41*(AK87/2)^2/(BL87*0.0001*31536000))</f>
        <v>0</v>
      </c>
      <c r="BN87" s="57" t="n">
        <f aca="false">MAX(0,MIN(AJ87,Input!$AA$20)-AI87)</f>
        <v>0</v>
      </c>
      <c r="BO87" s="57" t="n">
        <f aca="false">MAX(0,MIN(AJ87,Input!$AA$20)-MAX(AI87,$AA$23))</f>
        <v>0</v>
      </c>
      <c r="BP87" s="57" t="n">
        <f aca="false">BG87+BK87</f>
        <v>2.30612248130691</v>
      </c>
      <c r="BQ87" s="57"/>
    </row>
    <row r="88" customFormat="false" ht="14.25" hidden="false" customHeight="false" outlineLevel="0" collapsed="false">
      <c r="B88" s="7"/>
      <c r="C88" s="46" t="n">
        <v>6</v>
      </c>
      <c r="D88" s="46"/>
      <c r="E88" s="44" t="n">
        <f aca="false">AI88</f>
        <v>7.5</v>
      </c>
      <c r="F88" s="44"/>
      <c r="G88" s="44"/>
      <c r="H88" s="44" t="n">
        <f aca="false">AJ88</f>
        <v>9</v>
      </c>
      <c r="I88" s="44"/>
      <c r="J88" s="44"/>
      <c r="K88" s="41" t="str">
        <f aca="false">AM88</f>
        <v>Sand</v>
      </c>
      <c r="L88" s="41"/>
      <c r="M88" s="41"/>
      <c r="N88" s="46" t="n">
        <f aca="false">AN88</f>
        <v>26</v>
      </c>
      <c r="O88" s="46"/>
      <c r="P88" s="46"/>
      <c r="Q88" s="42" t="n">
        <f aca="false">AO88</f>
        <v>18.4</v>
      </c>
      <c r="R88" s="42"/>
      <c r="S88" s="42"/>
      <c r="T88" s="46" t="str">
        <f aca="false">IF(AR88="","-",AR88)</f>
        <v>-</v>
      </c>
      <c r="U88" s="46"/>
      <c r="V88" s="46" t="str">
        <f aca="false">IF(AT88="","-",AT88)</f>
        <v>-</v>
      </c>
      <c r="W88" s="46"/>
      <c r="X88" s="44" t="n">
        <f aca="false">AU88</f>
        <v>0.65</v>
      </c>
      <c r="Y88" s="44"/>
      <c r="Z88" s="55" t="n">
        <f aca="false">AV88</f>
        <v>0</v>
      </c>
      <c r="AA88" s="55"/>
      <c r="AB88" s="55"/>
      <c r="AC88" s="42" t="n">
        <f aca="false">AW88</f>
        <v>35.11924859944</v>
      </c>
      <c r="AD88" s="42"/>
      <c r="AE88" s="42"/>
      <c r="AF88" s="12"/>
      <c r="AI88" s="56" t="n">
        <v>7.5</v>
      </c>
      <c r="AJ88" s="56" t="n">
        <v>9</v>
      </c>
      <c r="AK88" s="57" t="n">
        <f aca="false">AJ88-AI88</f>
        <v>1.5</v>
      </c>
      <c r="AL88" s="57" t="n">
        <f aca="false">(AI88+AJ88)/2</f>
        <v>8.25</v>
      </c>
      <c r="AM88" s="56" t="s">
        <v>199</v>
      </c>
      <c r="AN88" s="56" t="n">
        <v>26</v>
      </c>
      <c r="AO88" s="58" t="n">
        <f aca="false">IF(AL88&gt;$AA$20,$AA$22,$AA$21)</f>
        <v>18.4</v>
      </c>
      <c r="AP88" s="57" t="n">
        <f aca="false">AP87+AO88*AK88</f>
        <v>166.35</v>
      </c>
      <c r="AQ88" s="57" t="n">
        <f aca="false">AP88-AO88*AK88/2-10*MAX(AL88-$AA$20,0)</f>
        <v>140.05</v>
      </c>
      <c r="AR88" s="56"/>
      <c r="AS88" s="56"/>
      <c r="AT88" s="57" t="str">
        <f aca="false">IF(AR88="","",AR88-AS88)</f>
        <v/>
      </c>
      <c r="AU88" s="56" t="n">
        <v>0.65</v>
      </c>
      <c r="AV88" s="57" t="n">
        <f aca="false">IF(AM88="Sand",0,Input!$AA$34*AN88)</f>
        <v>0</v>
      </c>
      <c r="AW88" s="57" t="n">
        <f aca="false">IF(AM88="Sand",27.1+0.3*MIN(Input!$AA$35*AN88,60)-0.00054*MIN(Input!$AA$35*AN88,60)^2,MIN(MAX(DEGREES(ASIN(0.8-0.094*LN(MAX(IF(AT88="",10,AT88),5)))),20),30))</f>
        <v>35.11924859944</v>
      </c>
      <c r="AX88" s="57" t="n">
        <f aca="false">IF(AM88="Sand",Input!$AA$36*Input!$AA$35*AN88,Input!$AA$37*AV88)</f>
        <v>28158</v>
      </c>
      <c r="AY88" s="59" t="n">
        <f aca="false">IF(AM88="Sand",Input!$AA$38,0.5)</f>
        <v>0.3</v>
      </c>
      <c r="AZ88" s="57" t="n">
        <f aca="false">Input!$AA$15/2/AL88</f>
        <v>4.48484848484848</v>
      </c>
      <c r="BA88" s="57" t="n">
        <f aca="false">Input!$AA$16/2/AL88</f>
        <v>12.2424242424242</v>
      </c>
      <c r="BB88" s="57" t="n">
        <f aca="false">1/(4*PI())*(2*AZ88*BA88*SQRT(AZ88^2+BA88^2+1)/(AZ88^2+BA88^2+1+AZ88^2*BA88^2)*(AZ88^2+BA88^2+2)/(AZ88^2+BA88^2+1)+ATAN2(AZ88^2+BA88^2+1-AZ88^2*BA88^2,2*AZ88*BA88*SQRT(AZ88^2+BA88^2+1)))</f>
        <v>0.248868419003298</v>
      </c>
      <c r="BC88" s="57" t="n">
        <f aca="false">4*Input!$AA$14*BB88</f>
        <v>135.384419937794</v>
      </c>
      <c r="BD88" s="57" t="n">
        <f aca="false">((Input!$AA$16/Input!$AA$15)*LN((1+SQRT((Input!$AA$16/Input!$AA$15)^2+1))*SQRT((Input!$AA$16/Input!$AA$15)^2+(AJ88/(Input!$AA$15/2))^2)/((Input!$AA$16/Input!$AA$15)*(1+SQRT((Input!$AA$16/Input!$AA$15)^2+(AJ88/(Input!$AA$15/2))^2+1))))+LN(((Input!$AA$16/Input!$AA$15)+SQRT((Input!$AA$16/Input!$AA$15)^2+1))*SQRT(1+(AJ88/(Input!$AA$15/2))^2)/((Input!$AA$16/Input!$AA$15)+SQRT((Input!$AA$16/Input!$AA$15)^2+(AJ88/(Input!$AA$15/2))^2+1))))/PI()</f>
        <v>0.00975546893705105</v>
      </c>
      <c r="BE88" s="57" t="n">
        <f aca="false">(AJ88/(Input!$AA$15/2))/(2*PI())*ATAN((Input!$AA$16/Input!$AA$15)/((AJ88/(Input!$AA$15/2))*SQRT((Input!$AA$16/Input!$AA$15)^2+(AJ88/(Input!$AA$15/2))^2+1)))</f>
        <v>0.0509649376512068</v>
      </c>
      <c r="BF88" s="57" t="n">
        <f aca="false">MAX(0,AJ88-MAX(AI88,$AA$23))/AK88*IF(BC88&gt;=Input!$AA$21*AQ88,1,0)</f>
        <v>1</v>
      </c>
      <c r="BG88" s="57" t="n">
        <f aca="false">4*Input!$AA$14*(Input!$AA$15/2)*(1-AY88^2)/AX88*((BD88-BD87)+(1-2*AY88)/(1-AY88)*(BE88-BE87))*1000*BF88</f>
        <v>4.56539411231175</v>
      </c>
      <c r="BH88" s="57" t="n">
        <f aca="false">IF(AM88="Sand",0,0.009*(AR88-10))</f>
        <v>0</v>
      </c>
      <c r="BI88" s="57" t="n">
        <f aca="false">BH88*Input!$AA$39</f>
        <v>0</v>
      </c>
      <c r="BJ88" s="57" t="n">
        <f aca="false">IF(AM88="Sand",0,MAX(AV88/Input!$AA$40,AQ88))</f>
        <v>0</v>
      </c>
      <c r="BK88" s="57" t="n">
        <f aca="false">IF(AM88="Sand",0,1000*AK88/(1+AU88)*IF(AQ88+BC88&lt;=BJ88,BI88*LOG10((AQ88+BC88)/AQ88),BI88*LOG10(BJ88/AQ88)+BH88*LOG10((AQ88+BC88)/BJ88)))*BF88</f>
        <v>0</v>
      </c>
      <c r="BL88" s="57" t="n">
        <f aca="false">IF(AM88="Sand",0,10^(INDEX(Input!$Q$51:$Q$57,MIN(MATCH(MIN(MAX(AR88,30),120),Input!$C$51:$C$57,1),6))+(MIN(MAX(AR88,30),120)-INDEX(Input!$C$51:$C$57,MIN(MATCH(MIN(MAX(AR88,30),120),Input!$C$51:$C$57,1),6)))/(INDEX(Input!$C$51:$C$57,MIN(MATCH(MIN(MAX(AR88,30),120),Input!$C$51:$C$57,1),6)+1)-INDEX(Input!$C$51:$C$57,MIN(MATCH(MIN(MAX(AR88,30),120),Input!$C$51:$C$57,1),6)))*(INDEX(Input!$Q$51:$Q$57,MIN(MATCH(MIN(MAX(AR88,30),120),Input!$C$51:$C$57,1),6)+1)-INDEX(Input!$Q$51:$Q$57,MIN(MATCH(MIN(MAX(AR88,30),120),Input!$C$51:$C$57,1),6)))))</f>
        <v>0</v>
      </c>
      <c r="BM88" s="57" t="n">
        <f aca="false">IF(OR(AM88="Sand",BF88=0),0,Input!$AA$41*(AK88/2)^2/(BL88*0.0001*31536000))</f>
        <v>0</v>
      </c>
      <c r="BN88" s="57" t="n">
        <f aca="false">MAX(0,MIN(AJ88,Input!$AA$20)-AI88)</f>
        <v>0</v>
      </c>
      <c r="BO88" s="57" t="n">
        <f aca="false">MAX(0,MIN(AJ88,Input!$AA$20)-MAX(AI88,$AA$23))</f>
        <v>0</v>
      </c>
      <c r="BP88" s="57" t="n">
        <f aca="false">BG88+BK88</f>
        <v>4.56539411231175</v>
      </c>
      <c r="BQ88" s="57"/>
    </row>
    <row r="89" customFormat="false" ht="14.25" hidden="false" customHeight="false" outlineLevel="0" collapsed="false">
      <c r="B89" s="7"/>
      <c r="C89" s="46" t="n">
        <v>7</v>
      </c>
      <c r="D89" s="46"/>
      <c r="E89" s="44" t="n">
        <f aca="false">AI89</f>
        <v>9</v>
      </c>
      <c r="F89" s="44"/>
      <c r="G89" s="44"/>
      <c r="H89" s="44" t="n">
        <f aca="false">AJ89</f>
        <v>10.5</v>
      </c>
      <c r="I89" s="44"/>
      <c r="J89" s="44"/>
      <c r="K89" s="41" t="str">
        <f aca="false">AM89</f>
        <v>Sand</v>
      </c>
      <c r="L89" s="41"/>
      <c r="M89" s="41"/>
      <c r="N89" s="46" t="n">
        <f aca="false">AN89</f>
        <v>15</v>
      </c>
      <c r="O89" s="46"/>
      <c r="P89" s="46"/>
      <c r="Q89" s="42" t="n">
        <f aca="false">AO89</f>
        <v>18.4</v>
      </c>
      <c r="R89" s="42"/>
      <c r="S89" s="42"/>
      <c r="T89" s="46" t="str">
        <f aca="false">IF(AR89="","-",AR89)</f>
        <v>-</v>
      </c>
      <c r="U89" s="46"/>
      <c r="V89" s="46" t="str">
        <f aca="false">IF(AT89="","-",AT89)</f>
        <v>-</v>
      </c>
      <c r="W89" s="46"/>
      <c r="X89" s="44" t="n">
        <f aca="false">AU89</f>
        <v>0.787</v>
      </c>
      <c r="Y89" s="44"/>
      <c r="Z89" s="55" t="n">
        <f aca="false">AV89</f>
        <v>0</v>
      </c>
      <c r="AA89" s="55"/>
      <c r="AB89" s="55"/>
      <c r="AC89" s="42" t="n">
        <f aca="false">AW89</f>
        <v>31.8309939865</v>
      </c>
      <c r="AD89" s="42"/>
      <c r="AE89" s="42"/>
      <c r="AF89" s="12"/>
      <c r="AI89" s="56" t="n">
        <v>9</v>
      </c>
      <c r="AJ89" s="56" t="n">
        <v>10.5</v>
      </c>
      <c r="AK89" s="57" t="n">
        <f aca="false">AJ89-AI89</f>
        <v>1.5</v>
      </c>
      <c r="AL89" s="57" t="n">
        <f aca="false">(AI89+AJ89)/2</f>
        <v>9.75</v>
      </c>
      <c r="AM89" s="56" t="s">
        <v>199</v>
      </c>
      <c r="AN89" s="56" t="n">
        <v>15</v>
      </c>
      <c r="AO89" s="58" t="n">
        <f aca="false">IF(AL89&gt;$AA$20,$AA$22,$AA$21)</f>
        <v>18.4</v>
      </c>
      <c r="AP89" s="57" t="n">
        <f aca="false">AP88+AO89*AK89</f>
        <v>193.95</v>
      </c>
      <c r="AQ89" s="57" t="n">
        <f aca="false">AP89-AO89*AK89/2-10*MAX(AL89-$AA$20,0)</f>
        <v>152.65</v>
      </c>
      <c r="AR89" s="56"/>
      <c r="AS89" s="56"/>
      <c r="AT89" s="57" t="str">
        <f aca="false">IF(AR89="","",AR89-AS89)</f>
        <v/>
      </c>
      <c r="AU89" s="56" t="n">
        <v>0.787</v>
      </c>
      <c r="AV89" s="57" t="n">
        <f aca="false">IF(AM89="Sand",0,Input!$AA$34*AN89)</f>
        <v>0</v>
      </c>
      <c r="AW89" s="57" t="n">
        <f aca="false">IF(AM89="Sand",27.1+0.3*MIN(Input!$AA$35*AN89,60)-0.00054*MIN(Input!$AA$35*AN89,60)^2,MIN(MAX(DEGREES(ASIN(0.8-0.094*LN(MAX(IF(AT89="",10,AT89),5)))),20),30))</f>
        <v>31.8309939865</v>
      </c>
      <c r="AX89" s="57" t="n">
        <f aca="false">IF(AM89="Sand",Input!$AA$36*Input!$AA$35*AN89,Input!$AA$37*AV89)</f>
        <v>16245</v>
      </c>
      <c r="AY89" s="59" t="n">
        <f aca="false">IF(AM89="Sand",Input!$AA$38,0.5)</f>
        <v>0.3</v>
      </c>
      <c r="AZ89" s="57" t="n">
        <f aca="false">Input!$AA$15/2/AL89</f>
        <v>3.79487179487179</v>
      </c>
      <c r="BA89" s="57" t="n">
        <f aca="false">Input!$AA$16/2/AL89</f>
        <v>10.3589743589744</v>
      </c>
      <c r="BB89" s="57" t="n">
        <f aca="false">1/(4*PI())*(2*AZ89*BA89*SQRT(AZ89^2+BA89^2+1)/(AZ89^2+BA89^2+1+AZ89^2*BA89^2)*(AZ89^2+BA89^2+2)/(AZ89^2+BA89^2+1)+ATAN2(AZ89^2+BA89^2+1-AZ89^2*BA89^2,2*AZ89*BA89*SQRT(AZ89^2+BA89^2+1)))</f>
        <v>0.248172910952305</v>
      </c>
      <c r="BC89" s="57" t="n">
        <f aca="false">4*Input!$AA$14*BB89</f>
        <v>135.006063558054</v>
      </c>
      <c r="BD89" s="57" t="n">
        <f aca="false">((Input!$AA$16/Input!$AA$15)*LN((1+SQRT((Input!$AA$16/Input!$AA$15)^2+1))*SQRT((Input!$AA$16/Input!$AA$15)^2+(AJ89/(Input!$AA$15/2))^2)/((Input!$AA$16/Input!$AA$15)*(1+SQRT((Input!$AA$16/Input!$AA$15)^2+(AJ89/(Input!$AA$15/2))^2+1))))+LN(((Input!$AA$16/Input!$AA$15)+SQRT((Input!$AA$16/Input!$AA$15)^2+1))*SQRT(1+(AJ89/(Input!$AA$15/2))^2)/((Input!$AA$16/Input!$AA$15)+SQRT((Input!$AA$16/Input!$AA$15)^2+(AJ89/(Input!$AA$15/2))^2+1))))/PI()</f>
        <v>0.0131506198333031</v>
      </c>
      <c r="BE89" s="57" t="n">
        <f aca="false">(AJ89/(Input!$AA$15/2))/(2*PI())*ATAN((Input!$AA$16/Input!$AA$15)/((AJ89/(Input!$AA$15/2))*SQRT((Input!$AA$16/Input!$AA$15)^2+(AJ89/(Input!$AA$15/2))^2+1)))</f>
        <v>0.0576304881402393</v>
      </c>
      <c r="BF89" s="57" t="n">
        <f aca="false">MAX(0,AJ89-MAX(AI89,$AA$23))/AK89*IF(BC89&gt;=Input!$AA$21*AQ89,1,0)</f>
        <v>1</v>
      </c>
      <c r="BG89" s="57" t="n">
        <f aca="false">4*Input!$AA$14*(Input!$AA$15/2)*(1-AY89^2)/AX89*((BD89-BD88)+(1-2*AY89)/(1-AY89)*(BE89-BE88))*1000*BF89</f>
        <v>8.1226591329437</v>
      </c>
      <c r="BH89" s="57" t="n">
        <f aca="false">IF(AM89="Sand",0,0.009*(AR89-10))</f>
        <v>0</v>
      </c>
      <c r="BI89" s="57" t="n">
        <f aca="false">BH89*Input!$AA$39</f>
        <v>0</v>
      </c>
      <c r="BJ89" s="57" t="n">
        <f aca="false">IF(AM89="Sand",0,MAX(AV89/Input!$AA$40,AQ89))</f>
        <v>0</v>
      </c>
      <c r="BK89" s="57" t="n">
        <f aca="false">IF(AM89="Sand",0,1000*AK89/(1+AU89)*IF(AQ89+BC89&lt;=BJ89,BI89*LOG10((AQ89+BC89)/AQ89),BI89*LOG10(BJ89/AQ89)+BH89*LOG10((AQ89+BC89)/BJ89)))*BF89</f>
        <v>0</v>
      </c>
      <c r="BL89" s="57" t="n">
        <f aca="false">IF(AM89="Sand",0,10^(INDEX(Input!$Q$51:$Q$57,MIN(MATCH(MIN(MAX(AR89,30),120),Input!$C$51:$C$57,1),6))+(MIN(MAX(AR89,30),120)-INDEX(Input!$C$51:$C$57,MIN(MATCH(MIN(MAX(AR89,30),120),Input!$C$51:$C$57,1),6)))/(INDEX(Input!$C$51:$C$57,MIN(MATCH(MIN(MAX(AR89,30),120),Input!$C$51:$C$57,1),6)+1)-INDEX(Input!$C$51:$C$57,MIN(MATCH(MIN(MAX(AR89,30),120),Input!$C$51:$C$57,1),6)))*(INDEX(Input!$Q$51:$Q$57,MIN(MATCH(MIN(MAX(AR89,30),120),Input!$C$51:$C$57,1),6)+1)-INDEX(Input!$Q$51:$Q$57,MIN(MATCH(MIN(MAX(AR89,30),120),Input!$C$51:$C$57,1),6)))))</f>
        <v>0</v>
      </c>
      <c r="BM89" s="57" t="n">
        <f aca="false">IF(OR(AM89="Sand",BF89=0),0,Input!$AA$41*(AK89/2)^2/(BL89*0.0001*31536000))</f>
        <v>0</v>
      </c>
      <c r="BN89" s="57" t="n">
        <f aca="false">MAX(0,MIN(AJ89,Input!$AA$20)-AI89)</f>
        <v>0</v>
      </c>
      <c r="BO89" s="57" t="n">
        <f aca="false">MAX(0,MIN(AJ89,Input!$AA$20)-MAX(AI89,$AA$23))</f>
        <v>0</v>
      </c>
      <c r="BP89" s="57" t="n">
        <f aca="false">BG89+BK89</f>
        <v>8.1226591329437</v>
      </c>
      <c r="BQ89" s="57"/>
    </row>
    <row r="90" customFormat="false" ht="14.25" hidden="false" customHeight="false" outlineLevel="0" collapsed="false">
      <c r="B90" s="7"/>
      <c r="C90" s="46" t="n">
        <v>8</v>
      </c>
      <c r="D90" s="46"/>
      <c r="E90" s="44" t="n">
        <f aca="false">AI90</f>
        <v>10.5</v>
      </c>
      <c r="F90" s="44"/>
      <c r="G90" s="44"/>
      <c r="H90" s="44" t="n">
        <f aca="false">AJ90</f>
        <v>12</v>
      </c>
      <c r="I90" s="44"/>
      <c r="J90" s="44"/>
      <c r="K90" s="41" t="str">
        <f aca="false">AM90</f>
        <v>Sand</v>
      </c>
      <c r="L90" s="41"/>
      <c r="M90" s="41"/>
      <c r="N90" s="46" t="n">
        <f aca="false">AN90</f>
        <v>25</v>
      </c>
      <c r="O90" s="46"/>
      <c r="P90" s="46"/>
      <c r="Q90" s="42" t="n">
        <f aca="false">AO90</f>
        <v>18.4</v>
      </c>
      <c r="R90" s="42"/>
      <c r="S90" s="42"/>
      <c r="T90" s="46" t="str">
        <f aca="false">IF(AR90="","-",AR90)</f>
        <v>-</v>
      </c>
      <c r="U90" s="46"/>
      <c r="V90" s="46" t="str">
        <f aca="false">IF(AT90="","-",AT90)</f>
        <v>-</v>
      </c>
      <c r="W90" s="46"/>
      <c r="X90" s="44" t="n">
        <f aca="false">AU90</f>
        <v>0.645</v>
      </c>
      <c r="Y90" s="44"/>
      <c r="Z90" s="55" t="n">
        <f aca="false">AV90</f>
        <v>0</v>
      </c>
      <c r="AA90" s="55"/>
      <c r="AB90" s="55"/>
      <c r="AC90" s="42" t="n">
        <f aca="false">AW90</f>
        <v>34.8266499625</v>
      </c>
      <c r="AD90" s="42"/>
      <c r="AE90" s="42"/>
      <c r="AF90" s="12"/>
      <c r="AI90" s="56" t="n">
        <v>10.5</v>
      </c>
      <c r="AJ90" s="56" t="n">
        <v>12</v>
      </c>
      <c r="AK90" s="57" t="n">
        <f aca="false">AJ90-AI90</f>
        <v>1.5</v>
      </c>
      <c r="AL90" s="57" t="n">
        <f aca="false">(AI90+AJ90)/2</f>
        <v>11.25</v>
      </c>
      <c r="AM90" s="56" t="s">
        <v>199</v>
      </c>
      <c r="AN90" s="56" t="n">
        <v>25</v>
      </c>
      <c r="AO90" s="58" t="n">
        <f aca="false">IF(AL90&gt;$AA$20,$AA$22,$AA$21)</f>
        <v>18.4</v>
      </c>
      <c r="AP90" s="57" t="n">
        <f aca="false">AP89+AO90*AK90</f>
        <v>221.55</v>
      </c>
      <c r="AQ90" s="57" t="n">
        <f aca="false">AP90-AO90*AK90/2-10*MAX(AL90-$AA$20,0)</f>
        <v>165.25</v>
      </c>
      <c r="AR90" s="56"/>
      <c r="AS90" s="56"/>
      <c r="AT90" s="57" t="str">
        <f aca="false">IF(AR90="","",AR90-AS90)</f>
        <v/>
      </c>
      <c r="AU90" s="56" t="n">
        <v>0.645</v>
      </c>
      <c r="AV90" s="57" t="n">
        <f aca="false">IF(AM90="Sand",0,Input!$AA$34*AN90)</f>
        <v>0</v>
      </c>
      <c r="AW90" s="57" t="n">
        <f aca="false">IF(AM90="Sand",27.1+0.3*MIN(Input!$AA$35*AN90,60)-0.00054*MIN(Input!$AA$35*AN90,60)^2,MIN(MAX(DEGREES(ASIN(0.8-0.094*LN(MAX(IF(AT90="",10,AT90),5)))),20),30))</f>
        <v>34.8266499625</v>
      </c>
      <c r="AX90" s="57" t="n">
        <f aca="false">IF(AM90="Sand",Input!$AA$36*Input!$AA$35*AN90,Input!$AA$37*AV90)</f>
        <v>27075</v>
      </c>
      <c r="AY90" s="59" t="n">
        <f aca="false">IF(AM90="Sand",Input!$AA$38,0.5)</f>
        <v>0.3</v>
      </c>
      <c r="AZ90" s="57" t="n">
        <f aca="false">Input!$AA$15/2/AL90</f>
        <v>3.28888888888889</v>
      </c>
      <c r="BA90" s="57" t="n">
        <f aca="false">Input!$AA$16/2/AL90</f>
        <v>8.97777777777778</v>
      </c>
      <c r="BB90" s="57" t="n">
        <f aca="false">1/(4*PI())*(2*AZ90*BA90*SQRT(AZ90^2+BA90^2+1)/(AZ90^2+BA90^2+1+AZ90^2*BA90^2)*(AZ90^2+BA90^2+2)/(AZ90^2+BA90^2+1)+ATAN2(AZ90^2+BA90^2+1-AZ90^2*BA90^2,2*AZ90*BA90*SQRT(AZ90^2+BA90^2+1)))</f>
        <v>0.247263218088384</v>
      </c>
      <c r="BC90" s="57" t="n">
        <f aca="false">4*Input!$AA$14*BB90</f>
        <v>134.511190640081</v>
      </c>
      <c r="BD90" s="57" t="n">
        <f aca="false">((Input!$AA$16/Input!$AA$15)*LN((1+SQRT((Input!$AA$16/Input!$AA$15)^2+1))*SQRT((Input!$AA$16/Input!$AA$15)^2+(AJ90/(Input!$AA$15/2))^2)/((Input!$AA$16/Input!$AA$15)*(1+SQRT((Input!$AA$16/Input!$AA$15)^2+(AJ90/(Input!$AA$15/2))^2+1))))+LN(((Input!$AA$16/Input!$AA$15)+SQRT((Input!$AA$16/Input!$AA$15)^2+1))*SQRT(1+(AJ90/(Input!$AA$15/2))^2)/((Input!$AA$16/Input!$AA$15)+SQRT((Input!$AA$16/Input!$AA$15)^2+(AJ90/(Input!$AA$15/2))^2+1))))/PI()</f>
        <v>0.0169892586870808</v>
      </c>
      <c r="BE90" s="57" t="n">
        <f aca="false">(AJ90/(Input!$AA$15/2))/(2*PI())*ATAN((Input!$AA$16/Input!$AA$15)/((AJ90/(Input!$AA$15/2))*SQRT((Input!$AA$16/Input!$AA$15)^2+(AJ90/(Input!$AA$15/2))^2+1)))</f>
        <v>0.063815650361614</v>
      </c>
      <c r="BF90" s="57" t="n">
        <f aca="false">MAX(0,AJ90-MAX(AI90,$AA$23))/AK90*IF(BC90&gt;=Input!$AA$21*AQ90,1,0)</f>
        <v>1</v>
      </c>
      <c r="BG90" s="57" t="n">
        <f aca="false">4*Input!$AA$14*(Input!$AA$15/2)*(1-AY90^2)/AX90*((BD90-BD89)+(1-2*AY90)/(1-AY90)*(BE90-BE89))*1000*BF90</f>
        <v>4.9879122176249</v>
      </c>
      <c r="BH90" s="57" t="n">
        <f aca="false">IF(AM90="Sand",0,0.009*(AR90-10))</f>
        <v>0</v>
      </c>
      <c r="BI90" s="57" t="n">
        <f aca="false">BH90*Input!$AA$39</f>
        <v>0</v>
      </c>
      <c r="BJ90" s="57" t="n">
        <f aca="false">IF(AM90="Sand",0,MAX(AV90/Input!$AA$40,AQ90))</f>
        <v>0</v>
      </c>
      <c r="BK90" s="57" t="n">
        <f aca="false">IF(AM90="Sand",0,1000*AK90/(1+AU90)*IF(AQ90+BC90&lt;=BJ90,BI90*LOG10((AQ90+BC90)/AQ90),BI90*LOG10(BJ90/AQ90)+BH90*LOG10((AQ90+BC90)/BJ90)))*BF90</f>
        <v>0</v>
      </c>
      <c r="BL90" s="57" t="n">
        <f aca="false">IF(AM90="Sand",0,10^(INDEX(Input!$Q$51:$Q$57,MIN(MATCH(MIN(MAX(AR90,30),120),Input!$C$51:$C$57,1),6))+(MIN(MAX(AR90,30),120)-INDEX(Input!$C$51:$C$57,MIN(MATCH(MIN(MAX(AR90,30),120),Input!$C$51:$C$57,1),6)))/(INDEX(Input!$C$51:$C$57,MIN(MATCH(MIN(MAX(AR90,30),120),Input!$C$51:$C$57,1),6)+1)-INDEX(Input!$C$51:$C$57,MIN(MATCH(MIN(MAX(AR90,30),120),Input!$C$51:$C$57,1),6)))*(INDEX(Input!$Q$51:$Q$57,MIN(MATCH(MIN(MAX(AR90,30),120),Input!$C$51:$C$57,1),6)+1)-INDEX(Input!$Q$51:$Q$57,MIN(MATCH(MIN(MAX(AR90,30),120),Input!$C$51:$C$57,1),6)))))</f>
        <v>0</v>
      </c>
      <c r="BM90" s="57" t="n">
        <f aca="false">IF(OR(AM90="Sand",BF90=0),0,Input!$AA$41*(AK90/2)^2/(BL90*0.0001*31536000))</f>
        <v>0</v>
      </c>
      <c r="BN90" s="57" t="n">
        <f aca="false">MAX(0,MIN(AJ90,Input!$AA$20)-AI90)</f>
        <v>0</v>
      </c>
      <c r="BO90" s="57" t="n">
        <f aca="false">MAX(0,MIN(AJ90,Input!$AA$20)-MAX(AI90,$AA$23))</f>
        <v>0</v>
      </c>
      <c r="BP90" s="57" t="n">
        <f aca="false">BG90+BK90</f>
        <v>4.9879122176249</v>
      </c>
      <c r="BQ90" s="57"/>
    </row>
    <row r="91" customFormat="false" ht="14.25" hidden="false" customHeight="false" outlineLevel="0" collapsed="false">
      <c r="B91" s="7"/>
      <c r="C91" s="46" t="n">
        <v>9</v>
      </c>
      <c r="D91" s="46"/>
      <c r="E91" s="44" t="n">
        <f aca="false">AI91</f>
        <v>12</v>
      </c>
      <c r="F91" s="44"/>
      <c r="G91" s="44"/>
      <c r="H91" s="44" t="n">
        <f aca="false">AJ91</f>
        <v>13.5</v>
      </c>
      <c r="I91" s="44"/>
      <c r="J91" s="44"/>
      <c r="K91" s="41" t="str">
        <f aca="false">AM91</f>
        <v>Sand</v>
      </c>
      <c r="L91" s="41"/>
      <c r="M91" s="41"/>
      <c r="N91" s="46" t="n">
        <f aca="false">AN91</f>
        <v>20</v>
      </c>
      <c r="O91" s="46"/>
      <c r="P91" s="46"/>
      <c r="Q91" s="42" t="n">
        <f aca="false">AO91</f>
        <v>18.4</v>
      </c>
      <c r="R91" s="42"/>
      <c r="S91" s="42"/>
      <c r="T91" s="46" t="str">
        <f aca="false">IF(AR91="","-",AR91)</f>
        <v>-</v>
      </c>
      <c r="U91" s="46"/>
      <c r="V91" s="46" t="str">
        <f aca="false">IF(AT91="","-",AT91)</f>
        <v>-</v>
      </c>
      <c r="W91" s="46"/>
      <c r="X91" s="44" t="n">
        <f aca="false">AU91</f>
        <v>0.628</v>
      </c>
      <c r="Y91" s="44"/>
      <c r="Z91" s="55" t="n">
        <f aca="false">AV91</f>
        <v>0</v>
      </c>
      <c r="AA91" s="55"/>
      <c r="AB91" s="55"/>
      <c r="AC91" s="42" t="n">
        <f aca="false">AW91</f>
        <v>33.344655976</v>
      </c>
      <c r="AD91" s="42"/>
      <c r="AE91" s="42"/>
      <c r="AF91" s="12"/>
      <c r="AI91" s="56" t="n">
        <v>12</v>
      </c>
      <c r="AJ91" s="56" t="n">
        <v>13.5</v>
      </c>
      <c r="AK91" s="57" t="n">
        <f aca="false">AJ91-AI91</f>
        <v>1.5</v>
      </c>
      <c r="AL91" s="57" t="n">
        <f aca="false">(AI91+AJ91)/2</f>
        <v>12.75</v>
      </c>
      <c r="AM91" s="56" t="s">
        <v>199</v>
      </c>
      <c r="AN91" s="56" t="n">
        <v>20</v>
      </c>
      <c r="AO91" s="58" t="n">
        <f aca="false">IF(AL91&gt;$AA$20,$AA$22,$AA$21)</f>
        <v>18.4</v>
      </c>
      <c r="AP91" s="57" t="n">
        <f aca="false">AP90+AO91*AK91</f>
        <v>249.15</v>
      </c>
      <c r="AQ91" s="57" t="n">
        <f aca="false">AP91-AO91*AK91/2-10*MAX(AL91-$AA$20,0)</f>
        <v>177.85</v>
      </c>
      <c r="AR91" s="56"/>
      <c r="AS91" s="56"/>
      <c r="AT91" s="57" t="str">
        <f aca="false">IF(AR91="","",AR91-AS91)</f>
        <v/>
      </c>
      <c r="AU91" s="56" t="n">
        <v>0.628</v>
      </c>
      <c r="AV91" s="57" t="n">
        <f aca="false">IF(AM91="Sand",0,Input!$AA$34*AN91)</f>
        <v>0</v>
      </c>
      <c r="AW91" s="57" t="n">
        <f aca="false">IF(AM91="Sand",27.1+0.3*MIN(Input!$AA$35*AN91,60)-0.00054*MIN(Input!$AA$35*AN91,60)^2,MIN(MAX(DEGREES(ASIN(0.8-0.094*LN(MAX(IF(AT91="",10,AT91),5)))),20),30))</f>
        <v>33.344655976</v>
      </c>
      <c r="AX91" s="57" t="n">
        <f aca="false">IF(AM91="Sand",Input!$AA$36*Input!$AA$35*AN91,Input!$AA$37*AV91)</f>
        <v>21660</v>
      </c>
      <c r="AY91" s="59" t="n">
        <f aca="false">IF(AM91="Sand",Input!$AA$38,0.5)</f>
        <v>0.3</v>
      </c>
      <c r="AZ91" s="57" t="n">
        <f aca="false">Input!$AA$15/2/AL91</f>
        <v>2.90196078431373</v>
      </c>
      <c r="BA91" s="57" t="n">
        <f aca="false">Input!$AA$16/2/AL91</f>
        <v>7.92156862745098</v>
      </c>
      <c r="BB91" s="57" t="n">
        <f aca="false">1/(4*PI())*(2*AZ91*BA91*SQRT(AZ91^2+BA91^2+1)/(AZ91^2+BA91^2+1+AZ91^2*BA91^2)*(AZ91^2+BA91^2+2)/(AZ91^2+BA91^2+1)+ATAN2(AZ91^2+BA91^2+1-AZ91^2*BA91^2,2*AZ91*BA91*SQRT(AZ91^2+BA91^2+1)))</f>
        <v>0.246126971244543</v>
      </c>
      <c r="BC91" s="57" t="n">
        <f aca="false">4*Input!$AA$14*BB91</f>
        <v>133.893072357031</v>
      </c>
      <c r="BD91" s="57" t="n">
        <f aca="false">((Input!$AA$16/Input!$AA$15)*LN((1+SQRT((Input!$AA$16/Input!$AA$15)^2+1))*SQRT((Input!$AA$16/Input!$AA$15)^2+(AJ91/(Input!$AA$15/2))^2)/((Input!$AA$16/Input!$AA$15)*(1+SQRT((Input!$AA$16/Input!$AA$15)^2+(AJ91/(Input!$AA$15/2))^2+1))))+LN(((Input!$AA$16/Input!$AA$15)+SQRT((Input!$AA$16/Input!$AA$15)^2+1))*SQRT(1+(AJ91/(Input!$AA$15/2))^2)/((Input!$AA$16/Input!$AA$15)+SQRT((Input!$AA$16/Input!$AA$15)^2+(AJ91/(Input!$AA$15/2))^2+1))))/PI()</f>
        <v>0.0212420151090567</v>
      </c>
      <c r="BE91" s="57" t="n">
        <f aca="false">(AJ91/(Input!$AA$15/2))/(2*PI())*ATAN((Input!$AA$16/Input!$AA$15)/((AJ91/(Input!$AA$15/2))*SQRT((Input!$AA$16/Input!$AA$15)^2+(AJ91/(Input!$AA$15/2))^2+1)))</f>
        <v>0.0695406206380035</v>
      </c>
      <c r="BF91" s="57" t="n">
        <f aca="false">MAX(0,AJ91-MAX(AI91,$AA$23))/AK91*IF(BC91&gt;=Input!$AA$21*AQ91,1,0)</f>
        <v>1</v>
      </c>
      <c r="BG91" s="57" t="n">
        <f aca="false">4*Input!$AA$14*(Input!$AA$15/2)*(1-AY91^2)/AX91*((BD91-BD90)+(1-2*AY91)/(1-AY91)*(BE91-BE90))*1000*BF91</f>
        <v>6.36270881089754</v>
      </c>
      <c r="BH91" s="57" t="n">
        <f aca="false">IF(AM91="Sand",0,0.009*(AR91-10))</f>
        <v>0</v>
      </c>
      <c r="BI91" s="57" t="n">
        <f aca="false">BH91*Input!$AA$39</f>
        <v>0</v>
      </c>
      <c r="BJ91" s="57" t="n">
        <f aca="false">IF(AM91="Sand",0,MAX(AV91/Input!$AA$40,AQ91))</f>
        <v>0</v>
      </c>
      <c r="BK91" s="57" t="n">
        <f aca="false">IF(AM91="Sand",0,1000*AK91/(1+AU91)*IF(AQ91+BC91&lt;=BJ91,BI91*LOG10((AQ91+BC91)/AQ91),BI91*LOG10(BJ91/AQ91)+BH91*LOG10((AQ91+BC91)/BJ91)))*BF91</f>
        <v>0</v>
      </c>
      <c r="BL91" s="57" t="n">
        <f aca="false">IF(AM91="Sand",0,10^(INDEX(Input!$Q$51:$Q$57,MIN(MATCH(MIN(MAX(AR91,30),120),Input!$C$51:$C$57,1),6))+(MIN(MAX(AR91,30),120)-INDEX(Input!$C$51:$C$57,MIN(MATCH(MIN(MAX(AR91,30),120),Input!$C$51:$C$57,1),6)))/(INDEX(Input!$C$51:$C$57,MIN(MATCH(MIN(MAX(AR91,30),120),Input!$C$51:$C$57,1),6)+1)-INDEX(Input!$C$51:$C$57,MIN(MATCH(MIN(MAX(AR91,30),120),Input!$C$51:$C$57,1),6)))*(INDEX(Input!$Q$51:$Q$57,MIN(MATCH(MIN(MAX(AR91,30),120),Input!$C$51:$C$57,1),6)+1)-INDEX(Input!$Q$51:$Q$57,MIN(MATCH(MIN(MAX(AR91,30),120),Input!$C$51:$C$57,1),6)))))</f>
        <v>0</v>
      </c>
      <c r="BM91" s="57" t="n">
        <f aca="false">IF(OR(AM91="Sand",BF91=0),0,Input!$AA$41*(AK91/2)^2/(BL91*0.0001*31536000))</f>
        <v>0</v>
      </c>
      <c r="BN91" s="57" t="n">
        <f aca="false">MAX(0,MIN(AJ91,Input!$AA$20)-AI91)</f>
        <v>0</v>
      </c>
      <c r="BO91" s="57" t="n">
        <f aca="false">MAX(0,MIN(AJ91,Input!$AA$20)-MAX(AI91,$AA$23))</f>
        <v>0</v>
      </c>
      <c r="BP91" s="57" t="n">
        <f aca="false">BG91+BK91</f>
        <v>6.36270881089754</v>
      </c>
      <c r="BQ91" s="57"/>
    </row>
    <row r="92" customFormat="false" ht="14.25" hidden="false" customHeight="false" outlineLevel="0" collapsed="false">
      <c r="B92" s="7"/>
      <c r="C92" s="46" t="n">
        <v>10</v>
      </c>
      <c r="D92" s="46"/>
      <c r="E92" s="44" t="n">
        <f aca="false">AI92</f>
        <v>13.5</v>
      </c>
      <c r="F92" s="44"/>
      <c r="G92" s="44"/>
      <c r="H92" s="44" t="n">
        <f aca="false">AJ92</f>
        <v>15</v>
      </c>
      <c r="I92" s="44"/>
      <c r="J92" s="44"/>
      <c r="K92" s="41" t="str">
        <f aca="false">AM92</f>
        <v>Sand</v>
      </c>
      <c r="L92" s="41"/>
      <c r="M92" s="41"/>
      <c r="N92" s="46" t="n">
        <f aca="false">AN92</f>
        <v>47</v>
      </c>
      <c r="O92" s="46"/>
      <c r="P92" s="46"/>
      <c r="Q92" s="42" t="n">
        <f aca="false">AO92</f>
        <v>18.4</v>
      </c>
      <c r="R92" s="42"/>
      <c r="S92" s="42"/>
      <c r="T92" s="46" t="str">
        <f aca="false">IF(AR92="","-",AR92)</f>
        <v>-</v>
      </c>
      <c r="U92" s="46"/>
      <c r="V92" s="46" t="str">
        <f aca="false">IF(AT92="","-",AT92)</f>
        <v>-</v>
      </c>
      <c r="W92" s="46"/>
      <c r="X92" s="44" t="n">
        <f aca="false">AU92</f>
        <v>0.565</v>
      </c>
      <c r="Y92" s="44"/>
      <c r="Z92" s="55" t="n">
        <f aca="false">AV92</f>
        <v>0</v>
      </c>
      <c r="AA92" s="55"/>
      <c r="AB92" s="55"/>
      <c r="AC92" s="42" t="n">
        <f aca="false">AW92</f>
        <v>40.97120762746</v>
      </c>
      <c r="AD92" s="42"/>
      <c r="AE92" s="42"/>
      <c r="AF92" s="12"/>
      <c r="AI92" s="56" t="n">
        <v>13.5</v>
      </c>
      <c r="AJ92" s="56" t="n">
        <v>15</v>
      </c>
      <c r="AK92" s="57" t="n">
        <f aca="false">AJ92-AI92</f>
        <v>1.5</v>
      </c>
      <c r="AL92" s="57" t="n">
        <f aca="false">(AI92+AJ92)/2</f>
        <v>14.25</v>
      </c>
      <c r="AM92" s="56" t="s">
        <v>199</v>
      </c>
      <c r="AN92" s="56" t="n">
        <v>47</v>
      </c>
      <c r="AO92" s="58" t="n">
        <f aca="false">IF(AL92&gt;$AA$20,$AA$22,$AA$21)</f>
        <v>18.4</v>
      </c>
      <c r="AP92" s="57" t="n">
        <f aca="false">AP91+AO92*AK92</f>
        <v>276.75</v>
      </c>
      <c r="AQ92" s="57" t="n">
        <f aca="false">AP92-AO92*AK92/2-10*MAX(AL92-$AA$20,0)</f>
        <v>190.45</v>
      </c>
      <c r="AR92" s="56"/>
      <c r="AS92" s="56"/>
      <c r="AT92" s="57" t="str">
        <f aca="false">IF(AR92="","",AR92-AS92)</f>
        <v/>
      </c>
      <c r="AU92" s="56" t="n">
        <v>0.565</v>
      </c>
      <c r="AV92" s="57" t="n">
        <f aca="false">IF(AM92="Sand",0,Input!$AA$34*AN92)</f>
        <v>0</v>
      </c>
      <c r="AW92" s="57" t="n">
        <f aca="false">IF(AM92="Sand",27.1+0.3*MIN(Input!$AA$35*AN92,60)-0.00054*MIN(Input!$AA$35*AN92,60)^2,MIN(MAX(DEGREES(ASIN(0.8-0.094*LN(MAX(IF(AT92="",10,AT92),5)))),20),30))</f>
        <v>40.97120762746</v>
      </c>
      <c r="AX92" s="57" t="n">
        <f aca="false">IF(AM92="Sand",Input!$AA$36*Input!$AA$35*AN92,Input!$AA$37*AV92)</f>
        <v>50901</v>
      </c>
      <c r="AY92" s="59" t="n">
        <f aca="false">IF(AM92="Sand",Input!$AA$38,0.5)</f>
        <v>0.3</v>
      </c>
      <c r="AZ92" s="57" t="n">
        <f aca="false">Input!$AA$15/2/AL92</f>
        <v>2.59649122807018</v>
      </c>
      <c r="BA92" s="57" t="n">
        <f aca="false">Input!$AA$16/2/AL92</f>
        <v>7.08771929824561</v>
      </c>
      <c r="BB92" s="57" t="n">
        <f aca="false">1/(4*PI())*(2*AZ92*BA92*SQRT(AZ92^2+BA92^2+1)/(AZ92^2+BA92^2+1+AZ92^2*BA92^2)*(AZ92^2+BA92^2+2)/(AZ92^2+BA92^2+1)+ATAN2(AZ92^2+BA92^2+1-AZ92^2*BA92^2,2*AZ92*BA92*SQRT(AZ92^2+BA92^2+1)))</f>
        <v>0.244758030634215</v>
      </c>
      <c r="BC92" s="57" t="n">
        <f aca="false">4*Input!$AA$14*BB92</f>
        <v>133.148368665013</v>
      </c>
      <c r="BD92" s="57" t="n">
        <f aca="false">((Input!$AA$16/Input!$AA$15)*LN((1+SQRT((Input!$AA$16/Input!$AA$15)^2+1))*SQRT((Input!$AA$16/Input!$AA$15)^2+(AJ92/(Input!$AA$15/2))^2)/((Input!$AA$16/Input!$AA$15)*(1+SQRT((Input!$AA$16/Input!$AA$15)^2+(AJ92/(Input!$AA$15/2))^2+1))))+LN(((Input!$AA$16/Input!$AA$15)+SQRT((Input!$AA$16/Input!$AA$15)^2+1))*SQRT(1+(AJ92/(Input!$AA$15/2))^2)/((Input!$AA$16/Input!$AA$15)+SQRT((Input!$AA$16/Input!$AA$15)^2+(AJ92/(Input!$AA$15/2))^2+1))))/PI()</f>
        <v>0.0258781185005073</v>
      </c>
      <c r="BE92" s="57" t="n">
        <f aca="false">(AJ92/(Input!$AA$15/2))/(2*PI())*ATAN((Input!$AA$16/Input!$AA$15)/((AJ92/(Input!$AA$15/2))*SQRT((Input!$AA$16/Input!$AA$15)^2+(AJ92/(Input!$AA$15/2))^2+1)))</f>
        <v>0.0748267458113844</v>
      </c>
      <c r="BF92" s="57" t="n">
        <f aca="false">MAX(0,AJ92-MAX(AI92,$AA$23))/AK92*IF(BC92&gt;=Input!$AA$21*AQ92,1,0)</f>
        <v>1</v>
      </c>
      <c r="BG92" s="57" t="n">
        <f aca="false">4*Input!$AA$14*(Input!$AA$15/2)*(1-AY92^2)/AX92*((BD92-BD91)+(1-2*AY92)/(1-AY92)*(BE92-BE91))*1000*BF92</f>
        <v>2.75524334182311</v>
      </c>
      <c r="BH92" s="57" t="n">
        <f aca="false">IF(AM92="Sand",0,0.009*(AR92-10))</f>
        <v>0</v>
      </c>
      <c r="BI92" s="57" t="n">
        <f aca="false">BH92*Input!$AA$39</f>
        <v>0</v>
      </c>
      <c r="BJ92" s="57" t="n">
        <f aca="false">IF(AM92="Sand",0,MAX(AV92/Input!$AA$40,AQ92))</f>
        <v>0</v>
      </c>
      <c r="BK92" s="57" t="n">
        <f aca="false">IF(AM92="Sand",0,1000*AK92/(1+AU92)*IF(AQ92+BC92&lt;=BJ92,BI92*LOG10((AQ92+BC92)/AQ92),BI92*LOG10(BJ92/AQ92)+BH92*LOG10((AQ92+BC92)/BJ92)))*BF92</f>
        <v>0</v>
      </c>
      <c r="BL92" s="57" t="n">
        <f aca="false">IF(AM92="Sand",0,10^(INDEX(Input!$Q$51:$Q$57,MIN(MATCH(MIN(MAX(AR92,30),120),Input!$C$51:$C$57,1),6))+(MIN(MAX(AR92,30),120)-INDEX(Input!$C$51:$C$57,MIN(MATCH(MIN(MAX(AR92,30),120),Input!$C$51:$C$57,1),6)))/(INDEX(Input!$C$51:$C$57,MIN(MATCH(MIN(MAX(AR92,30),120),Input!$C$51:$C$57,1),6)+1)-INDEX(Input!$C$51:$C$57,MIN(MATCH(MIN(MAX(AR92,30),120),Input!$C$51:$C$57,1),6)))*(INDEX(Input!$Q$51:$Q$57,MIN(MATCH(MIN(MAX(AR92,30),120),Input!$C$51:$C$57,1),6)+1)-INDEX(Input!$Q$51:$Q$57,MIN(MATCH(MIN(MAX(AR92,30),120),Input!$C$51:$C$57,1),6)))))</f>
        <v>0</v>
      </c>
      <c r="BM92" s="57" t="n">
        <f aca="false">IF(OR(AM92="Sand",BF92=0),0,Input!$AA$41*(AK92/2)^2/(BL92*0.0001*31536000))</f>
        <v>0</v>
      </c>
      <c r="BN92" s="57" t="n">
        <f aca="false">MAX(0,MIN(AJ92,Input!$AA$20)-AI92)</f>
        <v>0</v>
      </c>
      <c r="BO92" s="57" t="n">
        <f aca="false">MAX(0,MIN(AJ92,Input!$AA$20)-MAX(AI92,$AA$23))</f>
        <v>0</v>
      </c>
      <c r="BP92" s="57" t="n">
        <f aca="false">BG92+BK92</f>
        <v>2.75524334182311</v>
      </c>
      <c r="BQ92" s="57"/>
    </row>
    <row r="93" customFormat="false" ht="14.25" hidden="false" customHeight="false" outlineLevel="0" collapsed="false">
      <c r="B93" s="7"/>
      <c r="C93" s="46" t="n">
        <v>11</v>
      </c>
      <c r="D93" s="46"/>
      <c r="E93" s="44" t="n">
        <f aca="false">AI93</f>
        <v>15</v>
      </c>
      <c r="F93" s="44"/>
      <c r="G93" s="44"/>
      <c r="H93" s="44" t="n">
        <f aca="false">AJ93</f>
        <v>16.5</v>
      </c>
      <c r="I93" s="44"/>
      <c r="J93" s="44"/>
      <c r="K93" s="41" t="str">
        <f aca="false">AM93</f>
        <v>Sand</v>
      </c>
      <c r="L93" s="41"/>
      <c r="M93" s="41"/>
      <c r="N93" s="46" t="n">
        <f aca="false">AN93</f>
        <v>12</v>
      </c>
      <c r="O93" s="46"/>
      <c r="P93" s="46"/>
      <c r="Q93" s="42" t="n">
        <f aca="false">AO93</f>
        <v>18.4</v>
      </c>
      <c r="R93" s="42"/>
      <c r="S93" s="42"/>
      <c r="T93" s="46" t="str">
        <f aca="false">IF(AR93="","-",AR93)</f>
        <v>-</v>
      </c>
      <c r="U93" s="46"/>
      <c r="V93" s="46" t="str">
        <f aca="false">IF(AT93="","-",AT93)</f>
        <v>-</v>
      </c>
      <c r="W93" s="46"/>
      <c r="X93" s="44" t="n">
        <f aca="false">AU93</f>
        <v>0.464</v>
      </c>
      <c r="Y93" s="44"/>
      <c r="Z93" s="55" t="n">
        <f aca="false">AV93</f>
        <v>0</v>
      </c>
      <c r="AA93" s="55"/>
      <c r="AB93" s="55"/>
      <c r="AC93" s="42" t="n">
        <f aca="false">AW93</f>
        <v>30.90759615136</v>
      </c>
      <c r="AD93" s="42"/>
      <c r="AE93" s="42"/>
      <c r="AF93" s="12"/>
      <c r="AI93" s="56" t="n">
        <v>15</v>
      </c>
      <c r="AJ93" s="56" t="n">
        <v>16.5</v>
      </c>
      <c r="AK93" s="57" t="n">
        <f aca="false">AJ93-AI93</f>
        <v>1.5</v>
      </c>
      <c r="AL93" s="57" t="n">
        <f aca="false">(AI93+AJ93)/2</f>
        <v>15.75</v>
      </c>
      <c r="AM93" s="56" t="s">
        <v>199</v>
      </c>
      <c r="AN93" s="56" t="n">
        <v>12</v>
      </c>
      <c r="AO93" s="58" t="n">
        <f aca="false">IF(AL93&gt;$AA$20,$AA$22,$AA$21)</f>
        <v>18.4</v>
      </c>
      <c r="AP93" s="57" t="n">
        <f aca="false">AP92+AO93*AK93</f>
        <v>304.35</v>
      </c>
      <c r="AQ93" s="57" t="n">
        <f aca="false">AP93-AO93*AK93/2-10*MAX(AL93-$AA$20,0)</f>
        <v>203.05</v>
      </c>
      <c r="AR93" s="56"/>
      <c r="AS93" s="56"/>
      <c r="AT93" s="57" t="str">
        <f aca="false">IF(AR93="","",AR93-AS93)</f>
        <v/>
      </c>
      <c r="AU93" s="56" t="n">
        <v>0.464</v>
      </c>
      <c r="AV93" s="57" t="n">
        <f aca="false">IF(AM93="Sand",0,Input!$AA$34*AN93)</f>
        <v>0</v>
      </c>
      <c r="AW93" s="57" t="n">
        <f aca="false">IF(AM93="Sand",27.1+0.3*MIN(Input!$AA$35*AN93,60)-0.00054*MIN(Input!$AA$35*AN93,60)^2,MIN(MAX(DEGREES(ASIN(0.8-0.094*LN(MAX(IF(AT93="",10,AT93),5)))),20),30))</f>
        <v>30.90759615136</v>
      </c>
      <c r="AX93" s="57" t="n">
        <f aca="false">IF(AM93="Sand",Input!$AA$36*Input!$AA$35*AN93,Input!$AA$37*AV93)</f>
        <v>12996</v>
      </c>
      <c r="AY93" s="59" t="n">
        <f aca="false">IF(AM93="Sand",Input!$AA$38,0.5)</f>
        <v>0.3</v>
      </c>
      <c r="AZ93" s="57" t="n">
        <f aca="false">Input!$AA$15/2/AL93</f>
        <v>2.34920634920635</v>
      </c>
      <c r="BA93" s="57" t="n">
        <f aca="false">Input!$AA$16/2/AL93</f>
        <v>6.41269841269841</v>
      </c>
      <c r="BB93" s="57" t="n">
        <f aca="false">1/(4*PI())*(2*AZ93*BA93*SQRT(AZ93^2+BA93^2+1)/(AZ93^2+BA93^2+1+AZ93^2*BA93^2)*(AZ93^2+BA93^2+2)/(AZ93^2+BA93^2+1)+ATAN2(AZ93^2+BA93^2+1-AZ93^2*BA93^2,2*AZ93*BA93*SQRT(AZ93^2+BA93^2+1)))</f>
        <v>0.243156029012353</v>
      </c>
      <c r="BC93" s="57" t="n">
        <f aca="false">4*Input!$AA$14*BB93</f>
        <v>132.27687978272</v>
      </c>
      <c r="BD93" s="57" t="n">
        <f aca="false">((Input!$AA$16/Input!$AA$15)*LN((1+SQRT((Input!$AA$16/Input!$AA$15)^2+1))*SQRT((Input!$AA$16/Input!$AA$15)^2+(AJ93/(Input!$AA$15/2))^2)/((Input!$AA$16/Input!$AA$15)*(1+SQRT((Input!$AA$16/Input!$AA$15)^2+(AJ93/(Input!$AA$15/2))^2+1))))+LN(((Input!$AA$16/Input!$AA$15)+SQRT((Input!$AA$16/Input!$AA$15)^2+1))*SQRT(1+(AJ93/(Input!$AA$15/2))^2)/((Input!$AA$16/Input!$AA$15)+SQRT((Input!$AA$16/Input!$AA$15)^2+(AJ93/(Input!$AA$15/2))^2+1))))/PI()</f>
        <v>0.0308660275726865</v>
      </c>
      <c r="BE93" s="57" t="n">
        <f aca="false">(AJ93/(Input!$AA$15/2))/(2*PI())*ATAN((Input!$AA$16/Input!$AA$15)/((AJ93/(Input!$AA$15/2))*SQRT((Input!$AA$16/Input!$AA$15)^2+(AJ93/(Input!$AA$15/2))^2+1)))</f>
        <v>0.0796961274153755</v>
      </c>
      <c r="BF93" s="57" t="n">
        <f aca="false">MAX(0,AJ93-MAX(AI93,$AA$23))/AK93*IF(BC93&gt;=Input!$AA$21*AQ93,1,0)</f>
        <v>1</v>
      </c>
      <c r="BG93" s="57" t="n">
        <f aca="false">4*Input!$AA$14*(Input!$AA$15/2)*(1-AY93^2)/AX93*((BD93-BD92)+(1-2*AY93)/(1-AY93)*(BE93-BE92))*1000*BF93</f>
        <v>10.9515705973729</v>
      </c>
      <c r="BH93" s="57" t="n">
        <f aca="false">IF(AM93="Sand",0,0.009*(AR93-10))</f>
        <v>0</v>
      </c>
      <c r="BI93" s="57" t="n">
        <f aca="false">BH93*Input!$AA$39</f>
        <v>0</v>
      </c>
      <c r="BJ93" s="57" t="n">
        <f aca="false">IF(AM93="Sand",0,MAX(AV93/Input!$AA$40,AQ93))</f>
        <v>0</v>
      </c>
      <c r="BK93" s="57" t="n">
        <f aca="false">IF(AM93="Sand",0,1000*AK93/(1+AU93)*IF(AQ93+BC93&lt;=BJ93,BI93*LOG10((AQ93+BC93)/AQ93),BI93*LOG10(BJ93/AQ93)+BH93*LOG10((AQ93+BC93)/BJ93)))*BF93</f>
        <v>0</v>
      </c>
      <c r="BL93" s="57" t="n">
        <f aca="false">IF(AM93="Sand",0,10^(INDEX(Input!$Q$51:$Q$57,MIN(MATCH(MIN(MAX(AR93,30),120),Input!$C$51:$C$57,1),6))+(MIN(MAX(AR93,30),120)-INDEX(Input!$C$51:$C$57,MIN(MATCH(MIN(MAX(AR93,30),120),Input!$C$51:$C$57,1),6)))/(INDEX(Input!$C$51:$C$57,MIN(MATCH(MIN(MAX(AR93,30),120),Input!$C$51:$C$57,1),6)+1)-INDEX(Input!$C$51:$C$57,MIN(MATCH(MIN(MAX(AR93,30),120),Input!$C$51:$C$57,1),6)))*(INDEX(Input!$Q$51:$Q$57,MIN(MATCH(MIN(MAX(AR93,30),120),Input!$C$51:$C$57,1),6)+1)-INDEX(Input!$Q$51:$Q$57,MIN(MATCH(MIN(MAX(AR93,30),120),Input!$C$51:$C$57,1),6)))))</f>
        <v>0</v>
      </c>
      <c r="BM93" s="57" t="n">
        <f aca="false">IF(OR(AM93="Sand",BF93=0),0,Input!$AA$41*(AK93/2)^2/(BL93*0.0001*31536000))</f>
        <v>0</v>
      </c>
      <c r="BN93" s="57" t="n">
        <f aca="false">MAX(0,MIN(AJ93,Input!$AA$20)-AI93)</f>
        <v>0</v>
      </c>
      <c r="BO93" s="57" t="n">
        <f aca="false">MAX(0,MIN(AJ93,Input!$AA$20)-MAX(AI93,$AA$23))</f>
        <v>0</v>
      </c>
      <c r="BP93" s="57" t="n">
        <f aca="false">BG93+BK93</f>
        <v>10.9515705973729</v>
      </c>
      <c r="BQ93" s="57"/>
    </row>
    <row r="94" customFormat="false" ht="14.25" hidden="false" customHeight="false" outlineLevel="0" collapsed="false">
      <c r="B94" s="7"/>
      <c r="C94" s="46" t="n">
        <v>12</v>
      </c>
      <c r="D94" s="46"/>
      <c r="E94" s="44" t="n">
        <f aca="false">AI94</f>
        <v>16.5</v>
      </c>
      <c r="F94" s="44"/>
      <c r="G94" s="44"/>
      <c r="H94" s="44" t="n">
        <f aca="false">AJ94</f>
        <v>18</v>
      </c>
      <c r="I94" s="44"/>
      <c r="J94" s="44"/>
      <c r="K94" s="41" t="str">
        <f aca="false">AM94</f>
        <v>Sand</v>
      </c>
      <c r="L94" s="41"/>
      <c r="M94" s="41"/>
      <c r="N94" s="46" t="n">
        <f aca="false">AN94</f>
        <v>23</v>
      </c>
      <c r="O94" s="46"/>
      <c r="P94" s="46"/>
      <c r="Q94" s="42" t="n">
        <f aca="false">AO94</f>
        <v>18.4</v>
      </c>
      <c r="R94" s="42"/>
      <c r="S94" s="42"/>
      <c r="T94" s="46" t="str">
        <f aca="false">IF(AR94="","-",AR94)</f>
        <v>-</v>
      </c>
      <c r="U94" s="46"/>
      <c r="V94" s="46" t="str">
        <f aca="false">IF(AT94="","-",AT94)</f>
        <v>-</v>
      </c>
      <c r="W94" s="46"/>
      <c r="X94" s="44" t="n">
        <f aca="false">AU94</f>
        <v>0.65</v>
      </c>
      <c r="Y94" s="44"/>
      <c r="Z94" s="55" t="n">
        <f aca="false">AV94</f>
        <v>0</v>
      </c>
      <c r="AA94" s="55"/>
      <c r="AB94" s="55"/>
      <c r="AC94" s="42" t="n">
        <f aca="false">AW94</f>
        <v>34.23765252826</v>
      </c>
      <c r="AD94" s="42"/>
      <c r="AE94" s="42"/>
      <c r="AF94" s="12"/>
      <c r="AI94" s="56" t="n">
        <v>16.5</v>
      </c>
      <c r="AJ94" s="56" t="n">
        <v>18</v>
      </c>
      <c r="AK94" s="57" t="n">
        <f aca="false">AJ94-AI94</f>
        <v>1.5</v>
      </c>
      <c r="AL94" s="57" t="n">
        <f aca="false">(AI94+AJ94)/2</f>
        <v>17.25</v>
      </c>
      <c r="AM94" s="56" t="s">
        <v>199</v>
      </c>
      <c r="AN94" s="56" t="n">
        <v>23</v>
      </c>
      <c r="AO94" s="58" t="n">
        <f aca="false">IF(AL94&gt;$AA$20,$AA$22,$AA$21)</f>
        <v>18.4</v>
      </c>
      <c r="AP94" s="57" t="n">
        <f aca="false">AP93+AO94*AK94</f>
        <v>331.95</v>
      </c>
      <c r="AQ94" s="57" t="n">
        <f aca="false">AP94-AO94*AK94/2-10*MAX(AL94-$AA$20,0)</f>
        <v>215.65</v>
      </c>
      <c r="AR94" s="56"/>
      <c r="AS94" s="56"/>
      <c r="AT94" s="57" t="str">
        <f aca="false">IF(AR94="","",AR94-AS94)</f>
        <v/>
      </c>
      <c r="AU94" s="56" t="n">
        <v>0.65</v>
      </c>
      <c r="AV94" s="57" t="n">
        <f aca="false">IF(AM94="Sand",0,Input!$AA$34*AN94)</f>
        <v>0</v>
      </c>
      <c r="AW94" s="57" t="n">
        <f aca="false">IF(AM94="Sand",27.1+0.3*MIN(Input!$AA$35*AN94,60)-0.00054*MIN(Input!$AA$35*AN94,60)^2,MIN(MAX(DEGREES(ASIN(0.8-0.094*LN(MAX(IF(AT94="",10,AT94),5)))),20),30))</f>
        <v>34.23765252826</v>
      </c>
      <c r="AX94" s="57" t="n">
        <f aca="false">IF(AM94="Sand",Input!$AA$36*Input!$AA$35*AN94,Input!$AA$37*AV94)</f>
        <v>24909</v>
      </c>
      <c r="AY94" s="59" t="n">
        <f aca="false">IF(AM94="Sand",Input!$AA$38,0.5)</f>
        <v>0.3</v>
      </c>
      <c r="AZ94" s="57" t="n">
        <f aca="false">Input!$AA$15/2/AL94</f>
        <v>2.14492753623188</v>
      </c>
      <c r="BA94" s="57" t="n">
        <f aca="false">Input!$AA$16/2/AL94</f>
        <v>5.85507246376812</v>
      </c>
      <c r="BB94" s="57" t="n">
        <f aca="false">1/(4*PI())*(2*AZ94*BA94*SQRT(AZ94^2+BA94^2+1)/(AZ94^2+BA94^2+1+AZ94^2*BA94^2)*(AZ94^2+BA94^2+2)/(AZ94^2+BA94^2+1)+ATAN2(AZ94^2+BA94^2+1-AZ94^2*BA94^2,2*AZ94*BA94*SQRT(AZ94^2+BA94^2+1)))</f>
        <v>0.2413257195439</v>
      </c>
      <c r="BC94" s="57" t="n">
        <f aca="false">4*Input!$AA$14*BB94</f>
        <v>131.281191431882</v>
      </c>
      <c r="BD94" s="57" t="n">
        <f aca="false">((Input!$AA$16/Input!$AA$15)*LN((1+SQRT((Input!$AA$16/Input!$AA$15)^2+1))*SQRT((Input!$AA$16/Input!$AA$15)^2+(AJ94/(Input!$AA$15/2))^2)/((Input!$AA$16/Input!$AA$15)*(1+SQRT((Input!$AA$16/Input!$AA$15)^2+(AJ94/(Input!$AA$15/2))^2+1))))+LN(((Input!$AA$16/Input!$AA$15)+SQRT((Input!$AA$16/Input!$AA$15)^2+1))*SQRT(1+(AJ94/(Input!$AA$15/2))^2)/((Input!$AA$16/Input!$AA$15)+SQRT((Input!$AA$16/Input!$AA$15)^2+(AJ94/(Input!$AA$15/2))^2+1))))/PI()</f>
        <v>0.0361740031105239</v>
      </c>
      <c r="BE94" s="57" t="n">
        <f aca="false">(AJ94/(Input!$AA$15/2))/(2*PI())*ATAN((Input!$AA$16/Input!$AA$15)/((AJ94/(Input!$AA$15/2))*SQRT((Input!$AA$16/Input!$AA$15)^2+(AJ94/(Input!$AA$15/2))^2+1)))</f>
        <v>0.0841712562846844</v>
      </c>
      <c r="BF94" s="57" t="n">
        <f aca="false">MAX(0,AJ94-MAX(AI94,$AA$23))/AK94*IF(BC94&gt;=Input!$AA$21*AQ94,1,0)</f>
        <v>1</v>
      </c>
      <c r="BG94" s="57" t="n">
        <f aca="false">4*Input!$AA$14*(Input!$AA$15/2)*(1-AY94^2)/AX94*((BD94-BD93)+(1-2*AY94)/(1-AY94)*(BE94-BE93))*1000*BF94</f>
        <v>5.7835574530347</v>
      </c>
      <c r="BH94" s="57" t="n">
        <f aca="false">IF(AM94="Sand",0,0.009*(AR94-10))</f>
        <v>0</v>
      </c>
      <c r="BI94" s="57" t="n">
        <f aca="false">BH94*Input!$AA$39</f>
        <v>0</v>
      </c>
      <c r="BJ94" s="57" t="n">
        <f aca="false">IF(AM94="Sand",0,MAX(AV94/Input!$AA$40,AQ94))</f>
        <v>0</v>
      </c>
      <c r="BK94" s="57" t="n">
        <f aca="false">IF(AM94="Sand",0,1000*AK94/(1+AU94)*IF(AQ94+BC94&lt;=BJ94,BI94*LOG10((AQ94+BC94)/AQ94),BI94*LOG10(BJ94/AQ94)+BH94*LOG10((AQ94+BC94)/BJ94)))*BF94</f>
        <v>0</v>
      </c>
      <c r="BL94" s="57" t="n">
        <f aca="false">IF(AM94="Sand",0,10^(INDEX(Input!$Q$51:$Q$57,MIN(MATCH(MIN(MAX(AR94,30),120),Input!$C$51:$C$57,1),6))+(MIN(MAX(AR94,30),120)-INDEX(Input!$C$51:$C$57,MIN(MATCH(MIN(MAX(AR94,30),120),Input!$C$51:$C$57,1),6)))/(INDEX(Input!$C$51:$C$57,MIN(MATCH(MIN(MAX(AR94,30),120),Input!$C$51:$C$57,1),6)+1)-INDEX(Input!$C$51:$C$57,MIN(MATCH(MIN(MAX(AR94,30),120),Input!$C$51:$C$57,1),6)))*(INDEX(Input!$Q$51:$Q$57,MIN(MATCH(MIN(MAX(AR94,30),120),Input!$C$51:$C$57,1),6)+1)-INDEX(Input!$Q$51:$Q$57,MIN(MATCH(MIN(MAX(AR94,30),120),Input!$C$51:$C$57,1),6)))))</f>
        <v>0</v>
      </c>
      <c r="BM94" s="57" t="n">
        <f aca="false">IF(OR(AM94="Sand",BF94=0),0,Input!$AA$41*(AK94/2)^2/(BL94*0.0001*31536000))</f>
        <v>0</v>
      </c>
      <c r="BN94" s="57" t="n">
        <f aca="false">MAX(0,MIN(AJ94,Input!$AA$20)-AI94)</f>
        <v>0</v>
      </c>
      <c r="BO94" s="57" t="n">
        <f aca="false">MAX(0,MIN(AJ94,Input!$AA$20)-MAX(AI94,$AA$23))</f>
        <v>0</v>
      </c>
      <c r="BP94" s="57" t="n">
        <f aca="false">BG94+BK94</f>
        <v>5.7835574530347</v>
      </c>
      <c r="BQ94" s="57"/>
    </row>
    <row r="95" customFormat="false" ht="14.25" hidden="false" customHeight="false" outlineLevel="0" collapsed="false">
      <c r="B95" s="7"/>
      <c r="C95" s="46" t="n">
        <v>13</v>
      </c>
      <c r="D95" s="46"/>
      <c r="E95" s="44" t="n">
        <f aca="false">AI95</f>
        <v>18</v>
      </c>
      <c r="F95" s="44"/>
      <c r="G95" s="44"/>
      <c r="H95" s="44" t="n">
        <f aca="false">AJ95</f>
        <v>19.5</v>
      </c>
      <c r="I95" s="44"/>
      <c r="J95" s="44"/>
      <c r="K95" s="41" t="str">
        <f aca="false">AM95</f>
        <v>Sand</v>
      </c>
      <c r="L95" s="41"/>
      <c r="M95" s="41"/>
      <c r="N95" s="46" t="n">
        <f aca="false">AN95</f>
        <v>30</v>
      </c>
      <c r="O95" s="46"/>
      <c r="P95" s="46"/>
      <c r="Q95" s="42" t="n">
        <f aca="false">AO95</f>
        <v>18.4</v>
      </c>
      <c r="R95" s="42"/>
      <c r="S95" s="42"/>
      <c r="T95" s="46" t="str">
        <f aca="false">IF(AR95="","-",AR95)</f>
        <v>-</v>
      </c>
      <c r="U95" s="46"/>
      <c r="V95" s="46" t="str">
        <f aca="false">IF(AT95="","-",AT95)</f>
        <v>-</v>
      </c>
      <c r="W95" s="46"/>
      <c r="X95" s="44" t="n">
        <f aca="false">AU95</f>
        <v>0.65</v>
      </c>
      <c r="Y95" s="44"/>
      <c r="Z95" s="55" t="n">
        <f aca="false">AV95</f>
        <v>0</v>
      </c>
      <c r="AA95" s="55"/>
      <c r="AB95" s="55"/>
      <c r="AC95" s="42" t="n">
        <f aca="false">AW95</f>
        <v>36.276975946</v>
      </c>
      <c r="AD95" s="42"/>
      <c r="AE95" s="42"/>
      <c r="AF95" s="12"/>
      <c r="AI95" s="56" t="n">
        <v>18</v>
      </c>
      <c r="AJ95" s="56" t="n">
        <v>19.5</v>
      </c>
      <c r="AK95" s="57" t="n">
        <f aca="false">AJ95-AI95</f>
        <v>1.5</v>
      </c>
      <c r="AL95" s="57" t="n">
        <f aca="false">(AI95+AJ95)/2</f>
        <v>18.75</v>
      </c>
      <c r="AM95" s="56" t="s">
        <v>199</v>
      </c>
      <c r="AN95" s="56" t="n">
        <v>30</v>
      </c>
      <c r="AO95" s="58" t="n">
        <f aca="false">IF(AL95&gt;$AA$20,$AA$22,$AA$21)</f>
        <v>18.4</v>
      </c>
      <c r="AP95" s="57" t="n">
        <f aca="false">AP94+AO95*AK95</f>
        <v>359.55</v>
      </c>
      <c r="AQ95" s="57" t="n">
        <f aca="false">AP95-AO95*AK95/2-10*MAX(AL95-$AA$20,0)</f>
        <v>228.25</v>
      </c>
      <c r="AR95" s="56"/>
      <c r="AS95" s="56"/>
      <c r="AT95" s="57" t="str">
        <f aca="false">IF(AR95="","",AR95-AS95)</f>
        <v/>
      </c>
      <c r="AU95" s="56" t="n">
        <v>0.65</v>
      </c>
      <c r="AV95" s="57" t="n">
        <f aca="false">IF(AM95="Sand",0,Input!$AA$34*AN95)</f>
        <v>0</v>
      </c>
      <c r="AW95" s="57" t="n">
        <f aca="false">IF(AM95="Sand",27.1+0.3*MIN(Input!$AA$35*AN95,60)-0.00054*MIN(Input!$AA$35*AN95,60)^2,MIN(MAX(DEGREES(ASIN(0.8-0.094*LN(MAX(IF(AT95="",10,AT95),5)))),20),30))</f>
        <v>36.276975946</v>
      </c>
      <c r="AX95" s="57" t="n">
        <f aca="false">IF(AM95="Sand",Input!$AA$36*Input!$AA$35*AN95,Input!$AA$37*AV95)</f>
        <v>32490</v>
      </c>
      <c r="AY95" s="59" t="n">
        <f aca="false">IF(AM95="Sand",Input!$AA$38,0.5)</f>
        <v>0.3</v>
      </c>
      <c r="AZ95" s="57" t="n">
        <f aca="false">Input!$AA$15/2/AL95</f>
        <v>1.97333333333333</v>
      </c>
      <c r="BA95" s="57" t="n">
        <f aca="false">Input!$AA$16/2/AL95</f>
        <v>5.38666666666667</v>
      </c>
      <c r="BB95" s="57" t="n">
        <f aca="false">1/(4*PI())*(2*AZ95*BA95*SQRT(AZ95^2+BA95^2+1)/(AZ95^2+BA95^2+1+AZ95^2*BA95^2)*(AZ95^2+BA95^2+2)/(AZ95^2+BA95^2+1)+ATAN2(AZ95^2+BA95^2+1-AZ95^2*BA95^2,2*AZ95*BA95*SQRT(AZ95^2+BA95^2+1)))</f>
        <v>0.239276198425064</v>
      </c>
      <c r="BC95" s="57" t="n">
        <f aca="false">4*Input!$AA$14*BB95</f>
        <v>130.166251943235</v>
      </c>
      <c r="BD95" s="57" t="n">
        <f aca="false">((Input!$AA$16/Input!$AA$15)*LN((1+SQRT((Input!$AA$16/Input!$AA$15)^2+1))*SQRT((Input!$AA$16/Input!$AA$15)^2+(AJ95/(Input!$AA$15/2))^2)/((Input!$AA$16/Input!$AA$15)*(1+SQRT((Input!$AA$16/Input!$AA$15)^2+(AJ95/(Input!$AA$15/2))^2+1))))+LN(((Input!$AA$16/Input!$AA$15)+SQRT((Input!$AA$16/Input!$AA$15)^2+1))*SQRT(1+(AJ95/(Input!$AA$15/2))^2)/((Input!$AA$16/Input!$AA$15)+SQRT((Input!$AA$16/Input!$AA$15)^2+(AJ95/(Input!$AA$15/2))^2+1))))/PI()</f>
        <v>0.0417706101655238</v>
      </c>
      <c r="BE95" s="57" t="n">
        <f aca="false">(AJ95/(Input!$AA$15/2))/(2*PI())*ATAN((Input!$AA$16/Input!$AA$15)/((AJ95/(Input!$AA$15/2))*SQRT((Input!$AA$16/Input!$AA$15)^2+(AJ95/(Input!$AA$15/2))^2+1)))</f>
        <v>0.0882746863320375</v>
      </c>
      <c r="BF95" s="57" t="n">
        <f aca="false">MAX(0,AJ95-MAX(AI95,$AA$23))/AK95*IF(BC95&gt;=Input!$AA$21*AQ95,1,0)</f>
        <v>1</v>
      </c>
      <c r="BG95" s="57" t="n">
        <f aca="false">4*Input!$AA$14*(Input!$AA$15/2)*(1-AY95^2)/AX95*((BD95-BD94)+(1-2*AY95)/(1-AY95)*(BE95-BE94))*1000*BF95</f>
        <v>4.47703718027672</v>
      </c>
      <c r="BH95" s="57" t="n">
        <f aca="false">IF(AM95="Sand",0,0.009*(AR95-10))</f>
        <v>0</v>
      </c>
      <c r="BI95" s="57" t="n">
        <f aca="false">BH95*Input!$AA$39</f>
        <v>0</v>
      </c>
      <c r="BJ95" s="57" t="n">
        <f aca="false">IF(AM95="Sand",0,MAX(AV95/Input!$AA$40,AQ95))</f>
        <v>0</v>
      </c>
      <c r="BK95" s="57" t="n">
        <f aca="false">IF(AM95="Sand",0,1000*AK95/(1+AU95)*IF(AQ95+BC95&lt;=BJ95,BI95*LOG10((AQ95+BC95)/AQ95),BI95*LOG10(BJ95/AQ95)+BH95*LOG10((AQ95+BC95)/BJ95)))*BF95</f>
        <v>0</v>
      </c>
      <c r="BL95" s="57" t="n">
        <f aca="false">IF(AM95="Sand",0,10^(INDEX(Input!$Q$51:$Q$57,MIN(MATCH(MIN(MAX(AR95,30),120),Input!$C$51:$C$57,1),6))+(MIN(MAX(AR95,30),120)-INDEX(Input!$C$51:$C$57,MIN(MATCH(MIN(MAX(AR95,30),120),Input!$C$51:$C$57,1),6)))/(INDEX(Input!$C$51:$C$57,MIN(MATCH(MIN(MAX(AR95,30),120),Input!$C$51:$C$57,1),6)+1)-INDEX(Input!$C$51:$C$57,MIN(MATCH(MIN(MAX(AR95,30),120),Input!$C$51:$C$57,1),6)))*(INDEX(Input!$Q$51:$Q$57,MIN(MATCH(MIN(MAX(AR95,30),120),Input!$C$51:$C$57,1),6)+1)-INDEX(Input!$Q$51:$Q$57,MIN(MATCH(MIN(MAX(AR95,30),120),Input!$C$51:$C$57,1),6)))))</f>
        <v>0</v>
      </c>
      <c r="BM95" s="57" t="n">
        <f aca="false">IF(OR(AM95="Sand",BF95=0),0,Input!$AA$41*(AK95/2)^2/(BL95*0.0001*31536000))</f>
        <v>0</v>
      </c>
      <c r="BN95" s="57" t="n">
        <f aca="false">MAX(0,MIN(AJ95,Input!$AA$20)-AI95)</f>
        <v>0</v>
      </c>
      <c r="BO95" s="57" t="n">
        <f aca="false">MAX(0,MIN(AJ95,Input!$AA$20)-MAX(AI95,$AA$23))</f>
        <v>0</v>
      </c>
      <c r="BP95" s="57" t="n">
        <f aca="false">BG95+BK95</f>
        <v>4.47703718027672</v>
      </c>
      <c r="BQ95" s="57"/>
    </row>
    <row r="96" customFormat="false" ht="14.25" hidden="false" customHeight="false" outlineLevel="0" collapsed="false">
      <c r="B96" s="7"/>
      <c r="C96" s="46" t="n">
        <v>14</v>
      </c>
      <c r="D96" s="46"/>
      <c r="E96" s="44" t="n">
        <f aca="false">AI96</f>
        <v>19.5</v>
      </c>
      <c r="F96" s="44"/>
      <c r="G96" s="44"/>
      <c r="H96" s="44" t="n">
        <f aca="false">AJ96</f>
        <v>21</v>
      </c>
      <c r="I96" s="44"/>
      <c r="J96" s="44"/>
      <c r="K96" s="41" t="str">
        <f aca="false">AM96</f>
        <v>Sand</v>
      </c>
      <c r="L96" s="41"/>
      <c r="M96" s="41"/>
      <c r="N96" s="46" t="n">
        <f aca="false">AN96</f>
        <v>27</v>
      </c>
      <c r="O96" s="46"/>
      <c r="P96" s="46"/>
      <c r="Q96" s="42" t="n">
        <f aca="false">AO96</f>
        <v>18.4</v>
      </c>
      <c r="R96" s="42"/>
      <c r="S96" s="42"/>
      <c r="T96" s="46" t="str">
        <f aca="false">IF(AR96="","-",AR96)</f>
        <v>-</v>
      </c>
      <c r="U96" s="46"/>
      <c r="V96" s="46" t="str">
        <f aca="false">IF(AT96="","-",AT96)</f>
        <v>-</v>
      </c>
      <c r="W96" s="46"/>
      <c r="X96" s="44" t="n">
        <f aca="false">AU96</f>
        <v>0.73</v>
      </c>
      <c r="Y96" s="44"/>
      <c r="Z96" s="55" t="n">
        <f aca="false">AV96</f>
        <v>0</v>
      </c>
      <c r="AA96" s="55"/>
      <c r="AB96" s="55"/>
      <c r="AC96" s="42" t="n">
        <f aca="false">AW96</f>
        <v>35.41058051626</v>
      </c>
      <c r="AD96" s="42"/>
      <c r="AE96" s="42"/>
      <c r="AF96" s="12"/>
      <c r="AI96" s="56" t="n">
        <v>19.5</v>
      </c>
      <c r="AJ96" s="56" t="n">
        <v>21</v>
      </c>
      <c r="AK96" s="57" t="n">
        <f aca="false">AJ96-AI96</f>
        <v>1.5</v>
      </c>
      <c r="AL96" s="57" t="n">
        <f aca="false">(AI96+AJ96)/2</f>
        <v>20.25</v>
      </c>
      <c r="AM96" s="56" t="s">
        <v>199</v>
      </c>
      <c r="AN96" s="56" t="n">
        <v>27</v>
      </c>
      <c r="AO96" s="58" t="n">
        <f aca="false">IF(AL96&gt;$AA$20,$AA$22,$AA$21)</f>
        <v>18.4</v>
      </c>
      <c r="AP96" s="57" t="n">
        <f aca="false">AP95+AO96*AK96</f>
        <v>387.15</v>
      </c>
      <c r="AQ96" s="57" t="n">
        <f aca="false">AP96-AO96*AK96/2-10*MAX(AL96-$AA$20,0)</f>
        <v>240.85</v>
      </c>
      <c r="AR96" s="56"/>
      <c r="AS96" s="56"/>
      <c r="AT96" s="57" t="str">
        <f aca="false">IF(AR96="","",AR96-AS96)</f>
        <v/>
      </c>
      <c r="AU96" s="56" t="n">
        <v>0.73</v>
      </c>
      <c r="AV96" s="57" t="n">
        <f aca="false">IF(AM96="Sand",0,Input!$AA$34*AN96)</f>
        <v>0</v>
      </c>
      <c r="AW96" s="57" t="n">
        <f aca="false">IF(AM96="Sand",27.1+0.3*MIN(Input!$AA$35*AN96,60)-0.00054*MIN(Input!$AA$35*AN96,60)^2,MIN(MAX(DEGREES(ASIN(0.8-0.094*LN(MAX(IF(AT96="",10,AT96),5)))),20),30))</f>
        <v>35.41058051626</v>
      </c>
      <c r="AX96" s="57" t="n">
        <f aca="false">IF(AM96="Sand",Input!$AA$36*Input!$AA$35*AN96,Input!$AA$37*AV96)</f>
        <v>29241</v>
      </c>
      <c r="AY96" s="59" t="n">
        <f aca="false">IF(AM96="Sand",Input!$AA$38,0.5)</f>
        <v>0.3</v>
      </c>
      <c r="AZ96" s="57" t="n">
        <f aca="false">Input!$AA$15/2/AL96</f>
        <v>1.82716049382716</v>
      </c>
      <c r="BA96" s="57" t="n">
        <f aca="false">Input!$AA$16/2/AL96</f>
        <v>4.98765432098765</v>
      </c>
      <c r="BB96" s="57" t="n">
        <f aca="false">1/(4*PI())*(2*AZ96*BA96*SQRT(AZ96^2+BA96^2+1)/(AZ96^2+BA96^2+1+AZ96^2*BA96^2)*(AZ96^2+BA96^2+2)/(AZ96^2+BA96^2+1)+ATAN2(AZ96^2+BA96^2+1-AZ96^2*BA96^2,2*AZ96*BA96*SQRT(AZ96^2+BA96^2+1)))</f>
        <v>0.237020068220603</v>
      </c>
      <c r="BC96" s="57" t="n">
        <f aca="false">4*Input!$AA$14*BB96</f>
        <v>128.938917112008</v>
      </c>
      <c r="BD96" s="57" t="n">
        <f aca="false">((Input!$AA$16/Input!$AA$15)*LN((1+SQRT((Input!$AA$16/Input!$AA$15)^2+1))*SQRT((Input!$AA$16/Input!$AA$15)^2+(AJ96/(Input!$AA$15/2))^2)/((Input!$AA$16/Input!$AA$15)*(1+SQRT((Input!$AA$16/Input!$AA$15)^2+(AJ96/(Input!$AA$15/2))^2+1))))+LN(((Input!$AA$16/Input!$AA$15)+SQRT((Input!$AA$16/Input!$AA$15)^2+1))*SQRT(1+(AJ96/(Input!$AA$15/2))^2)/((Input!$AA$16/Input!$AA$15)+SQRT((Input!$AA$16/Input!$AA$15)^2+(AJ96/(Input!$AA$15/2))^2+1))))/PI()</f>
        <v>0.0476251420550853</v>
      </c>
      <c r="BE96" s="57" t="n">
        <f aca="false">(AJ96/(Input!$AA$15/2))/(2*PI())*ATAN((Input!$AA$16/Input!$AA$15)/((AJ96/(Input!$AA$15/2))*SQRT((Input!$AA$16/Input!$AA$15)^2+(AJ96/(Input!$AA$15/2))^2+1)))</f>
        <v>0.0920287526961581</v>
      </c>
      <c r="BF96" s="57" t="n">
        <f aca="false">MAX(0,AJ96-MAX(AI96,$AA$23))/AK96*IF(BC96&gt;=Input!$AA$21*AQ96,1,0)</f>
        <v>1</v>
      </c>
      <c r="BG96" s="57" t="n">
        <f aca="false">4*Input!$AA$14*(Input!$AA$15/2)*(1-AY96^2)/AX96*((BD96-BD95)+(1-2*AY96)/(1-AY96)*(BE96-BE95))*1000*BF96</f>
        <v>5.01099747301952</v>
      </c>
      <c r="BH96" s="57" t="n">
        <f aca="false">IF(AM96="Sand",0,0.009*(AR96-10))</f>
        <v>0</v>
      </c>
      <c r="BI96" s="57" t="n">
        <f aca="false">BH96*Input!$AA$39</f>
        <v>0</v>
      </c>
      <c r="BJ96" s="57" t="n">
        <f aca="false">IF(AM96="Sand",0,MAX(AV96/Input!$AA$40,AQ96))</f>
        <v>0</v>
      </c>
      <c r="BK96" s="57" t="n">
        <f aca="false">IF(AM96="Sand",0,1000*AK96/(1+AU96)*IF(AQ96+BC96&lt;=BJ96,BI96*LOG10((AQ96+BC96)/AQ96),BI96*LOG10(BJ96/AQ96)+BH96*LOG10((AQ96+BC96)/BJ96)))*BF96</f>
        <v>0</v>
      </c>
      <c r="BL96" s="57" t="n">
        <f aca="false">IF(AM96="Sand",0,10^(INDEX(Input!$Q$51:$Q$57,MIN(MATCH(MIN(MAX(AR96,30),120),Input!$C$51:$C$57,1),6))+(MIN(MAX(AR96,30),120)-INDEX(Input!$C$51:$C$57,MIN(MATCH(MIN(MAX(AR96,30),120),Input!$C$51:$C$57,1),6)))/(INDEX(Input!$C$51:$C$57,MIN(MATCH(MIN(MAX(AR96,30),120),Input!$C$51:$C$57,1),6)+1)-INDEX(Input!$C$51:$C$57,MIN(MATCH(MIN(MAX(AR96,30),120),Input!$C$51:$C$57,1),6)))*(INDEX(Input!$Q$51:$Q$57,MIN(MATCH(MIN(MAX(AR96,30),120),Input!$C$51:$C$57,1),6)+1)-INDEX(Input!$Q$51:$Q$57,MIN(MATCH(MIN(MAX(AR96,30),120),Input!$C$51:$C$57,1),6)))))</f>
        <v>0</v>
      </c>
      <c r="BM96" s="57" t="n">
        <f aca="false">IF(OR(AM96="Sand",BF96=0),0,Input!$AA$41*(AK96/2)^2/(BL96*0.0001*31536000))</f>
        <v>0</v>
      </c>
      <c r="BN96" s="57" t="n">
        <f aca="false">MAX(0,MIN(AJ96,Input!$AA$20)-AI96)</f>
        <v>0</v>
      </c>
      <c r="BO96" s="57" t="n">
        <f aca="false">MAX(0,MIN(AJ96,Input!$AA$20)-MAX(AI96,$AA$23))</f>
        <v>0</v>
      </c>
      <c r="BP96" s="57" t="n">
        <f aca="false">BG96+BK96</f>
        <v>5.01099747301952</v>
      </c>
      <c r="BQ96" s="57"/>
    </row>
    <row r="97" customFormat="false" ht="14.25" hidden="false" customHeight="false" outlineLevel="0" collapsed="false">
      <c r="B97" s="7"/>
      <c r="C97" s="46" t="n">
        <v>15</v>
      </c>
      <c r="D97" s="46"/>
      <c r="E97" s="44" t="n">
        <f aca="false">AI97</f>
        <v>21</v>
      </c>
      <c r="F97" s="44"/>
      <c r="G97" s="44"/>
      <c r="H97" s="44" t="n">
        <f aca="false">AJ97</f>
        <v>22.5</v>
      </c>
      <c r="I97" s="44"/>
      <c r="J97" s="44"/>
      <c r="K97" s="41" t="str">
        <f aca="false">AM97</f>
        <v>Sand</v>
      </c>
      <c r="L97" s="41"/>
      <c r="M97" s="41"/>
      <c r="N97" s="46" t="n">
        <f aca="false">AN97</f>
        <v>28</v>
      </c>
      <c r="O97" s="46"/>
      <c r="P97" s="46"/>
      <c r="Q97" s="42" t="n">
        <f aca="false">AO97</f>
        <v>18.4</v>
      </c>
      <c r="R97" s="42"/>
      <c r="S97" s="42"/>
      <c r="T97" s="46" t="str">
        <f aca="false">IF(AR97="","-",AR97)</f>
        <v>-</v>
      </c>
      <c r="U97" s="46"/>
      <c r="V97" s="46" t="str">
        <f aca="false">IF(AT97="","-",AT97)</f>
        <v>-</v>
      </c>
      <c r="W97" s="46"/>
      <c r="X97" s="44" t="n">
        <f aca="false">AU97</f>
        <v>0.65</v>
      </c>
      <c r="Y97" s="44"/>
      <c r="Z97" s="55" t="n">
        <f aca="false">AV97</f>
        <v>0</v>
      </c>
      <c r="AA97" s="55"/>
      <c r="AB97" s="55"/>
      <c r="AC97" s="42" t="n">
        <f aca="false">AW97</f>
        <v>35.70064571296</v>
      </c>
      <c r="AD97" s="42"/>
      <c r="AE97" s="42"/>
      <c r="AF97" s="12"/>
      <c r="AI97" s="56" t="n">
        <v>21</v>
      </c>
      <c r="AJ97" s="56" t="n">
        <v>22.5</v>
      </c>
      <c r="AK97" s="57" t="n">
        <f aca="false">AJ97-AI97</f>
        <v>1.5</v>
      </c>
      <c r="AL97" s="57" t="n">
        <f aca="false">(AI97+AJ97)/2</f>
        <v>21.75</v>
      </c>
      <c r="AM97" s="56" t="s">
        <v>199</v>
      </c>
      <c r="AN97" s="56" t="n">
        <v>28</v>
      </c>
      <c r="AO97" s="58" t="n">
        <f aca="false">IF(AL97&gt;$AA$20,$AA$22,$AA$21)</f>
        <v>18.4</v>
      </c>
      <c r="AP97" s="57" t="n">
        <f aca="false">AP96+AO97*AK97</f>
        <v>414.75</v>
      </c>
      <c r="AQ97" s="57" t="n">
        <f aca="false">AP97-AO97*AK97/2-10*MAX(AL97-$AA$20,0)</f>
        <v>253.45</v>
      </c>
      <c r="AR97" s="56"/>
      <c r="AS97" s="56"/>
      <c r="AT97" s="57" t="str">
        <f aca="false">IF(AR97="","",AR97-AS97)</f>
        <v/>
      </c>
      <c r="AU97" s="56" t="n">
        <v>0.65</v>
      </c>
      <c r="AV97" s="57" t="n">
        <f aca="false">IF(AM97="Sand",0,Input!$AA$34*AN97)</f>
        <v>0</v>
      </c>
      <c r="AW97" s="57" t="n">
        <f aca="false">IF(AM97="Sand",27.1+0.3*MIN(Input!$AA$35*AN97,60)-0.00054*MIN(Input!$AA$35*AN97,60)^2,MIN(MAX(DEGREES(ASIN(0.8-0.094*LN(MAX(IF(AT97="",10,AT97),5)))),20),30))</f>
        <v>35.70064571296</v>
      </c>
      <c r="AX97" s="57" t="n">
        <f aca="false">IF(AM97="Sand",Input!$AA$36*Input!$AA$35*AN97,Input!$AA$37*AV97)</f>
        <v>30324</v>
      </c>
      <c r="AY97" s="59" t="n">
        <f aca="false">IF(AM97="Sand",Input!$AA$38,0.5)</f>
        <v>0.3</v>
      </c>
      <c r="AZ97" s="57" t="n">
        <f aca="false">Input!$AA$15/2/AL97</f>
        <v>1.70114942528736</v>
      </c>
      <c r="BA97" s="57" t="n">
        <f aca="false">Input!$AA$16/2/AL97</f>
        <v>4.64367816091954</v>
      </c>
      <c r="BB97" s="57" t="n">
        <f aca="false">1/(4*PI())*(2*AZ97*BA97*SQRT(AZ97^2+BA97^2+1)/(AZ97^2+BA97^2+1+AZ97^2*BA97^2)*(AZ97^2+BA97^2+2)/(AZ97^2+BA97^2+1)+ATAN2(AZ97^2+BA97^2+1-AZ97^2*BA97^2,2*AZ97*BA97*SQRT(AZ97^2+BA97^2+1)))</f>
        <v>0.234572598682726</v>
      </c>
      <c r="BC97" s="57" t="n">
        <f aca="false">4*Input!$AA$14*BB97</f>
        <v>127.607493683403</v>
      </c>
      <c r="BD97" s="57" t="n">
        <f aca="false">((Input!$AA$16/Input!$AA$15)*LN((1+SQRT((Input!$AA$16/Input!$AA$15)^2+1))*SQRT((Input!$AA$16/Input!$AA$15)^2+(AJ97/(Input!$AA$15/2))^2)/((Input!$AA$16/Input!$AA$15)*(1+SQRT((Input!$AA$16/Input!$AA$15)^2+(AJ97/(Input!$AA$15/2))^2+1))))+LN(((Input!$AA$16/Input!$AA$15)+SQRT((Input!$AA$16/Input!$AA$15)^2+1))*SQRT(1+(AJ97/(Input!$AA$15/2))^2)/((Input!$AA$16/Input!$AA$15)+SQRT((Input!$AA$16/Input!$AA$15)^2+(AJ97/(Input!$AA$15/2))^2+1))))/PI()</f>
        <v>0.0537079639877145</v>
      </c>
      <c r="BE97" s="57" t="n">
        <f aca="false">(AJ97/(Input!$AA$15/2))/(2*PI())*ATAN((Input!$AA$16/Input!$AA$15)/((AJ97/(Input!$AA$15/2))*SQRT((Input!$AA$16/Input!$AA$15)^2+(AJ97/(Input!$AA$15/2))^2+1)))</f>
        <v>0.0954553363186186</v>
      </c>
      <c r="BF97" s="57" t="n">
        <f aca="false">MAX(0,AJ97-MAX(AI97,$AA$23))/AK97*IF(BC97&gt;=Input!$AA$21*AQ97,1,0)</f>
        <v>1</v>
      </c>
      <c r="BG97" s="57" t="n">
        <f aca="false">4*Input!$AA$14*(Input!$AA$15/2)*(1-AY97^2)/AX97*((BD97-BD96)+(1-2*AY97)/(1-AY97)*(BE97-BE96))*1000*BF97</f>
        <v>4.85689319852479</v>
      </c>
      <c r="BH97" s="57" t="n">
        <f aca="false">IF(AM97="Sand",0,0.009*(AR97-10))</f>
        <v>0</v>
      </c>
      <c r="BI97" s="57" t="n">
        <f aca="false">BH97*Input!$AA$39</f>
        <v>0</v>
      </c>
      <c r="BJ97" s="57" t="n">
        <f aca="false">IF(AM97="Sand",0,MAX(AV97/Input!$AA$40,AQ97))</f>
        <v>0</v>
      </c>
      <c r="BK97" s="57" t="n">
        <f aca="false">IF(AM97="Sand",0,1000*AK97/(1+AU97)*IF(AQ97+BC97&lt;=BJ97,BI97*LOG10((AQ97+BC97)/AQ97),BI97*LOG10(BJ97/AQ97)+BH97*LOG10((AQ97+BC97)/BJ97)))*BF97</f>
        <v>0</v>
      </c>
      <c r="BL97" s="57" t="n">
        <f aca="false">IF(AM97="Sand",0,10^(INDEX(Input!$Q$51:$Q$57,MIN(MATCH(MIN(MAX(AR97,30),120),Input!$C$51:$C$57,1),6))+(MIN(MAX(AR97,30),120)-INDEX(Input!$C$51:$C$57,MIN(MATCH(MIN(MAX(AR97,30),120),Input!$C$51:$C$57,1),6)))/(INDEX(Input!$C$51:$C$57,MIN(MATCH(MIN(MAX(AR97,30),120),Input!$C$51:$C$57,1),6)+1)-INDEX(Input!$C$51:$C$57,MIN(MATCH(MIN(MAX(AR97,30),120),Input!$C$51:$C$57,1),6)))*(INDEX(Input!$Q$51:$Q$57,MIN(MATCH(MIN(MAX(AR97,30),120),Input!$C$51:$C$57,1),6)+1)-INDEX(Input!$Q$51:$Q$57,MIN(MATCH(MIN(MAX(AR97,30),120),Input!$C$51:$C$57,1),6)))))</f>
        <v>0</v>
      </c>
      <c r="BM97" s="57" t="n">
        <f aca="false">IF(OR(AM97="Sand",BF97=0),0,Input!$AA$41*(AK97/2)^2/(BL97*0.0001*31536000))</f>
        <v>0</v>
      </c>
      <c r="BN97" s="57" t="n">
        <f aca="false">MAX(0,MIN(AJ97,Input!$AA$20)-AI97)</f>
        <v>0</v>
      </c>
      <c r="BO97" s="57" t="n">
        <f aca="false">MAX(0,MIN(AJ97,Input!$AA$20)-MAX(AI97,$AA$23))</f>
        <v>0</v>
      </c>
      <c r="BP97" s="57" t="n">
        <f aca="false">BG97+BK97</f>
        <v>4.85689319852479</v>
      </c>
      <c r="BQ97" s="57"/>
    </row>
    <row r="98" customFormat="false" ht="14.25" hidden="false" customHeight="false" outlineLevel="0" collapsed="false">
      <c r="B98" s="7"/>
      <c r="C98" s="46" t="n">
        <v>16</v>
      </c>
      <c r="D98" s="46"/>
      <c r="E98" s="44" t="n">
        <f aca="false">AI98</f>
        <v>22.5</v>
      </c>
      <c r="F98" s="44"/>
      <c r="G98" s="44"/>
      <c r="H98" s="44" t="n">
        <f aca="false">AJ98</f>
        <v>24</v>
      </c>
      <c r="I98" s="44"/>
      <c r="J98" s="44"/>
      <c r="K98" s="41" t="str">
        <f aca="false">AM98</f>
        <v>Sand</v>
      </c>
      <c r="L98" s="41"/>
      <c r="M98" s="41"/>
      <c r="N98" s="46" t="n">
        <f aca="false">AN98</f>
        <v>24</v>
      </c>
      <c r="O98" s="46"/>
      <c r="P98" s="46"/>
      <c r="Q98" s="42" t="n">
        <f aca="false">AO98</f>
        <v>18.4</v>
      </c>
      <c r="R98" s="42"/>
      <c r="S98" s="42"/>
      <c r="T98" s="46" t="str">
        <f aca="false">IF(AR98="","-",AR98)</f>
        <v>-</v>
      </c>
      <c r="U98" s="46"/>
      <c r="V98" s="46" t="str">
        <f aca="false">IF(AT98="","-",AT98)</f>
        <v>-</v>
      </c>
      <c r="W98" s="46"/>
      <c r="X98" s="44" t="n">
        <f aca="false">AU98</f>
        <v>0.747</v>
      </c>
      <c r="Y98" s="44"/>
      <c r="Z98" s="55" t="n">
        <f aca="false">AV98</f>
        <v>0</v>
      </c>
      <c r="AA98" s="55"/>
      <c r="AB98" s="55"/>
      <c r="AC98" s="42" t="n">
        <f aca="false">AW98</f>
        <v>34.53278460544</v>
      </c>
      <c r="AD98" s="42"/>
      <c r="AE98" s="42"/>
      <c r="AF98" s="12"/>
      <c r="AI98" s="56" t="n">
        <v>22.5</v>
      </c>
      <c r="AJ98" s="56" t="n">
        <v>24</v>
      </c>
      <c r="AK98" s="57" t="n">
        <f aca="false">AJ98-AI98</f>
        <v>1.5</v>
      </c>
      <c r="AL98" s="57" t="n">
        <f aca="false">(AI98+AJ98)/2</f>
        <v>23.25</v>
      </c>
      <c r="AM98" s="56" t="s">
        <v>199</v>
      </c>
      <c r="AN98" s="56" t="n">
        <v>24</v>
      </c>
      <c r="AO98" s="58" t="n">
        <f aca="false">IF(AL98&gt;$AA$20,$AA$22,$AA$21)</f>
        <v>18.4</v>
      </c>
      <c r="AP98" s="57" t="n">
        <f aca="false">AP97+AO98*AK98</f>
        <v>442.35</v>
      </c>
      <c r="AQ98" s="57" t="n">
        <f aca="false">AP98-AO98*AK98/2-10*MAX(AL98-$AA$20,0)</f>
        <v>266.05</v>
      </c>
      <c r="AR98" s="56"/>
      <c r="AS98" s="56"/>
      <c r="AT98" s="57" t="str">
        <f aca="false">IF(AR98="","",AR98-AS98)</f>
        <v/>
      </c>
      <c r="AU98" s="56" t="n">
        <v>0.747</v>
      </c>
      <c r="AV98" s="57" t="n">
        <f aca="false">IF(AM98="Sand",0,Input!$AA$34*AN98)</f>
        <v>0</v>
      </c>
      <c r="AW98" s="57" t="n">
        <f aca="false">IF(AM98="Sand",27.1+0.3*MIN(Input!$AA$35*AN98,60)-0.00054*MIN(Input!$AA$35*AN98,60)^2,MIN(MAX(DEGREES(ASIN(0.8-0.094*LN(MAX(IF(AT98="",10,AT98),5)))),20),30))</f>
        <v>34.53278460544</v>
      </c>
      <c r="AX98" s="57" t="n">
        <f aca="false">IF(AM98="Sand",Input!$AA$36*Input!$AA$35*AN98,Input!$AA$37*AV98)</f>
        <v>25992</v>
      </c>
      <c r="AY98" s="59" t="n">
        <f aca="false">IF(AM98="Sand",Input!$AA$38,0.5)</f>
        <v>0.3</v>
      </c>
      <c r="AZ98" s="57" t="n">
        <f aca="false">Input!$AA$15/2/AL98</f>
        <v>1.59139784946237</v>
      </c>
      <c r="BA98" s="57" t="n">
        <f aca="false">Input!$AA$16/2/AL98</f>
        <v>4.34408602150538</v>
      </c>
      <c r="BB98" s="57" t="n">
        <f aca="false">1/(4*PI())*(2*AZ98*BA98*SQRT(AZ98^2+BA98^2+1)/(AZ98^2+BA98^2+1+AZ98^2*BA98^2)*(AZ98^2+BA98^2+2)/(AZ98^2+BA98^2+1)+ATAN2(AZ98^2+BA98^2+1-AZ98^2*BA98^2,2*AZ98*BA98*SQRT(AZ98^2+BA98^2+1)))</f>
        <v>0.231950929767946</v>
      </c>
      <c r="BC98" s="57" t="n">
        <f aca="false">4*Input!$AA$14*BB98</f>
        <v>126.181305793762</v>
      </c>
      <c r="BD98" s="57" t="n">
        <f aca="false">((Input!$AA$16/Input!$AA$15)*LN((1+SQRT((Input!$AA$16/Input!$AA$15)^2+1))*SQRT((Input!$AA$16/Input!$AA$15)^2+(AJ98/(Input!$AA$15/2))^2)/((Input!$AA$16/Input!$AA$15)*(1+SQRT((Input!$AA$16/Input!$AA$15)^2+(AJ98/(Input!$AA$15/2))^2+1))))+LN(((Input!$AA$16/Input!$AA$15)+SQRT((Input!$AA$16/Input!$AA$15)^2+1))*SQRT(1+(AJ98/(Input!$AA$15/2))^2)/((Input!$AA$16/Input!$AA$15)+SQRT((Input!$AA$16/Input!$AA$15)^2+(AJ98/(Input!$AA$15/2))^2+1))))/PI()</f>
        <v>0.0599907785392672</v>
      </c>
      <c r="BE98" s="57" t="n">
        <f aca="false">(AJ98/(Input!$AA$15/2))/(2*PI())*ATAN((Input!$AA$16/Input!$AA$15)/((AJ98/(Input!$AA$15/2))*SQRT((Input!$AA$16/Input!$AA$15)^2+(AJ98/(Input!$AA$15/2))^2+1)))</f>
        <v>0.0985756744132035</v>
      </c>
      <c r="BF98" s="57" t="n">
        <f aca="false">MAX(0,AJ98-MAX(AI98,$AA$23))/AK98*IF(BC98&gt;=Input!$AA$21*AQ98,1,0)</f>
        <v>1</v>
      </c>
      <c r="BG98" s="57" t="n">
        <f aca="false">4*Input!$AA$14*(Input!$AA$15/2)*(1-AY98^2)/AX98*((BD98-BD97)+(1-2*AY98)/(1-AY98)*(BE98-BE97))*1000*BF98</f>
        <v>5.68398941845496</v>
      </c>
      <c r="BH98" s="57" t="n">
        <f aca="false">IF(AM98="Sand",0,0.009*(AR98-10))</f>
        <v>0</v>
      </c>
      <c r="BI98" s="57" t="n">
        <f aca="false">BH98*Input!$AA$39</f>
        <v>0</v>
      </c>
      <c r="BJ98" s="57" t="n">
        <f aca="false">IF(AM98="Sand",0,MAX(AV98/Input!$AA$40,AQ98))</f>
        <v>0</v>
      </c>
      <c r="BK98" s="57" t="n">
        <f aca="false">IF(AM98="Sand",0,1000*AK98/(1+AU98)*IF(AQ98+BC98&lt;=BJ98,BI98*LOG10((AQ98+BC98)/AQ98),BI98*LOG10(BJ98/AQ98)+BH98*LOG10((AQ98+BC98)/BJ98)))*BF98</f>
        <v>0</v>
      </c>
      <c r="BL98" s="57" t="n">
        <f aca="false">IF(AM98="Sand",0,10^(INDEX(Input!$Q$51:$Q$57,MIN(MATCH(MIN(MAX(AR98,30),120),Input!$C$51:$C$57,1),6))+(MIN(MAX(AR98,30),120)-INDEX(Input!$C$51:$C$57,MIN(MATCH(MIN(MAX(AR98,30),120),Input!$C$51:$C$57,1),6)))/(INDEX(Input!$C$51:$C$57,MIN(MATCH(MIN(MAX(AR98,30),120),Input!$C$51:$C$57,1),6)+1)-INDEX(Input!$C$51:$C$57,MIN(MATCH(MIN(MAX(AR98,30),120),Input!$C$51:$C$57,1),6)))*(INDEX(Input!$Q$51:$Q$57,MIN(MATCH(MIN(MAX(AR98,30),120),Input!$C$51:$C$57,1),6)+1)-INDEX(Input!$Q$51:$Q$57,MIN(MATCH(MIN(MAX(AR98,30),120),Input!$C$51:$C$57,1),6)))))</f>
        <v>0</v>
      </c>
      <c r="BM98" s="57" t="n">
        <f aca="false">IF(OR(AM98="Sand",BF98=0),0,Input!$AA$41*(AK98/2)^2/(BL98*0.0001*31536000))</f>
        <v>0</v>
      </c>
      <c r="BN98" s="57" t="n">
        <f aca="false">MAX(0,MIN(AJ98,Input!$AA$20)-AI98)</f>
        <v>0</v>
      </c>
      <c r="BO98" s="57" t="n">
        <f aca="false">MAX(0,MIN(AJ98,Input!$AA$20)-MAX(AI98,$AA$23))</f>
        <v>0</v>
      </c>
      <c r="BP98" s="57" t="n">
        <f aca="false">BG98+BK98</f>
        <v>5.68398941845496</v>
      </c>
      <c r="BQ98" s="57"/>
    </row>
    <row r="99" customFormat="false" ht="14.25" hidden="false" customHeight="false" outlineLevel="0" collapsed="false">
      <c r="B99" s="7"/>
      <c r="C99" s="46" t="n">
        <v>17</v>
      </c>
      <c r="D99" s="46"/>
      <c r="E99" s="44" t="n">
        <f aca="false">AI99</f>
        <v>24</v>
      </c>
      <c r="F99" s="44"/>
      <c r="G99" s="44"/>
      <c r="H99" s="44" t="n">
        <f aca="false">AJ99</f>
        <v>25.5</v>
      </c>
      <c r="I99" s="44"/>
      <c r="J99" s="44"/>
      <c r="K99" s="41" t="str">
        <f aca="false">AM99</f>
        <v>Sand</v>
      </c>
      <c r="L99" s="41"/>
      <c r="M99" s="41"/>
      <c r="N99" s="46" t="n">
        <f aca="false">AN99</f>
        <v>44</v>
      </c>
      <c r="O99" s="46"/>
      <c r="P99" s="46"/>
      <c r="Q99" s="42" t="n">
        <f aca="false">AO99</f>
        <v>18.4</v>
      </c>
      <c r="R99" s="42"/>
      <c r="S99" s="42"/>
      <c r="T99" s="46" t="str">
        <f aca="false">IF(AR99="","-",AR99)</f>
        <v>-</v>
      </c>
      <c r="U99" s="46"/>
      <c r="V99" s="46" t="str">
        <f aca="false">IF(AT99="","-",AT99)</f>
        <v>-</v>
      </c>
      <c r="W99" s="46"/>
      <c r="X99" s="44" t="n">
        <f aca="false">AU99</f>
        <v>0.65</v>
      </c>
      <c r="Y99" s="44"/>
      <c r="Z99" s="55" t="n">
        <f aca="false">AV99</f>
        <v>0</v>
      </c>
      <c r="AA99" s="55"/>
      <c r="AB99" s="55"/>
      <c r="AC99" s="42" t="n">
        <f aca="false">AW99</f>
        <v>40.16941492384</v>
      </c>
      <c r="AD99" s="42"/>
      <c r="AE99" s="42"/>
      <c r="AF99" s="12"/>
      <c r="AI99" s="56" t="n">
        <v>24</v>
      </c>
      <c r="AJ99" s="56" t="n">
        <v>25.5</v>
      </c>
      <c r="AK99" s="57" t="n">
        <f aca="false">AJ99-AI99</f>
        <v>1.5</v>
      </c>
      <c r="AL99" s="57" t="n">
        <f aca="false">(AI99+AJ99)/2</f>
        <v>24.75</v>
      </c>
      <c r="AM99" s="56" t="s">
        <v>199</v>
      </c>
      <c r="AN99" s="56" t="n">
        <v>44</v>
      </c>
      <c r="AO99" s="58" t="n">
        <f aca="false">IF(AL99&gt;$AA$20,$AA$22,$AA$21)</f>
        <v>18.4</v>
      </c>
      <c r="AP99" s="57" t="n">
        <f aca="false">AP98+AO99*AK99</f>
        <v>469.95</v>
      </c>
      <c r="AQ99" s="57" t="n">
        <f aca="false">AP99-AO99*AK99/2-10*MAX(AL99-$AA$20,0)</f>
        <v>278.65</v>
      </c>
      <c r="AR99" s="56"/>
      <c r="AS99" s="56"/>
      <c r="AT99" s="57" t="str">
        <f aca="false">IF(AR99="","",AR99-AS99)</f>
        <v/>
      </c>
      <c r="AU99" s="56" t="n">
        <v>0.65</v>
      </c>
      <c r="AV99" s="57" t="n">
        <f aca="false">IF(AM99="Sand",0,Input!$AA$34*AN99)</f>
        <v>0</v>
      </c>
      <c r="AW99" s="57" t="n">
        <f aca="false">IF(AM99="Sand",27.1+0.3*MIN(Input!$AA$35*AN99,60)-0.00054*MIN(Input!$AA$35*AN99,60)^2,MIN(MAX(DEGREES(ASIN(0.8-0.094*LN(MAX(IF(AT99="",10,AT99),5)))),20),30))</f>
        <v>40.16941492384</v>
      </c>
      <c r="AX99" s="57" t="n">
        <f aca="false">IF(AM99="Sand",Input!$AA$36*Input!$AA$35*AN99,Input!$AA$37*AV99)</f>
        <v>47652</v>
      </c>
      <c r="AY99" s="59" t="n">
        <f aca="false">IF(AM99="Sand",Input!$AA$38,0.5)</f>
        <v>0.3</v>
      </c>
      <c r="AZ99" s="57" t="n">
        <f aca="false">Input!$AA$15/2/AL99</f>
        <v>1.4949494949495</v>
      </c>
      <c r="BA99" s="57" t="n">
        <f aca="false">Input!$AA$16/2/AL99</f>
        <v>4.08080808080808</v>
      </c>
      <c r="BB99" s="57" t="n">
        <f aca="false">1/(4*PI())*(2*AZ99*BA99*SQRT(AZ99^2+BA99^2+1)/(AZ99^2+BA99^2+1+AZ99^2*BA99^2)*(AZ99^2+BA99^2+2)/(AZ99^2+BA99^2+1)+ATAN2(AZ99^2+BA99^2+1-AZ99^2*BA99^2,2*AZ99*BA99*SQRT(AZ99^2+BA99^2+1)))</f>
        <v>0.229173348674597</v>
      </c>
      <c r="BC99" s="57" t="n">
        <f aca="false">4*Input!$AA$14*BB99</f>
        <v>124.670301678981</v>
      </c>
      <c r="BD99" s="57" t="n">
        <f aca="false">((Input!$AA$16/Input!$AA$15)*LN((1+SQRT((Input!$AA$16/Input!$AA$15)^2+1))*SQRT((Input!$AA$16/Input!$AA$15)^2+(AJ99/(Input!$AA$15/2))^2)/((Input!$AA$16/Input!$AA$15)*(1+SQRT((Input!$AA$16/Input!$AA$15)^2+(AJ99/(Input!$AA$15/2))^2+1))))+LN(((Input!$AA$16/Input!$AA$15)+SQRT((Input!$AA$16/Input!$AA$15)^2+1))*SQRT(1+(AJ99/(Input!$AA$15/2))^2)/((Input!$AA$16/Input!$AA$15)+SQRT((Input!$AA$16/Input!$AA$15)^2+(AJ99/(Input!$AA$15/2))^2+1))))/PI()</f>
        <v>0.0664468184683822</v>
      </c>
      <c r="BE99" s="57" t="n">
        <f aca="false">(AJ99/(Input!$AA$15/2))/(2*PI())*ATAN((Input!$AA$16/Input!$AA$15)/((AJ99/(Input!$AA$15/2))*SQRT((Input!$AA$16/Input!$AA$15)^2+(AJ99/(Input!$AA$15/2))^2+1)))</f>
        <v>0.101410214319719</v>
      </c>
      <c r="BF99" s="57" t="n">
        <f aca="false">MAX(0,AJ99-MAX(AI99,$AA$23))/AK99*IF(BC99&gt;=Input!$AA$21*AQ99,1,0)</f>
        <v>1</v>
      </c>
      <c r="BG99" s="57" t="n">
        <f aca="false">4*Input!$AA$14*(Input!$AA$15/2)*(1-AY99^2)/AX99*((BD99-BD98)+(1-2*AY99)/(1-AY99)*(BE99-BE98))*1000*BF99</f>
        <v>3.10416788896103</v>
      </c>
      <c r="BH99" s="57" t="n">
        <f aca="false">IF(AM99="Sand",0,0.009*(AR99-10))</f>
        <v>0</v>
      </c>
      <c r="BI99" s="57" t="n">
        <f aca="false">BH99*Input!$AA$39</f>
        <v>0</v>
      </c>
      <c r="BJ99" s="57" t="n">
        <f aca="false">IF(AM99="Sand",0,MAX(AV99/Input!$AA$40,AQ99))</f>
        <v>0</v>
      </c>
      <c r="BK99" s="57" t="n">
        <f aca="false">IF(AM99="Sand",0,1000*AK99/(1+AU99)*IF(AQ99+BC99&lt;=BJ99,BI99*LOG10((AQ99+BC99)/AQ99),BI99*LOG10(BJ99/AQ99)+BH99*LOG10((AQ99+BC99)/BJ99)))*BF99</f>
        <v>0</v>
      </c>
      <c r="BL99" s="57" t="n">
        <f aca="false">IF(AM99="Sand",0,10^(INDEX(Input!$Q$51:$Q$57,MIN(MATCH(MIN(MAX(AR99,30),120),Input!$C$51:$C$57,1),6))+(MIN(MAX(AR99,30),120)-INDEX(Input!$C$51:$C$57,MIN(MATCH(MIN(MAX(AR99,30),120),Input!$C$51:$C$57,1),6)))/(INDEX(Input!$C$51:$C$57,MIN(MATCH(MIN(MAX(AR99,30),120),Input!$C$51:$C$57,1),6)+1)-INDEX(Input!$C$51:$C$57,MIN(MATCH(MIN(MAX(AR99,30),120),Input!$C$51:$C$57,1),6)))*(INDEX(Input!$Q$51:$Q$57,MIN(MATCH(MIN(MAX(AR99,30),120),Input!$C$51:$C$57,1),6)+1)-INDEX(Input!$Q$51:$Q$57,MIN(MATCH(MIN(MAX(AR99,30),120),Input!$C$51:$C$57,1),6)))))</f>
        <v>0</v>
      </c>
      <c r="BM99" s="57" t="n">
        <f aca="false">IF(OR(AM99="Sand",BF99=0),0,Input!$AA$41*(AK99/2)^2/(BL99*0.0001*31536000))</f>
        <v>0</v>
      </c>
      <c r="BN99" s="57" t="n">
        <f aca="false">MAX(0,MIN(AJ99,Input!$AA$20)-AI99)</f>
        <v>0</v>
      </c>
      <c r="BO99" s="57" t="n">
        <f aca="false">MAX(0,MIN(AJ99,Input!$AA$20)-MAX(AI99,$AA$23))</f>
        <v>0</v>
      </c>
      <c r="BP99" s="57" t="n">
        <f aca="false">BG99+BK99</f>
        <v>3.10416788896103</v>
      </c>
      <c r="BQ99" s="57"/>
    </row>
    <row r="100" customFormat="false" ht="14.25" hidden="false" customHeight="false" outlineLevel="0" collapsed="false">
      <c r="B100" s="7"/>
      <c r="C100" s="46" t="n">
        <v>18</v>
      </c>
      <c r="D100" s="46"/>
      <c r="E100" s="44" t="n">
        <f aca="false">AI100</f>
        <v>25.5</v>
      </c>
      <c r="F100" s="44"/>
      <c r="G100" s="44"/>
      <c r="H100" s="44" t="n">
        <f aca="false">AJ100</f>
        <v>27</v>
      </c>
      <c r="I100" s="44"/>
      <c r="J100" s="44"/>
      <c r="K100" s="41" t="str">
        <f aca="false">AM100</f>
        <v>Sand</v>
      </c>
      <c r="L100" s="41"/>
      <c r="M100" s="41"/>
      <c r="N100" s="46" t="n">
        <f aca="false">AN100</f>
        <v>21</v>
      </c>
      <c r="O100" s="46"/>
      <c r="P100" s="46"/>
      <c r="Q100" s="42" t="n">
        <f aca="false">AO100</f>
        <v>18.4</v>
      </c>
      <c r="R100" s="42"/>
      <c r="S100" s="42"/>
      <c r="T100" s="46" t="str">
        <f aca="false">IF(AR100="","-",AR100)</f>
        <v>-</v>
      </c>
      <c r="U100" s="46"/>
      <c r="V100" s="46" t="str">
        <f aca="false">IF(AT100="","-",AT100)</f>
        <v>-</v>
      </c>
      <c r="W100" s="46"/>
      <c r="X100" s="44" t="n">
        <f aca="false">AU100</f>
        <v>0.73</v>
      </c>
      <c r="Y100" s="44"/>
      <c r="Z100" s="55" t="n">
        <f aca="false">AV100</f>
        <v>0</v>
      </c>
      <c r="AA100" s="55"/>
      <c r="AB100" s="55"/>
      <c r="AC100" s="42" t="n">
        <f aca="false">AW100</f>
        <v>33.64358821354</v>
      </c>
      <c r="AD100" s="42"/>
      <c r="AE100" s="42"/>
      <c r="AF100" s="12"/>
      <c r="AI100" s="56" t="n">
        <v>25.5</v>
      </c>
      <c r="AJ100" s="56" t="n">
        <v>27</v>
      </c>
      <c r="AK100" s="57" t="n">
        <f aca="false">AJ100-AI100</f>
        <v>1.5</v>
      </c>
      <c r="AL100" s="57" t="n">
        <f aca="false">(AI100+AJ100)/2</f>
        <v>26.25</v>
      </c>
      <c r="AM100" s="56" t="s">
        <v>199</v>
      </c>
      <c r="AN100" s="56" t="n">
        <v>21</v>
      </c>
      <c r="AO100" s="58" t="n">
        <f aca="false">IF(AL100&gt;$AA$20,$AA$22,$AA$21)</f>
        <v>18.4</v>
      </c>
      <c r="AP100" s="57" t="n">
        <f aca="false">AP99+AO100*AK100</f>
        <v>497.55</v>
      </c>
      <c r="AQ100" s="57" t="n">
        <f aca="false">AP100-AO100*AK100/2-10*MAX(AL100-$AA$20,0)</f>
        <v>291.25</v>
      </c>
      <c r="AR100" s="56"/>
      <c r="AS100" s="56"/>
      <c r="AT100" s="57" t="str">
        <f aca="false">IF(AR100="","",AR100-AS100)</f>
        <v/>
      </c>
      <c r="AU100" s="56" t="n">
        <v>0.73</v>
      </c>
      <c r="AV100" s="57" t="n">
        <f aca="false">IF(AM100="Sand",0,Input!$AA$34*AN100)</f>
        <v>0</v>
      </c>
      <c r="AW100" s="57" t="n">
        <f aca="false">IF(AM100="Sand",27.1+0.3*MIN(Input!$AA$35*AN100,60)-0.00054*MIN(Input!$AA$35*AN100,60)^2,MIN(MAX(DEGREES(ASIN(0.8-0.094*LN(MAX(IF(AT100="",10,AT100),5)))),20),30))</f>
        <v>33.64358821354</v>
      </c>
      <c r="AX100" s="57" t="n">
        <f aca="false">IF(AM100="Sand",Input!$AA$36*Input!$AA$35*AN100,Input!$AA$37*AV100)</f>
        <v>22743</v>
      </c>
      <c r="AY100" s="59" t="n">
        <f aca="false">IF(AM100="Sand",Input!$AA$38,0.5)</f>
        <v>0.3</v>
      </c>
      <c r="AZ100" s="57" t="n">
        <f aca="false">Input!$AA$15/2/AL100</f>
        <v>1.40952380952381</v>
      </c>
      <c r="BA100" s="57" t="n">
        <f aca="false">Input!$AA$16/2/AL100</f>
        <v>3.84761904761905</v>
      </c>
      <c r="BB100" s="57" t="n">
        <f aca="false">1/(4*PI())*(2*AZ100*BA100*SQRT(AZ100^2+BA100^2+1)/(AZ100^2+BA100^2+1+AZ100^2*BA100^2)*(AZ100^2+BA100^2+2)/(AZ100^2+BA100^2+1)+ATAN2(AZ100^2+BA100^2+1-AZ100^2*BA100^2,2*AZ100*BA100*SQRT(AZ100^2+BA100^2+1)))</f>
        <v>0.226258660519071</v>
      </c>
      <c r="BC100" s="57" t="n">
        <f aca="false">4*Input!$AA$14*BB100</f>
        <v>123.084711322374</v>
      </c>
      <c r="BD100" s="57" t="n">
        <f aca="false">((Input!$AA$16/Input!$AA$15)*LN((1+SQRT((Input!$AA$16/Input!$AA$15)^2+1))*SQRT((Input!$AA$16/Input!$AA$15)^2+(AJ100/(Input!$AA$15/2))^2)/((Input!$AA$16/Input!$AA$15)*(1+SQRT((Input!$AA$16/Input!$AA$15)^2+(AJ100/(Input!$AA$15/2))^2+1))))+LN(((Input!$AA$16/Input!$AA$15)+SQRT((Input!$AA$16/Input!$AA$15)^2+1))*SQRT(1+(AJ100/(Input!$AA$15/2))^2)/((Input!$AA$16/Input!$AA$15)+SQRT((Input!$AA$16/Input!$AA$15)^2+(AJ100/(Input!$AA$15/2))^2+1))))/PI()</f>
        <v>0.0730509745149719</v>
      </c>
      <c r="BE100" s="57" t="n">
        <f aca="false">(AJ100/(Input!$AA$15/2))/(2*PI())*ATAN((Input!$AA$16/Input!$AA$15)/((AJ100/(Input!$AA$15/2))*SQRT((Input!$AA$16/Input!$AA$15)^2+(AJ100/(Input!$AA$15/2))^2+1)))</f>
        <v>0.103978506876715</v>
      </c>
      <c r="BF100" s="57" t="n">
        <f aca="false">MAX(0,AJ100-MAX(AI100,$AA$23))/AK100*IF(BC100&gt;=Input!$AA$21*AQ100,1,0)</f>
        <v>1</v>
      </c>
      <c r="BG100" s="57" t="n">
        <f aca="false">4*Input!$AA$14*(Input!$AA$15/2)*(1-AY100^2)/AX100*((BD100-BD99)+(1-2*AY100)/(1-AY100)*(BE100-BE99))*1000*BF100</f>
        <v>6.50072902825465</v>
      </c>
      <c r="BH100" s="57" t="n">
        <f aca="false">IF(AM100="Sand",0,0.009*(AR100-10))</f>
        <v>0</v>
      </c>
      <c r="BI100" s="57" t="n">
        <f aca="false">BH100*Input!$AA$39</f>
        <v>0</v>
      </c>
      <c r="BJ100" s="57" t="n">
        <f aca="false">IF(AM100="Sand",0,MAX(AV100/Input!$AA$40,AQ100))</f>
        <v>0</v>
      </c>
      <c r="BK100" s="57" t="n">
        <f aca="false">IF(AM100="Sand",0,1000*AK100/(1+AU100)*IF(AQ100+BC100&lt;=BJ100,BI100*LOG10((AQ100+BC100)/AQ100),BI100*LOG10(BJ100/AQ100)+BH100*LOG10((AQ100+BC100)/BJ100)))*BF100</f>
        <v>0</v>
      </c>
      <c r="BL100" s="57" t="n">
        <f aca="false">IF(AM100="Sand",0,10^(INDEX(Input!$Q$51:$Q$57,MIN(MATCH(MIN(MAX(AR100,30),120),Input!$C$51:$C$57,1),6))+(MIN(MAX(AR100,30),120)-INDEX(Input!$C$51:$C$57,MIN(MATCH(MIN(MAX(AR100,30),120),Input!$C$51:$C$57,1),6)))/(INDEX(Input!$C$51:$C$57,MIN(MATCH(MIN(MAX(AR100,30),120),Input!$C$51:$C$57,1),6)+1)-INDEX(Input!$C$51:$C$57,MIN(MATCH(MIN(MAX(AR100,30),120),Input!$C$51:$C$57,1),6)))*(INDEX(Input!$Q$51:$Q$57,MIN(MATCH(MIN(MAX(AR100,30),120),Input!$C$51:$C$57,1),6)+1)-INDEX(Input!$Q$51:$Q$57,MIN(MATCH(MIN(MAX(AR100,30),120),Input!$C$51:$C$57,1),6)))))</f>
        <v>0</v>
      </c>
      <c r="BM100" s="57" t="n">
        <f aca="false">IF(OR(AM100="Sand",BF100=0),0,Input!$AA$41*(AK100/2)^2/(BL100*0.0001*31536000))</f>
        <v>0</v>
      </c>
      <c r="BN100" s="57" t="n">
        <f aca="false">MAX(0,MIN(AJ100,Input!$AA$20)-AI100)</f>
        <v>0</v>
      </c>
      <c r="BO100" s="57" t="n">
        <f aca="false">MAX(0,MIN(AJ100,Input!$AA$20)-MAX(AI100,$AA$23))</f>
        <v>0</v>
      </c>
      <c r="BP100" s="57" t="n">
        <f aca="false">BG100+BK100</f>
        <v>6.50072902825465</v>
      </c>
      <c r="BQ100" s="57"/>
    </row>
    <row r="101" customFormat="false" ht="14.25" hidden="false" customHeight="false" outlineLevel="0" collapsed="false">
      <c r="B101" s="7"/>
      <c r="C101" s="46" t="n">
        <v>19</v>
      </c>
      <c r="D101" s="46"/>
      <c r="E101" s="44" t="n">
        <f aca="false">AI101</f>
        <v>27</v>
      </c>
      <c r="F101" s="44"/>
      <c r="G101" s="44"/>
      <c r="H101" s="44" t="n">
        <f aca="false">AJ101</f>
        <v>28.5</v>
      </c>
      <c r="I101" s="44"/>
      <c r="J101" s="44"/>
      <c r="K101" s="41" t="str">
        <f aca="false">AM101</f>
        <v>Sand</v>
      </c>
      <c r="L101" s="41"/>
      <c r="M101" s="41"/>
      <c r="N101" s="46" t="n">
        <f aca="false">AN101</f>
        <v>31</v>
      </c>
      <c r="O101" s="46"/>
      <c r="P101" s="46"/>
      <c r="Q101" s="42" t="n">
        <f aca="false">AO101</f>
        <v>18.4</v>
      </c>
      <c r="R101" s="42"/>
      <c r="S101" s="42"/>
      <c r="T101" s="46" t="str">
        <f aca="false">IF(AR101="","-",AR101)</f>
        <v>-</v>
      </c>
      <c r="U101" s="46"/>
      <c r="V101" s="46" t="str">
        <f aca="false">IF(AT101="","-",AT101)</f>
        <v>-</v>
      </c>
      <c r="W101" s="46"/>
      <c r="X101" s="44" t="n">
        <f aca="false">AU101</f>
        <v>0.65</v>
      </c>
      <c r="Y101" s="44"/>
      <c r="Z101" s="55" t="n">
        <f aca="false">AV101</f>
        <v>0</v>
      </c>
      <c r="AA101" s="55"/>
      <c r="AB101" s="55"/>
      <c r="AC101" s="42" t="n">
        <f aca="false">AW101</f>
        <v>36.56324098234</v>
      </c>
      <c r="AD101" s="42"/>
      <c r="AE101" s="42"/>
      <c r="AF101" s="12"/>
      <c r="AI101" s="56" t="n">
        <v>27</v>
      </c>
      <c r="AJ101" s="56" t="n">
        <v>28.5</v>
      </c>
      <c r="AK101" s="57" t="n">
        <f aca="false">AJ101-AI101</f>
        <v>1.5</v>
      </c>
      <c r="AL101" s="57" t="n">
        <f aca="false">(AI101+AJ101)/2</f>
        <v>27.75</v>
      </c>
      <c r="AM101" s="56" t="s">
        <v>199</v>
      </c>
      <c r="AN101" s="56" t="n">
        <v>31</v>
      </c>
      <c r="AO101" s="58" t="n">
        <f aca="false">IF(AL101&gt;$AA$20,$AA$22,$AA$21)</f>
        <v>18.4</v>
      </c>
      <c r="AP101" s="57" t="n">
        <f aca="false">AP100+AO101*AK101</f>
        <v>525.15</v>
      </c>
      <c r="AQ101" s="57" t="n">
        <f aca="false">AP101-AO101*AK101/2-10*MAX(AL101-$AA$20,0)</f>
        <v>303.85</v>
      </c>
      <c r="AR101" s="56"/>
      <c r="AS101" s="56"/>
      <c r="AT101" s="57" t="str">
        <f aca="false">IF(AR101="","",AR101-AS101)</f>
        <v/>
      </c>
      <c r="AU101" s="56" t="n">
        <v>0.65</v>
      </c>
      <c r="AV101" s="57" t="n">
        <f aca="false">IF(AM101="Sand",0,Input!$AA$34*AN101)</f>
        <v>0</v>
      </c>
      <c r="AW101" s="57" t="n">
        <f aca="false">IF(AM101="Sand",27.1+0.3*MIN(Input!$AA$35*AN101,60)-0.00054*MIN(Input!$AA$35*AN101,60)^2,MIN(MAX(DEGREES(ASIN(0.8-0.094*LN(MAX(IF(AT101="",10,AT101),5)))),20),30))</f>
        <v>36.56324098234</v>
      </c>
      <c r="AX101" s="57" t="n">
        <f aca="false">IF(AM101="Sand",Input!$AA$36*Input!$AA$35*AN101,Input!$AA$37*AV101)</f>
        <v>33573</v>
      </c>
      <c r="AY101" s="59" t="n">
        <f aca="false">IF(AM101="Sand",Input!$AA$38,0.5)</f>
        <v>0.3</v>
      </c>
      <c r="AZ101" s="57" t="n">
        <f aca="false">Input!$AA$15/2/AL101</f>
        <v>1.33333333333333</v>
      </c>
      <c r="BA101" s="57" t="n">
        <f aca="false">Input!$AA$16/2/AL101</f>
        <v>3.63963963963964</v>
      </c>
      <c r="BB101" s="57" t="n">
        <f aca="false">1/(4*PI())*(2*AZ101*BA101*SQRT(AZ101^2+BA101^2+1)/(AZ101^2+BA101^2+1+AZ101^2*BA101^2)*(AZ101^2+BA101^2+2)/(AZ101^2+BA101^2+1)+ATAN2(AZ101^2+BA101^2+1-AZ101^2*BA101^2,2*AZ101*BA101*SQRT(AZ101^2+BA101^2+1)))</f>
        <v>0.223225661745017</v>
      </c>
      <c r="BC101" s="57" t="n">
        <f aca="false">4*Input!$AA$14*BB101</f>
        <v>121.434759989289</v>
      </c>
      <c r="BD101" s="57" t="n">
        <f aca="false">((Input!$AA$16/Input!$AA$15)*LN((1+SQRT((Input!$AA$16/Input!$AA$15)^2+1))*SQRT((Input!$AA$16/Input!$AA$15)^2+(AJ101/(Input!$AA$15/2))^2)/((Input!$AA$16/Input!$AA$15)*(1+SQRT((Input!$AA$16/Input!$AA$15)^2+(AJ101/(Input!$AA$15/2))^2+1))))+LN(((Input!$AA$16/Input!$AA$15)+SQRT((Input!$AA$16/Input!$AA$15)^2+1))*SQRT(1+(AJ101/(Input!$AA$15/2))^2)/((Input!$AA$16/Input!$AA$15)+SQRT((Input!$AA$16/Input!$AA$15)^2+(AJ101/(Input!$AA$15/2))^2+1))))/PI()</f>
        <v>0.0797798670040491</v>
      </c>
      <c r="BE101" s="57" t="n">
        <f aca="false">(AJ101/(Input!$AA$15/2))/(2*PI())*ATAN((Input!$AA$16/Input!$AA$15)/((AJ101/(Input!$AA$15/2))*SQRT((Input!$AA$16/Input!$AA$15)^2+(AJ101/(Input!$AA$15/2))^2+1)))</f>
        <v>0.106299134641581</v>
      </c>
      <c r="BF101" s="57" t="n">
        <f aca="false">MAX(0,AJ101-MAX(AI101,$AA$23))/AK101*IF(BC101&gt;=Input!$AA$21*AQ101,1,0)</f>
        <v>1</v>
      </c>
      <c r="BG101" s="57" t="n">
        <f aca="false">4*Input!$AA$14*(Input!$AA$15/2)*(1-AY101^2)/AX101*((BD101-BD100)+(1-2*AY101)/(1-AY101)*(BE101-BE100))*1000*BF101</f>
        <v>4.39456153566757</v>
      </c>
      <c r="BH101" s="57" t="n">
        <f aca="false">IF(AM101="Sand",0,0.009*(AR101-10))</f>
        <v>0</v>
      </c>
      <c r="BI101" s="57" t="n">
        <f aca="false">BH101*Input!$AA$39</f>
        <v>0</v>
      </c>
      <c r="BJ101" s="57" t="n">
        <f aca="false">IF(AM101="Sand",0,MAX(AV101/Input!$AA$40,AQ101))</f>
        <v>0</v>
      </c>
      <c r="BK101" s="57" t="n">
        <f aca="false">IF(AM101="Sand",0,1000*AK101/(1+AU101)*IF(AQ101+BC101&lt;=BJ101,BI101*LOG10((AQ101+BC101)/AQ101),BI101*LOG10(BJ101/AQ101)+BH101*LOG10((AQ101+BC101)/BJ101)))*BF101</f>
        <v>0</v>
      </c>
      <c r="BL101" s="57" t="n">
        <f aca="false">IF(AM101="Sand",0,10^(INDEX(Input!$Q$51:$Q$57,MIN(MATCH(MIN(MAX(AR101,30),120),Input!$C$51:$C$57,1),6))+(MIN(MAX(AR101,30),120)-INDEX(Input!$C$51:$C$57,MIN(MATCH(MIN(MAX(AR101,30),120),Input!$C$51:$C$57,1),6)))/(INDEX(Input!$C$51:$C$57,MIN(MATCH(MIN(MAX(AR101,30),120),Input!$C$51:$C$57,1),6)+1)-INDEX(Input!$C$51:$C$57,MIN(MATCH(MIN(MAX(AR101,30),120),Input!$C$51:$C$57,1),6)))*(INDEX(Input!$Q$51:$Q$57,MIN(MATCH(MIN(MAX(AR101,30),120),Input!$C$51:$C$57,1),6)+1)-INDEX(Input!$Q$51:$Q$57,MIN(MATCH(MIN(MAX(AR101,30),120),Input!$C$51:$C$57,1),6)))))</f>
        <v>0</v>
      </c>
      <c r="BM101" s="57" t="n">
        <f aca="false">IF(OR(AM101="Sand",BF101=0),0,Input!$AA$41*(AK101/2)^2/(BL101*0.0001*31536000))</f>
        <v>0</v>
      </c>
      <c r="BN101" s="57" t="n">
        <f aca="false">MAX(0,MIN(AJ101,Input!$AA$20)-AI101)</f>
        <v>0</v>
      </c>
      <c r="BO101" s="57" t="n">
        <f aca="false">MAX(0,MIN(AJ101,Input!$AA$20)-MAX(AI101,$AA$23))</f>
        <v>0</v>
      </c>
      <c r="BP101" s="57" t="n">
        <f aca="false">BG101+BK101</f>
        <v>4.39456153566757</v>
      </c>
      <c r="BQ101" s="57"/>
    </row>
    <row r="102" customFormat="false" ht="14.25" hidden="false" customHeight="false" outlineLevel="0" collapsed="false">
      <c r="B102" s="7"/>
      <c r="C102" s="46" t="n">
        <v>20</v>
      </c>
      <c r="D102" s="46"/>
      <c r="E102" s="44" t="n">
        <f aca="false">AI102</f>
        <v>28.5</v>
      </c>
      <c r="F102" s="44"/>
      <c r="G102" s="44"/>
      <c r="H102" s="44" t="n">
        <f aca="false">AJ102</f>
        <v>30</v>
      </c>
      <c r="I102" s="44"/>
      <c r="J102" s="44"/>
      <c r="K102" s="41" t="str">
        <f aca="false">AM102</f>
        <v>Sand</v>
      </c>
      <c r="L102" s="41"/>
      <c r="M102" s="41"/>
      <c r="N102" s="46" t="n">
        <f aca="false">AN102</f>
        <v>50</v>
      </c>
      <c r="O102" s="46"/>
      <c r="P102" s="46"/>
      <c r="Q102" s="42" t="n">
        <f aca="false">AO102</f>
        <v>18.4</v>
      </c>
      <c r="R102" s="42"/>
      <c r="S102" s="42"/>
      <c r="T102" s="46" t="str">
        <f aca="false">IF(AR102="","-",AR102)</f>
        <v>-</v>
      </c>
      <c r="U102" s="46"/>
      <c r="V102" s="46" t="str">
        <f aca="false">IF(AT102="","-",AT102)</f>
        <v>-</v>
      </c>
      <c r="W102" s="46"/>
      <c r="X102" s="44" t="n">
        <f aca="false">AU102</f>
        <v>0.65</v>
      </c>
      <c r="Y102" s="44"/>
      <c r="Z102" s="55" t="n">
        <f aca="false">AV102</f>
        <v>0</v>
      </c>
      <c r="AA102" s="55"/>
      <c r="AB102" s="55"/>
      <c r="AC102" s="42" t="n">
        <f aca="false">AW102</f>
        <v>41.76159985</v>
      </c>
      <c r="AD102" s="42"/>
      <c r="AE102" s="42"/>
      <c r="AF102" s="12"/>
      <c r="AI102" s="56" t="n">
        <v>28.5</v>
      </c>
      <c r="AJ102" s="56" t="n">
        <v>30</v>
      </c>
      <c r="AK102" s="57" t="n">
        <f aca="false">AJ102-AI102</f>
        <v>1.5</v>
      </c>
      <c r="AL102" s="57" t="n">
        <f aca="false">(AI102+AJ102)/2</f>
        <v>29.25</v>
      </c>
      <c r="AM102" s="56" t="s">
        <v>199</v>
      </c>
      <c r="AN102" s="56" t="n">
        <v>50</v>
      </c>
      <c r="AO102" s="58" t="n">
        <f aca="false">IF(AL102&gt;$AA$20,$AA$22,$AA$21)</f>
        <v>18.4</v>
      </c>
      <c r="AP102" s="57" t="n">
        <f aca="false">AP101+AO102*AK102</f>
        <v>552.75</v>
      </c>
      <c r="AQ102" s="57" t="n">
        <f aca="false">AP102-AO102*AK102/2-10*MAX(AL102-$AA$20,0)</f>
        <v>316.45</v>
      </c>
      <c r="AR102" s="56"/>
      <c r="AS102" s="56"/>
      <c r="AT102" s="57" t="str">
        <f aca="false">IF(AR102="","",AR102-AS102)</f>
        <v/>
      </c>
      <c r="AU102" s="56" t="n">
        <v>0.65</v>
      </c>
      <c r="AV102" s="57" t="n">
        <f aca="false">IF(AM102="Sand",0,Input!$AA$34*AN102)</f>
        <v>0</v>
      </c>
      <c r="AW102" s="57" t="n">
        <f aca="false">IF(AM102="Sand",27.1+0.3*MIN(Input!$AA$35*AN102,60)-0.00054*MIN(Input!$AA$35*AN102,60)^2,MIN(MAX(DEGREES(ASIN(0.8-0.094*LN(MAX(IF(AT102="",10,AT102),5)))),20),30))</f>
        <v>41.76159985</v>
      </c>
      <c r="AX102" s="57" t="n">
        <f aca="false">IF(AM102="Sand",Input!$AA$36*Input!$AA$35*AN102,Input!$AA$37*AV102)</f>
        <v>54150</v>
      </c>
      <c r="AY102" s="59" t="n">
        <f aca="false">IF(AM102="Sand",Input!$AA$38,0.5)</f>
        <v>0.3</v>
      </c>
      <c r="AZ102" s="57" t="n">
        <f aca="false">Input!$AA$15/2/AL102</f>
        <v>1.26495726495727</v>
      </c>
      <c r="BA102" s="57" t="n">
        <f aca="false">Input!$AA$16/2/AL102</f>
        <v>3.45299145299145</v>
      </c>
      <c r="BB102" s="57" t="n">
        <f aca="false">1/(4*PI())*(2*AZ102*BA102*SQRT(AZ102^2+BA102^2+1)/(AZ102^2+BA102^2+1+AZ102^2*BA102^2)*(AZ102^2+BA102^2+2)/(AZ102^2+BA102^2+1)+ATAN2(AZ102^2+BA102^2+1-AZ102^2*BA102^2,2*AZ102*BA102*SQRT(AZ102^2+BA102^2+1)))</f>
        <v>0.220092717009578</v>
      </c>
      <c r="BC102" s="57" t="n">
        <f aca="false">4*Input!$AA$14*BB102</f>
        <v>119.73043805321</v>
      </c>
      <c r="BD102" s="57" t="n">
        <f aca="false">((Input!$AA$16/Input!$AA$15)*LN((1+SQRT((Input!$AA$16/Input!$AA$15)^2+1))*SQRT((Input!$AA$16/Input!$AA$15)^2+(AJ102/(Input!$AA$15/2))^2)/((Input!$AA$16/Input!$AA$15)*(1+SQRT((Input!$AA$16/Input!$AA$15)^2+(AJ102/(Input!$AA$15/2))^2+1))))+LN(((Input!$AA$16/Input!$AA$15)+SQRT((Input!$AA$16/Input!$AA$15)^2+1))*SQRT(1+(AJ102/(Input!$AA$15/2))^2)/((Input!$AA$16/Input!$AA$15)+SQRT((Input!$AA$16/Input!$AA$15)^2+(AJ102/(Input!$AA$15/2))^2+1))))/PI()</f>
        <v>0.0866118704592208</v>
      </c>
      <c r="BE102" s="57" t="n">
        <f aca="false">(AJ102/(Input!$AA$15/2))/(2*PI())*ATAN((Input!$AA$16/Input!$AA$15)/((AJ102/(Input!$AA$15/2))*SQRT((Input!$AA$16/Input!$AA$15)^2+(AJ102/(Input!$AA$15/2))^2+1)))</f>
        <v>0.108389669938441</v>
      </c>
      <c r="BF102" s="57" t="n">
        <f aca="false">MAX(0,AJ102-MAX(AI102,$AA$23))/AK102*IF(BC102&gt;=Input!$AA$21*AQ102,1,0)</f>
        <v>1</v>
      </c>
      <c r="BG102" s="57" t="n">
        <f aca="false">4*Input!$AA$14*(Input!$AA$15/2)*(1-AY102^2)/AX102*((BD102-BD101)+(1-2*AY102)/(1-AY102)*(BE102-BE101))*1000*BF102</f>
        <v>2.71503172231372</v>
      </c>
      <c r="BH102" s="57" t="n">
        <f aca="false">IF(AM102="Sand",0,0.009*(AR102-10))</f>
        <v>0</v>
      </c>
      <c r="BI102" s="57" t="n">
        <f aca="false">BH102*Input!$AA$39</f>
        <v>0</v>
      </c>
      <c r="BJ102" s="57" t="n">
        <f aca="false">IF(AM102="Sand",0,MAX(AV102/Input!$AA$40,AQ102))</f>
        <v>0</v>
      </c>
      <c r="BK102" s="57" t="n">
        <f aca="false">IF(AM102="Sand",0,1000*AK102/(1+AU102)*IF(AQ102+BC102&lt;=BJ102,BI102*LOG10((AQ102+BC102)/AQ102),BI102*LOG10(BJ102/AQ102)+BH102*LOG10((AQ102+BC102)/BJ102)))*BF102</f>
        <v>0</v>
      </c>
      <c r="BL102" s="57" t="n">
        <f aca="false">IF(AM102="Sand",0,10^(INDEX(Input!$Q$51:$Q$57,MIN(MATCH(MIN(MAX(AR102,30),120),Input!$C$51:$C$57,1),6))+(MIN(MAX(AR102,30),120)-INDEX(Input!$C$51:$C$57,MIN(MATCH(MIN(MAX(AR102,30),120),Input!$C$51:$C$57,1),6)))/(INDEX(Input!$C$51:$C$57,MIN(MATCH(MIN(MAX(AR102,30),120),Input!$C$51:$C$57,1),6)+1)-INDEX(Input!$C$51:$C$57,MIN(MATCH(MIN(MAX(AR102,30),120),Input!$C$51:$C$57,1),6)))*(INDEX(Input!$Q$51:$Q$57,MIN(MATCH(MIN(MAX(AR102,30),120),Input!$C$51:$C$57,1),6)+1)-INDEX(Input!$Q$51:$Q$57,MIN(MATCH(MIN(MAX(AR102,30),120),Input!$C$51:$C$57,1),6)))))</f>
        <v>0</v>
      </c>
      <c r="BM102" s="57" t="n">
        <f aca="false">IF(OR(AM102="Sand",BF102=0),0,Input!$AA$41*(AK102/2)^2/(BL102*0.0001*31536000))</f>
        <v>0</v>
      </c>
      <c r="BN102" s="57" t="n">
        <f aca="false">MAX(0,MIN(AJ102,Input!$AA$20)-AI102)</f>
        <v>0</v>
      </c>
      <c r="BO102" s="57" t="n">
        <f aca="false">MAX(0,MIN(AJ102,Input!$AA$20)-MAX(AI102,$AA$23))</f>
        <v>0</v>
      </c>
      <c r="BP102" s="57" t="n">
        <f aca="false">BG102+BK102</f>
        <v>2.71503172231372</v>
      </c>
      <c r="BQ102" s="57"/>
    </row>
    <row r="103" customFormat="false" ht="14.25" hidden="false" customHeight="false" outlineLevel="0" collapsed="false">
      <c r="B103" s="7"/>
      <c r="C103" s="46" t="n">
        <v>21</v>
      </c>
      <c r="D103" s="46"/>
      <c r="E103" s="44" t="n">
        <f aca="false">AI103</f>
        <v>30</v>
      </c>
      <c r="F103" s="44"/>
      <c r="G103" s="44"/>
      <c r="H103" s="44" t="n">
        <f aca="false">AJ103</f>
        <v>31.5</v>
      </c>
      <c r="I103" s="44"/>
      <c r="J103" s="44"/>
      <c r="K103" s="41" t="str">
        <f aca="false">AM103</f>
        <v>Sand</v>
      </c>
      <c r="L103" s="41"/>
      <c r="M103" s="41"/>
      <c r="N103" s="46" t="n">
        <f aca="false">AN103</f>
        <v>40</v>
      </c>
      <c r="O103" s="46"/>
      <c r="P103" s="46"/>
      <c r="Q103" s="42" t="n">
        <f aca="false">AO103</f>
        <v>18.4</v>
      </c>
      <c r="R103" s="42"/>
      <c r="S103" s="42"/>
      <c r="T103" s="46" t="str">
        <f aca="false">IF(AR103="","-",AR103)</f>
        <v>-</v>
      </c>
      <c r="U103" s="46"/>
      <c r="V103" s="46" t="str">
        <f aca="false">IF(AT103="","-",AT103)</f>
        <v>-</v>
      </c>
      <c r="W103" s="46"/>
      <c r="X103" s="44" t="n">
        <f aca="false">AU103</f>
        <v>0.65</v>
      </c>
      <c r="Y103" s="44"/>
      <c r="Z103" s="55" t="n">
        <f aca="false">AV103</f>
        <v>0</v>
      </c>
      <c r="AA103" s="55"/>
      <c r="AB103" s="55"/>
      <c r="AC103" s="42" t="n">
        <f aca="false">AW103</f>
        <v>39.082623904</v>
      </c>
      <c r="AD103" s="42"/>
      <c r="AE103" s="42"/>
      <c r="AF103" s="12"/>
      <c r="AI103" s="56" t="n">
        <v>30</v>
      </c>
      <c r="AJ103" s="56" t="n">
        <v>31.5</v>
      </c>
      <c r="AK103" s="57" t="n">
        <f aca="false">AJ103-AI103</f>
        <v>1.5</v>
      </c>
      <c r="AL103" s="57" t="n">
        <f aca="false">(AI103+AJ103)/2</f>
        <v>30.75</v>
      </c>
      <c r="AM103" s="56" t="s">
        <v>199</v>
      </c>
      <c r="AN103" s="56" t="n">
        <v>40</v>
      </c>
      <c r="AO103" s="58" t="n">
        <f aca="false">IF(AL103&gt;$AA$20,$AA$22,$AA$21)</f>
        <v>18.4</v>
      </c>
      <c r="AP103" s="57" t="n">
        <f aca="false">AP102+AO103*AK103</f>
        <v>580.35</v>
      </c>
      <c r="AQ103" s="57" t="n">
        <f aca="false">AP103-AO103*AK103/2-10*MAX(AL103-$AA$20,0)</f>
        <v>329.05</v>
      </c>
      <c r="AR103" s="56"/>
      <c r="AS103" s="56"/>
      <c r="AT103" s="57" t="str">
        <f aca="false">IF(AR103="","",AR103-AS103)</f>
        <v/>
      </c>
      <c r="AU103" s="56" t="n">
        <v>0.65</v>
      </c>
      <c r="AV103" s="57" t="n">
        <f aca="false">IF(AM103="Sand",0,Input!$AA$34*AN103)</f>
        <v>0</v>
      </c>
      <c r="AW103" s="57" t="n">
        <f aca="false">IF(AM103="Sand",27.1+0.3*MIN(Input!$AA$35*AN103,60)-0.00054*MIN(Input!$AA$35*AN103,60)^2,MIN(MAX(DEGREES(ASIN(0.8-0.094*LN(MAX(IF(AT103="",10,AT103),5)))),20),30))</f>
        <v>39.082623904</v>
      </c>
      <c r="AX103" s="57" t="n">
        <f aca="false">IF(AM103="Sand",Input!$AA$36*Input!$AA$35*AN103,Input!$AA$37*AV103)</f>
        <v>43320</v>
      </c>
      <c r="AY103" s="59" t="n">
        <f aca="false">IF(AM103="Sand",Input!$AA$38,0.5)</f>
        <v>0.3</v>
      </c>
      <c r="AZ103" s="57" t="n">
        <f aca="false">Input!$AA$15/2/AL103</f>
        <v>1.20325203252033</v>
      </c>
      <c r="BA103" s="57" t="n">
        <f aca="false">Input!$AA$16/2/AL103</f>
        <v>3.28455284552846</v>
      </c>
      <c r="BB103" s="57" t="n">
        <f aca="false">1/(4*PI())*(2*AZ103*BA103*SQRT(AZ103^2+BA103^2+1)/(AZ103^2+BA103^2+1+AZ103^2*BA103^2)*(AZ103^2+BA103^2+2)/(AZ103^2+BA103^2+1)+ATAN2(AZ103^2+BA103^2+1-AZ103^2*BA103^2,2*AZ103*BA103*SQRT(AZ103^2+BA103^2+1)))</f>
        <v>0.216877434211778</v>
      </c>
      <c r="BC103" s="57" t="n">
        <f aca="false">4*Input!$AA$14*BB103</f>
        <v>117.981324211207</v>
      </c>
      <c r="BD103" s="57" t="n">
        <f aca="false">((Input!$AA$16/Input!$AA$15)*LN((1+SQRT((Input!$AA$16/Input!$AA$15)^2+1))*SQRT((Input!$AA$16/Input!$AA$15)^2+(AJ103/(Input!$AA$15/2))^2)/((Input!$AA$16/Input!$AA$15)*(1+SQRT((Input!$AA$16/Input!$AA$15)^2+(AJ103/(Input!$AA$15/2))^2+1))))+LN(((Input!$AA$16/Input!$AA$15)+SQRT((Input!$AA$16/Input!$AA$15)^2+1))*SQRT(1+(AJ103/(Input!$AA$15/2))^2)/((Input!$AA$16/Input!$AA$15)+SQRT((Input!$AA$16/Input!$AA$15)^2+(AJ103/(Input!$AA$15/2))^2+1))))/PI()</f>
        <v>0.0935271002119951</v>
      </c>
      <c r="BE103" s="57" t="n">
        <f aca="false">(AJ103/(Input!$AA$15/2))/(2*PI())*ATAN((Input!$AA$16/Input!$AA$15)/((AJ103/(Input!$AA$15/2))*SQRT((Input!$AA$16/Input!$AA$15)^2+(AJ103/(Input!$AA$15/2))^2+1)))</f>
        <v>0.11026665771977</v>
      </c>
      <c r="BF103" s="57" t="n">
        <f aca="false">MAX(0,AJ103-MAX(AI103,$AA$23))/AK103*IF(BC103&gt;=Input!$AA$21*AQ103,1,0)</f>
        <v>1</v>
      </c>
      <c r="BG103" s="57" t="n">
        <f aca="false">4*Input!$AA$14*(Input!$AA$15/2)*(1-AY103^2)/AX103*((BD103-BD102)+(1-2*AY103)/(1-AY103)*(BE103-BE102))*1000*BF103</f>
        <v>3.37738394955323</v>
      </c>
      <c r="BH103" s="57" t="n">
        <f aca="false">IF(AM103="Sand",0,0.009*(AR103-10))</f>
        <v>0</v>
      </c>
      <c r="BI103" s="57" t="n">
        <f aca="false">BH103*Input!$AA$39</f>
        <v>0</v>
      </c>
      <c r="BJ103" s="57" t="n">
        <f aca="false">IF(AM103="Sand",0,MAX(AV103/Input!$AA$40,AQ103))</f>
        <v>0</v>
      </c>
      <c r="BK103" s="57" t="n">
        <f aca="false">IF(AM103="Sand",0,1000*AK103/(1+AU103)*IF(AQ103+BC103&lt;=BJ103,BI103*LOG10((AQ103+BC103)/AQ103),BI103*LOG10(BJ103/AQ103)+BH103*LOG10((AQ103+BC103)/BJ103)))*BF103</f>
        <v>0</v>
      </c>
      <c r="BL103" s="57" t="n">
        <f aca="false">IF(AM103="Sand",0,10^(INDEX(Input!$Q$51:$Q$57,MIN(MATCH(MIN(MAX(AR103,30),120),Input!$C$51:$C$57,1),6))+(MIN(MAX(AR103,30),120)-INDEX(Input!$C$51:$C$57,MIN(MATCH(MIN(MAX(AR103,30),120),Input!$C$51:$C$57,1),6)))/(INDEX(Input!$C$51:$C$57,MIN(MATCH(MIN(MAX(AR103,30),120),Input!$C$51:$C$57,1),6)+1)-INDEX(Input!$C$51:$C$57,MIN(MATCH(MIN(MAX(AR103,30),120),Input!$C$51:$C$57,1),6)))*(INDEX(Input!$Q$51:$Q$57,MIN(MATCH(MIN(MAX(AR103,30),120),Input!$C$51:$C$57,1),6)+1)-INDEX(Input!$Q$51:$Q$57,MIN(MATCH(MIN(MAX(AR103,30),120),Input!$C$51:$C$57,1),6)))))</f>
        <v>0</v>
      </c>
      <c r="BM103" s="57" t="n">
        <f aca="false">IF(OR(AM103="Sand",BF103=0),0,Input!$AA$41*(AK103/2)^2/(BL103*0.0001*31536000))</f>
        <v>0</v>
      </c>
      <c r="BN103" s="57" t="n">
        <f aca="false">MAX(0,MIN(AJ103,Input!$AA$20)-AI103)</f>
        <v>0</v>
      </c>
      <c r="BO103" s="57" t="n">
        <f aca="false">MAX(0,MIN(AJ103,Input!$AA$20)-MAX(AI103,$AA$23))</f>
        <v>0</v>
      </c>
      <c r="BP103" s="57" t="n">
        <f aca="false">BG103+BK103</f>
        <v>3.37738394955323</v>
      </c>
      <c r="BQ103" s="57"/>
    </row>
    <row r="104" customFormat="false" ht="14.25" hidden="false" customHeight="false" outlineLevel="0" collapsed="false">
      <c r="B104" s="7"/>
      <c r="C104" s="46" t="n">
        <v>22</v>
      </c>
      <c r="D104" s="46"/>
      <c r="E104" s="44" t="n">
        <f aca="false">AI104</f>
        <v>31.5</v>
      </c>
      <c r="F104" s="44"/>
      <c r="G104" s="44"/>
      <c r="H104" s="44" t="n">
        <f aca="false">AJ104</f>
        <v>33</v>
      </c>
      <c r="I104" s="44"/>
      <c r="J104" s="44"/>
      <c r="K104" s="41" t="str">
        <f aca="false">AM104</f>
        <v>Sand</v>
      </c>
      <c r="L104" s="41"/>
      <c r="M104" s="41"/>
      <c r="N104" s="46" t="n">
        <f aca="false">AN104</f>
        <v>43</v>
      </c>
      <c r="O104" s="46"/>
      <c r="P104" s="46"/>
      <c r="Q104" s="42" t="n">
        <f aca="false">AO104</f>
        <v>18.4</v>
      </c>
      <c r="R104" s="42"/>
      <c r="S104" s="42"/>
      <c r="T104" s="46" t="str">
        <f aca="false">IF(AR104="","-",AR104)</f>
        <v>-</v>
      </c>
      <c r="U104" s="46"/>
      <c r="V104" s="46" t="str">
        <f aca="false">IF(AT104="","-",AT104)</f>
        <v>-</v>
      </c>
      <c r="W104" s="46"/>
      <c r="X104" s="44" t="n">
        <f aca="false">AU104</f>
        <v>0.65</v>
      </c>
      <c r="Y104" s="44"/>
      <c r="Z104" s="55" t="n">
        <f aca="false">AV104</f>
        <v>0</v>
      </c>
      <c r="AA104" s="55"/>
      <c r="AB104" s="55"/>
      <c r="AC104" s="42" t="n">
        <f aca="false">AW104</f>
        <v>39.89961724906</v>
      </c>
      <c r="AD104" s="42"/>
      <c r="AE104" s="42"/>
      <c r="AF104" s="12"/>
      <c r="AI104" s="56" t="n">
        <v>31.5</v>
      </c>
      <c r="AJ104" s="56" t="n">
        <v>33</v>
      </c>
      <c r="AK104" s="57" t="n">
        <f aca="false">AJ104-AI104</f>
        <v>1.5</v>
      </c>
      <c r="AL104" s="57" t="n">
        <f aca="false">(AI104+AJ104)/2</f>
        <v>32.25</v>
      </c>
      <c r="AM104" s="56" t="s">
        <v>199</v>
      </c>
      <c r="AN104" s="56" t="n">
        <v>43</v>
      </c>
      <c r="AO104" s="58" t="n">
        <f aca="false">IF(AL104&gt;$AA$20,$AA$22,$AA$21)</f>
        <v>18.4</v>
      </c>
      <c r="AP104" s="57" t="n">
        <f aca="false">AP103+AO104*AK104</f>
        <v>607.95</v>
      </c>
      <c r="AQ104" s="57" t="n">
        <f aca="false">AP104-AO104*AK104/2-10*MAX(AL104-$AA$20,0)</f>
        <v>341.65</v>
      </c>
      <c r="AR104" s="56"/>
      <c r="AS104" s="56"/>
      <c r="AT104" s="57" t="str">
        <f aca="false">IF(AR104="","",AR104-AS104)</f>
        <v/>
      </c>
      <c r="AU104" s="56" t="n">
        <v>0.65</v>
      </c>
      <c r="AV104" s="57" t="n">
        <f aca="false">IF(AM104="Sand",0,Input!$AA$34*AN104)</f>
        <v>0</v>
      </c>
      <c r="AW104" s="57" t="n">
        <f aca="false">IF(AM104="Sand",27.1+0.3*MIN(Input!$AA$35*AN104,60)-0.00054*MIN(Input!$AA$35*AN104,60)^2,MIN(MAX(DEGREES(ASIN(0.8-0.094*LN(MAX(IF(AT104="",10,AT104),5)))),20),30))</f>
        <v>39.89961724906</v>
      </c>
      <c r="AX104" s="57" t="n">
        <f aca="false">IF(AM104="Sand",Input!$AA$36*Input!$AA$35*AN104,Input!$AA$37*AV104)</f>
        <v>46569</v>
      </c>
      <c r="AY104" s="59" t="n">
        <f aca="false">IF(AM104="Sand",Input!$AA$38,0.5)</f>
        <v>0.3</v>
      </c>
      <c r="AZ104" s="57" t="n">
        <f aca="false">Input!$AA$15/2/AL104</f>
        <v>1.14728682170543</v>
      </c>
      <c r="BA104" s="57" t="n">
        <f aca="false">Input!$AA$16/2/AL104</f>
        <v>3.13178294573643</v>
      </c>
      <c r="BB104" s="57" t="n">
        <f aca="false">1/(4*PI())*(2*AZ104*BA104*SQRT(AZ104^2+BA104^2+1)/(AZ104^2+BA104^2+1+AZ104^2*BA104^2)*(AZ104^2+BA104^2+2)/(AZ104^2+BA104^2+1)+ATAN2(AZ104^2+BA104^2+1-AZ104^2*BA104^2,2*AZ104*BA104*SQRT(AZ104^2+BA104^2+1)))</f>
        <v>0.213596428347991</v>
      </c>
      <c r="BC104" s="57" t="n">
        <f aca="false">4*Input!$AA$14*BB104</f>
        <v>116.196457021307</v>
      </c>
      <c r="BD104" s="57" t="n">
        <f aca="false">((Input!$AA$16/Input!$AA$15)*LN((1+SQRT((Input!$AA$16/Input!$AA$15)^2+1))*SQRT((Input!$AA$16/Input!$AA$15)^2+(AJ104/(Input!$AA$15/2))^2)/((Input!$AA$16/Input!$AA$15)*(1+SQRT((Input!$AA$16/Input!$AA$15)^2+(AJ104/(Input!$AA$15/2))^2+1))))+LN(((Input!$AA$16/Input!$AA$15)+SQRT((Input!$AA$16/Input!$AA$15)^2+1))*SQRT(1+(AJ104/(Input!$AA$15/2))^2)/((Input!$AA$16/Input!$AA$15)+SQRT((Input!$AA$16/Input!$AA$15)^2+(AJ104/(Input!$AA$15/2))^2+1))))/PI()</f>
        <v>0.100507369360851</v>
      </c>
      <c r="BE104" s="57" t="n">
        <f aca="false">(AJ104/(Input!$AA$15/2))/(2*PI())*ATAN((Input!$AA$16/Input!$AA$15)/((AJ104/(Input!$AA$15/2))*SQRT((Input!$AA$16/Input!$AA$15)^2+(AJ104/(Input!$AA$15/2))^2+1)))</f>
        <v>0.111945618485189</v>
      </c>
      <c r="BF104" s="57" t="n">
        <f aca="false">MAX(0,AJ104-MAX(AI104,$AA$23))/AK104*IF(BC104&gt;=Input!$AA$21*AQ104,1,0)</f>
        <v>1</v>
      </c>
      <c r="BG104" s="57" t="n">
        <f aca="false">4*Input!$AA$14*(Input!$AA$15/2)*(1-AY104^2)/AX104*((BD104-BD103)+(1-2*AY104)/(1-AY104)*(BE104-BE103))*1000*BF104</f>
        <v>3.12282642634641</v>
      </c>
      <c r="BH104" s="57" t="n">
        <f aca="false">IF(AM104="Sand",0,0.009*(AR104-10))</f>
        <v>0</v>
      </c>
      <c r="BI104" s="57" t="n">
        <f aca="false">BH104*Input!$AA$39</f>
        <v>0</v>
      </c>
      <c r="BJ104" s="57" t="n">
        <f aca="false">IF(AM104="Sand",0,MAX(AV104/Input!$AA$40,AQ104))</f>
        <v>0</v>
      </c>
      <c r="BK104" s="57" t="n">
        <f aca="false">IF(AM104="Sand",0,1000*AK104/(1+AU104)*IF(AQ104+BC104&lt;=BJ104,BI104*LOG10((AQ104+BC104)/AQ104),BI104*LOG10(BJ104/AQ104)+BH104*LOG10((AQ104+BC104)/BJ104)))*BF104</f>
        <v>0</v>
      </c>
      <c r="BL104" s="57" t="n">
        <f aca="false">IF(AM104="Sand",0,10^(INDEX(Input!$Q$51:$Q$57,MIN(MATCH(MIN(MAX(AR104,30),120),Input!$C$51:$C$57,1),6))+(MIN(MAX(AR104,30),120)-INDEX(Input!$C$51:$C$57,MIN(MATCH(MIN(MAX(AR104,30),120),Input!$C$51:$C$57,1),6)))/(INDEX(Input!$C$51:$C$57,MIN(MATCH(MIN(MAX(AR104,30),120),Input!$C$51:$C$57,1),6)+1)-INDEX(Input!$C$51:$C$57,MIN(MATCH(MIN(MAX(AR104,30),120),Input!$C$51:$C$57,1),6)))*(INDEX(Input!$Q$51:$Q$57,MIN(MATCH(MIN(MAX(AR104,30),120),Input!$C$51:$C$57,1),6)+1)-INDEX(Input!$Q$51:$Q$57,MIN(MATCH(MIN(MAX(AR104,30),120),Input!$C$51:$C$57,1),6)))))</f>
        <v>0</v>
      </c>
      <c r="BM104" s="57" t="n">
        <f aca="false">IF(OR(AM104="Sand",BF104=0),0,Input!$AA$41*(AK104/2)^2/(BL104*0.0001*31536000))</f>
        <v>0</v>
      </c>
      <c r="BN104" s="57" t="n">
        <f aca="false">MAX(0,MIN(AJ104,Input!$AA$20)-AI104)</f>
        <v>0</v>
      </c>
      <c r="BO104" s="57" t="n">
        <f aca="false">MAX(0,MIN(AJ104,Input!$AA$20)-MAX(AI104,$AA$23))</f>
        <v>0</v>
      </c>
      <c r="BP104" s="57" t="n">
        <f aca="false">BG104+BK104</f>
        <v>3.12282642634641</v>
      </c>
      <c r="BQ104" s="57"/>
    </row>
    <row r="105" customFormat="false" ht="14.25" hidden="false" customHeight="false" outlineLevel="0" collapsed="false">
      <c r="B105" s="7"/>
      <c r="C105" s="46" t="n">
        <v>23</v>
      </c>
      <c r="D105" s="46"/>
      <c r="E105" s="44" t="n">
        <f aca="false">AI105</f>
        <v>33</v>
      </c>
      <c r="F105" s="44"/>
      <c r="G105" s="44"/>
      <c r="H105" s="44" t="n">
        <f aca="false">AJ105</f>
        <v>34.5</v>
      </c>
      <c r="I105" s="44"/>
      <c r="J105" s="44"/>
      <c r="K105" s="41" t="str">
        <f aca="false">AM105</f>
        <v>Sand</v>
      </c>
      <c r="L105" s="41"/>
      <c r="M105" s="41"/>
      <c r="N105" s="46" t="n">
        <f aca="false">AN105</f>
        <v>26</v>
      </c>
      <c r="O105" s="46"/>
      <c r="P105" s="46"/>
      <c r="Q105" s="42" t="n">
        <f aca="false">AO105</f>
        <v>18.4</v>
      </c>
      <c r="R105" s="42"/>
      <c r="S105" s="42"/>
      <c r="T105" s="46" t="str">
        <f aca="false">IF(AR105="","-",AR105)</f>
        <v>-</v>
      </c>
      <c r="U105" s="46"/>
      <c r="V105" s="46" t="str">
        <f aca="false">IF(AT105="","-",AT105)</f>
        <v>-</v>
      </c>
      <c r="W105" s="46"/>
      <c r="X105" s="44" t="n">
        <f aca="false">AU105</f>
        <v>0.65</v>
      </c>
      <c r="Y105" s="44"/>
      <c r="Z105" s="55" t="n">
        <f aca="false">AV105</f>
        <v>0</v>
      </c>
      <c r="AA105" s="55"/>
      <c r="AB105" s="55"/>
      <c r="AC105" s="42" t="n">
        <f aca="false">AW105</f>
        <v>35.11924859944</v>
      </c>
      <c r="AD105" s="42"/>
      <c r="AE105" s="42"/>
      <c r="AF105" s="12"/>
      <c r="AI105" s="56" t="n">
        <v>33</v>
      </c>
      <c r="AJ105" s="56" t="n">
        <v>34.5</v>
      </c>
      <c r="AK105" s="57" t="n">
        <f aca="false">AJ105-AI105</f>
        <v>1.5</v>
      </c>
      <c r="AL105" s="57" t="n">
        <f aca="false">(AI105+AJ105)/2</f>
        <v>33.75</v>
      </c>
      <c r="AM105" s="56" t="s">
        <v>199</v>
      </c>
      <c r="AN105" s="56" t="n">
        <v>26</v>
      </c>
      <c r="AO105" s="58" t="n">
        <f aca="false">IF(AL105&gt;$AA$20,$AA$22,$AA$21)</f>
        <v>18.4</v>
      </c>
      <c r="AP105" s="57" t="n">
        <f aca="false">AP104+AO105*AK105</f>
        <v>635.55</v>
      </c>
      <c r="AQ105" s="57" t="n">
        <f aca="false">AP105-AO105*AK105/2-10*MAX(AL105-$AA$20,0)</f>
        <v>354.25</v>
      </c>
      <c r="AR105" s="56"/>
      <c r="AS105" s="56"/>
      <c r="AT105" s="57" t="str">
        <f aca="false">IF(AR105="","",AR105-AS105)</f>
        <v/>
      </c>
      <c r="AU105" s="56" t="n">
        <v>0.65</v>
      </c>
      <c r="AV105" s="57" t="n">
        <f aca="false">IF(AM105="Sand",0,Input!$AA$34*AN105)</f>
        <v>0</v>
      </c>
      <c r="AW105" s="57" t="n">
        <f aca="false">IF(AM105="Sand",27.1+0.3*MIN(Input!$AA$35*AN105,60)-0.00054*MIN(Input!$AA$35*AN105,60)^2,MIN(MAX(DEGREES(ASIN(0.8-0.094*LN(MAX(IF(AT105="",10,AT105),5)))),20),30))</f>
        <v>35.11924859944</v>
      </c>
      <c r="AX105" s="57" t="n">
        <f aca="false">IF(AM105="Sand",Input!$AA$36*Input!$AA$35*AN105,Input!$AA$37*AV105)</f>
        <v>28158</v>
      </c>
      <c r="AY105" s="59" t="n">
        <f aca="false">IF(AM105="Sand",Input!$AA$38,0.5)</f>
        <v>0.3</v>
      </c>
      <c r="AZ105" s="57" t="n">
        <f aca="false">Input!$AA$15/2/AL105</f>
        <v>1.0962962962963</v>
      </c>
      <c r="BA105" s="57" t="n">
        <f aca="false">Input!$AA$16/2/AL105</f>
        <v>2.99259259259259</v>
      </c>
      <c r="BB105" s="57" t="n">
        <f aca="false">1/(4*PI())*(2*AZ105*BA105*SQRT(AZ105^2+BA105^2+1)/(AZ105^2+BA105^2+1+AZ105^2*BA105^2)*(AZ105^2+BA105^2+2)/(AZ105^2+BA105^2+1)+ATAN2(AZ105^2+BA105^2+1-AZ105^2*BA105^2,2*AZ105*BA105*SQRT(AZ105^2+BA105^2+1)))</f>
        <v>0.210265162671487</v>
      </c>
      <c r="BC105" s="57" t="n">
        <f aca="false">4*Input!$AA$14*BB105</f>
        <v>114.384248493289</v>
      </c>
      <c r="BD105" s="57" t="n">
        <f aca="false">((Input!$AA$16/Input!$AA$15)*LN((1+SQRT((Input!$AA$16/Input!$AA$15)^2+1))*SQRT((Input!$AA$16/Input!$AA$15)^2+(AJ105/(Input!$AA$15/2))^2)/((Input!$AA$16/Input!$AA$15)*(1+SQRT((Input!$AA$16/Input!$AA$15)^2+(AJ105/(Input!$AA$15/2))^2+1))))+LN(((Input!$AA$16/Input!$AA$15)+SQRT((Input!$AA$16/Input!$AA$15)^2+1))*SQRT(1+(AJ105/(Input!$AA$15/2))^2)/((Input!$AA$16/Input!$AA$15)+SQRT((Input!$AA$16/Input!$AA$15)^2+(AJ105/(Input!$AA$15/2))^2+1))))/PI()</f>
        <v>0.107536123549061</v>
      </c>
      <c r="BE105" s="57" t="n">
        <f aca="false">(AJ105/(Input!$AA$15/2))/(2*PI())*ATAN((Input!$AA$16/Input!$AA$15)/((AJ105/(Input!$AA$15/2))*SQRT((Input!$AA$16/Input!$AA$15)^2+(AJ105/(Input!$AA$15/2))^2+1)))</f>
        <v>0.113441066921048</v>
      </c>
      <c r="BF105" s="57" t="n">
        <f aca="false">MAX(0,AJ105-MAX(AI105,$AA$23))/AK105*IF(BC105&gt;=Input!$AA$21*AQ105,1,0)</f>
        <v>1</v>
      </c>
      <c r="BG105" s="57" t="n">
        <f aca="false">4*Input!$AA$14*(Input!$AA$15/2)*(1-AY105^2)/AX105*((BD105-BD104)+(1-2*AY105)/(1-AY105)*(BE105-BE104))*1000*BF105</f>
        <v>5.12800043661121</v>
      </c>
      <c r="BH105" s="57" t="n">
        <f aca="false">IF(AM105="Sand",0,0.009*(AR105-10))</f>
        <v>0</v>
      </c>
      <c r="BI105" s="57" t="n">
        <f aca="false">BH105*Input!$AA$39</f>
        <v>0</v>
      </c>
      <c r="BJ105" s="57" t="n">
        <f aca="false">IF(AM105="Sand",0,MAX(AV105/Input!$AA$40,AQ105))</f>
        <v>0</v>
      </c>
      <c r="BK105" s="57" t="n">
        <f aca="false">IF(AM105="Sand",0,1000*AK105/(1+AU105)*IF(AQ105+BC105&lt;=BJ105,BI105*LOG10((AQ105+BC105)/AQ105),BI105*LOG10(BJ105/AQ105)+BH105*LOG10((AQ105+BC105)/BJ105)))*BF105</f>
        <v>0</v>
      </c>
      <c r="BL105" s="57" t="n">
        <f aca="false">IF(AM105="Sand",0,10^(INDEX(Input!$Q$51:$Q$57,MIN(MATCH(MIN(MAX(AR105,30),120),Input!$C$51:$C$57,1),6))+(MIN(MAX(AR105,30),120)-INDEX(Input!$C$51:$C$57,MIN(MATCH(MIN(MAX(AR105,30),120),Input!$C$51:$C$57,1),6)))/(INDEX(Input!$C$51:$C$57,MIN(MATCH(MIN(MAX(AR105,30),120),Input!$C$51:$C$57,1),6)+1)-INDEX(Input!$C$51:$C$57,MIN(MATCH(MIN(MAX(AR105,30),120),Input!$C$51:$C$57,1),6)))*(INDEX(Input!$Q$51:$Q$57,MIN(MATCH(MIN(MAX(AR105,30),120),Input!$C$51:$C$57,1),6)+1)-INDEX(Input!$Q$51:$Q$57,MIN(MATCH(MIN(MAX(AR105,30),120),Input!$C$51:$C$57,1),6)))))</f>
        <v>0</v>
      </c>
      <c r="BM105" s="57" t="n">
        <f aca="false">IF(OR(AM105="Sand",BF105=0),0,Input!$AA$41*(AK105/2)^2/(BL105*0.0001*31536000))</f>
        <v>0</v>
      </c>
      <c r="BN105" s="57" t="n">
        <f aca="false">MAX(0,MIN(AJ105,Input!$AA$20)-AI105)</f>
        <v>0</v>
      </c>
      <c r="BO105" s="57" t="n">
        <f aca="false">MAX(0,MIN(AJ105,Input!$AA$20)-MAX(AI105,$AA$23))</f>
        <v>0</v>
      </c>
      <c r="BP105" s="57" t="n">
        <f aca="false">BG105+BK105</f>
        <v>5.12800043661121</v>
      </c>
      <c r="BQ105" s="57"/>
    </row>
    <row r="106" customFormat="false" ht="14.25" hidden="false" customHeight="false" outlineLevel="0" collapsed="false">
      <c r="B106" s="7"/>
      <c r="C106" s="46" t="n">
        <v>24</v>
      </c>
      <c r="D106" s="46"/>
      <c r="E106" s="44" t="n">
        <f aca="false">AI106</f>
        <v>34.5</v>
      </c>
      <c r="F106" s="44"/>
      <c r="G106" s="44"/>
      <c r="H106" s="44" t="n">
        <f aca="false">AJ106</f>
        <v>36</v>
      </c>
      <c r="I106" s="44"/>
      <c r="J106" s="44"/>
      <c r="K106" s="41" t="str">
        <f aca="false">AM106</f>
        <v>Sand</v>
      </c>
      <c r="L106" s="41"/>
      <c r="M106" s="41"/>
      <c r="N106" s="46" t="n">
        <f aca="false">AN106</f>
        <v>53</v>
      </c>
      <c r="O106" s="46"/>
      <c r="P106" s="46"/>
      <c r="Q106" s="42" t="n">
        <f aca="false">AO106</f>
        <v>18.4</v>
      </c>
      <c r="R106" s="42"/>
      <c r="S106" s="42"/>
      <c r="T106" s="46" t="str">
        <f aca="false">IF(AR106="","-",AR106)</f>
        <v>-</v>
      </c>
      <c r="U106" s="46"/>
      <c r="V106" s="46" t="str">
        <f aca="false">IF(AT106="","-",AT106)</f>
        <v>-</v>
      </c>
      <c r="W106" s="46"/>
      <c r="X106" s="44" t="n">
        <f aca="false">AU106</f>
        <v>0.65</v>
      </c>
      <c r="Y106" s="44"/>
      <c r="Z106" s="55" t="n">
        <f aca="false">AV106</f>
        <v>0</v>
      </c>
      <c r="AA106" s="55"/>
      <c r="AB106" s="55"/>
      <c r="AC106" s="42" t="n">
        <f aca="false">AW106</f>
        <v>42.54059159146</v>
      </c>
      <c r="AD106" s="42"/>
      <c r="AE106" s="42"/>
      <c r="AF106" s="12"/>
      <c r="AI106" s="56" t="n">
        <v>34.5</v>
      </c>
      <c r="AJ106" s="56" t="n">
        <v>36</v>
      </c>
      <c r="AK106" s="57" t="n">
        <f aca="false">AJ106-AI106</f>
        <v>1.5</v>
      </c>
      <c r="AL106" s="57" t="n">
        <f aca="false">(AI106+AJ106)/2</f>
        <v>35.25</v>
      </c>
      <c r="AM106" s="56" t="s">
        <v>199</v>
      </c>
      <c r="AN106" s="56" t="n">
        <v>53</v>
      </c>
      <c r="AO106" s="58" t="n">
        <f aca="false">IF(AL106&gt;$AA$20,$AA$22,$AA$21)</f>
        <v>18.4</v>
      </c>
      <c r="AP106" s="57" t="n">
        <f aca="false">AP105+AO106*AK106</f>
        <v>663.15</v>
      </c>
      <c r="AQ106" s="57" t="n">
        <f aca="false">AP106-AO106*AK106/2-10*MAX(AL106-$AA$20,0)</f>
        <v>366.85</v>
      </c>
      <c r="AR106" s="56"/>
      <c r="AS106" s="56"/>
      <c r="AT106" s="57" t="str">
        <f aca="false">IF(AR106="","",AR106-AS106)</f>
        <v/>
      </c>
      <c r="AU106" s="56" t="n">
        <v>0.65</v>
      </c>
      <c r="AV106" s="57" t="n">
        <f aca="false">IF(AM106="Sand",0,Input!$AA$34*AN106)</f>
        <v>0</v>
      </c>
      <c r="AW106" s="57" t="n">
        <f aca="false">IF(AM106="Sand",27.1+0.3*MIN(Input!$AA$35*AN106,60)-0.00054*MIN(Input!$AA$35*AN106,60)^2,MIN(MAX(DEGREES(ASIN(0.8-0.094*LN(MAX(IF(AT106="",10,AT106),5)))),20),30))</f>
        <v>42.54059159146</v>
      </c>
      <c r="AX106" s="57" t="n">
        <f aca="false">IF(AM106="Sand",Input!$AA$36*Input!$AA$35*AN106,Input!$AA$37*AV106)</f>
        <v>57399</v>
      </c>
      <c r="AY106" s="59" t="n">
        <f aca="false">IF(AM106="Sand",Input!$AA$38,0.5)</f>
        <v>0.3</v>
      </c>
      <c r="AZ106" s="57" t="n">
        <f aca="false">Input!$AA$15/2/AL106</f>
        <v>1.04964539007092</v>
      </c>
      <c r="BA106" s="57" t="n">
        <f aca="false">Input!$AA$16/2/AL106</f>
        <v>2.86524822695035</v>
      </c>
      <c r="BB106" s="57" t="n">
        <f aca="false">1/(4*PI())*(2*AZ106*BA106*SQRT(AZ106^2+BA106^2+1)/(AZ106^2+BA106^2+1+AZ106^2*BA106^2)*(AZ106^2+BA106^2+2)/(AZ106^2+BA106^2+1)+ATAN2(AZ106^2+BA106^2+1-AZ106^2*BA106^2,2*AZ106*BA106*SQRT(AZ106^2+BA106^2+1)))</f>
        <v>0.206897854810704</v>
      </c>
      <c r="BC106" s="57" t="n">
        <f aca="false">4*Input!$AA$14*BB106</f>
        <v>112.552433017023</v>
      </c>
      <c r="BD106" s="57" t="n">
        <f aca="false">((Input!$AA$16/Input!$AA$15)*LN((1+SQRT((Input!$AA$16/Input!$AA$15)^2+1))*SQRT((Input!$AA$16/Input!$AA$15)^2+(AJ106/(Input!$AA$15/2))^2)/((Input!$AA$16/Input!$AA$15)*(1+SQRT((Input!$AA$16/Input!$AA$15)^2+(AJ106/(Input!$AA$15/2))^2+1))))+LN(((Input!$AA$16/Input!$AA$15)+SQRT((Input!$AA$16/Input!$AA$15)^2+1))*SQRT(1+(AJ106/(Input!$AA$15/2))^2)/((Input!$AA$16/Input!$AA$15)+SQRT((Input!$AA$16/Input!$AA$15)^2+(AJ106/(Input!$AA$15/2))^2+1))))/PI()</f>
        <v>0.114598360022051</v>
      </c>
      <c r="BE106" s="57" t="n">
        <f aca="false">(AJ106/(Input!$AA$15/2))/(2*PI())*ATAN((Input!$AA$16/Input!$AA$15)/((AJ106/(Input!$AA$15/2))*SQRT((Input!$AA$16/Input!$AA$15)^2+(AJ106/(Input!$AA$15/2))^2+1)))</f>
        <v>0.114766542433847</v>
      </c>
      <c r="BF106" s="57" t="n">
        <f aca="false">MAX(0,AJ106-MAX(AI106,$AA$23))/AK106*IF(BC106&gt;=Input!$AA$21*AQ106,1,0)</f>
        <v>1</v>
      </c>
      <c r="BG106" s="57" t="n">
        <f aca="false">4*Input!$AA$14*(Input!$AA$15/2)*(1-AY106^2)/AX106*((BD106-BD105)+(1-2*AY106)/(1-AY106)*(BE106-BE105))*1000*BF106</f>
        <v>2.49531319528265</v>
      </c>
      <c r="BH106" s="57" t="n">
        <f aca="false">IF(AM106="Sand",0,0.009*(AR106-10))</f>
        <v>0</v>
      </c>
      <c r="BI106" s="57" t="n">
        <f aca="false">BH106*Input!$AA$39</f>
        <v>0</v>
      </c>
      <c r="BJ106" s="57" t="n">
        <f aca="false">IF(AM106="Sand",0,MAX(AV106/Input!$AA$40,AQ106))</f>
        <v>0</v>
      </c>
      <c r="BK106" s="57" t="n">
        <f aca="false">IF(AM106="Sand",0,1000*AK106/(1+AU106)*IF(AQ106+BC106&lt;=BJ106,BI106*LOG10((AQ106+BC106)/AQ106),BI106*LOG10(BJ106/AQ106)+BH106*LOG10((AQ106+BC106)/BJ106)))*BF106</f>
        <v>0</v>
      </c>
      <c r="BL106" s="57" t="n">
        <f aca="false">IF(AM106="Sand",0,10^(INDEX(Input!$Q$51:$Q$57,MIN(MATCH(MIN(MAX(AR106,30),120),Input!$C$51:$C$57,1),6))+(MIN(MAX(AR106,30),120)-INDEX(Input!$C$51:$C$57,MIN(MATCH(MIN(MAX(AR106,30),120),Input!$C$51:$C$57,1),6)))/(INDEX(Input!$C$51:$C$57,MIN(MATCH(MIN(MAX(AR106,30),120),Input!$C$51:$C$57,1),6)+1)-INDEX(Input!$C$51:$C$57,MIN(MATCH(MIN(MAX(AR106,30),120),Input!$C$51:$C$57,1),6)))*(INDEX(Input!$Q$51:$Q$57,MIN(MATCH(MIN(MAX(AR106,30),120),Input!$C$51:$C$57,1),6)+1)-INDEX(Input!$Q$51:$Q$57,MIN(MATCH(MIN(MAX(AR106,30),120),Input!$C$51:$C$57,1),6)))))</f>
        <v>0</v>
      </c>
      <c r="BM106" s="57" t="n">
        <f aca="false">IF(OR(AM106="Sand",BF106=0),0,Input!$AA$41*(AK106/2)^2/(BL106*0.0001*31536000))</f>
        <v>0</v>
      </c>
      <c r="BN106" s="57" t="n">
        <f aca="false">MAX(0,MIN(AJ106,Input!$AA$20)-AI106)</f>
        <v>0</v>
      </c>
      <c r="BO106" s="57" t="n">
        <f aca="false">MAX(0,MIN(AJ106,Input!$AA$20)-MAX(AI106,$AA$23))</f>
        <v>0</v>
      </c>
      <c r="BP106" s="57" t="n">
        <f aca="false">BG106+BK106</f>
        <v>2.49531319528265</v>
      </c>
      <c r="BQ106" s="57"/>
    </row>
    <row r="107" customFormat="false" ht="14.25" hidden="false" customHeight="false" outlineLevel="0" collapsed="false">
      <c r="B107" s="7"/>
      <c r="C107" s="46" t="n">
        <v>25</v>
      </c>
      <c r="D107" s="46"/>
      <c r="E107" s="44" t="n">
        <f aca="false">AI107</f>
        <v>36</v>
      </c>
      <c r="F107" s="44"/>
      <c r="G107" s="44"/>
      <c r="H107" s="44" t="n">
        <f aca="false">AJ107</f>
        <v>37.5</v>
      </c>
      <c r="I107" s="44"/>
      <c r="J107" s="44"/>
      <c r="K107" s="41" t="str">
        <f aca="false">AM107</f>
        <v>Sand</v>
      </c>
      <c r="L107" s="41"/>
      <c r="M107" s="41"/>
      <c r="N107" s="46" t="n">
        <f aca="false">AN107</f>
        <v>54</v>
      </c>
      <c r="O107" s="46"/>
      <c r="P107" s="46"/>
      <c r="Q107" s="42" t="n">
        <f aca="false">AO107</f>
        <v>18.4</v>
      </c>
      <c r="R107" s="42"/>
      <c r="S107" s="42"/>
      <c r="T107" s="46" t="str">
        <f aca="false">IF(AR107="","-",AR107)</f>
        <v>-</v>
      </c>
      <c r="U107" s="46"/>
      <c r="V107" s="46" t="str">
        <f aca="false">IF(AT107="","-",AT107)</f>
        <v>-</v>
      </c>
      <c r="W107" s="46"/>
      <c r="X107" s="44" t="n">
        <f aca="false">AU107</f>
        <v>0.65</v>
      </c>
      <c r="Y107" s="44"/>
      <c r="Z107" s="55" t="n">
        <f aca="false">AV107</f>
        <v>0</v>
      </c>
      <c r="AA107" s="55"/>
      <c r="AB107" s="55"/>
      <c r="AC107" s="42" t="n">
        <f aca="false">AW107</f>
        <v>42.79772206504</v>
      </c>
      <c r="AD107" s="42"/>
      <c r="AE107" s="42"/>
      <c r="AF107" s="12"/>
      <c r="AI107" s="56" t="n">
        <v>36</v>
      </c>
      <c r="AJ107" s="56" t="n">
        <v>37.5</v>
      </c>
      <c r="AK107" s="57" t="n">
        <f aca="false">AJ107-AI107</f>
        <v>1.5</v>
      </c>
      <c r="AL107" s="57" t="n">
        <f aca="false">(AI107+AJ107)/2</f>
        <v>36.75</v>
      </c>
      <c r="AM107" s="56" t="s">
        <v>199</v>
      </c>
      <c r="AN107" s="56" t="n">
        <v>54</v>
      </c>
      <c r="AO107" s="58" t="n">
        <f aca="false">IF(AL107&gt;$AA$20,$AA$22,$AA$21)</f>
        <v>18.4</v>
      </c>
      <c r="AP107" s="57" t="n">
        <f aca="false">AP106+AO107*AK107</f>
        <v>690.75</v>
      </c>
      <c r="AQ107" s="57" t="n">
        <f aca="false">AP107-AO107*AK107/2-10*MAX(AL107-$AA$20,0)</f>
        <v>379.45</v>
      </c>
      <c r="AR107" s="56"/>
      <c r="AS107" s="56"/>
      <c r="AT107" s="57" t="str">
        <f aca="false">IF(AR107="","",AR107-AS107)</f>
        <v/>
      </c>
      <c r="AU107" s="56" t="n">
        <v>0.65</v>
      </c>
      <c r="AV107" s="57" t="n">
        <f aca="false">IF(AM107="Sand",0,Input!$AA$34*AN107)</f>
        <v>0</v>
      </c>
      <c r="AW107" s="57" t="n">
        <f aca="false">IF(AM107="Sand",27.1+0.3*MIN(Input!$AA$35*AN107,60)-0.00054*MIN(Input!$AA$35*AN107,60)^2,MIN(MAX(DEGREES(ASIN(0.8-0.094*LN(MAX(IF(AT107="",10,AT107),5)))),20),30))</f>
        <v>42.79772206504</v>
      </c>
      <c r="AX107" s="57" t="n">
        <f aca="false">IF(AM107="Sand",Input!$AA$36*Input!$AA$35*AN107,Input!$AA$37*AV107)</f>
        <v>58482</v>
      </c>
      <c r="AY107" s="59" t="n">
        <f aca="false">IF(AM107="Sand",Input!$AA$38,0.5)</f>
        <v>0.3</v>
      </c>
      <c r="AZ107" s="57" t="n">
        <f aca="false">Input!$AA$15/2/AL107</f>
        <v>1.00680272108844</v>
      </c>
      <c r="BA107" s="57" t="n">
        <f aca="false">Input!$AA$16/2/AL107</f>
        <v>2.74829931972789</v>
      </c>
      <c r="BB107" s="57" t="n">
        <f aca="false">1/(4*PI())*(2*AZ107*BA107*SQRT(AZ107^2+BA107^2+1)/(AZ107^2+BA107^2+1+AZ107^2*BA107^2)*(AZ107^2+BA107^2+2)/(AZ107^2+BA107^2+1)+ATAN2(AZ107^2+BA107^2+1-AZ107^2*BA107^2,2*AZ107*BA107*SQRT(AZ107^2+BA107^2+1)))</f>
        <v>0.203507435681733</v>
      </c>
      <c r="BC107" s="57" t="n">
        <f aca="false">4*Input!$AA$14*BB107</f>
        <v>110.708045010863</v>
      </c>
      <c r="BD107" s="57" t="n">
        <f aca="false">((Input!$AA$16/Input!$AA$15)*LN((1+SQRT((Input!$AA$16/Input!$AA$15)^2+1))*SQRT((Input!$AA$16/Input!$AA$15)^2+(AJ107/(Input!$AA$15/2))^2)/((Input!$AA$16/Input!$AA$15)*(1+SQRT((Input!$AA$16/Input!$AA$15)^2+(AJ107/(Input!$AA$15/2))^2+1))))+LN(((Input!$AA$16/Input!$AA$15)+SQRT((Input!$AA$16/Input!$AA$15)^2+1))*SQRT(1+(AJ107/(Input!$AA$15/2))^2)/((Input!$AA$16/Input!$AA$15)+SQRT((Input!$AA$16/Input!$AA$15)^2+(AJ107/(Input!$AA$15/2))^2+1))))/PI()</f>
        <v>0.121680536390531</v>
      </c>
      <c r="BE107" s="57" t="n">
        <f aca="false">(AJ107/(Input!$AA$15/2))/(2*PI())*ATAN((Input!$AA$16/Input!$AA$15)/((AJ107/(Input!$AA$15/2))*SQRT((Input!$AA$16/Input!$AA$15)^2+(AJ107/(Input!$AA$15/2))^2+1)))</f>
        <v>0.115934648292991</v>
      </c>
      <c r="BF107" s="57" t="n">
        <f aca="false">MAX(0,AJ107-MAX(AI107,$AA$23))/AK107*IF(BC107&gt;=Input!$AA$21*AQ107,1,0)</f>
        <v>1</v>
      </c>
      <c r="BG107" s="57" t="n">
        <f aca="false">4*Input!$AA$14*(Input!$AA$15/2)*(1-AY107^2)/AX107*((BD107-BD106)+(1-2*AY107)/(1-AY107)*(BE107-BE106))*1000*BF107</f>
        <v>2.42718429381396</v>
      </c>
      <c r="BH107" s="57" t="n">
        <f aca="false">IF(AM107="Sand",0,0.009*(AR107-10))</f>
        <v>0</v>
      </c>
      <c r="BI107" s="57" t="n">
        <f aca="false">BH107*Input!$AA$39</f>
        <v>0</v>
      </c>
      <c r="BJ107" s="57" t="n">
        <f aca="false">IF(AM107="Sand",0,MAX(AV107/Input!$AA$40,AQ107))</f>
        <v>0</v>
      </c>
      <c r="BK107" s="57" t="n">
        <f aca="false">IF(AM107="Sand",0,1000*AK107/(1+AU107)*IF(AQ107+BC107&lt;=BJ107,BI107*LOG10((AQ107+BC107)/AQ107),BI107*LOG10(BJ107/AQ107)+BH107*LOG10((AQ107+BC107)/BJ107)))*BF107</f>
        <v>0</v>
      </c>
      <c r="BL107" s="57" t="n">
        <f aca="false">IF(AM107="Sand",0,10^(INDEX(Input!$Q$51:$Q$57,MIN(MATCH(MIN(MAX(AR107,30),120),Input!$C$51:$C$57,1),6))+(MIN(MAX(AR107,30),120)-INDEX(Input!$C$51:$C$57,MIN(MATCH(MIN(MAX(AR107,30),120),Input!$C$51:$C$57,1),6)))/(INDEX(Input!$C$51:$C$57,MIN(MATCH(MIN(MAX(AR107,30),120),Input!$C$51:$C$57,1),6)+1)-INDEX(Input!$C$51:$C$57,MIN(MATCH(MIN(MAX(AR107,30),120),Input!$C$51:$C$57,1),6)))*(INDEX(Input!$Q$51:$Q$57,MIN(MATCH(MIN(MAX(AR107,30),120),Input!$C$51:$C$57,1),6)+1)-INDEX(Input!$Q$51:$Q$57,MIN(MATCH(MIN(MAX(AR107,30),120),Input!$C$51:$C$57,1),6)))))</f>
        <v>0</v>
      </c>
      <c r="BM107" s="57" t="n">
        <f aca="false">IF(OR(AM107="Sand",BF107=0),0,Input!$AA$41*(AK107/2)^2/(BL107*0.0001*31536000))</f>
        <v>0</v>
      </c>
      <c r="BN107" s="57" t="n">
        <f aca="false">MAX(0,MIN(AJ107,Input!$AA$20)-AI107)</f>
        <v>0</v>
      </c>
      <c r="BO107" s="57" t="n">
        <f aca="false">MAX(0,MIN(AJ107,Input!$AA$20)-MAX(AI107,$AA$23))</f>
        <v>0</v>
      </c>
      <c r="BP107" s="57" t="n">
        <f aca="false">BG107+BK107</f>
        <v>2.42718429381396</v>
      </c>
      <c r="BQ107" s="57"/>
    </row>
    <row r="108" customFormat="false" ht="14.25" hidden="false" customHeight="false" outlineLevel="0" collapsed="false">
      <c r="B108" s="7"/>
      <c r="C108" s="46" t="n">
        <v>26</v>
      </c>
      <c r="D108" s="46"/>
      <c r="E108" s="44" t="n">
        <f aca="false">AI108</f>
        <v>37.5</v>
      </c>
      <c r="F108" s="44"/>
      <c r="G108" s="44"/>
      <c r="H108" s="44" t="n">
        <f aca="false">AJ108</f>
        <v>39</v>
      </c>
      <c r="I108" s="44"/>
      <c r="J108" s="44"/>
      <c r="K108" s="41" t="str">
        <f aca="false">AM108</f>
        <v>Sand</v>
      </c>
      <c r="L108" s="41"/>
      <c r="M108" s="41"/>
      <c r="N108" s="46" t="n">
        <f aca="false">AN108</f>
        <v>50</v>
      </c>
      <c r="O108" s="46"/>
      <c r="P108" s="46"/>
      <c r="Q108" s="42" t="n">
        <f aca="false">AO108</f>
        <v>18.4</v>
      </c>
      <c r="R108" s="42"/>
      <c r="S108" s="42"/>
      <c r="T108" s="46" t="str">
        <f aca="false">IF(AR108="","-",AR108)</f>
        <v>-</v>
      </c>
      <c r="U108" s="46"/>
      <c r="V108" s="46" t="str">
        <f aca="false">IF(AT108="","-",AT108)</f>
        <v>-</v>
      </c>
      <c r="W108" s="46"/>
      <c r="X108" s="44" t="n">
        <f aca="false">AU108</f>
        <v>0.65</v>
      </c>
      <c r="Y108" s="44"/>
      <c r="Z108" s="55" t="n">
        <f aca="false">AV108</f>
        <v>0</v>
      </c>
      <c r="AA108" s="55"/>
      <c r="AB108" s="55"/>
      <c r="AC108" s="42" t="n">
        <f aca="false">AW108</f>
        <v>41.76159985</v>
      </c>
      <c r="AD108" s="42"/>
      <c r="AE108" s="42"/>
      <c r="AF108" s="12"/>
      <c r="AI108" s="56" t="n">
        <v>37.5</v>
      </c>
      <c r="AJ108" s="56" t="n">
        <v>39</v>
      </c>
      <c r="AK108" s="57" t="n">
        <f aca="false">AJ108-AI108</f>
        <v>1.5</v>
      </c>
      <c r="AL108" s="57" t="n">
        <f aca="false">(AI108+AJ108)/2</f>
        <v>38.25</v>
      </c>
      <c r="AM108" s="56" t="s">
        <v>199</v>
      </c>
      <c r="AN108" s="56" t="n">
        <v>50</v>
      </c>
      <c r="AO108" s="58" t="n">
        <f aca="false">IF(AL108&gt;$AA$20,$AA$22,$AA$21)</f>
        <v>18.4</v>
      </c>
      <c r="AP108" s="57" t="n">
        <f aca="false">AP107+AO108*AK108</f>
        <v>718.35</v>
      </c>
      <c r="AQ108" s="57" t="n">
        <f aca="false">AP108-AO108*AK108/2-10*MAX(AL108-$AA$20,0)</f>
        <v>392.05</v>
      </c>
      <c r="AR108" s="56"/>
      <c r="AS108" s="56"/>
      <c r="AT108" s="57" t="str">
        <f aca="false">IF(AR108="","",AR108-AS108)</f>
        <v/>
      </c>
      <c r="AU108" s="56" t="n">
        <v>0.65</v>
      </c>
      <c r="AV108" s="57" t="n">
        <f aca="false">IF(AM108="Sand",0,Input!$AA$34*AN108)</f>
        <v>0</v>
      </c>
      <c r="AW108" s="57" t="n">
        <f aca="false">IF(AM108="Sand",27.1+0.3*MIN(Input!$AA$35*AN108,60)-0.00054*MIN(Input!$AA$35*AN108,60)^2,MIN(MAX(DEGREES(ASIN(0.8-0.094*LN(MAX(IF(AT108="",10,AT108),5)))),20),30))</f>
        <v>41.76159985</v>
      </c>
      <c r="AX108" s="57" t="n">
        <f aca="false">IF(AM108="Sand",Input!$AA$36*Input!$AA$35*AN108,Input!$AA$37*AV108)</f>
        <v>54150</v>
      </c>
      <c r="AY108" s="59" t="n">
        <f aca="false">IF(AM108="Sand",Input!$AA$38,0.5)</f>
        <v>0.3</v>
      </c>
      <c r="AZ108" s="57" t="n">
        <f aca="false">Input!$AA$15/2/AL108</f>
        <v>0.967320261437909</v>
      </c>
      <c r="BA108" s="57" t="n">
        <f aca="false">Input!$AA$16/2/AL108</f>
        <v>2.64052287581699</v>
      </c>
      <c r="BB108" s="57" t="n">
        <f aca="false">1/(4*PI())*(2*AZ108*BA108*SQRT(AZ108^2+BA108^2+1)/(AZ108^2+BA108^2+1+AZ108^2*BA108^2)*(AZ108^2+BA108^2+2)/(AZ108^2+BA108^2+1)+ATAN2(AZ108^2+BA108^2+1-AZ108^2*BA108^2,2*AZ108*BA108*SQRT(AZ108^2+BA108^2+1)))</f>
        <v>0.200105549876271</v>
      </c>
      <c r="BC108" s="57" t="n">
        <f aca="false">4*Input!$AA$14*BB108</f>
        <v>108.857419132691</v>
      </c>
      <c r="BD108" s="57" t="n">
        <f aca="false">((Input!$AA$16/Input!$AA$15)*LN((1+SQRT((Input!$AA$16/Input!$AA$15)^2+1))*SQRT((Input!$AA$16/Input!$AA$15)^2+(AJ108/(Input!$AA$15/2))^2)/((Input!$AA$16/Input!$AA$15)*(1+SQRT((Input!$AA$16/Input!$AA$15)^2+(AJ108/(Input!$AA$15/2))^2+1))))+LN(((Input!$AA$16/Input!$AA$15)+SQRT((Input!$AA$16/Input!$AA$15)^2+1))*SQRT(1+(AJ108/(Input!$AA$15/2))^2)/((Input!$AA$16/Input!$AA$15)+SQRT((Input!$AA$16/Input!$AA$15)^2+(AJ108/(Input!$AA$15/2))^2+1))))/PI()</f>
        <v>0.128770473532044</v>
      </c>
      <c r="BE108" s="57" t="n">
        <f aca="false">(AJ108/(Input!$AA$15/2))/(2*PI())*ATAN((Input!$AA$16/Input!$AA$15)/((AJ108/(Input!$AA$15/2))*SQRT((Input!$AA$16/Input!$AA$15)^2+(AJ108/(Input!$AA$15/2))^2+1)))</f>
        <v>0.116957096633813</v>
      </c>
      <c r="BF108" s="57" t="n">
        <f aca="false">MAX(0,AJ108-MAX(AI108,$AA$23))/AK108*IF(BC108&gt;=Input!$AA$21*AQ108,1,0)</f>
        <v>1</v>
      </c>
      <c r="BG108" s="57" t="n">
        <f aca="false">4*Input!$AA$14*(Input!$AA$15/2)*(1-AY108^2)/AX108*((BD108-BD107)+(1-2*AY108)/(1-AY108)*(BE108-BE107))*1000*BF108</f>
        <v>2.59583026334049</v>
      </c>
      <c r="BH108" s="57" t="n">
        <f aca="false">IF(AM108="Sand",0,0.009*(AR108-10))</f>
        <v>0</v>
      </c>
      <c r="BI108" s="57" t="n">
        <f aca="false">BH108*Input!$AA$39</f>
        <v>0</v>
      </c>
      <c r="BJ108" s="57" t="n">
        <f aca="false">IF(AM108="Sand",0,MAX(AV108/Input!$AA$40,AQ108))</f>
        <v>0</v>
      </c>
      <c r="BK108" s="57" t="n">
        <f aca="false">IF(AM108="Sand",0,1000*AK108/(1+AU108)*IF(AQ108+BC108&lt;=BJ108,BI108*LOG10((AQ108+BC108)/AQ108),BI108*LOG10(BJ108/AQ108)+BH108*LOG10((AQ108+BC108)/BJ108)))*BF108</f>
        <v>0</v>
      </c>
      <c r="BL108" s="57" t="n">
        <f aca="false">IF(AM108="Sand",0,10^(INDEX(Input!$Q$51:$Q$57,MIN(MATCH(MIN(MAX(AR108,30),120),Input!$C$51:$C$57,1),6))+(MIN(MAX(AR108,30),120)-INDEX(Input!$C$51:$C$57,MIN(MATCH(MIN(MAX(AR108,30),120),Input!$C$51:$C$57,1),6)))/(INDEX(Input!$C$51:$C$57,MIN(MATCH(MIN(MAX(AR108,30),120),Input!$C$51:$C$57,1),6)+1)-INDEX(Input!$C$51:$C$57,MIN(MATCH(MIN(MAX(AR108,30),120),Input!$C$51:$C$57,1),6)))*(INDEX(Input!$Q$51:$Q$57,MIN(MATCH(MIN(MAX(AR108,30),120),Input!$C$51:$C$57,1),6)+1)-INDEX(Input!$Q$51:$Q$57,MIN(MATCH(MIN(MAX(AR108,30),120),Input!$C$51:$C$57,1),6)))))</f>
        <v>0</v>
      </c>
      <c r="BM108" s="57" t="n">
        <f aca="false">IF(OR(AM108="Sand",BF108=0),0,Input!$AA$41*(AK108/2)^2/(BL108*0.0001*31536000))</f>
        <v>0</v>
      </c>
      <c r="BN108" s="57" t="n">
        <f aca="false">MAX(0,MIN(AJ108,Input!$AA$20)-AI108)</f>
        <v>0</v>
      </c>
      <c r="BO108" s="57" t="n">
        <f aca="false">MAX(0,MIN(AJ108,Input!$AA$20)-MAX(AI108,$AA$23))</f>
        <v>0</v>
      </c>
      <c r="BP108" s="57" t="n">
        <f aca="false">BG108+BK108</f>
        <v>2.59583026334049</v>
      </c>
      <c r="BQ108" s="57"/>
    </row>
    <row r="109" customFormat="false" ht="14.25" hidden="false" customHeight="false" outlineLevel="0" collapsed="false">
      <c r="B109" s="7"/>
      <c r="C109" s="46" t="n">
        <v>27</v>
      </c>
      <c r="D109" s="46"/>
      <c r="E109" s="44" t="n">
        <f aca="false">AI109</f>
        <v>39</v>
      </c>
      <c r="F109" s="44"/>
      <c r="G109" s="44"/>
      <c r="H109" s="44" t="n">
        <f aca="false">AJ109</f>
        <v>40.5</v>
      </c>
      <c r="I109" s="44"/>
      <c r="J109" s="44"/>
      <c r="K109" s="41" t="str">
        <f aca="false">AM109</f>
        <v>Sand</v>
      </c>
      <c r="L109" s="41"/>
      <c r="M109" s="41"/>
      <c r="N109" s="46" t="n">
        <f aca="false">AN109</f>
        <v>50</v>
      </c>
      <c r="O109" s="46"/>
      <c r="P109" s="46"/>
      <c r="Q109" s="42" t="n">
        <f aca="false">AO109</f>
        <v>18.4</v>
      </c>
      <c r="R109" s="42"/>
      <c r="S109" s="42"/>
      <c r="T109" s="46" t="str">
        <f aca="false">IF(AR109="","-",AR109)</f>
        <v>-</v>
      </c>
      <c r="U109" s="46"/>
      <c r="V109" s="46" t="str">
        <f aca="false">IF(AT109="","-",AT109)</f>
        <v>-</v>
      </c>
      <c r="W109" s="46"/>
      <c r="X109" s="44" t="n">
        <f aca="false">AU109</f>
        <v>0.65</v>
      </c>
      <c r="Y109" s="44"/>
      <c r="Z109" s="55" t="n">
        <f aca="false">AV109</f>
        <v>0</v>
      </c>
      <c r="AA109" s="55"/>
      <c r="AB109" s="55"/>
      <c r="AC109" s="42" t="n">
        <f aca="false">AW109</f>
        <v>41.76159985</v>
      </c>
      <c r="AD109" s="42"/>
      <c r="AE109" s="42"/>
      <c r="AF109" s="12"/>
      <c r="AI109" s="56" t="n">
        <v>39</v>
      </c>
      <c r="AJ109" s="56" t="n">
        <v>40.5</v>
      </c>
      <c r="AK109" s="57" t="n">
        <f aca="false">AJ109-AI109</f>
        <v>1.5</v>
      </c>
      <c r="AL109" s="57" t="n">
        <f aca="false">(AI109+AJ109)/2</f>
        <v>39.75</v>
      </c>
      <c r="AM109" s="56" t="s">
        <v>199</v>
      </c>
      <c r="AN109" s="56" t="n">
        <v>50</v>
      </c>
      <c r="AO109" s="58" t="n">
        <f aca="false">IF(AL109&gt;$AA$20,$AA$22,$AA$21)</f>
        <v>18.4</v>
      </c>
      <c r="AP109" s="57" t="n">
        <f aca="false">AP108+AO109*AK109</f>
        <v>745.95</v>
      </c>
      <c r="AQ109" s="57" t="n">
        <f aca="false">AP109-AO109*AK109/2-10*MAX(AL109-$AA$20,0)</f>
        <v>404.65</v>
      </c>
      <c r="AR109" s="56"/>
      <c r="AS109" s="56"/>
      <c r="AT109" s="57" t="str">
        <f aca="false">IF(AR109="","",AR109-AS109)</f>
        <v/>
      </c>
      <c r="AU109" s="56" t="n">
        <v>0.65</v>
      </c>
      <c r="AV109" s="57" t="n">
        <f aca="false">IF(AM109="Sand",0,Input!$AA$34*AN109)</f>
        <v>0</v>
      </c>
      <c r="AW109" s="57" t="n">
        <f aca="false">IF(AM109="Sand",27.1+0.3*MIN(Input!$AA$35*AN109,60)-0.00054*MIN(Input!$AA$35*AN109,60)^2,MIN(MAX(DEGREES(ASIN(0.8-0.094*LN(MAX(IF(AT109="",10,AT109),5)))),20),30))</f>
        <v>41.76159985</v>
      </c>
      <c r="AX109" s="57" t="n">
        <f aca="false">IF(AM109="Sand",Input!$AA$36*Input!$AA$35*AN109,Input!$AA$37*AV109)</f>
        <v>54150</v>
      </c>
      <c r="AY109" s="59" t="n">
        <f aca="false">IF(AM109="Sand",Input!$AA$38,0.5)</f>
        <v>0.3</v>
      </c>
      <c r="AZ109" s="57" t="n">
        <f aca="false">Input!$AA$15/2/AL109</f>
        <v>0.930817610062893</v>
      </c>
      <c r="BA109" s="57" t="n">
        <f aca="false">Input!$AA$16/2/AL109</f>
        <v>2.54088050314465</v>
      </c>
      <c r="BB109" s="57" t="n">
        <f aca="false">1/(4*PI())*(2*AZ109*BA109*SQRT(AZ109^2+BA109^2+1)/(AZ109^2+BA109^2+1+AZ109^2*BA109^2)*(AZ109^2+BA109^2+2)/(AZ109^2+BA109^2+1)+ATAN2(AZ109^2+BA109^2+1-AZ109^2*BA109^2,2*AZ109*BA109*SQRT(AZ109^2+BA109^2+1)))</f>
        <v>0.196702587440146</v>
      </c>
      <c r="BC109" s="57" t="n">
        <f aca="false">4*Input!$AA$14*BB109</f>
        <v>107.006207567439</v>
      </c>
      <c r="BD109" s="57" t="n">
        <f aca="false">((Input!$AA$16/Input!$AA$15)*LN((1+SQRT((Input!$AA$16/Input!$AA$15)^2+1))*SQRT((Input!$AA$16/Input!$AA$15)^2+(AJ109/(Input!$AA$15/2))^2)/((Input!$AA$16/Input!$AA$15)*(1+SQRT((Input!$AA$16/Input!$AA$15)^2+(AJ109/(Input!$AA$15/2))^2+1))))+LN(((Input!$AA$16/Input!$AA$15)+SQRT((Input!$AA$16/Input!$AA$15)^2+1))*SQRT(1+(AJ109/(Input!$AA$15/2))^2)/((Input!$AA$16/Input!$AA$15)+SQRT((Input!$AA$16/Input!$AA$15)^2+(AJ109/(Input!$AA$15/2))^2+1))))/PI()</f>
        <v>0.135857256153312</v>
      </c>
      <c r="BE109" s="57" t="n">
        <f aca="false">(AJ109/(Input!$AA$15/2))/(2*PI())*ATAN((Input!$AA$16/Input!$AA$15)/((AJ109/(Input!$AA$15/2))*SQRT((Input!$AA$16/Input!$AA$15)^2+(AJ109/(Input!$AA$15/2))^2+1)))</f>
        <v>0.117844757073459</v>
      </c>
      <c r="BF109" s="57" t="n">
        <f aca="false">MAX(0,AJ109-MAX(AI109,$AA$23))/AK109*IF(BC109&gt;=Input!$AA$21*AQ109,1,0)</f>
        <v>1</v>
      </c>
      <c r="BG109" s="57" t="n">
        <f aca="false">4*Input!$AA$14*(Input!$AA$15/2)*(1-AY109^2)/AX109*((BD109-BD108)+(1-2*AY109)/(1-AY109)*(BE109-BE108))*1000*BF109</f>
        <v>2.56871031205885</v>
      </c>
      <c r="BH109" s="57" t="n">
        <f aca="false">IF(AM109="Sand",0,0.009*(AR109-10))</f>
        <v>0</v>
      </c>
      <c r="BI109" s="57" t="n">
        <f aca="false">BH109*Input!$AA$39</f>
        <v>0</v>
      </c>
      <c r="BJ109" s="57" t="n">
        <f aca="false">IF(AM109="Sand",0,MAX(AV109/Input!$AA$40,AQ109))</f>
        <v>0</v>
      </c>
      <c r="BK109" s="57" t="n">
        <f aca="false">IF(AM109="Sand",0,1000*AK109/(1+AU109)*IF(AQ109+BC109&lt;=BJ109,BI109*LOG10((AQ109+BC109)/AQ109),BI109*LOG10(BJ109/AQ109)+BH109*LOG10((AQ109+BC109)/BJ109)))*BF109</f>
        <v>0</v>
      </c>
      <c r="BL109" s="57" t="n">
        <f aca="false">IF(AM109="Sand",0,10^(INDEX(Input!$Q$51:$Q$57,MIN(MATCH(MIN(MAX(AR109,30),120),Input!$C$51:$C$57,1),6))+(MIN(MAX(AR109,30),120)-INDEX(Input!$C$51:$C$57,MIN(MATCH(MIN(MAX(AR109,30),120),Input!$C$51:$C$57,1),6)))/(INDEX(Input!$C$51:$C$57,MIN(MATCH(MIN(MAX(AR109,30),120),Input!$C$51:$C$57,1),6)+1)-INDEX(Input!$C$51:$C$57,MIN(MATCH(MIN(MAX(AR109,30),120),Input!$C$51:$C$57,1),6)))*(INDEX(Input!$Q$51:$Q$57,MIN(MATCH(MIN(MAX(AR109,30),120),Input!$C$51:$C$57,1),6)+1)-INDEX(Input!$Q$51:$Q$57,MIN(MATCH(MIN(MAX(AR109,30),120),Input!$C$51:$C$57,1),6)))))</f>
        <v>0</v>
      </c>
      <c r="BM109" s="57" t="n">
        <f aca="false">IF(OR(AM109="Sand",BF109=0),0,Input!$AA$41*(AK109/2)^2/(BL109*0.0001*31536000))</f>
        <v>0</v>
      </c>
      <c r="BN109" s="57" t="n">
        <f aca="false">MAX(0,MIN(AJ109,Input!$AA$20)-AI109)</f>
        <v>0</v>
      </c>
      <c r="BO109" s="57" t="n">
        <f aca="false">MAX(0,MIN(AJ109,Input!$AA$20)-MAX(AI109,$AA$23))</f>
        <v>0</v>
      </c>
      <c r="BP109" s="57" t="n">
        <f aca="false">BG109+BK109</f>
        <v>2.56871031205885</v>
      </c>
      <c r="BQ109" s="57"/>
    </row>
    <row r="110" customFormat="false" ht="14.25" hidden="false" customHeight="false" outlineLevel="0" collapsed="false">
      <c r="B110" s="7"/>
      <c r="C110" s="46" t="n">
        <v>28</v>
      </c>
      <c r="D110" s="46"/>
      <c r="E110" s="44" t="n">
        <f aca="false">AI110</f>
        <v>40.5</v>
      </c>
      <c r="F110" s="44"/>
      <c r="G110" s="44"/>
      <c r="H110" s="44" t="n">
        <f aca="false">AJ110</f>
        <v>42</v>
      </c>
      <c r="I110" s="44"/>
      <c r="J110" s="44"/>
      <c r="K110" s="41" t="str">
        <f aca="false">AM110</f>
        <v>Sand</v>
      </c>
      <c r="L110" s="41"/>
      <c r="M110" s="41"/>
      <c r="N110" s="46" t="n">
        <f aca="false">AN110</f>
        <v>37</v>
      </c>
      <c r="O110" s="46"/>
      <c r="P110" s="46"/>
      <c r="Q110" s="42" t="n">
        <f aca="false">AO110</f>
        <v>18.4</v>
      </c>
      <c r="R110" s="42"/>
      <c r="S110" s="42"/>
      <c r="T110" s="46" t="str">
        <f aca="false">IF(AR110="","-",AR110)</f>
        <v>-</v>
      </c>
      <c r="U110" s="46"/>
      <c r="V110" s="46" t="str">
        <f aca="false">IF(AT110="","-",AT110)</f>
        <v>-</v>
      </c>
      <c r="W110" s="46"/>
      <c r="X110" s="44" t="n">
        <f aca="false">AU110</f>
        <v>0.65</v>
      </c>
      <c r="Y110" s="44"/>
      <c r="Z110" s="55" t="n">
        <f aca="false">AV110</f>
        <v>0</v>
      </c>
      <c r="AA110" s="55"/>
      <c r="AB110" s="55"/>
      <c r="AC110" s="42" t="n">
        <f aca="false">AW110</f>
        <v>38.25423007786</v>
      </c>
      <c r="AD110" s="42"/>
      <c r="AE110" s="42"/>
      <c r="AF110" s="12"/>
      <c r="AI110" s="56" t="n">
        <v>40.5</v>
      </c>
      <c r="AJ110" s="56" t="n">
        <v>42</v>
      </c>
      <c r="AK110" s="57" t="n">
        <f aca="false">AJ110-AI110</f>
        <v>1.5</v>
      </c>
      <c r="AL110" s="57" t="n">
        <f aca="false">(AI110+AJ110)/2</f>
        <v>41.25</v>
      </c>
      <c r="AM110" s="56" t="s">
        <v>199</v>
      </c>
      <c r="AN110" s="56" t="n">
        <v>37</v>
      </c>
      <c r="AO110" s="58" t="n">
        <f aca="false">IF(AL110&gt;$AA$20,$AA$22,$AA$21)</f>
        <v>18.4</v>
      </c>
      <c r="AP110" s="57" t="n">
        <f aca="false">AP109+AO110*AK110</f>
        <v>773.55</v>
      </c>
      <c r="AQ110" s="57" t="n">
        <f aca="false">AP110-AO110*AK110/2-10*MAX(AL110-$AA$20,0)</f>
        <v>417.25</v>
      </c>
      <c r="AR110" s="56"/>
      <c r="AS110" s="56"/>
      <c r="AT110" s="57" t="str">
        <f aca="false">IF(AR110="","",AR110-AS110)</f>
        <v/>
      </c>
      <c r="AU110" s="56" t="n">
        <v>0.65</v>
      </c>
      <c r="AV110" s="57" t="n">
        <f aca="false">IF(AM110="Sand",0,Input!$AA$34*AN110)</f>
        <v>0</v>
      </c>
      <c r="AW110" s="57" t="n">
        <f aca="false">IF(AM110="Sand",27.1+0.3*MIN(Input!$AA$35*AN110,60)-0.00054*MIN(Input!$AA$35*AN110,60)^2,MIN(MAX(DEGREES(ASIN(0.8-0.094*LN(MAX(IF(AT110="",10,AT110),5)))),20),30))</f>
        <v>38.25423007786</v>
      </c>
      <c r="AX110" s="57" t="n">
        <f aca="false">IF(AM110="Sand",Input!$AA$36*Input!$AA$35*AN110,Input!$AA$37*AV110)</f>
        <v>40071</v>
      </c>
      <c r="AY110" s="59" t="n">
        <f aca="false">IF(AM110="Sand",Input!$AA$38,0.5)</f>
        <v>0.3</v>
      </c>
      <c r="AZ110" s="57" t="n">
        <f aca="false">Input!$AA$15/2/AL110</f>
        <v>0.896969696969697</v>
      </c>
      <c r="BA110" s="57" t="n">
        <f aca="false">Input!$AA$16/2/AL110</f>
        <v>2.44848484848485</v>
      </c>
      <c r="BB110" s="57" t="n">
        <f aca="false">1/(4*PI())*(2*AZ110*BA110*SQRT(AZ110^2+BA110^2+1)/(AZ110^2+BA110^2+1+AZ110^2*BA110^2)*(AZ110^2+BA110^2+2)/(AZ110^2+BA110^2+1)+ATAN2(AZ110^2+BA110^2+1-AZ110^2*BA110^2,2*AZ110*BA110*SQRT(AZ110^2+BA110^2+1)))</f>
        <v>0.193307738368962</v>
      </c>
      <c r="BC110" s="57" t="n">
        <f aca="false">4*Input!$AA$14*BB110</f>
        <v>105.159409672716</v>
      </c>
      <c r="BD110" s="57" t="n">
        <f aca="false">((Input!$AA$16/Input!$AA$15)*LN((1+SQRT((Input!$AA$16/Input!$AA$15)^2+1))*SQRT((Input!$AA$16/Input!$AA$15)^2+(AJ110/(Input!$AA$15/2))^2)/((Input!$AA$16/Input!$AA$15)*(1+SQRT((Input!$AA$16/Input!$AA$15)^2+(AJ110/(Input!$AA$15/2))^2+1))))+LN(((Input!$AA$16/Input!$AA$15)+SQRT((Input!$AA$16/Input!$AA$15)^2+1))*SQRT(1+(AJ110/(Input!$AA$15/2))^2)/((Input!$AA$16/Input!$AA$15)+SQRT((Input!$AA$16/Input!$AA$15)^2+(AJ110/(Input!$AA$15/2))^2+1))))/PI()</f>
        <v>0.142931133731755</v>
      </c>
      <c r="BE110" s="57" t="n">
        <f aca="false">(AJ110/(Input!$AA$15/2))/(2*PI())*ATAN((Input!$AA$16/Input!$AA$15)/((AJ110/(Input!$AA$15/2))*SQRT((Input!$AA$16/Input!$AA$15)^2+(AJ110/(Input!$AA$15/2))^2+1)))</f>
        <v>0.118607707144671</v>
      </c>
      <c r="BF110" s="57" t="n">
        <f aca="false">MAX(0,AJ110-MAX(AI110,$AA$23))/AK110*IF(BC110&gt;=Input!$AA$21*AQ110,1,0)</f>
        <v>1</v>
      </c>
      <c r="BG110" s="57" t="n">
        <f aca="false">4*Input!$AA$14*(Input!$AA$15/2)*(1-AY110^2)/AX110*((BD110-BD109)+(1-2*AY110)/(1-AY110)*(BE110-BE109))*1000*BF110</f>
        <v>3.43275685371848</v>
      </c>
      <c r="BH110" s="57" t="n">
        <f aca="false">IF(AM110="Sand",0,0.009*(AR110-10))</f>
        <v>0</v>
      </c>
      <c r="BI110" s="57" t="n">
        <f aca="false">BH110*Input!$AA$39</f>
        <v>0</v>
      </c>
      <c r="BJ110" s="57" t="n">
        <f aca="false">IF(AM110="Sand",0,MAX(AV110/Input!$AA$40,AQ110))</f>
        <v>0</v>
      </c>
      <c r="BK110" s="57" t="n">
        <f aca="false">IF(AM110="Sand",0,1000*AK110/(1+AU110)*IF(AQ110+BC110&lt;=BJ110,BI110*LOG10((AQ110+BC110)/AQ110),BI110*LOG10(BJ110/AQ110)+BH110*LOG10((AQ110+BC110)/BJ110)))*BF110</f>
        <v>0</v>
      </c>
      <c r="BL110" s="57" t="n">
        <f aca="false">IF(AM110="Sand",0,10^(INDEX(Input!$Q$51:$Q$57,MIN(MATCH(MIN(MAX(AR110,30),120),Input!$C$51:$C$57,1),6))+(MIN(MAX(AR110,30),120)-INDEX(Input!$C$51:$C$57,MIN(MATCH(MIN(MAX(AR110,30),120),Input!$C$51:$C$57,1),6)))/(INDEX(Input!$C$51:$C$57,MIN(MATCH(MIN(MAX(AR110,30),120),Input!$C$51:$C$57,1),6)+1)-INDEX(Input!$C$51:$C$57,MIN(MATCH(MIN(MAX(AR110,30),120),Input!$C$51:$C$57,1),6)))*(INDEX(Input!$Q$51:$Q$57,MIN(MATCH(MIN(MAX(AR110,30),120),Input!$C$51:$C$57,1),6)+1)-INDEX(Input!$Q$51:$Q$57,MIN(MATCH(MIN(MAX(AR110,30),120),Input!$C$51:$C$57,1),6)))))</f>
        <v>0</v>
      </c>
      <c r="BM110" s="57" t="n">
        <f aca="false">IF(OR(AM110="Sand",BF110=0),0,Input!$AA$41*(AK110/2)^2/(BL110*0.0001*31536000))</f>
        <v>0</v>
      </c>
      <c r="BN110" s="57" t="n">
        <f aca="false">MAX(0,MIN(AJ110,Input!$AA$20)-AI110)</f>
        <v>0</v>
      </c>
      <c r="BO110" s="57" t="n">
        <f aca="false">MAX(0,MIN(AJ110,Input!$AA$20)-MAX(AI110,$AA$23))</f>
        <v>0</v>
      </c>
      <c r="BP110" s="57" t="n">
        <f aca="false">BG110+BK110</f>
        <v>3.43275685371848</v>
      </c>
      <c r="BQ110" s="57"/>
    </row>
    <row r="111" customFormat="false" ht="14.25" hidden="false" customHeight="false" outlineLevel="0" collapsed="false">
      <c r="B111" s="7"/>
      <c r="C111" s="46" t="n">
        <v>29</v>
      </c>
      <c r="D111" s="46"/>
      <c r="E111" s="44" t="n">
        <f aca="false">AI111</f>
        <v>42</v>
      </c>
      <c r="F111" s="44"/>
      <c r="G111" s="44"/>
      <c r="H111" s="44" t="n">
        <f aca="false">AJ111</f>
        <v>43.5</v>
      </c>
      <c r="I111" s="44"/>
      <c r="J111" s="44"/>
      <c r="K111" s="41" t="str">
        <f aca="false">AM111</f>
        <v>Sand</v>
      </c>
      <c r="L111" s="41"/>
      <c r="M111" s="41"/>
      <c r="N111" s="46" t="n">
        <f aca="false">AN111</f>
        <v>50</v>
      </c>
      <c r="O111" s="46"/>
      <c r="P111" s="46"/>
      <c r="Q111" s="42" t="n">
        <f aca="false">AO111</f>
        <v>18.4</v>
      </c>
      <c r="R111" s="42"/>
      <c r="S111" s="42"/>
      <c r="T111" s="46" t="str">
        <f aca="false">IF(AR111="","-",AR111)</f>
        <v>-</v>
      </c>
      <c r="U111" s="46"/>
      <c r="V111" s="46" t="str">
        <f aca="false">IF(AT111="","-",AT111)</f>
        <v>-</v>
      </c>
      <c r="W111" s="46"/>
      <c r="X111" s="44" t="n">
        <f aca="false">AU111</f>
        <v>0.65</v>
      </c>
      <c r="Y111" s="44"/>
      <c r="Z111" s="55" t="n">
        <f aca="false">AV111</f>
        <v>0</v>
      </c>
      <c r="AA111" s="55"/>
      <c r="AB111" s="55"/>
      <c r="AC111" s="42" t="n">
        <f aca="false">AW111</f>
        <v>41.76159985</v>
      </c>
      <c r="AD111" s="42"/>
      <c r="AE111" s="42"/>
      <c r="AF111" s="12"/>
      <c r="AI111" s="56" t="n">
        <v>42</v>
      </c>
      <c r="AJ111" s="56" t="n">
        <v>43.5</v>
      </c>
      <c r="AK111" s="57" t="n">
        <f aca="false">AJ111-AI111</f>
        <v>1.5</v>
      </c>
      <c r="AL111" s="57" t="n">
        <f aca="false">(AI111+AJ111)/2</f>
        <v>42.75</v>
      </c>
      <c r="AM111" s="56" t="s">
        <v>199</v>
      </c>
      <c r="AN111" s="56" t="n">
        <v>50</v>
      </c>
      <c r="AO111" s="58" t="n">
        <f aca="false">IF(AL111&gt;$AA$20,$AA$22,$AA$21)</f>
        <v>18.4</v>
      </c>
      <c r="AP111" s="57" t="n">
        <f aca="false">AP110+AO111*AK111</f>
        <v>801.15</v>
      </c>
      <c r="AQ111" s="57" t="n">
        <f aca="false">AP111-AO111*AK111/2-10*MAX(AL111-$AA$20,0)</f>
        <v>429.850000000001</v>
      </c>
      <c r="AR111" s="56"/>
      <c r="AS111" s="56"/>
      <c r="AT111" s="57" t="str">
        <f aca="false">IF(AR111="","",AR111-AS111)</f>
        <v/>
      </c>
      <c r="AU111" s="56" t="n">
        <v>0.65</v>
      </c>
      <c r="AV111" s="57" t="n">
        <f aca="false">IF(AM111="Sand",0,Input!$AA$34*AN111)</f>
        <v>0</v>
      </c>
      <c r="AW111" s="57" t="n">
        <f aca="false">IF(AM111="Sand",27.1+0.3*MIN(Input!$AA$35*AN111,60)-0.00054*MIN(Input!$AA$35*AN111,60)^2,MIN(MAX(DEGREES(ASIN(0.8-0.094*LN(MAX(IF(AT111="",10,AT111),5)))),20),30))</f>
        <v>41.76159985</v>
      </c>
      <c r="AX111" s="57" t="n">
        <f aca="false">IF(AM111="Sand",Input!$AA$36*Input!$AA$35*AN111,Input!$AA$37*AV111)</f>
        <v>54150</v>
      </c>
      <c r="AY111" s="59" t="n">
        <f aca="false">IF(AM111="Sand",Input!$AA$38,0.5)</f>
        <v>0.3</v>
      </c>
      <c r="AZ111" s="57" t="n">
        <f aca="false">Input!$AA$15/2/AL111</f>
        <v>0.865497076023392</v>
      </c>
      <c r="BA111" s="57" t="n">
        <f aca="false">Input!$AA$16/2/AL111</f>
        <v>2.3625730994152</v>
      </c>
      <c r="BB111" s="57" t="n">
        <f aca="false">1/(4*PI())*(2*AZ111*BA111*SQRT(AZ111^2+BA111^2+1)/(AZ111^2+BA111^2+1+AZ111^2*BA111^2)*(AZ111^2+BA111^2+2)/(AZ111^2+BA111^2+1)+ATAN2(AZ111^2+BA111^2+1-AZ111^2*BA111^2,2*AZ111*BA111*SQRT(AZ111^2+BA111^2+1)))</f>
        <v>0.189929062586271</v>
      </c>
      <c r="BC111" s="57" t="n">
        <f aca="false">4*Input!$AA$14*BB111</f>
        <v>103.321410046931</v>
      </c>
      <c r="BD111" s="57" t="n">
        <f aca="false">((Input!$AA$16/Input!$AA$15)*LN((1+SQRT((Input!$AA$16/Input!$AA$15)^2+1))*SQRT((Input!$AA$16/Input!$AA$15)^2+(AJ111/(Input!$AA$15/2))^2)/((Input!$AA$16/Input!$AA$15)*(1+SQRT((Input!$AA$16/Input!$AA$15)^2+(AJ111/(Input!$AA$15/2))^2+1))))+LN(((Input!$AA$16/Input!$AA$15)+SQRT((Input!$AA$16/Input!$AA$15)^2+1))*SQRT(1+(AJ111/(Input!$AA$15/2))^2)/((Input!$AA$16/Input!$AA$15)+SQRT((Input!$AA$16/Input!$AA$15)^2+(AJ111/(Input!$AA$15/2))^2+1))))/PI()</f>
        <v>0.149983423865366</v>
      </c>
      <c r="BE111" s="57" t="n">
        <f aca="false">(AJ111/(Input!$AA$15/2))/(2*PI())*ATAN((Input!$AA$16/Input!$AA$15)/((AJ111/(Input!$AA$15/2))*SQRT((Input!$AA$16/Input!$AA$15)^2+(AJ111/(Input!$AA$15/2))^2+1)))</f>
        <v>0.11925528314828</v>
      </c>
      <c r="BF111" s="57" t="n">
        <f aca="false">MAX(0,AJ111-MAX(AI111,$AA$23))/AK111*IF(BC111&gt;=Input!$AA$21*AQ111,1,0)</f>
        <v>1</v>
      </c>
      <c r="BG111" s="57" t="n">
        <f aca="false">4*Input!$AA$14*(Input!$AA$15/2)*(1-AY111^2)/AX111*((BD111-BD110)+(1-2*AY111)/(1-AY111)*(BE111-BE110))*1000*BF111</f>
        <v>2.51063756754944</v>
      </c>
      <c r="BH111" s="57" t="n">
        <f aca="false">IF(AM111="Sand",0,0.009*(AR111-10))</f>
        <v>0</v>
      </c>
      <c r="BI111" s="57" t="n">
        <f aca="false">BH111*Input!$AA$39</f>
        <v>0</v>
      </c>
      <c r="BJ111" s="57" t="n">
        <f aca="false">IF(AM111="Sand",0,MAX(AV111/Input!$AA$40,AQ111))</f>
        <v>0</v>
      </c>
      <c r="BK111" s="57" t="n">
        <f aca="false">IF(AM111="Sand",0,1000*AK111/(1+AU111)*IF(AQ111+BC111&lt;=BJ111,BI111*LOG10((AQ111+BC111)/AQ111),BI111*LOG10(BJ111/AQ111)+BH111*LOG10((AQ111+BC111)/BJ111)))*BF111</f>
        <v>0</v>
      </c>
      <c r="BL111" s="57" t="n">
        <f aca="false">IF(AM111="Sand",0,10^(INDEX(Input!$Q$51:$Q$57,MIN(MATCH(MIN(MAX(AR111,30),120),Input!$C$51:$C$57,1),6))+(MIN(MAX(AR111,30),120)-INDEX(Input!$C$51:$C$57,MIN(MATCH(MIN(MAX(AR111,30),120),Input!$C$51:$C$57,1),6)))/(INDEX(Input!$C$51:$C$57,MIN(MATCH(MIN(MAX(AR111,30),120),Input!$C$51:$C$57,1),6)+1)-INDEX(Input!$C$51:$C$57,MIN(MATCH(MIN(MAX(AR111,30),120),Input!$C$51:$C$57,1),6)))*(INDEX(Input!$Q$51:$Q$57,MIN(MATCH(MIN(MAX(AR111,30),120),Input!$C$51:$C$57,1),6)+1)-INDEX(Input!$Q$51:$Q$57,MIN(MATCH(MIN(MAX(AR111,30),120),Input!$C$51:$C$57,1),6)))))</f>
        <v>0</v>
      </c>
      <c r="BM111" s="57" t="n">
        <f aca="false">IF(OR(AM111="Sand",BF111=0),0,Input!$AA$41*(AK111/2)^2/(BL111*0.0001*31536000))</f>
        <v>0</v>
      </c>
      <c r="BN111" s="57" t="n">
        <f aca="false">MAX(0,MIN(AJ111,Input!$AA$20)-AI111)</f>
        <v>0</v>
      </c>
      <c r="BO111" s="57" t="n">
        <f aca="false">MAX(0,MIN(AJ111,Input!$AA$20)-MAX(AI111,$AA$23))</f>
        <v>0</v>
      </c>
      <c r="BP111" s="57" t="n">
        <f aca="false">BG111+BK111</f>
        <v>2.51063756754944</v>
      </c>
      <c r="BQ111" s="57"/>
    </row>
    <row r="112" customFormat="false" ht="14.25" hidden="false" customHeight="false" outlineLevel="0" collapsed="false">
      <c r="B112" s="7"/>
      <c r="C112" s="46" t="n">
        <v>30</v>
      </c>
      <c r="D112" s="46"/>
      <c r="E112" s="44" t="n">
        <f aca="false">AI112</f>
        <v>43.5</v>
      </c>
      <c r="F112" s="44"/>
      <c r="G112" s="44"/>
      <c r="H112" s="44" t="n">
        <f aca="false">AJ112</f>
        <v>45</v>
      </c>
      <c r="I112" s="44"/>
      <c r="J112" s="44"/>
      <c r="K112" s="41" t="str">
        <f aca="false">AM112</f>
        <v>Sand</v>
      </c>
      <c r="L112" s="41"/>
      <c r="M112" s="41"/>
      <c r="N112" s="46" t="n">
        <f aca="false">AN112</f>
        <v>50</v>
      </c>
      <c r="O112" s="46"/>
      <c r="P112" s="46"/>
      <c r="Q112" s="42" t="n">
        <f aca="false">AO112</f>
        <v>18.4</v>
      </c>
      <c r="R112" s="42"/>
      <c r="S112" s="42"/>
      <c r="T112" s="46" t="str">
        <f aca="false">IF(AR112="","-",AR112)</f>
        <v>-</v>
      </c>
      <c r="U112" s="46"/>
      <c r="V112" s="46" t="str">
        <f aca="false">IF(AT112="","-",AT112)</f>
        <v>-</v>
      </c>
      <c r="W112" s="46"/>
      <c r="X112" s="44" t="n">
        <f aca="false">AU112</f>
        <v>0.65</v>
      </c>
      <c r="Y112" s="44"/>
      <c r="Z112" s="55" t="n">
        <f aca="false">AV112</f>
        <v>0</v>
      </c>
      <c r="AA112" s="55"/>
      <c r="AB112" s="55"/>
      <c r="AC112" s="42" t="n">
        <f aca="false">AW112</f>
        <v>41.76159985</v>
      </c>
      <c r="AD112" s="42"/>
      <c r="AE112" s="42"/>
      <c r="AF112" s="12"/>
      <c r="AI112" s="56" t="n">
        <v>43.5</v>
      </c>
      <c r="AJ112" s="56" t="n">
        <v>45</v>
      </c>
      <c r="AK112" s="57" t="n">
        <f aca="false">AJ112-AI112</f>
        <v>1.5</v>
      </c>
      <c r="AL112" s="57" t="n">
        <f aca="false">(AI112+AJ112)/2</f>
        <v>44.25</v>
      </c>
      <c r="AM112" s="56" t="s">
        <v>199</v>
      </c>
      <c r="AN112" s="56" t="n">
        <v>50</v>
      </c>
      <c r="AO112" s="58" t="n">
        <f aca="false">IF(AL112&gt;$AA$20,$AA$22,$AA$21)</f>
        <v>18.4</v>
      </c>
      <c r="AP112" s="57" t="n">
        <f aca="false">AP111+AO112*AK112</f>
        <v>828.750000000001</v>
      </c>
      <c r="AQ112" s="57" t="n">
        <f aca="false">AP112-AO112*AK112/2-10*MAX(AL112-$AA$20,0)</f>
        <v>442.450000000001</v>
      </c>
      <c r="AR112" s="56"/>
      <c r="AS112" s="56"/>
      <c r="AT112" s="57" t="str">
        <f aca="false">IF(AR112="","",AR112-AS112)</f>
        <v/>
      </c>
      <c r="AU112" s="56" t="n">
        <v>0.65</v>
      </c>
      <c r="AV112" s="57" t="n">
        <f aca="false">IF(AM112="Sand",0,Input!$AA$34*AN112)</f>
        <v>0</v>
      </c>
      <c r="AW112" s="57" t="n">
        <f aca="false">IF(AM112="Sand",27.1+0.3*MIN(Input!$AA$35*AN112,60)-0.00054*MIN(Input!$AA$35*AN112,60)^2,MIN(MAX(DEGREES(ASIN(0.8-0.094*LN(MAX(IF(AT112="",10,AT112),5)))),20),30))</f>
        <v>41.76159985</v>
      </c>
      <c r="AX112" s="57" t="n">
        <f aca="false">IF(AM112="Sand",Input!$AA$36*Input!$AA$35*AN112,Input!$AA$37*AV112)</f>
        <v>54150</v>
      </c>
      <c r="AY112" s="59" t="n">
        <f aca="false">IF(AM112="Sand",Input!$AA$38,0.5)</f>
        <v>0.3</v>
      </c>
      <c r="AZ112" s="57" t="n">
        <f aca="false">Input!$AA$15/2/AL112</f>
        <v>0.836158192090395</v>
      </c>
      <c r="BA112" s="57" t="n">
        <f aca="false">Input!$AA$16/2/AL112</f>
        <v>2.28248587570621</v>
      </c>
      <c r="BB112" s="57" t="n">
        <f aca="false">1/(4*PI())*(2*AZ112*BA112*SQRT(AZ112^2+BA112^2+1)/(AZ112^2+BA112^2+1+AZ112^2*BA112^2)*(AZ112^2+BA112^2+2)/(AZ112^2+BA112^2+1)+ATAN2(AZ112^2+BA112^2+1-AZ112^2*BA112^2,2*AZ112*BA112*SQRT(AZ112^2+BA112^2+1)))</f>
        <v>0.186573569537252</v>
      </c>
      <c r="BC112" s="57" t="n">
        <f aca="false">4*Input!$AA$14*BB112</f>
        <v>101.496021828265</v>
      </c>
      <c r="BD112" s="57" t="n">
        <f aca="false">((Input!$AA$16/Input!$AA$15)*LN((1+SQRT((Input!$AA$16/Input!$AA$15)^2+1))*SQRT((Input!$AA$16/Input!$AA$15)^2+(AJ112/(Input!$AA$15/2))^2)/((Input!$AA$16/Input!$AA$15)*(1+SQRT((Input!$AA$16/Input!$AA$15)^2+(AJ112/(Input!$AA$15/2))^2+1))))+LN(((Input!$AA$16/Input!$AA$15)+SQRT((Input!$AA$16/Input!$AA$15)^2+1))*SQRT(1+(AJ112/(Input!$AA$15/2))^2)/((Input!$AA$16/Input!$AA$15)+SQRT((Input!$AA$16/Input!$AA$15)^2+(AJ112/(Input!$AA$15/2))^2+1))))/PI()</f>
        <v>0.157006419484548</v>
      </c>
      <c r="BE112" s="57" t="n">
        <f aca="false">(AJ112/(Input!$AA$15/2))/(2*PI())*ATAN((Input!$AA$16/Input!$AA$15)/((AJ112/(Input!$AA$15/2))*SQRT((Input!$AA$16/Input!$AA$15)^2+(AJ112/(Input!$AA$15/2))^2+1)))</f>
        <v>0.119796130362691</v>
      </c>
      <c r="BF112" s="57" t="n">
        <f aca="false">MAX(0,AJ112-MAX(AI112,$AA$23))/AK112*IF(BC112&gt;=Input!$AA$21*AQ112,1,0)</f>
        <v>1</v>
      </c>
      <c r="BG112" s="57" t="n">
        <f aca="false">4*Input!$AA$14*(Input!$AA$15/2)*(1-AY112^2)/AX112*((BD112-BD111)+(1-2*AY112)/(1-AY112)*(BE112-BE111))*1000*BF112</f>
        <v>2.48009914347766</v>
      </c>
      <c r="BH112" s="57" t="n">
        <f aca="false">IF(AM112="Sand",0,0.009*(AR112-10))</f>
        <v>0</v>
      </c>
      <c r="BI112" s="57" t="n">
        <f aca="false">BH112*Input!$AA$39</f>
        <v>0</v>
      </c>
      <c r="BJ112" s="57" t="n">
        <f aca="false">IF(AM112="Sand",0,MAX(AV112/Input!$AA$40,AQ112))</f>
        <v>0</v>
      </c>
      <c r="BK112" s="57" t="n">
        <f aca="false">IF(AM112="Sand",0,1000*AK112/(1+AU112)*IF(AQ112+BC112&lt;=BJ112,BI112*LOG10((AQ112+BC112)/AQ112),BI112*LOG10(BJ112/AQ112)+BH112*LOG10((AQ112+BC112)/BJ112)))*BF112</f>
        <v>0</v>
      </c>
      <c r="BL112" s="57" t="n">
        <f aca="false">IF(AM112="Sand",0,10^(INDEX(Input!$Q$51:$Q$57,MIN(MATCH(MIN(MAX(AR112,30),120),Input!$C$51:$C$57,1),6))+(MIN(MAX(AR112,30),120)-INDEX(Input!$C$51:$C$57,MIN(MATCH(MIN(MAX(AR112,30),120),Input!$C$51:$C$57,1),6)))/(INDEX(Input!$C$51:$C$57,MIN(MATCH(MIN(MAX(AR112,30),120),Input!$C$51:$C$57,1),6)+1)-INDEX(Input!$C$51:$C$57,MIN(MATCH(MIN(MAX(AR112,30),120),Input!$C$51:$C$57,1),6)))*(INDEX(Input!$Q$51:$Q$57,MIN(MATCH(MIN(MAX(AR112,30),120),Input!$C$51:$C$57,1),6)+1)-INDEX(Input!$Q$51:$Q$57,MIN(MATCH(MIN(MAX(AR112,30),120),Input!$C$51:$C$57,1),6)))))</f>
        <v>0</v>
      </c>
      <c r="BM112" s="57" t="n">
        <f aca="false">IF(OR(AM112="Sand",BF112=0),0,Input!$AA$41*(AK112/2)^2/(BL112*0.0001*31536000))</f>
        <v>0</v>
      </c>
      <c r="BN112" s="57" t="n">
        <f aca="false">MAX(0,MIN(AJ112,Input!$AA$20)-AI112)</f>
        <v>0</v>
      </c>
      <c r="BO112" s="57" t="n">
        <f aca="false">MAX(0,MIN(AJ112,Input!$AA$20)-MAX(AI112,$AA$23))</f>
        <v>0</v>
      </c>
      <c r="BP112" s="57" t="n">
        <f aca="false">BG112+BK112</f>
        <v>2.48009914347766</v>
      </c>
      <c r="BQ112" s="57"/>
    </row>
    <row r="113" customFormat="false" ht="14.25" hidden="false" customHeight="false" outlineLevel="0" collapsed="false">
      <c r="B113" s="7"/>
      <c r="C113" s="46" t="n">
        <v>31</v>
      </c>
      <c r="D113" s="46"/>
      <c r="E113" s="44" t="n">
        <f aca="false">AI113</f>
        <v>45</v>
      </c>
      <c r="F113" s="44"/>
      <c r="G113" s="44"/>
      <c r="H113" s="44" t="n">
        <f aca="false">AJ113</f>
        <v>46.5</v>
      </c>
      <c r="I113" s="44"/>
      <c r="J113" s="44"/>
      <c r="K113" s="41" t="str">
        <f aca="false">AM113</f>
        <v>Sand</v>
      </c>
      <c r="L113" s="41"/>
      <c r="M113" s="41"/>
      <c r="N113" s="46" t="n">
        <f aca="false">AN113</f>
        <v>50</v>
      </c>
      <c r="O113" s="46"/>
      <c r="P113" s="46"/>
      <c r="Q113" s="42" t="n">
        <f aca="false">AO113</f>
        <v>18.4</v>
      </c>
      <c r="R113" s="42"/>
      <c r="S113" s="42"/>
      <c r="T113" s="46" t="str">
        <f aca="false">IF(AR113="","-",AR113)</f>
        <v>-</v>
      </c>
      <c r="U113" s="46"/>
      <c r="V113" s="46" t="str">
        <f aca="false">IF(AT113="","-",AT113)</f>
        <v>-</v>
      </c>
      <c r="W113" s="46"/>
      <c r="X113" s="44" t="n">
        <f aca="false">AU113</f>
        <v>0.65</v>
      </c>
      <c r="Y113" s="44"/>
      <c r="Z113" s="55" t="n">
        <f aca="false">AV113</f>
        <v>0</v>
      </c>
      <c r="AA113" s="55"/>
      <c r="AB113" s="55"/>
      <c r="AC113" s="42" t="n">
        <f aca="false">AW113</f>
        <v>41.76159985</v>
      </c>
      <c r="AD113" s="42"/>
      <c r="AE113" s="42"/>
      <c r="AF113" s="12"/>
      <c r="AI113" s="56" t="n">
        <v>45</v>
      </c>
      <c r="AJ113" s="56" t="n">
        <v>46.5</v>
      </c>
      <c r="AK113" s="57" t="n">
        <f aca="false">AJ113-AI113</f>
        <v>1.5</v>
      </c>
      <c r="AL113" s="57" t="n">
        <f aca="false">(AI113+AJ113)/2</f>
        <v>45.75</v>
      </c>
      <c r="AM113" s="56" t="s">
        <v>199</v>
      </c>
      <c r="AN113" s="56" t="n">
        <v>50</v>
      </c>
      <c r="AO113" s="58" t="n">
        <f aca="false">IF(AL113&gt;$AA$20,$AA$22,$AA$21)</f>
        <v>18.4</v>
      </c>
      <c r="AP113" s="57" t="n">
        <f aca="false">AP112+AO113*AK113</f>
        <v>856.350000000001</v>
      </c>
      <c r="AQ113" s="57" t="n">
        <f aca="false">AP113-AO113*AK113/2-10*MAX(AL113-$AA$20,0)</f>
        <v>455.050000000001</v>
      </c>
      <c r="AR113" s="56"/>
      <c r="AS113" s="56"/>
      <c r="AT113" s="57" t="str">
        <f aca="false">IF(AR113="","",AR113-AS113)</f>
        <v/>
      </c>
      <c r="AU113" s="56" t="n">
        <v>0.65</v>
      </c>
      <c r="AV113" s="57" t="n">
        <f aca="false">IF(AM113="Sand",0,Input!$AA$34*AN113)</f>
        <v>0</v>
      </c>
      <c r="AW113" s="57" t="n">
        <f aca="false">IF(AM113="Sand",27.1+0.3*MIN(Input!$AA$35*AN113,60)-0.00054*MIN(Input!$AA$35*AN113,60)^2,MIN(MAX(DEGREES(ASIN(0.8-0.094*LN(MAX(IF(AT113="",10,AT113),5)))),20),30))</f>
        <v>41.76159985</v>
      </c>
      <c r="AX113" s="57" t="n">
        <f aca="false">IF(AM113="Sand",Input!$AA$36*Input!$AA$35*AN113,Input!$AA$37*AV113)</f>
        <v>54150</v>
      </c>
      <c r="AY113" s="59" t="n">
        <f aca="false">IF(AM113="Sand",Input!$AA$38,0.5)</f>
        <v>0.3</v>
      </c>
      <c r="AZ113" s="57" t="n">
        <f aca="false">Input!$AA$15/2/AL113</f>
        <v>0.808743169398907</v>
      </c>
      <c r="BA113" s="57" t="n">
        <f aca="false">Input!$AA$16/2/AL113</f>
        <v>2.20765027322404</v>
      </c>
      <c r="BB113" s="57" t="n">
        <f aca="false">1/(4*PI())*(2*AZ113*BA113*SQRT(AZ113^2+BA113^2+1)/(AZ113^2+BA113^2+1+AZ113^2*BA113^2)*(AZ113^2+BA113^2+2)/(AZ113^2+BA113^2+1)+ATAN2(AZ113^2+BA113^2+1-AZ113^2*BA113^2,2*AZ113*BA113*SQRT(AZ113^2+BA113^2+1)))</f>
        <v>0.183247302768845</v>
      </c>
      <c r="BC113" s="57" t="n">
        <f aca="false">4*Input!$AA$14*BB113</f>
        <v>99.6865327062518</v>
      </c>
      <c r="BD113" s="57" t="n">
        <f aca="false">((Input!$AA$16/Input!$AA$15)*LN((1+SQRT((Input!$AA$16/Input!$AA$15)^2+1))*SQRT((Input!$AA$16/Input!$AA$15)^2+(AJ113/(Input!$AA$15/2))^2)/((Input!$AA$16/Input!$AA$15)*(1+SQRT((Input!$AA$16/Input!$AA$15)^2+(AJ113/(Input!$AA$15/2))^2+1))))+LN(((Input!$AA$16/Input!$AA$15)+SQRT((Input!$AA$16/Input!$AA$15)^2+1))*SQRT(1+(AJ113/(Input!$AA$15/2))^2)/((Input!$AA$16/Input!$AA$15)+SQRT((Input!$AA$16/Input!$AA$15)^2+(AJ113/(Input!$AA$15/2))^2+1))))/PI()</f>
        <v>0.163993300910008</v>
      </c>
      <c r="BE113" s="57" t="n">
        <f aca="false">(AJ113/(Input!$AA$15/2))/(2*PI())*ATAN((Input!$AA$16/Input!$AA$15)/((AJ113/(Input!$AA$15/2))*SQRT((Input!$AA$16/Input!$AA$15)^2+(AJ113/(Input!$AA$15/2))^2+1)))</f>
        <v>0.120238251830284</v>
      </c>
      <c r="BF113" s="57" t="n">
        <f aca="false">MAX(0,AJ113-MAX(AI113,$AA$23))/AK113*IF(BC113&gt;=Input!$AA$21*AQ113,1,0)</f>
        <v>1</v>
      </c>
      <c r="BG113" s="57" t="n">
        <f aca="false">4*Input!$AA$14*(Input!$AA$15/2)*(1-AY113^2)/AX113*((BD113-BD112)+(1-2*AY113)/(1-AY113)*(BE113-BE112))*1000*BF113</f>
        <v>2.44880082658623</v>
      </c>
      <c r="BH113" s="57" t="n">
        <f aca="false">IF(AM113="Sand",0,0.009*(AR113-10))</f>
        <v>0</v>
      </c>
      <c r="BI113" s="57" t="n">
        <f aca="false">BH113*Input!$AA$39</f>
        <v>0</v>
      </c>
      <c r="BJ113" s="57" t="n">
        <f aca="false">IF(AM113="Sand",0,MAX(AV113/Input!$AA$40,AQ113))</f>
        <v>0</v>
      </c>
      <c r="BK113" s="57" t="n">
        <f aca="false">IF(AM113="Sand",0,1000*AK113/(1+AU113)*IF(AQ113+BC113&lt;=BJ113,BI113*LOG10((AQ113+BC113)/AQ113),BI113*LOG10(BJ113/AQ113)+BH113*LOG10((AQ113+BC113)/BJ113)))*BF113</f>
        <v>0</v>
      </c>
      <c r="BL113" s="57" t="n">
        <f aca="false">IF(AM113="Sand",0,10^(INDEX(Input!$Q$51:$Q$57,MIN(MATCH(MIN(MAX(AR113,30),120),Input!$C$51:$C$57,1),6))+(MIN(MAX(AR113,30),120)-INDEX(Input!$C$51:$C$57,MIN(MATCH(MIN(MAX(AR113,30),120),Input!$C$51:$C$57,1),6)))/(INDEX(Input!$C$51:$C$57,MIN(MATCH(MIN(MAX(AR113,30),120),Input!$C$51:$C$57,1),6)+1)-INDEX(Input!$C$51:$C$57,MIN(MATCH(MIN(MAX(AR113,30),120),Input!$C$51:$C$57,1),6)))*(INDEX(Input!$Q$51:$Q$57,MIN(MATCH(MIN(MAX(AR113,30),120),Input!$C$51:$C$57,1),6)+1)-INDEX(Input!$Q$51:$Q$57,MIN(MATCH(MIN(MAX(AR113,30),120),Input!$C$51:$C$57,1),6)))))</f>
        <v>0</v>
      </c>
      <c r="BM113" s="57" t="n">
        <f aca="false">IF(OR(AM113="Sand",BF113=0),0,Input!$AA$41*(AK113/2)^2/(BL113*0.0001*31536000))</f>
        <v>0</v>
      </c>
      <c r="BN113" s="57" t="n">
        <f aca="false">MAX(0,MIN(AJ113,Input!$AA$20)-AI113)</f>
        <v>0</v>
      </c>
      <c r="BO113" s="57" t="n">
        <f aca="false">MAX(0,MIN(AJ113,Input!$AA$20)-MAX(AI113,$AA$23))</f>
        <v>0</v>
      </c>
      <c r="BP113" s="57" t="n">
        <f aca="false">BG113+BK113</f>
        <v>2.44880082658623</v>
      </c>
      <c r="BQ113" s="57"/>
    </row>
    <row r="114" customFormat="false" ht="14.25" hidden="false" customHeight="false" outlineLevel="0" collapsed="false">
      <c r="B114" s="7"/>
      <c r="C114" s="46" t="n">
        <v>32</v>
      </c>
      <c r="D114" s="46"/>
      <c r="E114" s="44" t="n">
        <f aca="false">AI114</f>
        <v>46.5</v>
      </c>
      <c r="F114" s="44"/>
      <c r="G114" s="44"/>
      <c r="H114" s="44" t="n">
        <f aca="false">AJ114</f>
        <v>48</v>
      </c>
      <c r="I114" s="44"/>
      <c r="J114" s="44"/>
      <c r="K114" s="41" t="str">
        <f aca="false">AM114</f>
        <v>Sand</v>
      </c>
      <c r="L114" s="41"/>
      <c r="M114" s="41"/>
      <c r="N114" s="46" t="n">
        <f aca="false">AN114</f>
        <v>50</v>
      </c>
      <c r="O114" s="46"/>
      <c r="P114" s="46"/>
      <c r="Q114" s="42" t="n">
        <f aca="false">AO114</f>
        <v>18.4</v>
      </c>
      <c r="R114" s="42"/>
      <c r="S114" s="42"/>
      <c r="T114" s="46" t="str">
        <f aca="false">IF(AR114="","-",AR114)</f>
        <v>-</v>
      </c>
      <c r="U114" s="46"/>
      <c r="V114" s="46" t="str">
        <f aca="false">IF(AT114="","-",AT114)</f>
        <v>-</v>
      </c>
      <c r="W114" s="46"/>
      <c r="X114" s="44" t="n">
        <f aca="false">AU114</f>
        <v>0.65</v>
      </c>
      <c r="Y114" s="44"/>
      <c r="Z114" s="55" t="n">
        <f aca="false">AV114</f>
        <v>0</v>
      </c>
      <c r="AA114" s="55"/>
      <c r="AB114" s="55"/>
      <c r="AC114" s="42" t="n">
        <f aca="false">AW114</f>
        <v>41.76159985</v>
      </c>
      <c r="AD114" s="42"/>
      <c r="AE114" s="42"/>
      <c r="AF114" s="12"/>
      <c r="AI114" s="56" t="n">
        <v>46.5</v>
      </c>
      <c r="AJ114" s="56" t="n">
        <v>48</v>
      </c>
      <c r="AK114" s="57" t="n">
        <f aca="false">AJ114-AI114</f>
        <v>1.5</v>
      </c>
      <c r="AL114" s="57" t="n">
        <f aca="false">(AI114+AJ114)/2</f>
        <v>47.25</v>
      </c>
      <c r="AM114" s="56" t="s">
        <v>199</v>
      </c>
      <c r="AN114" s="56" t="n">
        <v>50</v>
      </c>
      <c r="AO114" s="58" t="n">
        <f aca="false">IF(AL114&gt;$AA$20,$AA$22,$AA$21)</f>
        <v>18.4</v>
      </c>
      <c r="AP114" s="57" t="n">
        <f aca="false">AP113+AO114*AK114</f>
        <v>883.950000000001</v>
      </c>
      <c r="AQ114" s="57" t="n">
        <f aca="false">AP114-AO114*AK114/2-10*MAX(AL114-$AA$20,0)</f>
        <v>467.650000000001</v>
      </c>
      <c r="AR114" s="56"/>
      <c r="AS114" s="56"/>
      <c r="AT114" s="57" t="str">
        <f aca="false">IF(AR114="","",AR114-AS114)</f>
        <v/>
      </c>
      <c r="AU114" s="56" t="n">
        <v>0.65</v>
      </c>
      <c r="AV114" s="57" t="n">
        <f aca="false">IF(AM114="Sand",0,Input!$AA$34*AN114)</f>
        <v>0</v>
      </c>
      <c r="AW114" s="57" t="n">
        <f aca="false">IF(AM114="Sand",27.1+0.3*MIN(Input!$AA$35*AN114,60)-0.00054*MIN(Input!$AA$35*AN114,60)^2,MIN(MAX(DEGREES(ASIN(0.8-0.094*LN(MAX(IF(AT114="",10,AT114),5)))),20),30))</f>
        <v>41.76159985</v>
      </c>
      <c r="AX114" s="57" t="n">
        <f aca="false">IF(AM114="Sand",Input!$AA$36*Input!$AA$35*AN114,Input!$AA$37*AV114)</f>
        <v>54150</v>
      </c>
      <c r="AY114" s="59" t="n">
        <f aca="false">IF(AM114="Sand",Input!$AA$38,0.5)</f>
        <v>0.3</v>
      </c>
      <c r="AZ114" s="57" t="n">
        <f aca="false">Input!$AA$15/2/AL114</f>
        <v>0.783068783068783</v>
      </c>
      <c r="BA114" s="57" t="n">
        <f aca="false">Input!$AA$16/2/AL114</f>
        <v>2.13756613756614</v>
      </c>
      <c r="BB114" s="57" t="n">
        <f aca="false">1/(4*PI())*(2*AZ114*BA114*SQRT(AZ114^2+BA114^2+1)/(AZ114^2+BA114^2+1+AZ114^2*BA114^2)*(AZ114^2+BA114^2+2)/(AZ114^2+BA114^2+1)+ATAN2(AZ114^2+BA114^2+1-AZ114^2*BA114^2,2*AZ114*BA114*SQRT(AZ114^2+BA114^2+1)))</f>
        <v>0.179955425946873</v>
      </c>
      <c r="BC114" s="57" t="n">
        <f aca="false">4*Input!$AA$14*BB114</f>
        <v>97.8957517150986</v>
      </c>
      <c r="BD114" s="57" t="n">
        <f aca="false">((Input!$AA$16/Input!$AA$15)*LN((1+SQRT((Input!$AA$16/Input!$AA$15)^2+1))*SQRT((Input!$AA$16/Input!$AA$15)^2+(AJ114/(Input!$AA$15/2))^2)/((Input!$AA$16/Input!$AA$15)*(1+SQRT((Input!$AA$16/Input!$AA$15)^2+(AJ114/(Input!$AA$15/2))^2+1))))+LN(((Input!$AA$16/Input!$AA$15)+SQRT((Input!$AA$16/Input!$AA$15)^2+1))*SQRT(1+(AJ114/(Input!$AA$15/2))^2)/((Input!$AA$16/Input!$AA$15)+SQRT((Input!$AA$16/Input!$AA$15)^2+(AJ114/(Input!$AA$15/2))^2+1))))/PI()</f>
        <v>0.170938053366324</v>
      </c>
      <c r="BE114" s="57" t="n">
        <f aca="false">(AJ114/(Input!$AA$15/2))/(2*PI())*ATAN((Input!$AA$16/Input!$AA$15)/((AJ114/(Input!$AA$15/2))*SQRT((Input!$AA$16/Input!$AA$15)^2+(AJ114/(Input!$AA$15/2))^2+1)))</f>
        <v>0.120589055170862</v>
      </c>
      <c r="BF114" s="57" t="n">
        <f aca="false">MAX(0,AJ114-MAX(AI114,$AA$23))/AK114*IF(BC114&gt;=Input!$AA$21*AQ114,1,0)</f>
        <v>1</v>
      </c>
      <c r="BG114" s="57" t="n">
        <f aca="false">4*Input!$AA$14*(Input!$AA$15/2)*(1-AY114^2)/AX114*((BD114-BD113)+(1-2*AY114)/(1-AY114)*(BE114-BE113))*1000*BF114</f>
        <v>2.41689979101431</v>
      </c>
      <c r="BH114" s="57" t="n">
        <f aca="false">IF(AM114="Sand",0,0.009*(AR114-10))</f>
        <v>0</v>
      </c>
      <c r="BI114" s="57" t="n">
        <f aca="false">BH114*Input!$AA$39</f>
        <v>0</v>
      </c>
      <c r="BJ114" s="57" t="n">
        <f aca="false">IF(AM114="Sand",0,MAX(AV114/Input!$AA$40,AQ114))</f>
        <v>0</v>
      </c>
      <c r="BK114" s="57" t="n">
        <f aca="false">IF(AM114="Sand",0,1000*AK114/(1+AU114)*IF(AQ114+BC114&lt;=BJ114,BI114*LOG10((AQ114+BC114)/AQ114),BI114*LOG10(BJ114/AQ114)+BH114*LOG10((AQ114+BC114)/BJ114)))*BF114</f>
        <v>0</v>
      </c>
      <c r="BL114" s="57" t="n">
        <f aca="false">IF(AM114="Sand",0,10^(INDEX(Input!$Q$51:$Q$57,MIN(MATCH(MIN(MAX(AR114,30),120),Input!$C$51:$C$57,1),6))+(MIN(MAX(AR114,30),120)-INDEX(Input!$C$51:$C$57,MIN(MATCH(MIN(MAX(AR114,30),120),Input!$C$51:$C$57,1),6)))/(INDEX(Input!$C$51:$C$57,MIN(MATCH(MIN(MAX(AR114,30),120),Input!$C$51:$C$57,1),6)+1)-INDEX(Input!$C$51:$C$57,MIN(MATCH(MIN(MAX(AR114,30),120),Input!$C$51:$C$57,1),6)))*(INDEX(Input!$Q$51:$Q$57,MIN(MATCH(MIN(MAX(AR114,30),120),Input!$C$51:$C$57,1),6)+1)-INDEX(Input!$Q$51:$Q$57,MIN(MATCH(MIN(MAX(AR114,30),120),Input!$C$51:$C$57,1),6)))))</f>
        <v>0</v>
      </c>
      <c r="BM114" s="57" t="n">
        <f aca="false">IF(OR(AM114="Sand",BF114=0),0,Input!$AA$41*(AK114/2)^2/(BL114*0.0001*31536000))</f>
        <v>0</v>
      </c>
      <c r="BN114" s="57" t="n">
        <f aca="false">MAX(0,MIN(AJ114,Input!$AA$20)-AI114)</f>
        <v>0</v>
      </c>
      <c r="BO114" s="57" t="n">
        <f aca="false">MAX(0,MIN(AJ114,Input!$AA$20)-MAX(AI114,$AA$23))</f>
        <v>0</v>
      </c>
      <c r="BP114" s="57" t="n">
        <f aca="false">BG114+BK114</f>
        <v>2.41689979101431</v>
      </c>
      <c r="BQ114" s="57"/>
    </row>
    <row r="115" customFormat="false" ht="14.25" hidden="false" customHeight="false" outlineLevel="0" collapsed="false">
      <c r="B115" s="7"/>
      <c r="C115" s="46" t="n">
        <v>33</v>
      </c>
      <c r="D115" s="46"/>
      <c r="E115" s="44" t="n">
        <f aca="false">AI115</f>
        <v>48</v>
      </c>
      <c r="F115" s="44"/>
      <c r="G115" s="44"/>
      <c r="H115" s="44" t="n">
        <f aca="false">AJ115</f>
        <v>49.5</v>
      </c>
      <c r="I115" s="44"/>
      <c r="J115" s="44"/>
      <c r="K115" s="41" t="str">
        <f aca="false">AM115</f>
        <v>Sand</v>
      </c>
      <c r="L115" s="41"/>
      <c r="M115" s="41"/>
      <c r="N115" s="46" t="n">
        <f aca="false">AN115</f>
        <v>27</v>
      </c>
      <c r="O115" s="46"/>
      <c r="P115" s="46"/>
      <c r="Q115" s="42" t="n">
        <f aca="false">AO115</f>
        <v>18.4</v>
      </c>
      <c r="R115" s="42"/>
      <c r="S115" s="42"/>
      <c r="T115" s="46" t="str">
        <f aca="false">IF(AR115="","-",AR115)</f>
        <v>-</v>
      </c>
      <c r="U115" s="46"/>
      <c r="V115" s="46" t="str">
        <f aca="false">IF(AT115="","-",AT115)</f>
        <v>-</v>
      </c>
      <c r="W115" s="46"/>
      <c r="X115" s="44" t="n">
        <f aca="false">AU115</f>
        <v>0.65</v>
      </c>
      <c r="Y115" s="44"/>
      <c r="Z115" s="55" t="n">
        <f aca="false">AV115</f>
        <v>0</v>
      </c>
      <c r="AA115" s="55"/>
      <c r="AB115" s="55"/>
      <c r="AC115" s="42" t="n">
        <f aca="false">AW115</f>
        <v>35.41058051626</v>
      </c>
      <c r="AD115" s="42"/>
      <c r="AE115" s="42"/>
      <c r="AF115" s="12"/>
      <c r="AI115" s="56" t="n">
        <v>48</v>
      </c>
      <c r="AJ115" s="56" t="n">
        <v>49.5</v>
      </c>
      <c r="AK115" s="57" t="n">
        <f aca="false">AJ115-AI115</f>
        <v>1.5</v>
      </c>
      <c r="AL115" s="57" t="n">
        <f aca="false">(AI115+AJ115)/2</f>
        <v>48.75</v>
      </c>
      <c r="AM115" s="56" t="s">
        <v>199</v>
      </c>
      <c r="AN115" s="56" t="n">
        <v>27</v>
      </c>
      <c r="AO115" s="58" t="n">
        <f aca="false">IF(AL115&gt;$AA$20,$AA$22,$AA$21)</f>
        <v>18.4</v>
      </c>
      <c r="AP115" s="57" t="n">
        <f aca="false">AP114+AO115*AK115</f>
        <v>911.550000000001</v>
      </c>
      <c r="AQ115" s="57" t="n">
        <f aca="false">AP115-AO115*AK115/2-10*MAX(AL115-$AA$20,0)</f>
        <v>480.250000000001</v>
      </c>
      <c r="AR115" s="56"/>
      <c r="AS115" s="56"/>
      <c r="AT115" s="57" t="str">
        <f aca="false">IF(AR115="","",AR115-AS115)</f>
        <v/>
      </c>
      <c r="AU115" s="56" t="n">
        <v>0.65</v>
      </c>
      <c r="AV115" s="57" t="n">
        <f aca="false">IF(AM115="Sand",0,Input!$AA$34*AN115)</f>
        <v>0</v>
      </c>
      <c r="AW115" s="57" t="n">
        <f aca="false">IF(AM115="Sand",27.1+0.3*MIN(Input!$AA$35*AN115,60)-0.00054*MIN(Input!$AA$35*AN115,60)^2,MIN(MAX(DEGREES(ASIN(0.8-0.094*LN(MAX(IF(AT115="",10,AT115),5)))),20),30))</f>
        <v>35.41058051626</v>
      </c>
      <c r="AX115" s="57" t="n">
        <f aca="false">IF(AM115="Sand",Input!$AA$36*Input!$AA$35*AN115,Input!$AA$37*AV115)</f>
        <v>29241</v>
      </c>
      <c r="AY115" s="59" t="n">
        <f aca="false">IF(AM115="Sand",Input!$AA$38,0.5)</f>
        <v>0.3</v>
      </c>
      <c r="AZ115" s="57" t="n">
        <f aca="false">Input!$AA$15/2/AL115</f>
        <v>0.758974358974359</v>
      </c>
      <c r="BA115" s="57" t="n">
        <f aca="false">Input!$AA$16/2/AL115</f>
        <v>2.07179487179487</v>
      </c>
      <c r="BB115" s="57" t="n">
        <f aca="false">1/(4*PI())*(2*AZ115*BA115*SQRT(AZ115^2+BA115^2+1)/(AZ115^2+BA115^2+1+AZ115^2*BA115^2)*(AZ115^2+BA115^2+2)/(AZ115^2+BA115^2+1)+ATAN2(AZ115^2+BA115^2+1-AZ115^2*BA115^2,2*AZ115*BA115*SQRT(AZ115^2+BA115^2+1)))</f>
        <v>0.176702307674372</v>
      </c>
      <c r="BC115" s="57" t="n">
        <f aca="false">4*Input!$AA$14*BB115</f>
        <v>96.1260553748583</v>
      </c>
      <c r="BD115" s="57" t="n">
        <f aca="false">((Input!$AA$16/Input!$AA$15)*LN((1+SQRT((Input!$AA$16/Input!$AA$15)^2+1))*SQRT((Input!$AA$16/Input!$AA$15)^2+(AJ115/(Input!$AA$15/2))^2)/((Input!$AA$16/Input!$AA$15)*(1+SQRT((Input!$AA$16/Input!$AA$15)^2+(AJ115/(Input!$AA$15/2))^2+1))))+LN(((Input!$AA$16/Input!$AA$15)+SQRT((Input!$AA$16/Input!$AA$15)^2+1))*SQRT(1+(AJ115/(Input!$AA$15/2))^2)/((Input!$AA$16/Input!$AA$15)+SQRT((Input!$AA$16/Input!$AA$15)^2+(AJ115/(Input!$AA$15/2))^2+1))))/PI()</f>
        <v>0.177835390268971</v>
      </c>
      <c r="BE115" s="57" t="n">
        <f aca="false">(AJ115/(Input!$AA$15/2))/(2*PI())*ATAN((Input!$AA$16/Input!$AA$15)/((AJ115/(Input!$AA$15/2))*SQRT((Input!$AA$16/Input!$AA$15)^2+(AJ115/(Input!$AA$15/2))^2+1)))</f>
        <v>0.120855397057084</v>
      </c>
      <c r="BF115" s="57" t="n">
        <f aca="false">MAX(0,AJ115-MAX(AI115,$AA$23))/AK115*IF(BC115&gt;=Input!$AA$21*AQ115,1,0)</f>
        <v>1</v>
      </c>
      <c r="BG115" s="57" t="n">
        <f aca="false">4*Input!$AA$14*(Input!$AA$15/2)*(1-AY115^2)/AX115*((BD115-BD114)+(1-2*AY115)/(1-AY115)*(BE115-BE114))*1000*BF115</f>
        <v>4.41580714624181</v>
      </c>
      <c r="BH115" s="57" t="n">
        <f aca="false">IF(AM115="Sand",0,0.009*(AR115-10))</f>
        <v>0</v>
      </c>
      <c r="BI115" s="57" t="n">
        <f aca="false">BH115*Input!$AA$39</f>
        <v>0</v>
      </c>
      <c r="BJ115" s="57" t="n">
        <f aca="false">IF(AM115="Sand",0,MAX(AV115/Input!$AA$40,AQ115))</f>
        <v>0</v>
      </c>
      <c r="BK115" s="57" t="n">
        <f aca="false">IF(AM115="Sand",0,1000*AK115/(1+AU115)*IF(AQ115+BC115&lt;=BJ115,BI115*LOG10((AQ115+BC115)/AQ115),BI115*LOG10(BJ115/AQ115)+BH115*LOG10((AQ115+BC115)/BJ115)))*BF115</f>
        <v>0</v>
      </c>
      <c r="BL115" s="57" t="n">
        <f aca="false">IF(AM115="Sand",0,10^(INDEX(Input!$Q$51:$Q$57,MIN(MATCH(MIN(MAX(AR115,30),120),Input!$C$51:$C$57,1),6))+(MIN(MAX(AR115,30),120)-INDEX(Input!$C$51:$C$57,MIN(MATCH(MIN(MAX(AR115,30),120),Input!$C$51:$C$57,1),6)))/(INDEX(Input!$C$51:$C$57,MIN(MATCH(MIN(MAX(AR115,30),120),Input!$C$51:$C$57,1),6)+1)-INDEX(Input!$C$51:$C$57,MIN(MATCH(MIN(MAX(AR115,30),120),Input!$C$51:$C$57,1),6)))*(INDEX(Input!$Q$51:$Q$57,MIN(MATCH(MIN(MAX(AR115,30),120),Input!$C$51:$C$57,1),6)+1)-INDEX(Input!$Q$51:$Q$57,MIN(MATCH(MIN(MAX(AR115,30),120),Input!$C$51:$C$57,1),6)))))</f>
        <v>0</v>
      </c>
      <c r="BM115" s="57" t="n">
        <f aca="false">IF(OR(AM115="Sand",BF115=0),0,Input!$AA$41*(AK115/2)^2/(BL115*0.0001*31536000))</f>
        <v>0</v>
      </c>
      <c r="BN115" s="57" t="n">
        <f aca="false">MAX(0,MIN(AJ115,Input!$AA$20)-AI115)</f>
        <v>0</v>
      </c>
      <c r="BO115" s="57" t="n">
        <f aca="false">MAX(0,MIN(AJ115,Input!$AA$20)-MAX(AI115,$AA$23))</f>
        <v>0</v>
      </c>
      <c r="BP115" s="57" t="n">
        <f aca="false">BG115+BK115</f>
        <v>4.41580714624181</v>
      </c>
      <c r="BQ115" s="57"/>
    </row>
    <row r="116" customFormat="false" ht="14.25" hidden="false" customHeight="false" outlineLevel="0" collapsed="false">
      <c r="B116" s="7"/>
      <c r="C116" s="46" t="n">
        <v>34</v>
      </c>
      <c r="D116" s="46"/>
      <c r="E116" s="44" t="n">
        <f aca="false">AI116</f>
        <v>49.5</v>
      </c>
      <c r="F116" s="44"/>
      <c r="G116" s="44"/>
      <c r="H116" s="44" t="n">
        <f aca="false">AJ116</f>
        <v>51</v>
      </c>
      <c r="I116" s="44"/>
      <c r="J116" s="44"/>
      <c r="K116" s="41" t="str">
        <f aca="false">AM116</f>
        <v>Sand</v>
      </c>
      <c r="L116" s="41"/>
      <c r="M116" s="41"/>
      <c r="N116" s="46" t="n">
        <f aca="false">AN116</f>
        <v>25</v>
      </c>
      <c r="O116" s="46"/>
      <c r="P116" s="46"/>
      <c r="Q116" s="42" t="n">
        <f aca="false">AO116</f>
        <v>18.4</v>
      </c>
      <c r="R116" s="42"/>
      <c r="S116" s="42"/>
      <c r="T116" s="46" t="str">
        <f aca="false">IF(AR116="","-",AR116)</f>
        <v>-</v>
      </c>
      <c r="U116" s="46"/>
      <c r="V116" s="46" t="str">
        <f aca="false">IF(AT116="","-",AT116)</f>
        <v>-</v>
      </c>
      <c r="W116" s="46"/>
      <c r="X116" s="44" t="n">
        <f aca="false">AU116</f>
        <v>0.65</v>
      </c>
      <c r="Y116" s="44"/>
      <c r="Z116" s="55" t="n">
        <f aca="false">AV116</f>
        <v>0</v>
      </c>
      <c r="AA116" s="55"/>
      <c r="AB116" s="55"/>
      <c r="AC116" s="42" t="n">
        <f aca="false">AW116</f>
        <v>34.8266499625</v>
      </c>
      <c r="AD116" s="42"/>
      <c r="AE116" s="42"/>
      <c r="AF116" s="12"/>
      <c r="AI116" s="56" t="n">
        <v>49.5</v>
      </c>
      <c r="AJ116" s="56" t="n">
        <v>51</v>
      </c>
      <c r="AK116" s="57" t="n">
        <f aca="false">AJ116-AI116</f>
        <v>1.5</v>
      </c>
      <c r="AL116" s="57" t="n">
        <f aca="false">(AI116+AJ116)/2</f>
        <v>50.25</v>
      </c>
      <c r="AM116" s="56" t="s">
        <v>199</v>
      </c>
      <c r="AN116" s="56" t="n">
        <v>25</v>
      </c>
      <c r="AO116" s="58" t="n">
        <f aca="false">IF(AL116&gt;$AA$20,$AA$22,$AA$21)</f>
        <v>18.4</v>
      </c>
      <c r="AP116" s="57" t="n">
        <f aca="false">AP115+AO116*AK116</f>
        <v>939.150000000001</v>
      </c>
      <c r="AQ116" s="57" t="n">
        <f aca="false">AP116-AO116*AK116/2-10*MAX(AL116-$AA$20,0)</f>
        <v>492.850000000001</v>
      </c>
      <c r="AR116" s="56"/>
      <c r="AS116" s="56"/>
      <c r="AT116" s="57" t="str">
        <f aca="false">IF(AR116="","",AR116-AS116)</f>
        <v/>
      </c>
      <c r="AU116" s="56" t="n">
        <v>0.65</v>
      </c>
      <c r="AV116" s="57" t="n">
        <f aca="false">IF(AM116="Sand",0,Input!$AA$34*AN116)</f>
        <v>0</v>
      </c>
      <c r="AW116" s="57" t="n">
        <f aca="false">IF(AM116="Sand",27.1+0.3*MIN(Input!$AA$35*AN116,60)-0.00054*MIN(Input!$AA$35*AN116,60)^2,MIN(MAX(DEGREES(ASIN(0.8-0.094*LN(MAX(IF(AT116="",10,AT116),5)))),20),30))</f>
        <v>34.8266499625</v>
      </c>
      <c r="AX116" s="57" t="n">
        <f aca="false">IF(AM116="Sand",Input!$AA$36*Input!$AA$35*AN116,Input!$AA$37*AV116)</f>
        <v>27075</v>
      </c>
      <c r="AY116" s="59" t="n">
        <f aca="false">IF(AM116="Sand",Input!$AA$38,0.5)</f>
        <v>0.3</v>
      </c>
      <c r="AZ116" s="57" t="n">
        <f aca="false">Input!$AA$15/2/AL116</f>
        <v>0.736318407960199</v>
      </c>
      <c r="BA116" s="57" t="n">
        <f aca="false">Input!$AA$16/2/AL116</f>
        <v>2.00995024875622</v>
      </c>
      <c r="BB116" s="57" t="n">
        <f aca="false">1/(4*PI())*(2*AZ116*BA116*SQRT(AZ116^2+BA116^2+1)/(AZ116^2+BA116^2+1+AZ116^2*BA116^2)*(AZ116^2+BA116^2+2)/(AZ116^2+BA116^2+1)+ATAN2(AZ116^2+BA116^2+1-AZ116^2*BA116^2,2*AZ116*BA116*SQRT(AZ116^2+BA116^2+1)))</f>
        <v>0.173491603228654</v>
      </c>
      <c r="BC116" s="57" t="n">
        <f aca="false">4*Input!$AA$14*BB116</f>
        <v>94.379432156388</v>
      </c>
      <c r="BD116" s="57" t="n">
        <f aca="false">((Input!$AA$16/Input!$AA$15)*LN((1+SQRT((Input!$AA$16/Input!$AA$15)^2+1))*SQRT((Input!$AA$16/Input!$AA$15)^2+(AJ116/(Input!$AA$15/2))^2)/((Input!$AA$16/Input!$AA$15)*(1+SQRT((Input!$AA$16/Input!$AA$15)^2+(AJ116/(Input!$AA$15/2))^2+1))))+LN(((Input!$AA$16/Input!$AA$15)+SQRT((Input!$AA$16/Input!$AA$15)^2+1))*SQRT(1+(AJ116/(Input!$AA$15/2))^2)/((Input!$AA$16/Input!$AA$15)+SQRT((Input!$AA$16/Input!$AA$15)^2+(AJ116/(Input!$AA$15/2))^2+1))))/PI()</f>
        <v>0.184680682380465</v>
      </c>
      <c r="BE116" s="57" t="n">
        <f aca="false">(AJ116/(Input!$AA$15/2))/(2*PI())*ATAN((Input!$AA$16/Input!$AA$15)/((AJ116/(Input!$AA$15/2))*SQRT((Input!$AA$16/Input!$AA$15)^2+(AJ116/(Input!$AA$15/2))^2+1)))</f>
        <v>0.121043625132288</v>
      </c>
      <c r="BF116" s="57" t="n">
        <f aca="false">MAX(0,AJ116-MAX(AI116,$AA$23))/AK116*IF(BC116&gt;=Input!$AA$21*AQ116,1,0)</f>
        <v>0</v>
      </c>
      <c r="BG116" s="57" t="n">
        <f aca="false">4*Input!$AA$14*(Input!$AA$15/2)*(1-AY116^2)/AX116*((BD116-BD115)+(1-2*AY116)/(1-AY116)*(BE116-BE115))*1000*BF116</f>
        <v>0</v>
      </c>
      <c r="BH116" s="57" t="n">
        <f aca="false">IF(AM116="Sand",0,0.009*(AR116-10))</f>
        <v>0</v>
      </c>
      <c r="BI116" s="57" t="n">
        <f aca="false">BH116*Input!$AA$39</f>
        <v>0</v>
      </c>
      <c r="BJ116" s="57" t="n">
        <f aca="false">IF(AM116="Sand",0,MAX(AV116/Input!$AA$40,AQ116))</f>
        <v>0</v>
      </c>
      <c r="BK116" s="57" t="n">
        <f aca="false">IF(AM116="Sand",0,1000*AK116/(1+AU116)*IF(AQ116+BC116&lt;=BJ116,BI116*LOG10((AQ116+BC116)/AQ116),BI116*LOG10(BJ116/AQ116)+BH116*LOG10((AQ116+BC116)/BJ116)))*BF116</f>
        <v>0</v>
      </c>
      <c r="BL116" s="57" t="n">
        <f aca="false">IF(AM116="Sand",0,10^(INDEX(Input!$Q$51:$Q$57,MIN(MATCH(MIN(MAX(AR116,30),120),Input!$C$51:$C$57,1),6))+(MIN(MAX(AR116,30),120)-INDEX(Input!$C$51:$C$57,MIN(MATCH(MIN(MAX(AR116,30),120),Input!$C$51:$C$57,1),6)))/(INDEX(Input!$C$51:$C$57,MIN(MATCH(MIN(MAX(AR116,30),120),Input!$C$51:$C$57,1),6)+1)-INDEX(Input!$C$51:$C$57,MIN(MATCH(MIN(MAX(AR116,30),120),Input!$C$51:$C$57,1),6)))*(INDEX(Input!$Q$51:$Q$57,MIN(MATCH(MIN(MAX(AR116,30),120),Input!$C$51:$C$57,1),6)+1)-INDEX(Input!$Q$51:$Q$57,MIN(MATCH(MIN(MAX(AR116,30),120),Input!$C$51:$C$57,1),6)))))</f>
        <v>0</v>
      </c>
      <c r="BM116" s="57" t="n">
        <f aca="false">IF(OR(AM116="Sand",BF116=0),0,Input!$AA$41*(AK116/2)^2/(BL116*0.0001*31536000))</f>
        <v>0</v>
      </c>
      <c r="BN116" s="57" t="n">
        <f aca="false">MAX(0,MIN(AJ116,Input!$AA$20)-AI116)</f>
        <v>0</v>
      </c>
      <c r="BO116" s="57" t="n">
        <f aca="false">MAX(0,MIN(AJ116,Input!$AA$20)-MAX(AI116,$AA$23))</f>
        <v>0</v>
      </c>
      <c r="BP116" s="57" t="n">
        <f aca="false">BG116+BK116</f>
        <v>0</v>
      </c>
      <c r="BQ116" s="57"/>
    </row>
    <row r="117" customFormat="false" ht="14.25" hidden="false" customHeight="false" outlineLevel="0" collapsed="false">
      <c r="B117" s="7"/>
      <c r="C117" s="46" t="n">
        <v>35</v>
      </c>
      <c r="D117" s="46"/>
      <c r="E117" s="44" t="n">
        <f aca="false">AI117</f>
        <v>51</v>
      </c>
      <c r="F117" s="44"/>
      <c r="G117" s="44"/>
      <c r="H117" s="44" t="n">
        <f aca="false">AJ117</f>
        <v>52.5</v>
      </c>
      <c r="I117" s="44"/>
      <c r="J117" s="44"/>
      <c r="K117" s="41" t="str">
        <f aca="false">AM117</f>
        <v>Sand</v>
      </c>
      <c r="L117" s="41"/>
      <c r="M117" s="41"/>
      <c r="N117" s="46" t="n">
        <f aca="false">AN117</f>
        <v>29</v>
      </c>
      <c r="O117" s="46"/>
      <c r="P117" s="46"/>
      <c r="Q117" s="42" t="n">
        <f aca="false">AO117</f>
        <v>18.4</v>
      </c>
      <c r="R117" s="42"/>
      <c r="S117" s="42"/>
      <c r="T117" s="46" t="str">
        <f aca="false">IF(AR117="","-",AR117)</f>
        <v>-</v>
      </c>
      <c r="U117" s="46"/>
      <c r="V117" s="46" t="str">
        <f aca="false">IF(AT117="","-",AT117)</f>
        <v>-</v>
      </c>
      <c r="W117" s="46"/>
      <c r="X117" s="44" t="n">
        <f aca="false">AU117</f>
        <v>0.65</v>
      </c>
      <c r="Y117" s="44"/>
      <c r="Z117" s="55" t="n">
        <f aca="false">AV117</f>
        <v>0</v>
      </c>
      <c r="AA117" s="55"/>
      <c r="AB117" s="55"/>
      <c r="AC117" s="42" t="n">
        <f aca="false">AW117</f>
        <v>35.98944418954</v>
      </c>
      <c r="AD117" s="42"/>
      <c r="AE117" s="42"/>
      <c r="AF117" s="12"/>
      <c r="AI117" s="56" t="n">
        <v>51</v>
      </c>
      <c r="AJ117" s="56" t="n">
        <v>52.5</v>
      </c>
      <c r="AK117" s="57" t="n">
        <f aca="false">AJ117-AI117</f>
        <v>1.5</v>
      </c>
      <c r="AL117" s="57" t="n">
        <f aca="false">(AI117+AJ117)/2</f>
        <v>51.75</v>
      </c>
      <c r="AM117" s="56" t="s">
        <v>199</v>
      </c>
      <c r="AN117" s="56" t="n">
        <v>29</v>
      </c>
      <c r="AO117" s="58" t="n">
        <f aca="false">IF(AL117&gt;$AA$20,$AA$22,$AA$21)</f>
        <v>18.4</v>
      </c>
      <c r="AP117" s="57" t="n">
        <f aca="false">AP116+AO117*AK117</f>
        <v>966.750000000001</v>
      </c>
      <c r="AQ117" s="57" t="n">
        <f aca="false">AP117-AO117*AK117/2-10*MAX(AL117-$AA$20,0)</f>
        <v>505.450000000001</v>
      </c>
      <c r="AR117" s="56"/>
      <c r="AS117" s="56"/>
      <c r="AT117" s="57" t="str">
        <f aca="false">IF(AR117="","",AR117-AS117)</f>
        <v/>
      </c>
      <c r="AU117" s="56" t="n">
        <v>0.65</v>
      </c>
      <c r="AV117" s="57" t="n">
        <f aca="false">IF(AM117="Sand",0,Input!$AA$34*AN117)</f>
        <v>0</v>
      </c>
      <c r="AW117" s="57" t="n">
        <f aca="false">IF(AM117="Sand",27.1+0.3*MIN(Input!$AA$35*AN117,60)-0.00054*MIN(Input!$AA$35*AN117,60)^2,MIN(MAX(DEGREES(ASIN(0.8-0.094*LN(MAX(IF(AT117="",10,AT117),5)))),20),30))</f>
        <v>35.98944418954</v>
      </c>
      <c r="AX117" s="57" t="n">
        <f aca="false">IF(AM117="Sand",Input!$AA$36*Input!$AA$35*AN117,Input!$AA$37*AV117)</f>
        <v>31407</v>
      </c>
      <c r="AY117" s="59" t="n">
        <f aca="false">IF(AM117="Sand",Input!$AA$38,0.5)</f>
        <v>0.3</v>
      </c>
      <c r="AZ117" s="57" t="n">
        <f aca="false">Input!$AA$15/2/AL117</f>
        <v>0.714975845410628</v>
      </c>
      <c r="BA117" s="57" t="n">
        <f aca="false">Input!$AA$16/2/AL117</f>
        <v>1.95169082125604</v>
      </c>
      <c r="BB117" s="57" t="n">
        <f aca="false">1/(4*PI())*(2*AZ117*BA117*SQRT(AZ117^2+BA117^2+1)/(AZ117^2+BA117^2+1+AZ117^2*BA117^2)*(AZ117^2+BA117^2+2)/(AZ117^2+BA117^2+1)+ATAN2(AZ117^2+BA117^2+1-AZ117^2*BA117^2,2*AZ117*BA117*SQRT(AZ117^2+BA117^2+1)))</f>
        <v>0.170326331941294</v>
      </c>
      <c r="BC117" s="57" t="n">
        <f aca="false">4*Input!$AA$14*BB117</f>
        <v>92.657524576064</v>
      </c>
      <c r="BD117" s="57" t="n">
        <f aca="false">((Input!$AA$16/Input!$AA$15)*LN((1+SQRT((Input!$AA$16/Input!$AA$15)^2+1))*SQRT((Input!$AA$16/Input!$AA$15)^2+(AJ117/(Input!$AA$15/2))^2)/((Input!$AA$16/Input!$AA$15)*(1+SQRT((Input!$AA$16/Input!$AA$15)^2+(AJ117/(Input!$AA$15/2))^2+1))))+LN(((Input!$AA$16/Input!$AA$15)+SQRT((Input!$AA$16/Input!$AA$15)^2+1))*SQRT(1+(AJ117/(Input!$AA$15/2))^2)/((Input!$AA$16/Input!$AA$15)+SQRT((Input!$AA$16/Input!$AA$15)^2+(AJ117/(Input!$AA$15/2))^2+1))))/PI()</f>
        <v>0.191469892767081</v>
      </c>
      <c r="BE117" s="57" t="n">
        <f aca="false">(AJ117/(Input!$AA$15/2))/(2*PI())*ATAN((Input!$AA$16/Input!$AA$15)/((AJ117/(Input!$AA$15/2))*SQRT((Input!$AA$16/Input!$AA$15)^2+(AJ117/(Input!$AA$15/2))^2+1)))</f>
        <v>0.121159617263437</v>
      </c>
      <c r="BF117" s="57" t="n">
        <f aca="false">MAX(0,AJ117-MAX(AI117,$AA$23))/AK117*IF(BC117&gt;=Input!$AA$21*AQ117,1,0)</f>
        <v>0</v>
      </c>
      <c r="BG117" s="57" t="n">
        <f aca="false">4*Input!$AA$14*(Input!$AA$15/2)*(1-AY117^2)/AX117*((BD117-BD116)+(1-2*AY117)/(1-AY117)*(BE117-BE116))*1000*BF117</f>
        <v>0</v>
      </c>
      <c r="BH117" s="57" t="n">
        <f aca="false">IF(AM117="Sand",0,0.009*(AR117-10))</f>
        <v>0</v>
      </c>
      <c r="BI117" s="57" t="n">
        <f aca="false">BH117*Input!$AA$39</f>
        <v>0</v>
      </c>
      <c r="BJ117" s="57" t="n">
        <f aca="false">IF(AM117="Sand",0,MAX(AV117/Input!$AA$40,AQ117))</f>
        <v>0</v>
      </c>
      <c r="BK117" s="57" t="n">
        <f aca="false">IF(AM117="Sand",0,1000*AK117/(1+AU117)*IF(AQ117+BC117&lt;=BJ117,BI117*LOG10((AQ117+BC117)/AQ117),BI117*LOG10(BJ117/AQ117)+BH117*LOG10((AQ117+BC117)/BJ117)))*BF117</f>
        <v>0</v>
      </c>
      <c r="BL117" s="57" t="n">
        <f aca="false">IF(AM117="Sand",0,10^(INDEX(Input!$Q$51:$Q$57,MIN(MATCH(MIN(MAX(AR117,30),120),Input!$C$51:$C$57,1),6))+(MIN(MAX(AR117,30),120)-INDEX(Input!$C$51:$C$57,MIN(MATCH(MIN(MAX(AR117,30),120),Input!$C$51:$C$57,1),6)))/(INDEX(Input!$C$51:$C$57,MIN(MATCH(MIN(MAX(AR117,30),120),Input!$C$51:$C$57,1),6)+1)-INDEX(Input!$C$51:$C$57,MIN(MATCH(MIN(MAX(AR117,30),120),Input!$C$51:$C$57,1),6)))*(INDEX(Input!$Q$51:$Q$57,MIN(MATCH(MIN(MAX(AR117,30),120),Input!$C$51:$C$57,1),6)+1)-INDEX(Input!$Q$51:$Q$57,MIN(MATCH(MIN(MAX(AR117,30),120),Input!$C$51:$C$57,1),6)))))</f>
        <v>0</v>
      </c>
      <c r="BM117" s="57" t="n">
        <f aca="false">IF(OR(AM117="Sand",BF117=0),0,Input!$AA$41*(AK117/2)^2/(BL117*0.0001*31536000))</f>
        <v>0</v>
      </c>
      <c r="BN117" s="57" t="n">
        <f aca="false">MAX(0,MIN(AJ117,Input!$AA$20)-AI117)</f>
        <v>0</v>
      </c>
      <c r="BO117" s="57" t="n">
        <f aca="false">MAX(0,MIN(AJ117,Input!$AA$20)-MAX(AI117,$AA$23))</f>
        <v>0</v>
      </c>
      <c r="BP117" s="57" t="n">
        <f aca="false">BG117+BK117</f>
        <v>0</v>
      </c>
      <c r="BQ117" s="57"/>
    </row>
    <row r="118" customFormat="false" ht="14.25" hidden="false" customHeight="false" outlineLevel="0" collapsed="false">
      <c r="B118" s="7"/>
      <c r="C118" s="46" t="n">
        <v>36</v>
      </c>
      <c r="D118" s="46"/>
      <c r="E118" s="44" t="n">
        <f aca="false">AI118</f>
        <v>52.5</v>
      </c>
      <c r="F118" s="44"/>
      <c r="G118" s="44"/>
      <c r="H118" s="44" t="n">
        <f aca="false">AJ118</f>
        <v>54</v>
      </c>
      <c r="I118" s="44"/>
      <c r="J118" s="44"/>
      <c r="K118" s="41" t="str">
        <f aca="false">AM118</f>
        <v>Sand</v>
      </c>
      <c r="L118" s="41"/>
      <c r="M118" s="41"/>
      <c r="N118" s="46" t="n">
        <f aca="false">AN118</f>
        <v>35</v>
      </c>
      <c r="O118" s="46"/>
      <c r="P118" s="46"/>
      <c r="Q118" s="42" t="n">
        <f aca="false">AO118</f>
        <v>18.4</v>
      </c>
      <c r="R118" s="42"/>
      <c r="S118" s="42"/>
      <c r="T118" s="46" t="str">
        <f aca="false">IF(AR118="","-",AR118)</f>
        <v>-</v>
      </c>
      <c r="U118" s="46"/>
      <c r="V118" s="46" t="str">
        <f aca="false">IF(AT118="","-",AT118)</f>
        <v>-</v>
      </c>
      <c r="W118" s="46"/>
      <c r="X118" s="44" t="n">
        <f aca="false">AU118</f>
        <v>0.65</v>
      </c>
      <c r="Y118" s="44"/>
      <c r="Z118" s="55" t="n">
        <f aca="false">AV118</f>
        <v>0</v>
      </c>
      <c r="AA118" s="55"/>
      <c r="AB118" s="55"/>
      <c r="AC118" s="42" t="n">
        <f aca="false">AW118</f>
        <v>37.6956339265</v>
      </c>
      <c r="AD118" s="42"/>
      <c r="AE118" s="42"/>
      <c r="AF118" s="12"/>
      <c r="AI118" s="56" t="n">
        <v>52.5</v>
      </c>
      <c r="AJ118" s="56" t="n">
        <v>54</v>
      </c>
      <c r="AK118" s="57" t="n">
        <f aca="false">AJ118-AI118</f>
        <v>1.5</v>
      </c>
      <c r="AL118" s="57" t="n">
        <f aca="false">(AI118+AJ118)/2</f>
        <v>53.25</v>
      </c>
      <c r="AM118" s="56" t="s">
        <v>199</v>
      </c>
      <c r="AN118" s="56" t="n">
        <v>35</v>
      </c>
      <c r="AO118" s="58" t="n">
        <f aca="false">IF(AL118&gt;$AA$20,$AA$22,$AA$21)</f>
        <v>18.4</v>
      </c>
      <c r="AP118" s="57" t="n">
        <f aca="false">AP117+AO118*AK118</f>
        <v>994.350000000001</v>
      </c>
      <c r="AQ118" s="57" t="n">
        <f aca="false">AP118-AO118*AK118/2-10*MAX(AL118-$AA$20,0)</f>
        <v>518.050000000001</v>
      </c>
      <c r="AR118" s="56"/>
      <c r="AS118" s="56"/>
      <c r="AT118" s="57" t="str">
        <f aca="false">IF(AR118="","",AR118-AS118)</f>
        <v/>
      </c>
      <c r="AU118" s="56" t="n">
        <v>0.65</v>
      </c>
      <c r="AV118" s="57" t="n">
        <f aca="false">IF(AM118="Sand",0,Input!$AA$34*AN118)</f>
        <v>0</v>
      </c>
      <c r="AW118" s="57" t="n">
        <f aca="false">IF(AM118="Sand",27.1+0.3*MIN(Input!$AA$35*AN118,60)-0.00054*MIN(Input!$AA$35*AN118,60)^2,MIN(MAX(DEGREES(ASIN(0.8-0.094*LN(MAX(IF(AT118="",10,AT118),5)))),20),30))</f>
        <v>37.6956339265</v>
      </c>
      <c r="AX118" s="57" t="n">
        <f aca="false">IF(AM118="Sand",Input!$AA$36*Input!$AA$35*AN118,Input!$AA$37*AV118)</f>
        <v>37905</v>
      </c>
      <c r="AY118" s="59" t="n">
        <f aca="false">IF(AM118="Sand",Input!$AA$38,0.5)</f>
        <v>0.3</v>
      </c>
      <c r="AZ118" s="57" t="n">
        <f aca="false">Input!$AA$15/2/AL118</f>
        <v>0.694835680751174</v>
      </c>
      <c r="BA118" s="57" t="n">
        <f aca="false">Input!$AA$16/2/AL118</f>
        <v>1.89671361502347</v>
      </c>
      <c r="BB118" s="57" t="n">
        <f aca="false">1/(4*PI())*(2*AZ118*BA118*SQRT(AZ118^2+BA118^2+1)/(AZ118^2+BA118^2+1+AZ118^2*BA118^2)*(AZ118^2+BA118^2+2)/(AZ118^2+BA118^2+1)+ATAN2(AZ118^2+BA118^2+1-AZ118^2*BA118^2,2*AZ118*BA118*SQRT(AZ118^2+BA118^2+1)))</f>
        <v>0.167208949422951</v>
      </c>
      <c r="BC118" s="57" t="n">
        <f aca="false">4*Input!$AA$14*BB118</f>
        <v>90.9616684860851</v>
      </c>
      <c r="BD118" s="57" t="n">
        <f aca="false">((Input!$AA$16/Input!$AA$15)*LN((1+SQRT((Input!$AA$16/Input!$AA$15)^2+1))*SQRT((Input!$AA$16/Input!$AA$15)^2+(AJ118/(Input!$AA$15/2))^2)/((Input!$AA$16/Input!$AA$15)*(1+SQRT((Input!$AA$16/Input!$AA$15)^2+(AJ118/(Input!$AA$15/2))^2+1))))+LN(((Input!$AA$16/Input!$AA$15)+SQRT((Input!$AA$16/Input!$AA$15)^2+1))*SQRT(1+(AJ118/(Input!$AA$15/2))^2)/((Input!$AA$16/Input!$AA$15)+SQRT((Input!$AA$16/Input!$AA$15)^2+(AJ118/(Input!$AA$15/2))^2+1))))/PI()</f>
        <v>0.19819951737019</v>
      </c>
      <c r="BE118" s="57" t="n">
        <f aca="false">(AJ118/(Input!$AA$15/2))/(2*PI())*ATAN((Input!$AA$16/Input!$AA$15)/((AJ118/(Input!$AA$15/2))*SQRT((Input!$AA$16/Input!$AA$15)^2+(AJ118/(Input!$AA$15/2))^2+1)))</f>
        <v>0.121208818106769</v>
      </c>
      <c r="BF118" s="57" t="n">
        <f aca="false">MAX(0,AJ118-MAX(AI118,$AA$23))/AK118*IF(BC118&gt;=Input!$AA$21*AQ118,1,0)</f>
        <v>0</v>
      </c>
      <c r="BG118" s="57" t="n">
        <f aca="false">4*Input!$AA$14*(Input!$AA$15/2)*(1-AY118^2)/AX118*((BD118-BD117)+(1-2*AY118)/(1-AY118)*(BE118-BE117))*1000*BF118</f>
        <v>0</v>
      </c>
      <c r="BH118" s="57" t="n">
        <f aca="false">IF(AM118="Sand",0,0.009*(AR118-10))</f>
        <v>0</v>
      </c>
      <c r="BI118" s="57" t="n">
        <f aca="false">BH118*Input!$AA$39</f>
        <v>0</v>
      </c>
      <c r="BJ118" s="57" t="n">
        <f aca="false">IF(AM118="Sand",0,MAX(AV118/Input!$AA$40,AQ118))</f>
        <v>0</v>
      </c>
      <c r="BK118" s="57" t="n">
        <f aca="false">IF(AM118="Sand",0,1000*AK118/(1+AU118)*IF(AQ118+BC118&lt;=BJ118,BI118*LOG10((AQ118+BC118)/AQ118),BI118*LOG10(BJ118/AQ118)+BH118*LOG10((AQ118+BC118)/BJ118)))*BF118</f>
        <v>0</v>
      </c>
      <c r="BL118" s="57" t="n">
        <f aca="false">IF(AM118="Sand",0,10^(INDEX(Input!$Q$51:$Q$57,MIN(MATCH(MIN(MAX(AR118,30),120),Input!$C$51:$C$57,1),6))+(MIN(MAX(AR118,30),120)-INDEX(Input!$C$51:$C$57,MIN(MATCH(MIN(MAX(AR118,30),120),Input!$C$51:$C$57,1),6)))/(INDEX(Input!$C$51:$C$57,MIN(MATCH(MIN(MAX(AR118,30),120),Input!$C$51:$C$57,1),6)+1)-INDEX(Input!$C$51:$C$57,MIN(MATCH(MIN(MAX(AR118,30),120),Input!$C$51:$C$57,1),6)))*(INDEX(Input!$Q$51:$Q$57,MIN(MATCH(MIN(MAX(AR118,30),120),Input!$C$51:$C$57,1),6)+1)-INDEX(Input!$Q$51:$Q$57,MIN(MATCH(MIN(MAX(AR118,30),120),Input!$C$51:$C$57,1),6)))))</f>
        <v>0</v>
      </c>
      <c r="BM118" s="57" t="n">
        <f aca="false">IF(OR(AM118="Sand",BF118=0),0,Input!$AA$41*(AK118/2)^2/(BL118*0.0001*31536000))</f>
        <v>0</v>
      </c>
      <c r="BN118" s="57" t="n">
        <f aca="false">MAX(0,MIN(AJ118,Input!$AA$20)-AI118)</f>
        <v>0</v>
      </c>
      <c r="BO118" s="57" t="n">
        <f aca="false">MAX(0,MIN(AJ118,Input!$AA$20)-MAX(AI118,$AA$23))</f>
        <v>0</v>
      </c>
      <c r="BP118" s="57" t="n">
        <f aca="false">BG118+BK118</f>
        <v>0</v>
      </c>
      <c r="BQ118" s="57"/>
    </row>
    <row r="119" customFormat="false" ht="14.25" hidden="false" customHeight="false" outlineLevel="0" collapsed="false">
      <c r="B119" s="7"/>
      <c r="C119" s="46" t="n">
        <v>37</v>
      </c>
      <c r="D119" s="46"/>
      <c r="E119" s="44" t="n">
        <f aca="false">AI119</f>
        <v>54</v>
      </c>
      <c r="F119" s="44"/>
      <c r="G119" s="44"/>
      <c r="H119" s="44" t="n">
        <f aca="false">AJ119</f>
        <v>55.5</v>
      </c>
      <c r="I119" s="44"/>
      <c r="J119" s="44"/>
      <c r="K119" s="41" t="str">
        <f aca="false">AM119</f>
        <v>Sand</v>
      </c>
      <c r="L119" s="41"/>
      <c r="M119" s="41"/>
      <c r="N119" s="46" t="n">
        <f aca="false">AN119</f>
        <v>50</v>
      </c>
      <c r="O119" s="46"/>
      <c r="P119" s="46"/>
      <c r="Q119" s="42" t="n">
        <f aca="false">AO119</f>
        <v>18.4</v>
      </c>
      <c r="R119" s="42"/>
      <c r="S119" s="42"/>
      <c r="T119" s="46" t="str">
        <f aca="false">IF(AR119="","-",AR119)</f>
        <v>-</v>
      </c>
      <c r="U119" s="46"/>
      <c r="V119" s="46" t="str">
        <f aca="false">IF(AT119="","-",AT119)</f>
        <v>-</v>
      </c>
      <c r="W119" s="46"/>
      <c r="X119" s="44" t="n">
        <f aca="false">AU119</f>
        <v>0.65</v>
      </c>
      <c r="Y119" s="44"/>
      <c r="Z119" s="55" t="n">
        <f aca="false">AV119</f>
        <v>0</v>
      </c>
      <c r="AA119" s="55"/>
      <c r="AB119" s="55"/>
      <c r="AC119" s="42" t="n">
        <f aca="false">AW119</f>
        <v>41.76159985</v>
      </c>
      <c r="AD119" s="42"/>
      <c r="AE119" s="42"/>
      <c r="AF119" s="12"/>
      <c r="AI119" s="56" t="n">
        <v>54</v>
      </c>
      <c r="AJ119" s="56" t="n">
        <v>55.5</v>
      </c>
      <c r="AK119" s="57" t="n">
        <f aca="false">AJ119-AI119</f>
        <v>1.5</v>
      </c>
      <c r="AL119" s="57" t="n">
        <f aca="false">(AI119+AJ119)/2</f>
        <v>54.75</v>
      </c>
      <c r="AM119" s="56" t="s">
        <v>199</v>
      </c>
      <c r="AN119" s="56" t="n">
        <v>50</v>
      </c>
      <c r="AO119" s="58" t="n">
        <f aca="false">IF(AL119&gt;$AA$20,$AA$22,$AA$21)</f>
        <v>18.4</v>
      </c>
      <c r="AP119" s="57" t="n">
        <f aca="false">AP118+AO119*AK119</f>
        <v>1021.95</v>
      </c>
      <c r="AQ119" s="57" t="n">
        <f aca="false">AP119-AO119*AK119/2-10*MAX(AL119-$AA$20,0)</f>
        <v>530.650000000001</v>
      </c>
      <c r="AR119" s="56"/>
      <c r="AS119" s="56"/>
      <c r="AT119" s="57" t="str">
        <f aca="false">IF(AR119="","",AR119-AS119)</f>
        <v/>
      </c>
      <c r="AU119" s="56" t="n">
        <v>0.65</v>
      </c>
      <c r="AV119" s="57" t="n">
        <f aca="false">IF(AM119="Sand",0,Input!$AA$34*AN119)</f>
        <v>0</v>
      </c>
      <c r="AW119" s="57" t="n">
        <f aca="false">IF(AM119="Sand",27.1+0.3*MIN(Input!$AA$35*AN119,60)-0.00054*MIN(Input!$AA$35*AN119,60)^2,MIN(MAX(DEGREES(ASIN(0.8-0.094*LN(MAX(IF(AT119="",10,AT119),5)))),20),30))</f>
        <v>41.76159985</v>
      </c>
      <c r="AX119" s="57" t="n">
        <f aca="false">IF(AM119="Sand",Input!$AA$36*Input!$AA$35*AN119,Input!$AA$37*AV119)</f>
        <v>54150</v>
      </c>
      <c r="AY119" s="59" t="n">
        <f aca="false">IF(AM119="Sand",Input!$AA$38,0.5)</f>
        <v>0.3</v>
      </c>
      <c r="AZ119" s="57" t="n">
        <f aca="false">Input!$AA$15/2/AL119</f>
        <v>0.675799086757991</v>
      </c>
      <c r="BA119" s="57" t="n">
        <f aca="false">Input!$AA$16/2/AL119</f>
        <v>1.84474885844749</v>
      </c>
      <c r="BB119" s="57" t="n">
        <f aca="false">1/(4*PI())*(2*AZ119*BA119*SQRT(AZ119^2+BA119^2+1)/(AZ119^2+BA119^2+1+AZ119^2*BA119^2)*(AZ119^2+BA119^2+2)/(AZ119^2+BA119^2+1)+ATAN2(AZ119^2+BA119^2+1-AZ119^2*BA119^2,2*AZ119*BA119*SQRT(AZ119^2+BA119^2+1)))</f>
        <v>0.16414141420255</v>
      </c>
      <c r="BC119" s="57" t="n">
        <f aca="false">4*Input!$AA$14*BB119</f>
        <v>89.2929293261871</v>
      </c>
      <c r="BD119" s="57" t="n">
        <f aca="false">((Input!$AA$16/Input!$AA$15)*LN((1+SQRT((Input!$AA$16/Input!$AA$15)^2+1))*SQRT((Input!$AA$16/Input!$AA$15)^2+(AJ119/(Input!$AA$15/2))^2)/((Input!$AA$16/Input!$AA$15)*(1+SQRT((Input!$AA$16/Input!$AA$15)^2+(AJ119/(Input!$AA$15/2))^2+1))))+LN(((Input!$AA$16/Input!$AA$15)+SQRT((Input!$AA$16/Input!$AA$15)^2+1))*SQRT(1+(AJ119/(Input!$AA$15/2))^2)/((Input!$AA$16/Input!$AA$15)+SQRT((Input!$AA$16/Input!$AA$15)^2+(AJ119/(Input!$AA$15/2))^2+1))))/PI()</f>
        <v>0.204866530926182</v>
      </c>
      <c r="BE119" s="57" t="n">
        <f aca="false">(AJ119/(Input!$AA$15/2))/(2*PI())*ATAN((Input!$AA$16/Input!$AA$15)/((AJ119/(Input!$AA$15/2))*SQRT((Input!$AA$16/Input!$AA$15)^2+(AJ119/(Input!$AA$15/2))^2+1)))</f>
        <v>0.121196273026185</v>
      </c>
      <c r="BF119" s="57" t="n">
        <f aca="false">MAX(0,AJ119-MAX(AI119,$AA$23))/AK119*IF(BC119&gt;=Input!$AA$21*AQ119,1,0)</f>
        <v>0</v>
      </c>
      <c r="BG119" s="57" t="n">
        <f aca="false">4*Input!$AA$14*(Input!$AA$15/2)*(1-AY119^2)/AX119*((BD119-BD118)+(1-2*AY119)/(1-AY119)*(BE119-BE118))*1000*BF119</f>
        <v>0</v>
      </c>
      <c r="BH119" s="57" t="n">
        <f aca="false">IF(AM119="Sand",0,0.009*(AR119-10))</f>
        <v>0</v>
      </c>
      <c r="BI119" s="57" t="n">
        <f aca="false">BH119*Input!$AA$39</f>
        <v>0</v>
      </c>
      <c r="BJ119" s="57" t="n">
        <f aca="false">IF(AM119="Sand",0,MAX(AV119/Input!$AA$40,AQ119))</f>
        <v>0</v>
      </c>
      <c r="BK119" s="57" t="n">
        <f aca="false">IF(AM119="Sand",0,1000*AK119/(1+AU119)*IF(AQ119+BC119&lt;=BJ119,BI119*LOG10((AQ119+BC119)/AQ119),BI119*LOG10(BJ119/AQ119)+BH119*LOG10((AQ119+BC119)/BJ119)))*BF119</f>
        <v>0</v>
      </c>
      <c r="BL119" s="57" t="n">
        <f aca="false">IF(AM119="Sand",0,10^(INDEX(Input!$Q$51:$Q$57,MIN(MATCH(MIN(MAX(AR119,30),120),Input!$C$51:$C$57,1),6))+(MIN(MAX(AR119,30),120)-INDEX(Input!$C$51:$C$57,MIN(MATCH(MIN(MAX(AR119,30),120),Input!$C$51:$C$57,1),6)))/(INDEX(Input!$C$51:$C$57,MIN(MATCH(MIN(MAX(AR119,30),120),Input!$C$51:$C$57,1),6)+1)-INDEX(Input!$C$51:$C$57,MIN(MATCH(MIN(MAX(AR119,30),120),Input!$C$51:$C$57,1),6)))*(INDEX(Input!$Q$51:$Q$57,MIN(MATCH(MIN(MAX(AR119,30),120),Input!$C$51:$C$57,1),6)+1)-INDEX(Input!$Q$51:$Q$57,MIN(MATCH(MIN(MAX(AR119,30),120),Input!$C$51:$C$57,1),6)))))</f>
        <v>0</v>
      </c>
      <c r="BM119" s="57" t="n">
        <f aca="false">IF(OR(AM119="Sand",BF119=0),0,Input!$AA$41*(AK119/2)^2/(BL119*0.0001*31536000))</f>
        <v>0</v>
      </c>
      <c r="BN119" s="57" t="n">
        <f aca="false">MAX(0,MIN(AJ119,Input!$AA$20)-AI119)</f>
        <v>0</v>
      </c>
      <c r="BO119" s="57" t="n">
        <f aca="false">MAX(0,MIN(AJ119,Input!$AA$20)-MAX(AI119,$AA$23))</f>
        <v>0</v>
      </c>
      <c r="BP119" s="57" t="n">
        <f aca="false">BG119+BK119</f>
        <v>0</v>
      </c>
      <c r="BQ119" s="57"/>
    </row>
    <row r="120" customFormat="false" ht="14.25" hidden="false" customHeight="false" outlineLevel="0" collapsed="false">
      <c r="B120" s="7"/>
      <c r="C120" s="46" t="n">
        <v>38</v>
      </c>
      <c r="D120" s="46"/>
      <c r="E120" s="44" t="n">
        <f aca="false">AI120</f>
        <v>55.5</v>
      </c>
      <c r="F120" s="44"/>
      <c r="G120" s="44"/>
      <c r="H120" s="44" t="n">
        <f aca="false">AJ120</f>
        <v>57</v>
      </c>
      <c r="I120" s="44"/>
      <c r="J120" s="44"/>
      <c r="K120" s="41" t="str">
        <f aca="false">AM120</f>
        <v>Sand</v>
      </c>
      <c r="L120" s="41"/>
      <c r="M120" s="41"/>
      <c r="N120" s="46" t="n">
        <f aca="false">AN120</f>
        <v>50</v>
      </c>
      <c r="O120" s="46"/>
      <c r="P120" s="46"/>
      <c r="Q120" s="42" t="n">
        <f aca="false">AO120</f>
        <v>18.4</v>
      </c>
      <c r="R120" s="42"/>
      <c r="S120" s="42"/>
      <c r="T120" s="46" t="str">
        <f aca="false">IF(AR120="","-",AR120)</f>
        <v>-</v>
      </c>
      <c r="U120" s="46"/>
      <c r="V120" s="46" t="str">
        <f aca="false">IF(AT120="","-",AT120)</f>
        <v>-</v>
      </c>
      <c r="W120" s="46"/>
      <c r="X120" s="44" t="n">
        <f aca="false">AU120</f>
        <v>0.65</v>
      </c>
      <c r="Y120" s="44"/>
      <c r="Z120" s="55" t="n">
        <f aca="false">AV120</f>
        <v>0</v>
      </c>
      <c r="AA120" s="55"/>
      <c r="AB120" s="55"/>
      <c r="AC120" s="42" t="n">
        <f aca="false">AW120</f>
        <v>41.76159985</v>
      </c>
      <c r="AD120" s="42"/>
      <c r="AE120" s="42"/>
      <c r="AF120" s="12"/>
      <c r="AI120" s="56" t="n">
        <v>55.5</v>
      </c>
      <c r="AJ120" s="56" t="n">
        <v>57</v>
      </c>
      <c r="AK120" s="57" t="n">
        <f aca="false">AJ120-AI120</f>
        <v>1.5</v>
      </c>
      <c r="AL120" s="57" t="n">
        <f aca="false">(AI120+AJ120)/2</f>
        <v>56.25</v>
      </c>
      <c r="AM120" s="56" t="s">
        <v>199</v>
      </c>
      <c r="AN120" s="56" t="n">
        <v>50</v>
      </c>
      <c r="AO120" s="58" t="n">
        <f aca="false">IF(AL120&gt;$AA$20,$AA$22,$AA$21)</f>
        <v>18.4</v>
      </c>
      <c r="AP120" s="57" t="n">
        <f aca="false">AP119+AO120*AK120</f>
        <v>1049.55</v>
      </c>
      <c r="AQ120" s="57" t="n">
        <f aca="false">AP120-AO120*AK120/2-10*MAX(AL120-$AA$20,0)</f>
        <v>543.250000000001</v>
      </c>
      <c r="AR120" s="56"/>
      <c r="AS120" s="56"/>
      <c r="AT120" s="57" t="str">
        <f aca="false">IF(AR120="","",AR120-AS120)</f>
        <v/>
      </c>
      <c r="AU120" s="56" t="n">
        <v>0.65</v>
      </c>
      <c r="AV120" s="57" t="n">
        <f aca="false">IF(AM120="Sand",0,Input!$AA$34*AN120)</f>
        <v>0</v>
      </c>
      <c r="AW120" s="57" t="n">
        <f aca="false">IF(AM120="Sand",27.1+0.3*MIN(Input!$AA$35*AN120,60)-0.00054*MIN(Input!$AA$35*AN120,60)^2,MIN(MAX(DEGREES(ASIN(0.8-0.094*LN(MAX(IF(AT120="",10,AT120),5)))),20),30))</f>
        <v>41.76159985</v>
      </c>
      <c r="AX120" s="57" t="n">
        <f aca="false">IF(AM120="Sand",Input!$AA$36*Input!$AA$35*AN120,Input!$AA$37*AV120)</f>
        <v>54150</v>
      </c>
      <c r="AY120" s="59" t="n">
        <f aca="false">IF(AM120="Sand",Input!$AA$38,0.5)</f>
        <v>0.3</v>
      </c>
      <c r="AZ120" s="57" t="n">
        <f aca="false">Input!$AA$15/2/AL120</f>
        <v>0.657777777777778</v>
      </c>
      <c r="BA120" s="57" t="n">
        <f aca="false">Input!$AA$16/2/AL120</f>
        <v>1.79555555555556</v>
      </c>
      <c r="BB120" s="57" t="n">
        <f aca="false">1/(4*PI())*(2*AZ120*BA120*SQRT(AZ120^2+BA120^2+1)/(AZ120^2+BA120^2+1+AZ120^2*BA120^2)*(AZ120^2+BA120^2+2)/(AZ120^2+BA120^2+1)+ATAN2(AZ120^2+BA120^2+1-AZ120^2*BA120^2,2*AZ120*BA120*SQRT(AZ120^2+BA120^2+1)))</f>
        <v>0.161125248626343</v>
      </c>
      <c r="BC120" s="57" t="n">
        <f aca="false">4*Input!$AA$14*BB120</f>
        <v>87.6521352527307</v>
      </c>
      <c r="BD120" s="57" t="n">
        <f aca="false">((Input!$AA$16/Input!$AA$15)*LN((1+SQRT((Input!$AA$16/Input!$AA$15)^2+1))*SQRT((Input!$AA$16/Input!$AA$15)^2+(AJ120/(Input!$AA$15/2))^2)/((Input!$AA$16/Input!$AA$15)*(1+SQRT((Input!$AA$16/Input!$AA$15)^2+(AJ120/(Input!$AA$15/2))^2+1))))+LN(((Input!$AA$16/Input!$AA$15)+SQRT((Input!$AA$16/Input!$AA$15)^2+1))*SQRT(1+(AJ120/(Input!$AA$15/2))^2)/((Input!$AA$16/Input!$AA$15)+SQRT((Input!$AA$16/Input!$AA$15)^2+(AJ120/(Input!$AA$15/2))^2+1))))/PI()</f>
        <v>0.211468337918076</v>
      </c>
      <c r="BE120" s="57" t="n">
        <f aca="false">(AJ120/(Input!$AA$15/2))/(2*PI())*ATAN((Input!$AA$16/Input!$AA$15)/((AJ120/(Input!$AA$15/2))*SQRT((Input!$AA$16/Input!$AA$15)^2+(AJ120/(Input!$AA$15/2))^2+1)))</f>
        <v>0.121126659448925</v>
      </c>
      <c r="BF120" s="57" t="n">
        <f aca="false">MAX(0,AJ120-MAX(AI120,$AA$23))/AK120*IF(BC120&gt;=Input!$AA$21*AQ120,1,0)</f>
        <v>0</v>
      </c>
      <c r="BG120" s="57" t="n">
        <f aca="false">4*Input!$AA$14*(Input!$AA$15/2)*(1-AY120^2)/AX120*((BD120-BD119)+(1-2*AY120)/(1-AY120)*(BE120-BE119))*1000*BF120</f>
        <v>0</v>
      </c>
      <c r="BH120" s="57" t="n">
        <f aca="false">IF(AM120="Sand",0,0.009*(AR120-10))</f>
        <v>0</v>
      </c>
      <c r="BI120" s="57" t="n">
        <f aca="false">BH120*Input!$AA$39</f>
        <v>0</v>
      </c>
      <c r="BJ120" s="57" t="n">
        <f aca="false">IF(AM120="Sand",0,MAX(AV120/Input!$AA$40,AQ120))</f>
        <v>0</v>
      </c>
      <c r="BK120" s="57" t="n">
        <f aca="false">IF(AM120="Sand",0,1000*AK120/(1+AU120)*IF(AQ120+BC120&lt;=BJ120,BI120*LOG10((AQ120+BC120)/AQ120),BI120*LOG10(BJ120/AQ120)+BH120*LOG10((AQ120+BC120)/BJ120)))*BF120</f>
        <v>0</v>
      </c>
      <c r="BL120" s="57" t="n">
        <f aca="false">IF(AM120="Sand",0,10^(INDEX(Input!$Q$51:$Q$57,MIN(MATCH(MIN(MAX(AR120,30),120),Input!$C$51:$C$57,1),6))+(MIN(MAX(AR120,30),120)-INDEX(Input!$C$51:$C$57,MIN(MATCH(MIN(MAX(AR120,30),120),Input!$C$51:$C$57,1),6)))/(INDEX(Input!$C$51:$C$57,MIN(MATCH(MIN(MAX(AR120,30),120),Input!$C$51:$C$57,1),6)+1)-INDEX(Input!$C$51:$C$57,MIN(MATCH(MIN(MAX(AR120,30),120),Input!$C$51:$C$57,1),6)))*(INDEX(Input!$Q$51:$Q$57,MIN(MATCH(MIN(MAX(AR120,30),120),Input!$C$51:$C$57,1),6)+1)-INDEX(Input!$Q$51:$Q$57,MIN(MATCH(MIN(MAX(AR120,30),120),Input!$C$51:$C$57,1),6)))))</f>
        <v>0</v>
      </c>
      <c r="BM120" s="57" t="n">
        <f aca="false">IF(OR(AM120="Sand",BF120=0),0,Input!$AA$41*(AK120/2)^2/(BL120*0.0001*31536000))</f>
        <v>0</v>
      </c>
      <c r="BN120" s="57" t="n">
        <f aca="false">MAX(0,MIN(AJ120,Input!$AA$20)-AI120)</f>
        <v>0</v>
      </c>
      <c r="BO120" s="57" t="n">
        <f aca="false">MAX(0,MIN(AJ120,Input!$AA$20)-MAX(AI120,$AA$23))</f>
        <v>0</v>
      </c>
      <c r="BP120" s="57" t="n">
        <f aca="false">BG120+BK120</f>
        <v>0</v>
      </c>
      <c r="BQ120" s="57"/>
    </row>
    <row r="121" customFormat="false" ht="14.25" hidden="false" customHeight="false" outlineLevel="0" collapsed="false">
      <c r="B121" s="7"/>
      <c r="C121" s="46" t="n">
        <v>39</v>
      </c>
      <c r="D121" s="46"/>
      <c r="E121" s="44" t="n">
        <f aca="false">AI121</f>
        <v>57</v>
      </c>
      <c r="F121" s="44"/>
      <c r="G121" s="44"/>
      <c r="H121" s="44" t="n">
        <f aca="false">AJ121</f>
        <v>58.5</v>
      </c>
      <c r="I121" s="44"/>
      <c r="J121" s="44"/>
      <c r="K121" s="41" t="str">
        <f aca="false">AM121</f>
        <v>Sand</v>
      </c>
      <c r="L121" s="41"/>
      <c r="M121" s="41"/>
      <c r="N121" s="46" t="n">
        <f aca="false">AN121</f>
        <v>50</v>
      </c>
      <c r="O121" s="46"/>
      <c r="P121" s="46"/>
      <c r="Q121" s="42" t="n">
        <f aca="false">AO121</f>
        <v>18.4</v>
      </c>
      <c r="R121" s="42"/>
      <c r="S121" s="42"/>
      <c r="T121" s="46" t="str">
        <f aca="false">IF(AR121="","-",AR121)</f>
        <v>-</v>
      </c>
      <c r="U121" s="46"/>
      <c r="V121" s="46" t="str">
        <f aca="false">IF(AT121="","-",AT121)</f>
        <v>-</v>
      </c>
      <c r="W121" s="46"/>
      <c r="X121" s="44" t="n">
        <f aca="false">AU121</f>
        <v>0.65</v>
      </c>
      <c r="Y121" s="44"/>
      <c r="Z121" s="55" t="n">
        <f aca="false">AV121</f>
        <v>0</v>
      </c>
      <c r="AA121" s="55"/>
      <c r="AB121" s="55"/>
      <c r="AC121" s="42" t="n">
        <f aca="false">AW121</f>
        <v>41.76159985</v>
      </c>
      <c r="AD121" s="42"/>
      <c r="AE121" s="42"/>
      <c r="AF121" s="12"/>
      <c r="AI121" s="56" t="n">
        <v>57</v>
      </c>
      <c r="AJ121" s="56" t="n">
        <v>58.5</v>
      </c>
      <c r="AK121" s="57" t="n">
        <f aca="false">AJ121-AI121</f>
        <v>1.5</v>
      </c>
      <c r="AL121" s="57" t="n">
        <f aca="false">(AI121+AJ121)/2</f>
        <v>57.75</v>
      </c>
      <c r="AM121" s="56" t="s">
        <v>199</v>
      </c>
      <c r="AN121" s="56" t="n">
        <v>50</v>
      </c>
      <c r="AO121" s="58" t="n">
        <f aca="false">IF(AL121&gt;$AA$20,$AA$22,$AA$21)</f>
        <v>18.4</v>
      </c>
      <c r="AP121" s="57" t="n">
        <f aca="false">AP120+AO121*AK121</f>
        <v>1077.15</v>
      </c>
      <c r="AQ121" s="57" t="n">
        <f aca="false">AP121-AO121*AK121/2-10*MAX(AL121-$AA$20,0)</f>
        <v>555.850000000001</v>
      </c>
      <c r="AR121" s="56"/>
      <c r="AS121" s="56"/>
      <c r="AT121" s="57" t="str">
        <f aca="false">IF(AR121="","",AR121-AS121)</f>
        <v/>
      </c>
      <c r="AU121" s="56" t="n">
        <v>0.65</v>
      </c>
      <c r="AV121" s="57" t="n">
        <f aca="false">IF(AM121="Sand",0,Input!$AA$34*AN121)</f>
        <v>0</v>
      </c>
      <c r="AW121" s="57" t="n">
        <f aca="false">IF(AM121="Sand",27.1+0.3*MIN(Input!$AA$35*AN121,60)-0.00054*MIN(Input!$AA$35*AN121,60)^2,MIN(MAX(DEGREES(ASIN(0.8-0.094*LN(MAX(IF(AT121="",10,AT121),5)))),20),30))</f>
        <v>41.76159985</v>
      </c>
      <c r="AX121" s="57" t="n">
        <f aca="false">IF(AM121="Sand",Input!$AA$36*Input!$AA$35*AN121,Input!$AA$37*AV121)</f>
        <v>54150</v>
      </c>
      <c r="AY121" s="59" t="n">
        <f aca="false">IF(AM121="Sand",Input!$AA$38,0.5)</f>
        <v>0.3</v>
      </c>
      <c r="AZ121" s="57" t="n">
        <f aca="false">Input!$AA$15/2/AL121</f>
        <v>0.640692640692641</v>
      </c>
      <c r="BA121" s="57" t="n">
        <f aca="false">Input!$AA$16/2/AL121</f>
        <v>1.74891774891775</v>
      </c>
      <c r="BB121" s="57" t="n">
        <f aca="false">1/(4*PI())*(2*AZ121*BA121*SQRT(AZ121^2+BA121^2+1)/(AZ121^2+BA121^2+1+AZ121^2*BA121^2)*(AZ121^2+BA121^2+2)/(AZ121^2+BA121^2+1)+ATAN2(AZ121^2+BA121^2+1-AZ121^2*BA121^2,2*AZ121*BA121*SQRT(AZ121^2+BA121^2+1)))</f>
        <v>0.158161594063732</v>
      </c>
      <c r="BC121" s="57" t="n">
        <f aca="false">4*Input!$AA$14*BB121</f>
        <v>86.0399071706701</v>
      </c>
      <c r="BD121" s="57" t="n">
        <f aca="false">((Input!$AA$16/Input!$AA$15)*LN((1+SQRT((Input!$AA$16/Input!$AA$15)^2+1))*SQRT((Input!$AA$16/Input!$AA$15)^2+(AJ121/(Input!$AA$15/2))^2)/((Input!$AA$16/Input!$AA$15)*(1+SQRT((Input!$AA$16/Input!$AA$15)^2+(AJ121/(Input!$AA$15/2))^2+1))))+LN(((Input!$AA$16/Input!$AA$15)+SQRT((Input!$AA$16/Input!$AA$15)^2+1))*SQRT(1+(AJ121/(Input!$AA$15/2))^2)/((Input!$AA$16/Input!$AA$15)+SQRT((Input!$AA$16/Input!$AA$15)^2+(AJ121/(Input!$AA$15/2))^2+1))))/PI()</f>
        <v>0.218002728213384</v>
      </c>
      <c r="BE121" s="57" t="n">
        <f aca="false">(AJ121/(Input!$AA$15/2))/(2*PI())*ATAN((Input!$AA$16/Input!$AA$15)/((AJ121/(Input!$AA$15/2))*SQRT((Input!$AA$16/Input!$AA$15)^2+(AJ121/(Input!$AA$15/2))^2+1)))</f>
        <v>0.121004315773392</v>
      </c>
      <c r="BF121" s="57" t="n">
        <f aca="false">MAX(0,AJ121-MAX(AI121,$AA$23))/AK121*IF(BC121&gt;=Input!$AA$21*AQ121,1,0)</f>
        <v>0</v>
      </c>
      <c r="BG121" s="57" t="n">
        <f aca="false">4*Input!$AA$14*(Input!$AA$15/2)*(1-AY121^2)/AX121*((BD121-BD120)+(1-2*AY121)/(1-AY121)*(BE121-BE120))*1000*BF121</f>
        <v>0</v>
      </c>
      <c r="BH121" s="57" t="n">
        <f aca="false">IF(AM121="Sand",0,0.009*(AR121-10))</f>
        <v>0</v>
      </c>
      <c r="BI121" s="57" t="n">
        <f aca="false">BH121*Input!$AA$39</f>
        <v>0</v>
      </c>
      <c r="BJ121" s="57" t="n">
        <f aca="false">IF(AM121="Sand",0,MAX(AV121/Input!$AA$40,AQ121))</f>
        <v>0</v>
      </c>
      <c r="BK121" s="57" t="n">
        <f aca="false">IF(AM121="Sand",0,1000*AK121/(1+AU121)*IF(AQ121+BC121&lt;=BJ121,BI121*LOG10((AQ121+BC121)/AQ121),BI121*LOG10(BJ121/AQ121)+BH121*LOG10((AQ121+BC121)/BJ121)))*BF121</f>
        <v>0</v>
      </c>
      <c r="BL121" s="57" t="n">
        <f aca="false">IF(AM121="Sand",0,10^(INDEX(Input!$Q$51:$Q$57,MIN(MATCH(MIN(MAX(AR121,30),120),Input!$C$51:$C$57,1),6))+(MIN(MAX(AR121,30),120)-INDEX(Input!$C$51:$C$57,MIN(MATCH(MIN(MAX(AR121,30),120),Input!$C$51:$C$57,1),6)))/(INDEX(Input!$C$51:$C$57,MIN(MATCH(MIN(MAX(AR121,30),120),Input!$C$51:$C$57,1),6)+1)-INDEX(Input!$C$51:$C$57,MIN(MATCH(MIN(MAX(AR121,30),120),Input!$C$51:$C$57,1),6)))*(INDEX(Input!$Q$51:$Q$57,MIN(MATCH(MIN(MAX(AR121,30),120),Input!$C$51:$C$57,1),6)+1)-INDEX(Input!$Q$51:$Q$57,MIN(MATCH(MIN(MAX(AR121,30),120),Input!$C$51:$C$57,1),6)))))</f>
        <v>0</v>
      </c>
      <c r="BM121" s="57" t="n">
        <f aca="false">IF(OR(AM121="Sand",BF121=0),0,Input!$AA$41*(AK121/2)^2/(BL121*0.0001*31536000))</f>
        <v>0</v>
      </c>
      <c r="BN121" s="57" t="n">
        <f aca="false">MAX(0,MIN(AJ121,Input!$AA$20)-AI121)</f>
        <v>0</v>
      </c>
      <c r="BO121" s="57" t="n">
        <f aca="false">MAX(0,MIN(AJ121,Input!$AA$20)-MAX(AI121,$AA$23))</f>
        <v>0</v>
      </c>
      <c r="BP121" s="57" t="n">
        <f aca="false">BG121+BK121</f>
        <v>0</v>
      </c>
      <c r="BQ121" s="57"/>
    </row>
    <row r="122" customFormat="false" ht="14.25" hidden="false" customHeight="false" outlineLevel="0" collapsed="false">
      <c r="B122" s="7"/>
      <c r="C122" s="46" t="n">
        <v>40</v>
      </c>
      <c r="D122" s="46"/>
      <c r="E122" s="44" t="n">
        <f aca="false">AI122</f>
        <v>58.5</v>
      </c>
      <c r="F122" s="44"/>
      <c r="G122" s="44"/>
      <c r="H122" s="44" t="n">
        <f aca="false">AJ122</f>
        <v>59.5</v>
      </c>
      <c r="I122" s="44"/>
      <c r="J122" s="44"/>
      <c r="K122" s="41" t="str">
        <f aca="false">AM122</f>
        <v>Sand</v>
      </c>
      <c r="L122" s="41"/>
      <c r="M122" s="41"/>
      <c r="N122" s="46" t="n">
        <f aca="false">AN122</f>
        <v>29</v>
      </c>
      <c r="O122" s="46"/>
      <c r="P122" s="46"/>
      <c r="Q122" s="42" t="n">
        <f aca="false">AO122</f>
        <v>18.4</v>
      </c>
      <c r="R122" s="42"/>
      <c r="S122" s="42"/>
      <c r="T122" s="46" t="str">
        <f aca="false">IF(AR122="","-",AR122)</f>
        <v>-</v>
      </c>
      <c r="U122" s="46"/>
      <c r="V122" s="46" t="str">
        <f aca="false">IF(AT122="","-",AT122)</f>
        <v>-</v>
      </c>
      <c r="W122" s="46"/>
      <c r="X122" s="44" t="n">
        <f aca="false">AU122</f>
        <v>0.65</v>
      </c>
      <c r="Y122" s="44"/>
      <c r="Z122" s="55" t="n">
        <f aca="false">AV122</f>
        <v>0</v>
      </c>
      <c r="AA122" s="55"/>
      <c r="AB122" s="55"/>
      <c r="AC122" s="42" t="n">
        <f aca="false">AW122</f>
        <v>35.98944418954</v>
      </c>
      <c r="AD122" s="42"/>
      <c r="AE122" s="42"/>
      <c r="AF122" s="12"/>
      <c r="AI122" s="56" t="n">
        <v>58.5</v>
      </c>
      <c r="AJ122" s="56" t="n">
        <v>59.5</v>
      </c>
      <c r="AK122" s="57" t="n">
        <f aca="false">AJ122-AI122</f>
        <v>1</v>
      </c>
      <c r="AL122" s="57" t="n">
        <f aca="false">(AI122+AJ122)/2</f>
        <v>59</v>
      </c>
      <c r="AM122" s="56" t="s">
        <v>199</v>
      </c>
      <c r="AN122" s="56" t="n">
        <v>29</v>
      </c>
      <c r="AO122" s="58" t="n">
        <f aca="false">IF(AL122&gt;$AA$20,$AA$22,$AA$21)</f>
        <v>18.4</v>
      </c>
      <c r="AP122" s="57" t="n">
        <f aca="false">AP121+AO122*AK122</f>
        <v>1095.55</v>
      </c>
      <c r="AQ122" s="57" t="n">
        <f aca="false">AP122-AO122*AK122/2-10*MAX(AL122-$AA$20,0)</f>
        <v>566.350000000001</v>
      </c>
      <c r="AR122" s="56"/>
      <c r="AS122" s="56"/>
      <c r="AT122" s="57" t="str">
        <f aca="false">IF(AR122="","",AR122-AS122)</f>
        <v/>
      </c>
      <c r="AU122" s="56" t="n">
        <v>0.65</v>
      </c>
      <c r="AV122" s="57" t="n">
        <f aca="false">IF(AM122="Sand",0,Input!$AA$34*AN122)</f>
        <v>0</v>
      </c>
      <c r="AW122" s="57" t="n">
        <f aca="false">IF(AM122="Sand",27.1+0.3*MIN(Input!$AA$35*AN122,60)-0.00054*MIN(Input!$AA$35*AN122,60)^2,MIN(MAX(DEGREES(ASIN(0.8-0.094*LN(MAX(IF(AT122="",10,AT122),5)))),20),30))</f>
        <v>35.98944418954</v>
      </c>
      <c r="AX122" s="57" t="n">
        <f aca="false">IF(AM122="Sand",Input!$AA$36*Input!$AA$35*AN122,Input!$AA$37*AV122)</f>
        <v>31407</v>
      </c>
      <c r="AY122" s="59" t="n">
        <f aca="false">IF(AM122="Sand",Input!$AA$38,0.5)</f>
        <v>0.3</v>
      </c>
      <c r="AZ122" s="57" t="n">
        <f aca="false">Input!$AA$15/2/AL122</f>
        <v>0.627118644067797</v>
      </c>
      <c r="BA122" s="57" t="n">
        <f aca="false">Input!$AA$16/2/AL122</f>
        <v>1.71186440677966</v>
      </c>
      <c r="BB122" s="57" t="n">
        <f aca="false">1/(4*PI())*(2*AZ122*BA122*SQRT(AZ122^2+BA122^2+1)/(AZ122^2+BA122^2+1+AZ122^2*BA122^2)*(AZ122^2+BA122^2+2)/(AZ122^2+BA122^2+1)+ATAN2(AZ122^2+BA122^2+1-AZ122^2*BA122^2,2*AZ122*BA122*SQRT(AZ122^2+BA122^2+1)))</f>
        <v>0.15573258786151</v>
      </c>
      <c r="BC122" s="57" t="n">
        <f aca="false">4*Input!$AA$14*BB122</f>
        <v>84.7185277966616</v>
      </c>
      <c r="BD122" s="57" t="n">
        <f aca="false">((Input!$AA$16/Input!$AA$15)*LN((1+SQRT((Input!$AA$16/Input!$AA$15)^2+1))*SQRT((Input!$AA$16/Input!$AA$15)^2+(AJ122/(Input!$AA$15/2))^2)/((Input!$AA$16/Input!$AA$15)*(1+SQRT((Input!$AA$16/Input!$AA$15)^2+(AJ122/(Input!$AA$15/2))^2+1))))+LN(((Input!$AA$16/Input!$AA$15)+SQRT((Input!$AA$16/Input!$AA$15)^2+1))*SQRT(1+(AJ122/(Input!$AA$15/2))^2)/((Input!$AA$16/Input!$AA$15)+SQRT((Input!$AA$16/Input!$AA$15)^2+(AJ122/(Input!$AA$15/2))^2+1))))/PI()</f>
        <v>0.222320600711722</v>
      </c>
      <c r="BE122" s="57" t="n">
        <f aca="false">(AJ122/(Input!$AA$15/2))/(2*PI())*ATAN((Input!$AA$16/Input!$AA$15)/((AJ122/(Input!$AA$15/2))*SQRT((Input!$AA$16/Input!$AA$15)^2+(AJ122/(Input!$AA$15/2))^2+1)))</f>
        <v>0.120895459060618</v>
      </c>
      <c r="BF122" s="57" t="n">
        <f aca="false">MAX(0,AJ122-MAX(AI122,$AA$23))/AK122*IF(BC122&gt;=Input!$AA$21*AQ122,1,0)</f>
        <v>0</v>
      </c>
      <c r="BG122" s="57" t="n">
        <f aca="false">4*Input!$AA$14*(Input!$AA$15/2)*(1-AY122^2)/AX122*((BD122-BD121)+(1-2*AY122)/(1-AY122)*(BE122-BE121))*1000*BF122</f>
        <v>0</v>
      </c>
      <c r="BH122" s="57" t="n">
        <f aca="false">IF(AM122="Sand",0,0.009*(AR122-10))</f>
        <v>0</v>
      </c>
      <c r="BI122" s="57" t="n">
        <f aca="false">BH122*Input!$AA$39</f>
        <v>0</v>
      </c>
      <c r="BJ122" s="57" t="n">
        <f aca="false">IF(AM122="Sand",0,MAX(AV122/Input!$AA$40,AQ122))</f>
        <v>0</v>
      </c>
      <c r="BK122" s="57" t="n">
        <f aca="false">IF(AM122="Sand",0,1000*AK122/(1+AU122)*IF(AQ122+BC122&lt;=BJ122,BI122*LOG10((AQ122+BC122)/AQ122),BI122*LOG10(BJ122/AQ122)+BH122*LOG10((AQ122+BC122)/BJ122)))*BF122</f>
        <v>0</v>
      </c>
      <c r="BL122" s="57" t="n">
        <f aca="false">IF(AM122="Sand",0,10^(INDEX(Input!$Q$51:$Q$57,MIN(MATCH(MIN(MAX(AR122,30),120),Input!$C$51:$C$57,1),6))+(MIN(MAX(AR122,30),120)-INDEX(Input!$C$51:$C$57,MIN(MATCH(MIN(MAX(AR122,30),120),Input!$C$51:$C$57,1),6)))/(INDEX(Input!$C$51:$C$57,MIN(MATCH(MIN(MAX(AR122,30),120),Input!$C$51:$C$57,1),6)+1)-INDEX(Input!$C$51:$C$57,MIN(MATCH(MIN(MAX(AR122,30),120),Input!$C$51:$C$57,1),6)))*(INDEX(Input!$Q$51:$Q$57,MIN(MATCH(MIN(MAX(AR122,30),120),Input!$C$51:$C$57,1),6)+1)-INDEX(Input!$Q$51:$Q$57,MIN(MATCH(MIN(MAX(AR122,30),120),Input!$C$51:$C$57,1),6)))))</f>
        <v>0</v>
      </c>
      <c r="BM122" s="57" t="n">
        <f aca="false">IF(OR(AM122="Sand",BF122=0),0,Input!$AA$41*(AK122/2)^2/(BL122*0.0001*31536000))</f>
        <v>0</v>
      </c>
      <c r="BN122" s="57" t="n">
        <f aca="false">MAX(0,MIN(AJ122,Input!$AA$20)-AI122)</f>
        <v>0</v>
      </c>
      <c r="BO122" s="57" t="n">
        <f aca="false">MAX(0,MIN(AJ122,Input!$AA$20)-MAX(AI122,$AA$23))</f>
        <v>0</v>
      </c>
      <c r="BP122" s="57" t="n">
        <f aca="false">BG122+BK122</f>
        <v>0</v>
      </c>
      <c r="BQ122" s="57"/>
    </row>
    <row r="123" customFormat="false" ht="14.25" hidden="false" customHeight="false" outlineLevel="0" collapsed="false">
      <c r="B123" s="7"/>
      <c r="C123" s="60" t="n">
        <v>41</v>
      </c>
      <c r="D123" s="60"/>
      <c r="E123" s="61" t="n">
        <f aca="false">AI123</f>
        <v>59.5</v>
      </c>
      <c r="F123" s="61"/>
      <c r="G123" s="61"/>
      <c r="H123" s="61" t="n">
        <f aca="false">AJ123</f>
        <v>60</v>
      </c>
      <c r="I123" s="61"/>
      <c r="J123" s="61"/>
      <c r="K123" s="48" t="str">
        <f aca="false">AM123</f>
        <v>Sand</v>
      </c>
      <c r="L123" s="48"/>
      <c r="M123" s="48"/>
      <c r="N123" s="60" t="n">
        <f aca="false">AN123</f>
        <v>44</v>
      </c>
      <c r="O123" s="60"/>
      <c r="P123" s="60"/>
      <c r="Q123" s="49" t="n">
        <f aca="false">AO123</f>
        <v>18.4</v>
      </c>
      <c r="R123" s="49"/>
      <c r="S123" s="49"/>
      <c r="T123" s="60" t="str">
        <f aca="false">IF(AR123="","-",AR123)</f>
        <v>-</v>
      </c>
      <c r="U123" s="60"/>
      <c r="V123" s="60" t="str">
        <f aca="false">IF(AT123="","-",AT123)</f>
        <v>-</v>
      </c>
      <c r="W123" s="60"/>
      <c r="X123" s="61" t="n">
        <f aca="false">AU123</f>
        <v>0.65</v>
      </c>
      <c r="Y123" s="61"/>
      <c r="Z123" s="62" t="n">
        <f aca="false">AV123</f>
        <v>0</v>
      </c>
      <c r="AA123" s="62"/>
      <c r="AB123" s="62"/>
      <c r="AC123" s="49" t="n">
        <f aca="false">AW123</f>
        <v>40.16941492384</v>
      </c>
      <c r="AD123" s="49"/>
      <c r="AE123" s="49"/>
      <c r="AF123" s="12"/>
      <c r="AI123" s="56" t="n">
        <v>59.5</v>
      </c>
      <c r="AJ123" s="56" t="n">
        <v>60</v>
      </c>
      <c r="AK123" s="57" t="n">
        <f aca="false">AJ123-AI123</f>
        <v>0.5</v>
      </c>
      <c r="AL123" s="57" t="n">
        <f aca="false">(AI123+AJ123)/2</f>
        <v>59.75</v>
      </c>
      <c r="AM123" s="56" t="s">
        <v>199</v>
      </c>
      <c r="AN123" s="56" t="n">
        <v>44</v>
      </c>
      <c r="AO123" s="58" t="n">
        <f aca="false">IF(AL123&gt;$AA$20,$AA$22,$AA$21)</f>
        <v>18.4</v>
      </c>
      <c r="AP123" s="57" t="n">
        <f aca="false">AP122+AO123*AK123</f>
        <v>1104.75</v>
      </c>
      <c r="AQ123" s="57" t="n">
        <f aca="false">AP123-AO123*AK123/2-10*MAX(AL123-$AA$20,0)</f>
        <v>572.650000000001</v>
      </c>
      <c r="AR123" s="56"/>
      <c r="AS123" s="56"/>
      <c r="AT123" s="57" t="str">
        <f aca="false">IF(AR123="","",AR123-AS123)</f>
        <v/>
      </c>
      <c r="AU123" s="56" t="n">
        <v>0.65</v>
      </c>
      <c r="AV123" s="57" t="n">
        <f aca="false">IF(AM123="Sand",0,Input!$AA$34*AN123)</f>
        <v>0</v>
      </c>
      <c r="AW123" s="57" t="n">
        <f aca="false">IF(AM123="Sand",27.1+0.3*MIN(Input!$AA$35*AN123,60)-0.00054*MIN(Input!$AA$35*AN123,60)^2,MIN(MAX(DEGREES(ASIN(0.8-0.094*LN(MAX(IF(AT123="",10,AT123),5)))),20),30))</f>
        <v>40.16941492384</v>
      </c>
      <c r="AX123" s="57" t="n">
        <f aca="false">IF(AM123="Sand",Input!$AA$36*Input!$AA$35*AN123,Input!$AA$37*AV123)</f>
        <v>47652</v>
      </c>
      <c r="AY123" s="59" t="n">
        <f aca="false">IF(AM123="Sand",Input!$AA$38,0.5)</f>
        <v>0.3</v>
      </c>
      <c r="AZ123" s="57" t="n">
        <f aca="false">Input!$AA$15/2/AL123</f>
        <v>0.619246861924686</v>
      </c>
      <c r="BA123" s="57" t="n">
        <f aca="false">Input!$AA$16/2/AL123</f>
        <v>1.69037656903766</v>
      </c>
      <c r="BB123" s="57" t="n">
        <f aca="false">1/(4*PI())*(2*AZ123*BA123*SQRT(AZ123^2+BA123^2+1)/(AZ123^2+BA123^2+1+AZ123^2*BA123^2)*(AZ123^2+BA123^2+2)/(AZ123^2+BA123^2+1)+ATAN2(AZ123^2+BA123^2+1-AZ123^2*BA123^2,2*AZ123*BA123*SQRT(AZ123^2+BA123^2+1)))</f>
        <v>0.15429309651457</v>
      </c>
      <c r="BC123" s="57" t="n">
        <f aca="false">4*Input!$AA$14*BB123</f>
        <v>83.9354445039259</v>
      </c>
      <c r="BD123" s="57" t="n">
        <f aca="false">((Input!$AA$16/Input!$AA$15)*LN((1+SQRT((Input!$AA$16/Input!$AA$15)^2+1))*SQRT((Input!$AA$16/Input!$AA$15)^2+(AJ123/(Input!$AA$15/2))^2)/((Input!$AA$16/Input!$AA$15)*(1+SQRT((Input!$AA$16/Input!$AA$15)^2+(AJ123/(Input!$AA$15/2))^2+1))))+LN(((Input!$AA$16/Input!$AA$15)+SQRT((Input!$AA$16/Input!$AA$15)^2+1))*SQRT(1+(AJ123/(Input!$AA$15/2))^2)/((Input!$AA$16/Input!$AA$15)+SQRT((Input!$AA$16/Input!$AA$15)^2+(AJ123/(Input!$AA$15/2))^2+1))))/PI()</f>
        <v>0.224467837031054</v>
      </c>
      <c r="BE123" s="57" t="n">
        <f aca="false">(AJ123/(Input!$AA$15/2))/(2*PI())*ATAN((Input!$AA$16/Input!$AA$15)/((AJ123/(Input!$AA$15/2))*SQRT((Input!$AA$16/Input!$AA$15)^2+(AJ123/(Input!$AA$15/2))^2+1)))</f>
        <v>0.120833267963286</v>
      </c>
      <c r="BF123" s="57" t="n">
        <f aca="false">MAX(0,AJ123-MAX(AI123,$AA$23))/AK123*IF(BC123&gt;=Input!$AA$21*AQ123,1,0)</f>
        <v>0</v>
      </c>
      <c r="BG123" s="57" t="n">
        <f aca="false">4*Input!$AA$14*(Input!$AA$15/2)*(1-AY123^2)/AX123*((BD123-BD122)+(1-2*AY123)/(1-AY123)*(BE123-BE122))*1000*BF123</f>
        <v>0</v>
      </c>
      <c r="BH123" s="57" t="n">
        <f aca="false">IF(AM123="Sand",0,0.009*(AR123-10))</f>
        <v>0</v>
      </c>
      <c r="BI123" s="57" t="n">
        <f aca="false">BH123*Input!$AA$39</f>
        <v>0</v>
      </c>
      <c r="BJ123" s="57" t="n">
        <f aca="false">IF(AM123="Sand",0,MAX(AV123/Input!$AA$40,AQ123))</f>
        <v>0</v>
      </c>
      <c r="BK123" s="57" t="n">
        <f aca="false">IF(AM123="Sand",0,1000*AK123/(1+AU123)*IF(AQ123+BC123&lt;=BJ123,BI123*LOG10((AQ123+BC123)/AQ123),BI123*LOG10(BJ123/AQ123)+BH123*LOG10((AQ123+BC123)/BJ123)))*BF123</f>
        <v>0</v>
      </c>
      <c r="BL123" s="57" t="n">
        <f aca="false">IF(AM123="Sand",0,10^(INDEX(Input!$Q$51:$Q$57,MIN(MATCH(MIN(MAX(AR123,30),120),Input!$C$51:$C$57,1),6))+(MIN(MAX(AR123,30),120)-INDEX(Input!$C$51:$C$57,MIN(MATCH(MIN(MAX(AR123,30),120),Input!$C$51:$C$57,1),6)))/(INDEX(Input!$C$51:$C$57,MIN(MATCH(MIN(MAX(AR123,30),120),Input!$C$51:$C$57,1),6)+1)-INDEX(Input!$C$51:$C$57,MIN(MATCH(MIN(MAX(AR123,30),120),Input!$C$51:$C$57,1),6)))*(INDEX(Input!$Q$51:$Q$57,MIN(MATCH(MIN(MAX(AR123,30),120),Input!$C$51:$C$57,1),6)+1)-INDEX(Input!$Q$51:$Q$57,MIN(MATCH(MIN(MAX(AR123,30),120),Input!$C$51:$C$57,1),6)))))</f>
        <v>0</v>
      </c>
      <c r="BM123" s="57" t="n">
        <f aca="false">IF(OR(AM123="Sand",BF123=0),0,Input!$AA$41*(AK123/2)^2/(BL123*0.0001*31536000))</f>
        <v>0</v>
      </c>
      <c r="BN123" s="57" t="n">
        <f aca="false">MAX(0,MIN(AJ123,Input!$AA$20)-AI123)</f>
        <v>0</v>
      </c>
      <c r="BO123" s="57" t="n">
        <f aca="false">MAX(0,MIN(AJ123,Input!$AA$20)-MAX(AI123,$AA$23))</f>
        <v>0</v>
      </c>
      <c r="BP123" s="57" t="n">
        <f aca="false">BG123+BK123</f>
        <v>0</v>
      </c>
      <c r="BQ123" s="57"/>
    </row>
    <row r="124" customFormat="false" ht="14.25" hidden="false" customHeight="false" outlineLevel="0" collapsed="false">
      <c r="B124" s="7"/>
      <c r="C124" s="19" t="s">
        <v>201</v>
      </c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2"/>
    </row>
    <row r="125" customFormat="false" ht="14.25" hidden="false" customHeight="false" outlineLevel="0" collapsed="false">
      <c r="B125" s="7"/>
      <c r="AF125" s="12"/>
    </row>
    <row r="126" customFormat="false" ht="14.25" hidden="false" customHeight="false" outlineLevel="0" collapsed="false">
      <c r="B126" s="7"/>
      <c r="AF126" s="12"/>
    </row>
    <row r="127" customFormat="false" ht="14.25" hidden="false" customHeight="false" outlineLevel="0" collapsed="false">
      <c r="B127" s="7"/>
      <c r="AF127" s="12"/>
    </row>
    <row r="128" customFormat="false" ht="14.25" hidden="false" customHeight="false" outlineLevel="0" collapsed="false">
      <c r="B128" s="7"/>
      <c r="AF128" s="12"/>
    </row>
    <row r="129" customFormat="false" ht="14.25" hidden="false" customHeight="false" outlineLevel="0" collapsed="false">
      <c r="B129" s="7"/>
      <c r="AF129" s="12"/>
    </row>
    <row r="130" customFormat="false" ht="14.25" hidden="false" customHeight="false" outlineLevel="0" collapsed="false">
      <c r="B130" s="7"/>
      <c r="AF130" s="12"/>
    </row>
    <row r="131" customFormat="false" ht="14.25" hidden="false" customHeight="false" outlineLevel="0" collapsed="false">
      <c r="B131" s="7"/>
      <c r="AF131" s="12"/>
    </row>
    <row r="132" customFormat="false" ht="14.25" hidden="false" customHeight="false" outlineLevel="0" collapsed="false">
      <c r="B132" s="7"/>
      <c r="AF132" s="12"/>
    </row>
    <row r="133" customFormat="false" ht="14.25" hidden="false" customHeight="false" outlineLevel="0" collapsed="false">
      <c r="B133" s="7"/>
      <c r="AF133" s="12"/>
    </row>
    <row r="134" customFormat="false" ht="14.25" hidden="false" customHeight="false" outlineLevel="0" collapsed="false">
      <c r="B134" s="7"/>
      <c r="AF134" s="12"/>
    </row>
    <row r="135" customFormat="false" ht="14.25" hidden="false" customHeight="false" outlineLevel="0" collapsed="false">
      <c r="B135" s="7"/>
      <c r="AF135" s="12"/>
    </row>
    <row r="136" customFormat="false" ht="14.25" hidden="false" customHeight="false" outlineLevel="0" collapsed="false">
      <c r="B136" s="7"/>
      <c r="AF136" s="12"/>
    </row>
    <row r="137" customFormat="false" ht="14.25" hidden="false" customHeight="false" outlineLevel="0" collapsed="false">
      <c r="B137" s="7"/>
      <c r="AF137" s="12"/>
    </row>
    <row r="138" customFormat="false" ht="14.25" hidden="false" customHeight="false" outlineLevel="0" collapsed="false">
      <c r="B138" s="7"/>
      <c r="AF138" s="12"/>
    </row>
    <row r="139" customFormat="false" ht="14.25" hidden="false" customHeight="false" outlineLevel="0" collapsed="false">
      <c r="B139" s="7"/>
      <c r="AF139" s="12"/>
    </row>
    <row r="140" customFormat="false" ht="14.25" hidden="false" customHeight="false" outlineLevel="0" collapsed="false">
      <c r="B140" s="7"/>
      <c r="AF140" s="12"/>
    </row>
    <row r="141" customFormat="false" ht="14.25" hidden="false" customHeight="false" outlineLevel="0" collapsed="false">
      <c r="B141" s="7"/>
      <c r="AF141" s="12"/>
    </row>
    <row r="142" customFormat="false" ht="14.25" hidden="false" customHeight="false" outlineLevel="0" collapsed="false">
      <c r="B142" s="7"/>
      <c r="AF142" s="12"/>
    </row>
    <row r="143" customFormat="false" ht="14.25" hidden="false" customHeight="false" outlineLevel="0" collapsed="false">
      <c r="B143" s="7"/>
      <c r="AF143" s="12"/>
    </row>
    <row r="144" customFormat="false" ht="14.25" hidden="false" customHeight="false" outlineLevel="0" collapsed="false">
      <c r="B144" s="7"/>
      <c r="AF144" s="12"/>
    </row>
    <row r="145" customFormat="false" ht="14.25" hidden="false" customHeight="true" outlineLevel="0" collapsed="false">
      <c r="B145" s="36"/>
      <c r="C145" s="37"/>
      <c r="D145" s="37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8" t="s">
        <v>93</v>
      </c>
      <c r="Y145" s="38"/>
      <c r="Z145" s="38"/>
      <c r="AA145" s="38"/>
      <c r="AB145" s="38" t="n">
        <v>2</v>
      </c>
      <c r="AC145" s="38"/>
      <c r="AD145" s="38"/>
      <c r="AE145" s="38"/>
      <c r="AF145" s="39"/>
    </row>
    <row r="146" customFormat="false" ht="14.25" hidden="false" customHeight="true" outlineLevel="0" collapsed="false">
      <c r="B146" s="1"/>
      <c r="C146" s="2" t="s">
        <v>0</v>
      </c>
      <c r="D146" s="2"/>
      <c r="E146" s="2"/>
      <c r="F146" s="2"/>
      <c r="G146" s="2"/>
      <c r="H146" s="3" t="s">
        <v>1</v>
      </c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4" t="s">
        <v>2</v>
      </c>
      <c r="Y146" s="4"/>
      <c r="Z146" s="4"/>
      <c r="AA146" s="4"/>
      <c r="AB146" s="5" t="s">
        <v>3</v>
      </c>
      <c r="AC146" s="5"/>
      <c r="AD146" s="5"/>
      <c r="AE146" s="5"/>
      <c r="AF146" s="6"/>
    </row>
    <row r="147" customFormat="false" ht="14.25" hidden="false" customHeight="true" outlineLevel="0" collapsed="false">
      <c r="B147" s="7"/>
      <c r="C147" s="8" t="s">
        <v>4</v>
      </c>
      <c r="D147" s="8"/>
      <c r="E147" s="8"/>
      <c r="F147" s="8"/>
      <c r="G147" s="8"/>
      <c r="H147" s="9" t="s">
        <v>5</v>
      </c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10" t="s">
        <v>6</v>
      </c>
      <c r="Y147" s="10"/>
      <c r="Z147" s="10"/>
      <c r="AA147" s="10"/>
      <c r="AB147" s="11" t="n">
        <v>46301</v>
      </c>
      <c r="AC147" s="11"/>
      <c r="AD147" s="11"/>
      <c r="AE147" s="11"/>
      <c r="AF147" s="12"/>
    </row>
    <row r="148" customFormat="false" ht="14.25" hidden="false" customHeight="true" outlineLevel="0" collapsed="false">
      <c r="B148" s="7"/>
      <c r="C148" s="8" t="s">
        <v>7</v>
      </c>
      <c r="D148" s="8"/>
      <c r="E148" s="8"/>
      <c r="F148" s="8"/>
      <c r="G148" s="8"/>
      <c r="H148" s="9" t="s">
        <v>327</v>
      </c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10" t="s">
        <v>9</v>
      </c>
      <c r="Y148" s="10"/>
      <c r="Z148" s="10"/>
      <c r="AA148" s="10"/>
      <c r="AB148" s="11" t="s">
        <v>3</v>
      </c>
      <c r="AC148" s="11"/>
      <c r="AD148" s="11"/>
      <c r="AE148" s="11"/>
      <c r="AF148" s="12"/>
    </row>
    <row r="149" customFormat="false" ht="14.25" hidden="false" customHeight="true" outlineLevel="0" collapsed="false">
      <c r="B149" s="13"/>
      <c r="C149" s="14" t="s">
        <v>10</v>
      </c>
      <c r="D149" s="14"/>
      <c r="E149" s="14"/>
      <c r="F149" s="14"/>
      <c r="G149" s="14"/>
      <c r="H149" s="15" t="s">
        <v>134</v>
      </c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6" t="s">
        <v>12</v>
      </c>
      <c r="Y149" s="16"/>
      <c r="Z149" s="16"/>
      <c r="AA149" s="16"/>
      <c r="AB149" s="17" t="n">
        <v>46301</v>
      </c>
      <c r="AC149" s="17"/>
      <c r="AD149" s="17"/>
      <c r="AE149" s="17"/>
      <c r="AF149" s="18"/>
    </row>
    <row r="150" customFormat="false" ht="14.25" hidden="false" customHeight="false" outlineLevel="0" collapsed="false">
      <c r="B150" s="7"/>
      <c r="AF150" s="12"/>
    </row>
    <row r="151" customFormat="false" ht="14.25" hidden="false" customHeight="false" outlineLevel="0" collapsed="false">
      <c r="B151" s="7"/>
      <c r="C151" s="9" t="s">
        <v>202</v>
      </c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12"/>
    </row>
    <row r="152" customFormat="false" ht="14.25" hidden="false" customHeight="false" outlineLevel="0" collapsed="false">
      <c r="B152" s="7"/>
      <c r="C152" s="20" t="s">
        <v>203</v>
      </c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12"/>
    </row>
    <row r="153" customFormat="false" ht="14.25" hidden="false" customHeight="false" outlineLevel="0" collapsed="false">
      <c r="B153" s="7"/>
      <c r="C153" s="20" t="s">
        <v>204</v>
      </c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12"/>
    </row>
    <row r="154" customFormat="false" ht="14.25" hidden="false" customHeight="false" outlineLevel="0" collapsed="false">
      <c r="B154" s="7"/>
      <c r="C154" s="20" t="s">
        <v>205</v>
      </c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12"/>
    </row>
    <row r="155" customFormat="false" ht="14.25" hidden="false" customHeight="false" outlineLevel="0" collapsed="false">
      <c r="B155" s="7"/>
      <c r="C155" s="20" t="s">
        <v>206</v>
      </c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12"/>
    </row>
    <row r="156" customFormat="false" ht="14.25" hidden="false" customHeight="false" outlineLevel="0" collapsed="false">
      <c r="B156" s="7"/>
      <c r="C156" s="20" t="s">
        <v>207</v>
      </c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12"/>
    </row>
    <row r="157" customFormat="false" ht="14.25" hidden="false" customHeight="false" outlineLevel="0" collapsed="false">
      <c r="B157" s="7"/>
      <c r="AF157" s="12"/>
    </row>
    <row r="158" customFormat="false" ht="14.25" hidden="false" customHeight="false" outlineLevel="0" collapsed="false">
      <c r="B158" s="7"/>
      <c r="AF158" s="12"/>
    </row>
    <row r="159" customFormat="false" ht="14.25" hidden="false" customHeight="false" outlineLevel="0" collapsed="false">
      <c r="B159" s="7"/>
      <c r="AF159" s="12"/>
    </row>
    <row r="160" customFormat="false" ht="14.25" hidden="false" customHeight="false" outlineLevel="0" collapsed="false">
      <c r="B160" s="7"/>
      <c r="AF160" s="12"/>
    </row>
    <row r="161" customFormat="false" ht="14.25" hidden="false" customHeight="false" outlineLevel="0" collapsed="false">
      <c r="B161" s="7"/>
      <c r="AF161" s="12"/>
    </row>
    <row r="162" customFormat="false" ht="14.25" hidden="false" customHeight="false" outlineLevel="0" collapsed="false">
      <c r="B162" s="7"/>
      <c r="AF162" s="12"/>
    </row>
    <row r="163" customFormat="false" ht="14.25" hidden="false" customHeight="false" outlineLevel="0" collapsed="false">
      <c r="B163" s="7"/>
      <c r="AF163" s="12"/>
    </row>
    <row r="164" customFormat="false" ht="14.25" hidden="false" customHeight="false" outlineLevel="0" collapsed="false">
      <c r="B164" s="7"/>
      <c r="AF164" s="12"/>
    </row>
    <row r="165" customFormat="false" ht="14.25" hidden="false" customHeight="false" outlineLevel="0" collapsed="false">
      <c r="B165" s="7"/>
      <c r="AF165" s="12"/>
    </row>
    <row r="166" customFormat="false" ht="14.25" hidden="false" customHeight="false" outlineLevel="0" collapsed="false">
      <c r="B166" s="7"/>
      <c r="AF166" s="12"/>
    </row>
    <row r="167" customFormat="false" ht="14.25" hidden="false" customHeight="false" outlineLevel="0" collapsed="false">
      <c r="B167" s="7"/>
      <c r="AF167" s="12"/>
    </row>
    <row r="168" customFormat="false" ht="14.25" hidden="false" customHeight="false" outlineLevel="0" collapsed="false">
      <c r="B168" s="7"/>
      <c r="AF168" s="12"/>
    </row>
    <row r="169" customFormat="false" ht="14.25" hidden="false" customHeight="false" outlineLevel="0" collapsed="false">
      <c r="B169" s="7"/>
      <c r="AF169" s="12"/>
    </row>
    <row r="170" customFormat="false" ht="14.25" hidden="false" customHeight="false" outlineLevel="0" collapsed="false">
      <c r="B170" s="7"/>
      <c r="C170" s="52" t="s">
        <v>208</v>
      </c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Z170" s="52"/>
      <c r="AA170" s="52"/>
      <c r="AB170" s="52"/>
      <c r="AC170" s="52"/>
      <c r="AD170" s="52"/>
      <c r="AE170" s="52"/>
      <c r="AF170" s="12"/>
    </row>
    <row r="171" customFormat="false" ht="14.25" hidden="false" customHeight="false" outlineLevel="0" collapsed="false">
      <c r="B171" s="7"/>
      <c r="AF171" s="12"/>
    </row>
    <row r="172" customFormat="false" ht="14.25" hidden="false" customHeight="false" outlineLevel="0" collapsed="false">
      <c r="B172" s="7"/>
      <c r="C172" s="9" t="s">
        <v>209</v>
      </c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12"/>
    </row>
    <row r="173" customFormat="false" ht="14.25" hidden="false" customHeight="true" outlineLevel="0" collapsed="false">
      <c r="B173" s="7"/>
      <c r="C173" s="20" t="s">
        <v>210</v>
      </c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1" t="s">
        <v>211</v>
      </c>
      <c r="P173" s="21"/>
      <c r="Q173" s="21"/>
      <c r="R173" s="21"/>
      <c r="S173" s="21"/>
      <c r="T173" s="21"/>
      <c r="U173" s="21"/>
      <c r="V173" s="21"/>
      <c r="W173" s="21"/>
      <c r="X173" s="22" t="s">
        <v>212</v>
      </c>
      <c r="Y173" s="22"/>
      <c r="Z173" s="22"/>
      <c r="AA173" s="50" t="n">
        <f aca="false">SUMPRODUCT(--(AM83:AM123&lt;&gt;"Sand"),BN83:BN123)</f>
        <v>0</v>
      </c>
      <c r="AB173" s="50"/>
      <c r="AC173" s="50"/>
      <c r="AD173" s="20" t="s">
        <v>19</v>
      </c>
      <c r="AE173" s="20"/>
      <c r="AF173" s="12"/>
    </row>
    <row r="174" customFormat="false" ht="14.25" hidden="false" customHeight="true" outlineLevel="0" collapsed="false">
      <c r="B174" s="7"/>
      <c r="C174" s="20" t="s">
        <v>213</v>
      </c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1" t="s">
        <v>214</v>
      </c>
      <c r="P174" s="21"/>
      <c r="Q174" s="21"/>
      <c r="R174" s="21"/>
      <c r="S174" s="21"/>
      <c r="T174" s="21"/>
      <c r="U174" s="21"/>
      <c r="V174" s="21"/>
      <c r="W174" s="21"/>
      <c r="X174" s="22" t="s">
        <v>215</v>
      </c>
      <c r="Y174" s="22"/>
      <c r="Z174" s="22"/>
      <c r="AA174" s="51" t="n">
        <f aca="false">IF($AA$173=0,0,SUMPRODUCT(--(AM83:AM123&lt;&gt;"Sand"),BN83:BN123,AV83:AV123)/$AA$173)</f>
        <v>0</v>
      </c>
      <c r="AB174" s="51"/>
      <c r="AC174" s="51"/>
      <c r="AD174" s="20" t="s">
        <v>26</v>
      </c>
      <c r="AE174" s="20"/>
      <c r="AF174" s="12"/>
    </row>
    <row r="175" customFormat="false" ht="14.25" hidden="false" customHeight="true" outlineLevel="0" collapsed="false">
      <c r="B175" s="7"/>
      <c r="C175" s="20" t="s">
        <v>216</v>
      </c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1" t="s">
        <v>217</v>
      </c>
      <c r="P175" s="21"/>
      <c r="Q175" s="21"/>
      <c r="R175" s="21"/>
      <c r="S175" s="21"/>
      <c r="T175" s="21"/>
      <c r="U175" s="21"/>
      <c r="V175" s="21"/>
      <c r="W175" s="21"/>
      <c r="X175" s="22" t="s">
        <v>218</v>
      </c>
      <c r="Y175" s="22"/>
      <c r="Z175" s="22"/>
      <c r="AA175" s="51" t="n">
        <f aca="false">(SUMPRODUCT(BN83:BN123,AW83:AW123)+MIN(0,Input!$AA$20)*Input!$AA$29)/Input!$AA$20</f>
        <v>41.521062038914</v>
      </c>
      <c r="AB175" s="51"/>
      <c r="AC175" s="51"/>
      <c r="AD175" s="20" t="s">
        <v>60</v>
      </c>
      <c r="AE175" s="20"/>
      <c r="AF175" s="12"/>
    </row>
    <row r="176" customFormat="false" ht="14.25" hidden="false" customHeight="true" outlineLevel="0" collapsed="false">
      <c r="B176" s="7"/>
      <c r="C176" s="20" t="s">
        <v>219</v>
      </c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1" t="s">
        <v>220</v>
      </c>
      <c r="P176" s="21"/>
      <c r="Q176" s="21"/>
      <c r="R176" s="21"/>
      <c r="S176" s="21"/>
      <c r="T176" s="21"/>
      <c r="U176" s="21"/>
      <c r="V176" s="21"/>
      <c r="W176" s="21"/>
      <c r="X176" s="22" t="s">
        <v>221</v>
      </c>
      <c r="Y176" s="22"/>
      <c r="Z176" s="22"/>
      <c r="AA176" s="51" t="n">
        <f aca="false">(SUMPRODUCT(BN83:BN123,AO83:AO123)+MIN(0,Input!$AA$20)*Input!$AA$28)/Input!$AA$20-10*MAX(0,Input!$AA$20-$AA$20)/Input!$AA$20</f>
        <v>18.5</v>
      </c>
      <c r="AB176" s="51"/>
      <c r="AC176" s="51"/>
      <c r="AD176" s="20" t="s">
        <v>23</v>
      </c>
      <c r="AE176" s="20"/>
      <c r="AF176" s="12"/>
    </row>
    <row r="177" customFormat="false" ht="14.25" hidden="false" customHeight="true" outlineLevel="0" collapsed="false">
      <c r="B177" s="7"/>
      <c r="C177" s="20" t="s">
        <v>222</v>
      </c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1" t="s">
        <v>223</v>
      </c>
      <c r="P177" s="21"/>
      <c r="Q177" s="21"/>
      <c r="R177" s="21"/>
      <c r="S177" s="21"/>
      <c r="T177" s="21"/>
      <c r="U177" s="21"/>
      <c r="V177" s="21"/>
      <c r="W177" s="21"/>
      <c r="X177" s="22" t="s">
        <v>224</v>
      </c>
      <c r="Y177" s="22"/>
      <c r="Z177" s="22"/>
      <c r="AA177" s="50" t="n">
        <f aca="false">IF($AA$173=0,5.14,MAX(5.14,IF(Input!$AA$25&gt;0,MIN(Input!$AA$25,4.14+0.5*Input!$AA$15/$AA$173),4.14+0.5*Input!$AA$15/$AA$173)))</f>
        <v>5.14</v>
      </c>
      <c r="AB177" s="50"/>
      <c r="AC177" s="50"/>
      <c r="AD177" s="20" t="s">
        <v>38</v>
      </c>
      <c r="AE177" s="20"/>
      <c r="AF177" s="12"/>
    </row>
    <row r="178" customFormat="false" ht="14.25" hidden="false" customHeight="true" outlineLevel="0" collapsed="false">
      <c r="B178" s="7"/>
      <c r="C178" s="20" t="s">
        <v>225</v>
      </c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1" t="s">
        <v>226</v>
      </c>
      <c r="P178" s="21"/>
      <c r="Q178" s="21"/>
      <c r="R178" s="21"/>
      <c r="S178" s="21"/>
      <c r="T178" s="21"/>
      <c r="U178" s="21"/>
      <c r="V178" s="21"/>
      <c r="W178" s="21"/>
      <c r="X178" s="22" t="s">
        <v>227</v>
      </c>
      <c r="Y178" s="22"/>
      <c r="Z178" s="22"/>
      <c r="AA178" s="50" t="n">
        <f aca="false">1+0.2*Input!$AA$15/Input!$AA$16</f>
        <v>1.07326732673267</v>
      </c>
      <c r="AB178" s="50"/>
      <c r="AC178" s="50"/>
      <c r="AD178" s="20" t="s">
        <v>38</v>
      </c>
      <c r="AE178" s="20"/>
      <c r="AF178" s="12"/>
    </row>
    <row r="179" customFormat="false" ht="14.25" hidden="false" customHeight="true" outlineLevel="0" collapsed="false">
      <c r="B179" s="7"/>
      <c r="C179" s="20" t="s">
        <v>228</v>
      </c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1" t="s">
        <v>229</v>
      </c>
      <c r="P179" s="21"/>
      <c r="Q179" s="21"/>
      <c r="R179" s="21"/>
      <c r="S179" s="21"/>
      <c r="T179" s="21"/>
      <c r="U179" s="21"/>
      <c r="V179" s="21"/>
      <c r="W179" s="21"/>
      <c r="X179" s="22" t="s">
        <v>230</v>
      </c>
      <c r="Y179" s="22"/>
      <c r="Z179" s="22"/>
      <c r="AA179" s="51" t="str">
        <f aca="false">IF($AA$173=0,"n/a",$AA$174*$AA$177*$AA$178)</f>
        <v>n/a</v>
      </c>
      <c r="AB179" s="51"/>
      <c r="AC179" s="51"/>
      <c r="AD179" s="20" t="s">
        <v>26</v>
      </c>
      <c r="AE179" s="20"/>
      <c r="AF179" s="12"/>
    </row>
    <row r="180" customFormat="false" ht="14.25" hidden="false" customHeight="true" outlineLevel="0" collapsed="false">
      <c r="B180" s="7"/>
      <c r="C180" s="20" t="s">
        <v>231</v>
      </c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1" t="s">
        <v>232</v>
      </c>
      <c r="P180" s="21"/>
      <c r="Q180" s="21"/>
      <c r="R180" s="21"/>
      <c r="S180" s="21"/>
      <c r="T180" s="21"/>
      <c r="U180" s="21"/>
      <c r="V180" s="21"/>
      <c r="W180" s="21"/>
      <c r="X180" s="22" t="s">
        <v>233</v>
      </c>
      <c r="Y180" s="22"/>
      <c r="Z180" s="22"/>
      <c r="AA180" s="50" t="n">
        <f aca="false">EXP(PI()*TAN(RADIANS($AA$175)))*TAN(RADIANS(45+$AA$175/2))^2</f>
        <v>79.6329455653708</v>
      </c>
      <c r="AB180" s="50"/>
      <c r="AC180" s="50"/>
      <c r="AD180" s="20" t="s">
        <v>38</v>
      </c>
      <c r="AE180" s="20"/>
      <c r="AF180" s="12"/>
    </row>
    <row r="181" customFormat="false" ht="14.25" hidden="false" customHeight="true" outlineLevel="0" collapsed="false">
      <c r="B181" s="7"/>
      <c r="C181" s="20" t="s">
        <v>234</v>
      </c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1" t="s">
        <v>235</v>
      </c>
      <c r="P181" s="21"/>
      <c r="Q181" s="21"/>
      <c r="R181" s="21"/>
      <c r="S181" s="21"/>
      <c r="T181" s="21"/>
      <c r="U181" s="21"/>
      <c r="V181" s="21"/>
      <c r="W181" s="21"/>
      <c r="X181" s="22" t="s">
        <v>236</v>
      </c>
      <c r="Y181" s="22"/>
      <c r="Z181" s="22"/>
      <c r="AA181" s="50" t="n">
        <f aca="false">2*($AA$180+1)*TAN(RADIANS($AA$175))</f>
        <v>142.781726282765</v>
      </c>
      <c r="AB181" s="50"/>
      <c r="AC181" s="50"/>
      <c r="AD181" s="20" t="s">
        <v>38</v>
      </c>
      <c r="AE181" s="20"/>
      <c r="AF181" s="12"/>
    </row>
    <row r="182" customFormat="false" ht="14.25" hidden="false" customHeight="true" outlineLevel="0" collapsed="false">
      <c r="B182" s="7"/>
      <c r="C182" s="20" t="s">
        <v>237</v>
      </c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1" t="s">
        <v>238</v>
      </c>
      <c r="P182" s="21"/>
      <c r="Q182" s="21"/>
      <c r="R182" s="21"/>
      <c r="S182" s="21"/>
      <c r="T182" s="21"/>
      <c r="U182" s="21"/>
      <c r="V182" s="21"/>
      <c r="W182" s="21"/>
      <c r="X182" s="22" t="s">
        <v>239</v>
      </c>
      <c r="Y182" s="22"/>
      <c r="Z182" s="22"/>
      <c r="AA182" s="63" t="n">
        <f aca="false">(1-0.4*Input!$AA$15/Input!$AA$16)*IF(Input!$AA$15&gt;2,1-0.25*LOG10(Input!$AA$15/2),1)</f>
        <v>0.518863889567884</v>
      </c>
      <c r="AB182" s="63"/>
      <c r="AC182" s="63"/>
      <c r="AD182" s="20" t="s">
        <v>38</v>
      </c>
      <c r="AE182" s="20"/>
      <c r="AF182" s="12"/>
    </row>
    <row r="183" customFormat="false" ht="14.25" hidden="false" customHeight="true" outlineLevel="0" collapsed="false">
      <c r="B183" s="7"/>
      <c r="C183" s="20" t="s">
        <v>240</v>
      </c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1" t="s">
        <v>241</v>
      </c>
      <c r="P183" s="21"/>
      <c r="Q183" s="21"/>
      <c r="R183" s="21"/>
      <c r="S183" s="21"/>
      <c r="T183" s="21"/>
      <c r="U183" s="21"/>
      <c r="V183" s="21"/>
      <c r="W183" s="21"/>
      <c r="X183" s="22" t="s">
        <v>242</v>
      </c>
      <c r="Y183" s="22"/>
      <c r="Z183" s="22"/>
      <c r="AA183" s="51" t="n">
        <f aca="false">0.5*$AA$176*Input!$AA$15*$AA$181*$AA$182</f>
        <v>50710.6909320011</v>
      </c>
      <c r="AB183" s="51"/>
      <c r="AC183" s="51"/>
      <c r="AD183" s="20" t="s">
        <v>26</v>
      </c>
      <c r="AE183" s="20"/>
      <c r="AF183" s="12"/>
    </row>
    <row r="184" customFormat="false" ht="14.25" hidden="false" customHeight="true" outlineLevel="0" collapsed="false">
      <c r="B184" s="7"/>
      <c r="C184" s="20" t="s">
        <v>243</v>
      </c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1" t="s">
        <v>244</v>
      </c>
      <c r="P184" s="21"/>
      <c r="Q184" s="21"/>
      <c r="R184" s="21"/>
      <c r="S184" s="21"/>
      <c r="T184" s="21"/>
      <c r="U184" s="21"/>
      <c r="V184" s="21"/>
      <c r="W184" s="21"/>
      <c r="X184" s="22" t="s">
        <v>245</v>
      </c>
      <c r="Y184" s="22"/>
      <c r="Z184" s="22"/>
      <c r="AA184" s="24" t="n">
        <f aca="false">IF($AA$173=0,$AA$183,MIN($AA$179,$AA$183))</f>
        <v>50710.6909320011</v>
      </c>
      <c r="AB184" s="24"/>
      <c r="AC184" s="24"/>
      <c r="AD184" s="20" t="s">
        <v>26</v>
      </c>
      <c r="AE184" s="20"/>
      <c r="AF184" s="12"/>
    </row>
    <row r="185" customFormat="false" ht="14.25" hidden="false" customHeight="true" outlineLevel="0" collapsed="false">
      <c r="B185" s="7"/>
      <c r="C185" s="20" t="s">
        <v>246</v>
      </c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1" t="s">
        <v>247</v>
      </c>
      <c r="P185" s="21"/>
      <c r="Q185" s="21"/>
      <c r="R185" s="21"/>
      <c r="S185" s="21"/>
      <c r="T185" s="21"/>
      <c r="U185" s="21"/>
      <c r="V185" s="21"/>
      <c r="W185" s="21"/>
      <c r="X185" s="22" t="s">
        <v>248</v>
      </c>
      <c r="Y185" s="22"/>
      <c r="Z185" s="22"/>
      <c r="AA185" s="24" t="n">
        <f aca="false">$AA$184/Input!$AA$19</f>
        <v>16903.5636440004</v>
      </c>
      <c r="AB185" s="24"/>
      <c r="AC185" s="24"/>
      <c r="AD185" s="20" t="s">
        <v>26</v>
      </c>
      <c r="AE185" s="20"/>
      <c r="AF185" s="12"/>
    </row>
    <row r="186" customFormat="false" ht="14.25" hidden="false" customHeight="true" outlineLevel="0" collapsed="false">
      <c r="B186" s="7"/>
      <c r="C186" s="20" t="s">
        <v>249</v>
      </c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1" t="s">
        <v>28</v>
      </c>
      <c r="P186" s="21"/>
      <c r="Q186" s="21"/>
      <c r="R186" s="21"/>
      <c r="S186" s="21"/>
      <c r="T186" s="21"/>
      <c r="U186" s="21"/>
      <c r="V186" s="21"/>
      <c r="W186" s="21"/>
      <c r="X186" s="22" t="s">
        <v>29</v>
      </c>
      <c r="Y186" s="22"/>
      <c r="Z186" s="22"/>
      <c r="AA186" s="51" t="n">
        <f aca="false">Input!$AA$14</f>
        <v>136</v>
      </c>
      <c r="AB186" s="51"/>
      <c r="AC186" s="51"/>
      <c r="AD186" s="20" t="s">
        <v>26</v>
      </c>
      <c r="AE186" s="20"/>
      <c r="AF186" s="12"/>
    </row>
    <row r="187" customFormat="false" ht="14.25" hidden="false" customHeight="true" outlineLevel="0" collapsed="false">
      <c r="B187" s="7"/>
      <c r="C187" s="20" t="s">
        <v>250</v>
      </c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1" t="s">
        <v>251</v>
      </c>
      <c r="P187" s="21"/>
      <c r="Q187" s="21"/>
      <c r="R187" s="21"/>
      <c r="S187" s="21"/>
      <c r="T187" s="21"/>
      <c r="U187" s="21"/>
      <c r="V187" s="21"/>
      <c r="W187" s="21"/>
      <c r="X187" s="22" t="s">
        <v>252</v>
      </c>
      <c r="Y187" s="22"/>
      <c r="Z187" s="22"/>
      <c r="AA187" s="50" t="n">
        <f aca="false">$AA$184/Input!$AA$14</f>
        <v>372.872727441185</v>
      </c>
      <c r="AB187" s="50"/>
      <c r="AC187" s="50"/>
      <c r="AD187" s="20" t="s">
        <v>38</v>
      </c>
      <c r="AE187" s="20"/>
      <c r="AF187" s="12"/>
    </row>
    <row r="188" customFormat="false" ht="14.25" hidden="false" customHeight="true" outlineLevel="0" collapsed="false">
      <c r="B188" s="7"/>
      <c r="C188" s="20" t="s">
        <v>253</v>
      </c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1" t="s">
        <v>254</v>
      </c>
      <c r="P188" s="21"/>
      <c r="Q188" s="21"/>
      <c r="R188" s="21"/>
      <c r="S188" s="21"/>
      <c r="T188" s="21"/>
      <c r="U188" s="21"/>
      <c r="V188" s="21"/>
      <c r="W188" s="21"/>
      <c r="X188" s="22" t="s">
        <v>255</v>
      </c>
      <c r="Y188" s="22"/>
      <c r="Z188" s="22"/>
      <c r="AA188" s="50" t="n">
        <f aca="false">MAX(0,($AA$185-Input!$AA$13)/Input!$AA$12)</f>
        <v>933.531313555576</v>
      </c>
      <c r="AB188" s="50"/>
      <c r="AC188" s="50"/>
      <c r="AD188" s="20" t="s">
        <v>19</v>
      </c>
      <c r="AE188" s="20"/>
      <c r="AF188" s="12"/>
    </row>
    <row r="189" customFormat="false" ht="14.25" hidden="false" customHeight="false" outlineLevel="0" collapsed="false">
      <c r="B189" s="7"/>
      <c r="C189" s="9" t="s">
        <v>256</v>
      </c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X189" s="64" t="str">
        <f aca="false">IF($AA$185&gt;=Input!$AA$14,"qall ≥ q …. OK!!","qall &lt; q …. NG!!")</f>
        <v>qall ≥ q …. OK!!</v>
      </c>
      <c r="Y189" s="64"/>
      <c r="Z189" s="64"/>
      <c r="AA189" s="64"/>
      <c r="AB189" s="64"/>
      <c r="AC189" s="64"/>
      <c r="AD189" s="64"/>
      <c r="AE189" s="64"/>
      <c r="AF189" s="12"/>
    </row>
    <row r="190" customFormat="false" ht="14.25" hidden="false" customHeight="false" outlineLevel="0" collapsed="false">
      <c r="B190" s="7"/>
      <c r="AF190" s="12"/>
    </row>
    <row r="191" customFormat="false" ht="14.25" hidden="false" customHeight="false" outlineLevel="0" collapsed="false">
      <c r="B191" s="7"/>
      <c r="C191" s="9" t="s">
        <v>257</v>
      </c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12"/>
    </row>
    <row r="192" customFormat="false" ht="14.25" hidden="false" customHeight="true" outlineLevel="0" collapsed="false">
      <c r="B192" s="7"/>
      <c r="C192" s="20" t="s">
        <v>210</v>
      </c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1" t="s">
        <v>211</v>
      </c>
      <c r="P192" s="21"/>
      <c r="Q192" s="21"/>
      <c r="R192" s="21"/>
      <c r="S192" s="21"/>
      <c r="T192" s="21"/>
      <c r="U192" s="21"/>
      <c r="V192" s="21"/>
      <c r="W192" s="21"/>
      <c r="X192" s="22" t="s">
        <v>212</v>
      </c>
      <c r="Y192" s="22"/>
      <c r="Z192" s="22"/>
      <c r="AA192" s="50" t="n">
        <f aca="false">SUMPRODUCT(--(AM83:AM123&lt;&gt;"Sand"),BO83:BO123)</f>
        <v>0</v>
      </c>
      <c r="AB192" s="50"/>
      <c r="AC192" s="50"/>
      <c r="AD192" s="20" t="s">
        <v>19</v>
      </c>
      <c r="AE192" s="20"/>
      <c r="AF192" s="12"/>
    </row>
    <row r="193" customFormat="false" ht="14.25" hidden="false" customHeight="true" outlineLevel="0" collapsed="false">
      <c r="B193" s="7"/>
      <c r="C193" s="20" t="s">
        <v>213</v>
      </c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1" t="s">
        <v>214</v>
      </c>
      <c r="P193" s="21"/>
      <c r="Q193" s="21"/>
      <c r="R193" s="21"/>
      <c r="S193" s="21"/>
      <c r="T193" s="21"/>
      <c r="U193" s="21"/>
      <c r="V193" s="21"/>
      <c r="W193" s="21"/>
      <c r="X193" s="22" t="s">
        <v>215</v>
      </c>
      <c r="Y193" s="22"/>
      <c r="Z193" s="22"/>
      <c r="AA193" s="51" t="n">
        <f aca="false">IF($AA$192=0,0,SUMPRODUCT(--(AM83:AM123&lt;&gt;"Sand"),BO83:BO123,AV83:AV123)/$AA$192)</f>
        <v>0</v>
      </c>
      <c r="AB193" s="51"/>
      <c r="AC193" s="51"/>
      <c r="AD193" s="20" t="s">
        <v>26</v>
      </c>
      <c r="AE193" s="20"/>
      <c r="AF193" s="12"/>
    </row>
    <row r="194" customFormat="false" ht="14.25" hidden="false" customHeight="true" outlineLevel="0" collapsed="false">
      <c r="B194" s="7"/>
      <c r="C194" s="20" t="s">
        <v>216</v>
      </c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1" t="s">
        <v>217</v>
      </c>
      <c r="P194" s="21"/>
      <c r="Q194" s="21"/>
      <c r="R194" s="21"/>
      <c r="S194" s="21"/>
      <c r="T194" s="21"/>
      <c r="U194" s="21"/>
      <c r="V194" s="21"/>
      <c r="W194" s="21"/>
      <c r="X194" s="22" t="s">
        <v>218</v>
      </c>
      <c r="Y194" s="22"/>
      <c r="Z194" s="22"/>
      <c r="AA194" s="51" t="n">
        <f aca="false">(SUMPRODUCT(BO83:BO123,AW83:AW123)+MIN($AA$23,Input!$AA$20)*Input!$AA$29)/Input!$AA$20</f>
        <v>41.521062038914</v>
      </c>
      <c r="AB194" s="51"/>
      <c r="AC194" s="51"/>
      <c r="AD194" s="20" t="s">
        <v>60</v>
      </c>
      <c r="AE194" s="20"/>
      <c r="AF194" s="12"/>
    </row>
    <row r="195" customFormat="false" ht="14.25" hidden="false" customHeight="true" outlineLevel="0" collapsed="false">
      <c r="B195" s="7"/>
      <c r="C195" s="20" t="s">
        <v>219</v>
      </c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1" t="s">
        <v>220</v>
      </c>
      <c r="P195" s="21"/>
      <c r="Q195" s="21"/>
      <c r="R195" s="21"/>
      <c r="S195" s="21"/>
      <c r="T195" s="21"/>
      <c r="U195" s="21"/>
      <c r="V195" s="21"/>
      <c r="W195" s="21"/>
      <c r="X195" s="22" t="s">
        <v>221</v>
      </c>
      <c r="Y195" s="22"/>
      <c r="Z195" s="22"/>
      <c r="AA195" s="51" t="n">
        <f aca="false">(SUMPRODUCT(BO83:BO123,AO83:AO123)+MIN($AA$23,Input!$AA$20)*Input!$AA$28)/Input!$AA$20-10*MAX(0,Input!$AA$20-$AA$20)/Input!$AA$20</f>
        <v>18.5</v>
      </c>
      <c r="AB195" s="51"/>
      <c r="AC195" s="51"/>
      <c r="AD195" s="20" t="s">
        <v>23</v>
      </c>
      <c r="AE195" s="20"/>
      <c r="AF195" s="12"/>
    </row>
    <row r="196" customFormat="false" ht="14.25" hidden="false" customHeight="true" outlineLevel="0" collapsed="false">
      <c r="B196" s="7"/>
      <c r="C196" s="20" t="s">
        <v>222</v>
      </c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1" t="s">
        <v>223</v>
      </c>
      <c r="P196" s="21"/>
      <c r="Q196" s="21"/>
      <c r="R196" s="21"/>
      <c r="S196" s="21"/>
      <c r="T196" s="21"/>
      <c r="U196" s="21"/>
      <c r="V196" s="21"/>
      <c r="W196" s="21"/>
      <c r="X196" s="22" t="s">
        <v>224</v>
      </c>
      <c r="Y196" s="22"/>
      <c r="Z196" s="22"/>
      <c r="AA196" s="50" t="n">
        <f aca="false">IF($AA$192=0,5.14,MAX(5.14,IF(Input!$AA$25&gt;0,MIN(Input!$AA$25,4.14+0.5*Input!$AA$15/$AA$192),4.14+0.5*Input!$AA$15/$AA$192)))</f>
        <v>5.14</v>
      </c>
      <c r="AB196" s="50"/>
      <c r="AC196" s="50"/>
      <c r="AD196" s="20" t="s">
        <v>38</v>
      </c>
      <c r="AE196" s="20"/>
      <c r="AF196" s="12"/>
    </row>
    <row r="197" customFormat="false" ht="14.25" hidden="false" customHeight="true" outlineLevel="0" collapsed="false">
      <c r="B197" s="7"/>
      <c r="C197" s="20" t="s">
        <v>225</v>
      </c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1" t="s">
        <v>226</v>
      </c>
      <c r="P197" s="21"/>
      <c r="Q197" s="21"/>
      <c r="R197" s="21"/>
      <c r="S197" s="21"/>
      <c r="T197" s="21"/>
      <c r="U197" s="21"/>
      <c r="V197" s="21"/>
      <c r="W197" s="21"/>
      <c r="X197" s="22" t="s">
        <v>227</v>
      </c>
      <c r="Y197" s="22"/>
      <c r="Z197" s="22"/>
      <c r="AA197" s="50" t="n">
        <f aca="false">1+0.2*Input!$AA$15/Input!$AA$16</f>
        <v>1.07326732673267</v>
      </c>
      <c r="AB197" s="50"/>
      <c r="AC197" s="50"/>
      <c r="AD197" s="20" t="s">
        <v>38</v>
      </c>
      <c r="AE197" s="20"/>
      <c r="AF197" s="12"/>
    </row>
    <row r="198" customFormat="false" ht="14.25" hidden="false" customHeight="true" outlineLevel="0" collapsed="false">
      <c r="B198" s="7"/>
      <c r="C198" s="20" t="s">
        <v>228</v>
      </c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1" t="s">
        <v>229</v>
      </c>
      <c r="P198" s="21"/>
      <c r="Q198" s="21"/>
      <c r="R198" s="21"/>
      <c r="S198" s="21"/>
      <c r="T198" s="21"/>
      <c r="U198" s="21"/>
      <c r="V198" s="21"/>
      <c r="W198" s="21"/>
      <c r="X198" s="22" t="s">
        <v>230</v>
      </c>
      <c r="Y198" s="22"/>
      <c r="Z198" s="22"/>
      <c r="AA198" s="51" t="str">
        <f aca="false">IF($AA$192=0,"n/a",$AA$193*$AA$196*$AA$197)</f>
        <v>n/a</v>
      </c>
      <c r="AB198" s="51"/>
      <c r="AC198" s="51"/>
      <c r="AD198" s="20" t="s">
        <v>26</v>
      </c>
      <c r="AE198" s="20"/>
      <c r="AF198" s="12"/>
    </row>
    <row r="199" customFormat="false" ht="14.25" hidden="false" customHeight="true" outlineLevel="0" collapsed="false">
      <c r="B199" s="7"/>
      <c r="C199" s="20" t="s">
        <v>231</v>
      </c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1" t="s">
        <v>232</v>
      </c>
      <c r="P199" s="21"/>
      <c r="Q199" s="21"/>
      <c r="R199" s="21"/>
      <c r="S199" s="21"/>
      <c r="T199" s="21"/>
      <c r="U199" s="21"/>
      <c r="V199" s="21"/>
      <c r="W199" s="21"/>
      <c r="X199" s="22" t="s">
        <v>233</v>
      </c>
      <c r="Y199" s="22"/>
      <c r="Z199" s="22"/>
      <c r="AA199" s="50" t="n">
        <f aca="false">EXP(PI()*TAN(RADIANS($AA$194)))*TAN(RADIANS(45+$AA$194/2))^2</f>
        <v>79.6329455653708</v>
      </c>
      <c r="AB199" s="50"/>
      <c r="AC199" s="50"/>
      <c r="AD199" s="20" t="s">
        <v>38</v>
      </c>
      <c r="AE199" s="20"/>
      <c r="AF199" s="12"/>
    </row>
    <row r="200" customFormat="false" ht="14.25" hidden="false" customHeight="true" outlineLevel="0" collapsed="false">
      <c r="B200" s="7"/>
      <c r="C200" s="20" t="s">
        <v>234</v>
      </c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1" t="s">
        <v>235</v>
      </c>
      <c r="P200" s="21"/>
      <c r="Q200" s="21"/>
      <c r="R200" s="21"/>
      <c r="S200" s="21"/>
      <c r="T200" s="21"/>
      <c r="U200" s="21"/>
      <c r="V200" s="21"/>
      <c r="W200" s="21"/>
      <c r="X200" s="22" t="s">
        <v>236</v>
      </c>
      <c r="Y200" s="22"/>
      <c r="Z200" s="22"/>
      <c r="AA200" s="50" t="n">
        <f aca="false">2*($AA$199+1)*TAN(RADIANS($AA$194))</f>
        <v>142.781726282765</v>
      </c>
      <c r="AB200" s="50"/>
      <c r="AC200" s="50"/>
      <c r="AD200" s="20" t="s">
        <v>38</v>
      </c>
      <c r="AE200" s="20"/>
      <c r="AF200" s="12"/>
    </row>
    <row r="201" customFormat="false" ht="14.25" hidden="false" customHeight="true" outlineLevel="0" collapsed="false">
      <c r="B201" s="7"/>
      <c r="C201" s="20" t="s">
        <v>237</v>
      </c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1" t="s">
        <v>238</v>
      </c>
      <c r="P201" s="21"/>
      <c r="Q201" s="21"/>
      <c r="R201" s="21"/>
      <c r="S201" s="21"/>
      <c r="T201" s="21"/>
      <c r="U201" s="21"/>
      <c r="V201" s="21"/>
      <c r="W201" s="21"/>
      <c r="X201" s="22" t="s">
        <v>239</v>
      </c>
      <c r="Y201" s="22"/>
      <c r="Z201" s="22"/>
      <c r="AA201" s="63" t="n">
        <f aca="false">(1-0.4*Input!$AA$15/Input!$AA$16)*IF(Input!$AA$15&gt;2,1-0.25*LOG10(Input!$AA$15/2),1)</f>
        <v>0.518863889567884</v>
      </c>
      <c r="AB201" s="63"/>
      <c r="AC201" s="63"/>
      <c r="AD201" s="20" t="s">
        <v>38</v>
      </c>
      <c r="AE201" s="20"/>
      <c r="AF201" s="12"/>
    </row>
    <row r="202" customFormat="false" ht="14.25" hidden="false" customHeight="true" outlineLevel="0" collapsed="false">
      <c r="B202" s="7"/>
      <c r="C202" s="20" t="s">
        <v>240</v>
      </c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1" t="s">
        <v>241</v>
      </c>
      <c r="P202" s="21"/>
      <c r="Q202" s="21"/>
      <c r="R202" s="21"/>
      <c r="S202" s="21"/>
      <c r="T202" s="21"/>
      <c r="U202" s="21"/>
      <c r="V202" s="21"/>
      <c r="W202" s="21"/>
      <c r="X202" s="22" t="s">
        <v>242</v>
      </c>
      <c r="Y202" s="22"/>
      <c r="Z202" s="22"/>
      <c r="AA202" s="51" t="n">
        <f aca="false">0.5*$AA$195*Input!$AA$15*$AA$200*$AA$201</f>
        <v>50710.6909320011</v>
      </c>
      <c r="AB202" s="51"/>
      <c r="AC202" s="51"/>
      <c r="AD202" s="20" t="s">
        <v>26</v>
      </c>
      <c r="AE202" s="20"/>
      <c r="AF202" s="12"/>
    </row>
    <row r="203" customFormat="false" ht="14.25" hidden="false" customHeight="true" outlineLevel="0" collapsed="false">
      <c r="B203" s="7"/>
      <c r="C203" s="20" t="s">
        <v>243</v>
      </c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1" t="s">
        <v>244</v>
      </c>
      <c r="P203" s="21"/>
      <c r="Q203" s="21"/>
      <c r="R203" s="21"/>
      <c r="S203" s="21"/>
      <c r="T203" s="21"/>
      <c r="U203" s="21"/>
      <c r="V203" s="21"/>
      <c r="W203" s="21"/>
      <c r="X203" s="22" t="s">
        <v>245</v>
      </c>
      <c r="Y203" s="22"/>
      <c r="Z203" s="22"/>
      <c r="AA203" s="24" t="n">
        <f aca="false">IF($AA$192=0,$AA$202,MIN($AA$198,$AA$202))</f>
        <v>50710.6909320011</v>
      </c>
      <c r="AB203" s="24"/>
      <c r="AC203" s="24"/>
      <c r="AD203" s="20" t="s">
        <v>26</v>
      </c>
      <c r="AE203" s="20"/>
      <c r="AF203" s="12"/>
    </row>
    <row r="204" customFormat="false" ht="14.25" hidden="false" customHeight="true" outlineLevel="0" collapsed="false">
      <c r="B204" s="7"/>
      <c r="C204" s="20" t="s">
        <v>246</v>
      </c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1" t="s">
        <v>247</v>
      </c>
      <c r="P204" s="21"/>
      <c r="Q204" s="21"/>
      <c r="R204" s="21"/>
      <c r="S204" s="21"/>
      <c r="T204" s="21"/>
      <c r="U204" s="21"/>
      <c r="V204" s="21"/>
      <c r="W204" s="21"/>
      <c r="X204" s="22" t="s">
        <v>248</v>
      </c>
      <c r="Y204" s="22"/>
      <c r="Z204" s="22"/>
      <c r="AA204" s="24" t="n">
        <f aca="false">$AA$203/Input!$AA$19</f>
        <v>16903.5636440004</v>
      </c>
      <c r="AB204" s="24"/>
      <c r="AC204" s="24"/>
      <c r="AD204" s="20" t="s">
        <v>26</v>
      </c>
      <c r="AE204" s="20"/>
      <c r="AF204" s="12"/>
    </row>
    <row r="205" customFormat="false" ht="14.25" hidden="false" customHeight="true" outlineLevel="0" collapsed="false">
      <c r="B205" s="7"/>
      <c r="C205" s="20" t="s">
        <v>249</v>
      </c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1" t="s">
        <v>28</v>
      </c>
      <c r="P205" s="21"/>
      <c r="Q205" s="21"/>
      <c r="R205" s="21"/>
      <c r="S205" s="21"/>
      <c r="T205" s="21"/>
      <c r="U205" s="21"/>
      <c r="V205" s="21"/>
      <c r="W205" s="21"/>
      <c r="X205" s="22" t="s">
        <v>29</v>
      </c>
      <c r="Y205" s="22"/>
      <c r="Z205" s="22"/>
      <c r="AA205" s="51" t="n">
        <f aca="false">Input!$AA$14</f>
        <v>136</v>
      </c>
      <c r="AB205" s="51"/>
      <c r="AC205" s="51"/>
      <c r="AD205" s="20" t="s">
        <v>26</v>
      </c>
      <c r="AE205" s="20"/>
      <c r="AF205" s="12"/>
    </row>
    <row r="206" customFormat="false" ht="14.25" hidden="false" customHeight="true" outlineLevel="0" collapsed="false">
      <c r="B206" s="7"/>
      <c r="C206" s="20" t="s">
        <v>250</v>
      </c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1" t="s">
        <v>251</v>
      </c>
      <c r="P206" s="21"/>
      <c r="Q206" s="21"/>
      <c r="R206" s="21"/>
      <c r="S206" s="21"/>
      <c r="T206" s="21"/>
      <c r="U206" s="21"/>
      <c r="V206" s="21"/>
      <c r="W206" s="21"/>
      <c r="X206" s="22" t="s">
        <v>252</v>
      </c>
      <c r="Y206" s="22"/>
      <c r="Z206" s="22"/>
      <c r="AA206" s="50" t="n">
        <f aca="false">$AA$203/Input!$AA$14</f>
        <v>372.872727441185</v>
      </c>
      <c r="AB206" s="50"/>
      <c r="AC206" s="50"/>
      <c r="AD206" s="20" t="s">
        <v>38</v>
      </c>
      <c r="AE206" s="20"/>
      <c r="AF206" s="12"/>
    </row>
    <row r="207" customFormat="false" ht="14.25" hidden="false" customHeight="true" outlineLevel="0" collapsed="false">
      <c r="B207" s="7"/>
      <c r="C207" s="20" t="s">
        <v>253</v>
      </c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1" t="s">
        <v>254</v>
      </c>
      <c r="P207" s="21"/>
      <c r="Q207" s="21"/>
      <c r="R207" s="21"/>
      <c r="S207" s="21"/>
      <c r="T207" s="21"/>
      <c r="U207" s="21"/>
      <c r="V207" s="21"/>
      <c r="W207" s="21"/>
      <c r="X207" s="22" t="s">
        <v>255</v>
      </c>
      <c r="Y207" s="22"/>
      <c r="Z207" s="22"/>
      <c r="AA207" s="50" t="n">
        <f aca="false">MAX(0,($AA$204-Input!$AA$13)/Input!$AA$12)</f>
        <v>933.531313555576</v>
      </c>
      <c r="AB207" s="50"/>
      <c r="AC207" s="50"/>
      <c r="AD207" s="20" t="s">
        <v>19</v>
      </c>
      <c r="AE207" s="20"/>
      <c r="AF207" s="12"/>
    </row>
    <row r="208" customFormat="false" ht="14.25" hidden="false" customHeight="false" outlineLevel="0" collapsed="false">
      <c r="B208" s="7"/>
      <c r="C208" s="9" t="s">
        <v>256</v>
      </c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X208" s="64" t="str">
        <f aca="false">IF($AA$204&gt;=Input!$AA$14,"qall ≥ q …. OK!!","qall &lt; q …. NG!!")</f>
        <v>qall ≥ q …. OK!!</v>
      </c>
      <c r="Y208" s="64"/>
      <c r="Z208" s="64"/>
      <c r="AA208" s="64"/>
      <c r="AB208" s="64"/>
      <c r="AC208" s="64"/>
      <c r="AD208" s="64"/>
      <c r="AE208" s="64"/>
      <c r="AF208" s="12"/>
    </row>
    <row r="209" customFormat="false" ht="14.25" hidden="false" customHeight="false" outlineLevel="0" collapsed="false">
      <c r="B209" s="7"/>
      <c r="AF209" s="12"/>
    </row>
    <row r="210" customFormat="false" ht="14.25" hidden="false" customHeight="false" outlineLevel="0" collapsed="false">
      <c r="B210" s="7"/>
      <c r="AF210" s="12"/>
    </row>
    <row r="211" customFormat="false" ht="14.25" hidden="false" customHeight="false" outlineLevel="0" collapsed="false">
      <c r="B211" s="7"/>
      <c r="AF211" s="12"/>
    </row>
    <row r="212" customFormat="false" ht="14.25" hidden="false" customHeight="false" outlineLevel="0" collapsed="false">
      <c r="B212" s="7"/>
      <c r="AF212" s="12"/>
    </row>
    <row r="213" customFormat="false" ht="14.25" hidden="false" customHeight="false" outlineLevel="0" collapsed="false">
      <c r="B213" s="7"/>
      <c r="AF213" s="12"/>
    </row>
    <row r="214" customFormat="false" ht="14.25" hidden="false" customHeight="false" outlineLevel="0" collapsed="false">
      <c r="B214" s="7"/>
      <c r="AF214" s="12"/>
    </row>
    <row r="215" customFormat="false" ht="14.25" hidden="false" customHeight="false" outlineLevel="0" collapsed="false">
      <c r="B215" s="7"/>
      <c r="AF215" s="12"/>
    </row>
    <row r="216" customFormat="false" ht="14.25" hidden="false" customHeight="false" outlineLevel="0" collapsed="false">
      <c r="B216" s="7"/>
      <c r="AF216" s="12"/>
    </row>
    <row r="217" customFormat="false" ht="14.25" hidden="false" customHeight="true" outlineLevel="0" collapsed="false">
      <c r="B217" s="36"/>
      <c r="C217" s="37"/>
      <c r="D217" s="37"/>
      <c r="E217" s="37"/>
      <c r="F217" s="37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8" t="s">
        <v>93</v>
      </c>
      <c r="Y217" s="38"/>
      <c r="Z217" s="38"/>
      <c r="AA217" s="38"/>
      <c r="AB217" s="38" t="n">
        <v>3</v>
      </c>
      <c r="AC217" s="38"/>
      <c r="AD217" s="38"/>
      <c r="AE217" s="38"/>
      <c r="AF217" s="39"/>
    </row>
    <row r="218" customFormat="false" ht="14.25" hidden="false" customHeight="true" outlineLevel="0" collapsed="false">
      <c r="B218" s="1"/>
      <c r="C218" s="2" t="s">
        <v>0</v>
      </c>
      <c r="D218" s="2"/>
      <c r="E218" s="2"/>
      <c r="F218" s="2"/>
      <c r="G218" s="2"/>
      <c r="H218" s="3" t="s">
        <v>1</v>
      </c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4" t="s">
        <v>2</v>
      </c>
      <c r="Y218" s="4"/>
      <c r="Z218" s="4"/>
      <c r="AA218" s="4"/>
      <c r="AB218" s="5" t="s">
        <v>3</v>
      </c>
      <c r="AC218" s="5"/>
      <c r="AD218" s="5"/>
      <c r="AE218" s="5"/>
      <c r="AF218" s="6"/>
    </row>
    <row r="219" customFormat="false" ht="14.25" hidden="false" customHeight="true" outlineLevel="0" collapsed="false">
      <c r="B219" s="7"/>
      <c r="C219" s="8" t="s">
        <v>4</v>
      </c>
      <c r="D219" s="8"/>
      <c r="E219" s="8"/>
      <c r="F219" s="8"/>
      <c r="G219" s="8"/>
      <c r="H219" s="9" t="s">
        <v>5</v>
      </c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10" t="s">
        <v>6</v>
      </c>
      <c r="Y219" s="10"/>
      <c r="Z219" s="10"/>
      <c r="AA219" s="10"/>
      <c r="AB219" s="11" t="n">
        <v>46301</v>
      </c>
      <c r="AC219" s="11"/>
      <c r="AD219" s="11"/>
      <c r="AE219" s="11"/>
      <c r="AF219" s="12"/>
    </row>
    <row r="220" customFormat="false" ht="14.25" hidden="false" customHeight="true" outlineLevel="0" collapsed="false">
      <c r="B220" s="7"/>
      <c r="C220" s="8" t="s">
        <v>7</v>
      </c>
      <c r="D220" s="8"/>
      <c r="E220" s="8"/>
      <c r="F220" s="8"/>
      <c r="G220" s="8"/>
      <c r="H220" s="9" t="s">
        <v>327</v>
      </c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10" t="s">
        <v>9</v>
      </c>
      <c r="Y220" s="10"/>
      <c r="Z220" s="10"/>
      <c r="AA220" s="10"/>
      <c r="AB220" s="11" t="s">
        <v>3</v>
      </c>
      <c r="AC220" s="11"/>
      <c r="AD220" s="11"/>
      <c r="AE220" s="11"/>
      <c r="AF220" s="12"/>
    </row>
    <row r="221" customFormat="false" ht="14.25" hidden="false" customHeight="true" outlineLevel="0" collapsed="false">
      <c r="B221" s="13"/>
      <c r="C221" s="14" t="s">
        <v>10</v>
      </c>
      <c r="D221" s="14"/>
      <c r="E221" s="14"/>
      <c r="F221" s="14"/>
      <c r="G221" s="14"/>
      <c r="H221" s="15" t="s">
        <v>134</v>
      </c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6" t="s">
        <v>12</v>
      </c>
      <c r="Y221" s="16"/>
      <c r="Z221" s="16"/>
      <c r="AA221" s="16"/>
      <c r="AB221" s="17" t="n">
        <v>46301</v>
      </c>
      <c r="AC221" s="17"/>
      <c r="AD221" s="17"/>
      <c r="AE221" s="17"/>
      <c r="AF221" s="18"/>
    </row>
    <row r="222" customFormat="false" ht="14.25" hidden="false" customHeight="false" outlineLevel="0" collapsed="false">
      <c r="B222" s="7"/>
      <c r="AF222" s="12"/>
    </row>
    <row r="223" customFormat="false" ht="14.25" hidden="false" customHeight="false" outlineLevel="0" collapsed="false">
      <c r="B223" s="7"/>
      <c r="C223" s="9" t="s">
        <v>258</v>
      </c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12"/>
    </row>
    <row r="224" customFormat="false" ht="14.25" hidden="false" customHeight="true" outlineLevel="0" collapsed="false">
      <c r="B224" s="7"/>
      <c r="C224" s="20" t="s">
        <v>259</v>
      </c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1"/>
      <c r="P224" s="21"/>
      <c r="Q224" s="21"/>
      <c r="R224" s="21"/>
      <c r="S224" s="21"/>
      <c r="T224" s="21"/>
      <c r="U224" s="21"/>
      <c r="V224" s="21"/>
      <c r="W224" s="21"/>
      <c r="X224" s="22" t="s">
        <v>260</v>
      </c>
      <c r="Y224" s="22"/>
      <c r="Z224" s="22"/>
      <c r="AA224" s="51" t="n">
        <f aca="false">IFERROR(SUMPRODUCT(--(AM83:AM123="Sand"),BN83:BN123,AN83:AN123)/SUMPRODUCT(--(AM83:AM123="Sand"),BN83:BN123)*Input!$AA$35,"n/a")</f>
        <v>53.1753</v>
      </c>
      <c r="AB224" s="51"/>
      <c r="AC224" s="51"/>
      <c r="AD224" s="20" t="s">
        <v>38</v>
      </c>
      <c r="AE224" s="20"/>
      <c r="AF224" s="12"/>
    </row>
    <row r="225" customFormat="false" ht="14.25" hidden="false" customHeight="true" outlineLevel="0" collapsed="false">
      <c r="B225" s="7"/>
      <c r="C225" s="20" t="s">
        <v>261</v>
      </c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1" t="s">
        <v>262</v>
      </c>
      <c r="P225" s="21"/>
      <c r="Q225" s="21"/>
      <c r="R225" s="21"/>
      <c r="S225" s="21"/>
      <c r="T225" s="21"/>
      <c r="U225" s="21"/>
      <c r="V225" s="21"/>
      <c r="W225" s="21"/>
      <c r="X225" s="22" t="s">
        <v>263</v>
      </c>
      <c r="Y225" s="22"/>
      <c r="Z225" s="22"/>
      <c r="AA225" s="51" t="n">
        <f aca="false">IFERROR(($AA$224*60/55)/0.08*((Input!$AA$15+0.3)/Input!$AA$15)^2,"n/a")</f>
        <v>731.008977763298</v>
      </c>
      <c r="AB225" s="51"/>
      <c r="AC225" s="51"/>
      <c r="AD225" s="20" t="s">
        <v>26</v>
      </c>
      <c r="AE225" s="20"/>
      <c r="AF225" s="12"/>
    </row>
    <row r="226" customFormat="false" ht="14.25" hidden="false" customHeight="false" outlineLevel="0" collapsed="false">
      <c r="B226" s="7"/>
      <c r="C226" s="19" t="s">
        <v>264</v>
      </c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  <c r="AC226" s="19"/>
      <c r="AD226" s="19"/>
      <c r="AE226" s="19"/>
      <c r="AF226" s="12"/>
    </row>
    <row r="227" customFormat="false" ht="14.25" hidden="false" customHeight="false" outlineLevel="0" collapsed="false">
      <c r="B227" s="7"/>
      <c r="AF227" s="12"/>
    </row>
    <row r="228" customFormat="false" ht="14.25" hidden="false" customHeight="false" outlineLevel="0" collapsed="false">
      <c r="B228" s="7"/>
      <c r="C228" s="9" t="s">
        <v>265</v>
      </c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12"/>
    </row>
    <row r="229" customFormat="false" ht="14.25" hidden="false" customHeight="false" outlineLevel="0" collapsed="false">
      <c r="B229" s="7"/>
      <c r="C229" s="20" t="s">
        <v>266</v>
      </c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12"/>
    </row>
    <row r="230" customFormat="false" ht="14.25" hidden="false" customHeight="false" outlineLevel="0" collapsed="false">
      <c r="B230" s="7"/>
      <c r="C230" s="20" t="s">
        <v>267</v>
      </c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12"/>
    </row>
    <row r="231" customFormat="false" ht="14.25" hidden="false" customHeight="false" outlineLevel="0" collapsed="false">
      <c r="B231" s="7"/>
      <c r="C231" s="21" t="s">
        <v>268</v>
      </c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12"/>
    </row>
    <row r="232" customFormat="false" ht="14.25" hidden="false" customHeight="false" outlineLevel="0" collapsed="false">
      <c r="B232" s="7"/>
      <c r="AF232" s="12"/>
    </row>
    <row r="233" customFormat="false" ht="14.25" hidden="false" customHeight="false" outlineLevel="0" collapsed="false">
      <c r="B233" s="7"/>
      <c r="AF233" s="12"/>
    </row>
    <row r="234" customFormat="false" ht="14.25" hidden="false" customHeight="false" outlineLevel="0" collapsed="false">
      <c r="B234" s="7"/>
      <c r="AF234" s="12"/>
    </row>
    <row r="235" customFormat="false" ht="14.25" hidden="false" customHeight="false" outlineLevel="0" collapsed="false">
      <c r="B235" s="7"/>
      <c r="AF235" s="12"/>
    </row>
    <row r="236" customFormat="false" ht="14.25" hidden="false" customHeight="false" outlineLevel="0" collapsed="false">
      <c r="B236" s="7"/>
      <c r="AF236" s="12"/>
    </row>
    <row r="237" customFormat="false" ht="14.25" hidden="false" customHeight="false" outlineLevel="0" collapsed="false">
      <c r="B237" s="7"/>
      <c r="AF237" s="12"/>
    </row>
    <row r="238" customFormat="false" ht="14.25" hidden="false" customHeight="false" outlineLevel="0" collapsed="false">
      <c r="B238" s="7"/>
      <c r="AF238" s="12"/>
    </row>
    <row r="239" customFormat="false" ht="14.25" hidden="false" customHeight="false" outlineLevel="0" collapsed="false">
      <c r="B239" s="7"/>
      <c r="AF239" s="12"/>
    </row>
    <row r="240" customFormat="false" ht="14.25" hidden="false" customHeight="false" outlineLevel="0" collapsed="false">
      <c r="B240" s="7"/>
      <c r="AF240" s="12"/>
    </row>
    <row r="241" customFormat="false" ht="14.25" hidden="false" customHeight="false" outlineLevel="0" collapsed="false">
      <c r="B241" s="7"/>
      <c r="AF241" s="12"/>
    </row>
    <row r="242" customFormat="false" ht="14.25" hidden="false" customHeight="false" outlineLevel="0" collapsed="false">
      <c r="B242" s="7"/>
      <c r="AF242" s="12"/>
    </row>
    <row r="243" customFormat="false" ht="14.25" hidden="false" customHeight="false" outlineLevel="0" collapsed="false">
      <c r="B243" s="7"/>
      <c r="AF243" s="12"/>
    </row>
    <row r="244" customFormat="false" ht="14.25" hidden="false" customHeight="false" outlineLevel="0" collapsed="false">
      <c r="B244" s="7"/>
      <c r="AF244" s="12"/>
    </row>
    <row r="245" customFormat="false" ht="14.25" hidden="false" customHeight="false" outlineLevel="0" collapsed="false">
      <c r="B245" s="7"/>
      <c r="AF245" s="12"/>
    </row>
    <row r="246" customFormat="false" ht="14.25" hidden="false" customHeight="false" outlineLevel="0" collapsed="false">
      <c r="B246" s="7"/>
      <c r="AF246" s="12"/>
    </row>
    <row r="247" customFormat="false" ht="14.25" hidden="false" customHeight="false" outlineLevel="0" collapsed="false">
      <c r="B247" s="7"/>
      <c r="AF247" s="12"/>
    </row>
    <row r="248" customFormat="false" ht="14.25" hidden="false" customHeight="false" outlineLevel="0" collapsed="false">
      <c r="B248" s="7"/>
      <c r="AF248" s="12"/>
    </row>
    <row r="249" customFormat="false" ht="14.25" hidden="false" customHeight="false" outlineLevel="0" collapsed="false">
      <c r="B249" s="7"/>
      <c r="AF249" s="12"/>
    </row>
    <row r="250" customFormat="false" ht="14.25" hidden="false" customHeight="false" outlineLevel="0" collapsed="false">
      <c r="B250" s="7"/>
      <c r="AF250" s="12"/>
    </row>
    <row r="251" customFormat="false" ht="14.25" hidden="false" customHeight="false" outlineLevel="0" collapsed="false">
      <c r="B251" s="7"/>
      <c r="C251" s="52" t="s">
        <v>269</v>
      </c>
      <c r="D251" s="52"/>
      <c r="E251" s="52"/>
      <c r="F251" s="52"/>
      <c r="G251" s="52"/>
      <c r="H251" s="52"/>
      <c r="I251" s="52"/>
      <c r="J251" s="52"/>
      <c r="K251" s="52"/>
      <c r="L251" s="52"/>
      <c r="M251" s="52"/>
      <c r="N251" s="52"/>
      <c r="O251" s="52"/>
      <c r="P251" s="52"/>
      <c r="Q251" s="52"/>
      <c r="R251" s="52"/>
      <c r="S251" s="52"/>
      <c r="T251" s="52"/>
      <c r="U251" s="52"/>
      <c r="V251" s="52"/>
      <c r="W251" s="52"/>
      <c r="X251" s="52"/>
      <c r="Y251" s="52"/>
      <c r="Z251" s="52"/>
      <c r="AA251" s="52"/>
      <c r="AB251" s="52"/>
      <c r="AC251" s="52"/>
      <c r="AD251" s="52"/>
      <c r="AE251" s="52"/>
      <c r="AF251" s="12"/>
    </row>
    <row r="252" customFormat="false" ht="14.25" hidden="false" customHeight="false" outlineLevel="0" collapsed="false">
      <c r="B252" s="7"/>
      <c r="AF252" s="12"/>
    </row>
    <row r="253" customFormat="false" ht="14.25" hidden="false" customHeight="true" outlineLevel="0" collapsed="false">
      <c r="B253" s="7"/>
      <c r="C253" s="20" t="s">
        <v>270</v>
      </c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1" t="s">
        <v>271</v>
      </c>
      <c r="P253" s="21"/>
      <c r="Q253" s="21"/>
      <c r="R253" s="21"/>
      <c r="S253" s="21"/>
      <c r="T253" s="21"/>
      <c r="U253" s="21"/>
      <c r="V253" s="21"/>
      <c r="W253" s="21"/>
      <c r="X253" s="22" t="s">
        <v>272</v>
      </c>
      <c r="Y253" s="22"/>
      <c r="Z253" s="22"/>
      <c r="AA253" s="63" t="n">
        <f aca="false">1/Input!$AA$23</f>
        <v>0.5</v>
      </c>
      <c r="AB253" s="63"/>
      <c r="AC253" s="63"/>
      <c r="AD253" s="20" t="s">
        <v>38</v>
      </c>
      <c r="AE253" s="20"/>
      <c r="AF253" s="12"/>
    </row>
    <row r="254" customFormat="false" ht="14.25" hidden="false" customHeight="true" outlineLevel="0" collapsed="false">
      <c r="B254" s="7"/>
      <c r="C254" s="20" t="s">
        <v>273</v>
      </c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1" t="s">
        <v>274</v>
      </c>
      <c r="P254" s="21"/>
      <c r="Q254" s="21"/>
      <c r="R254" s="21"/>
      <c r="S254" s="21"/>
      <c r="T254" s="21"/>
      <c r="U254" s="21"/>
      <c r="V254" s="21"/>
      <c r="W254" s="21"/>
      <c r="X254" s="22" t="s">
        <v>275</v>
      </c>
      <c r="Y254" s="22"/>
      <c r="Z254" s="22"/>
      <c r="AA254" s="50" t="n">
        <f aca="false">Input!$AA$23*Input!$AA$11</f>
        <v>4</v>
      </c>
      <c r="AB254" s="50"/>
      <c r="AC254" s="50"/>
      <c r="AD254" s="20" t="s">
        <v>19</v>
      </c>
      <c r="AE254" s="20"/>
      <c r="AF254" s="12"/>
    </row>
    <row r="255" customFormat="false" ht="14.25" hidden="false" customHeight="true" outlineLevel="0" collapsed="false">
      <c r="B255" s="7"/>
      <c r="C255" s="20" t="s">
        <v>276</v>
      </c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1" t="s">
        <v>277</v>
      </c>
      <c r="P255" s="21"/>
      <c r="Q255" s="21"/>
      <c r="R255" s="21"/>
      <c r="S255" s="21"/>
      <c r="T255" s="21"/>
      <c r="U255" s="21"/>
      <c r="V255" s="21"/>
      <c r="W255" s="21"/>
      <c r="X255" s="22" t="s">
        <v>278</v>
      </c>
      <c r="Y255" s="22"/>
      <c r="Z255" s="22"/>
      <c r="AA255" s="50" t="n">
        <f aca="false">$AA$173</f>
        <v>0</v>
      </c>
      <c r="AB255" s="50"/>
      <c r="AC255" s="50"/>
      <c r="AD255" s="20" t="s">
        <v>19</v>
      </c>
      <c r="AE255" s="20"/>
      <c r="AF255" s="12"/>
    </row>
    <row r="256" customFormat="false" ht="14.25" hidden="false" customHeight="true" outlineLevel="0" collapsed="false">
      <c r="B256" s="7"/>
      <c r="C256" s="20" t="s">
        <v>279</v>
      </c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1"/>
      <c r="P256" s="21"/>
      <c r="Q256" s="21"/>
      <c r="R256" s="21"/>
      <c r="S256" s="21"/>
      <c r="T256" s="21"/>
      <c r="U256" s="21"/>
      <c r="V256" s="21"/>
      <c r="W256" s="21"/>
      <c r="X256" s="22" t="s">
        <v>252</v>
      </c>
      <c r="Y256" s="22"/>
      <c r="Z256" s="22"/>
      <c r="AA256" s="65" t="str">
        <f aca="false">IF($AA$173=0,"n/a",2*$AA$174/(Input!$AA$12*$AA$173*$AA$253)+4.14*$AA$174/Input!$AA$14)</f>
        <v>n/a</v>
      </c>
      <c r="AB256" s="65"/>
      <c r="AC256" s="65"/>
      <c r="AD256" s="20" t="s">
        <v>38</v>
      </c>
      <c r="AE256" s="20"/>
      <c r="AF256" s="12"/>
    </row>
    <row r="257" customFormat="false" ht="14.25" hidden="false" customHeight="false" outlineLevel="0" collapsed="false">
      <c r="B257" s="7"/>
      <c r="C257" s="20" t="s">
        <v>280</v>
      </c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X257" s="64" t="str">
        <f aca="false">IF($AA$173=0,"No soft layer - n/a",IF($AA$256&gt;=Input!$AA$24,"FS ≥ FS req …. OK!!","FS &lt; FS req …. NG!!"))</f>
        <v>No soft layer - n/a</v>
      </c>
      <c r="Y257" s="64"/>
      <c r="Z257" s="64"/>
      <c r="AA257" s="64"/>
      <c r="AB257" s="64"/>
      <c r="AC257" s="64"/>
      <c r="AD257" s="64"/>
      <c r="AE257" s="64"/>
      <c r="AF257" s="12"/>
    </row>
    <row r="258" customFormat="false" ht="14.25" hidden="false" customHeight="true" outlineLevel="0" collapsed="false">
      <c r="B258" s="7"/>
      <c r="C258" s="20" t="s">
        <v>281</v>
      </c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1" t="s">
        <v>277</v>
      </c>
      <c r="P258" s="21"/>
      <c r="Q258" s="21"/>
      <c r="R258" s="21"/>
      <c r="S258" s="21"/>
      <c r="T258" s="21"/>
      <c r="U258" s="21"/>
      <c r="V258" s="21"/>
      <c r="W258" s="21"/>
      <c r="X258" s="22" t="s">
        <v>278</v>
      </c>
      <c r="Y258" s="22"/>
      <c r="Z258" s="22"/>
      <c r="AA258" s="50" t="n">
        <f aca="false">$AA$192</f>
        <v>0</v>
      </c>
      <c r="AB258" s="50"/>
      <c r="AC258" s="50"/>
      <c r="AD258" s="20" t="s">
        <v>19</v>
      </c>
      <c r="AE258" s="20"/>
      <c r="AF258" s="12"/>
    </row>
    <row r="259" customFormat="false" ht="14.25" hidden="false" customHeight="true" outlineLevel="0" collapsed="false">
      <c r="B259" s="7"/>
      <c r="C259" s="20" t="s">
        <v>282</v>
      </c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1"/>
      <c r="P259" s="21"/>
      <c r="Q259" s="21"/>
      <c r="R259" s="21"/>
      <c r="S259" s="21"/>
      <c r="T259" s="21"/>
      <c r="U259" s="21"/>
      <c r="V259" s="21"/>
      <c r="W259" s="21"/>
      <c r="X259" s="22" t="s">
        <v>252</v>
      </c>
      <c r="Y259" s="22"/>
      <c r="Z259" s="22"/>
      <c r="AA259" s="65" t="str">
        <f aca="false">IF($AA$192=0,"n/a",2*$AA$193/(Input!$AA$12*$AA$192*$AA$253)+4.14*$AA$193/Input!$AA$14)</f>
        <v>n/a</v>
      </c>
      <c r="AB259" s="65"/>
      <c r="AC259" s="65"/>
      <c r="AD259" s="20" t="s">
        <v>38</v>
      </c>
      <c r="AE259" s="20"/>
      <c r="AF259" s="12"/>
    </row>
    <row r="260" customFormat="false" ht="14.25" hidden="false" customHeight="false" outlineLevel="0" collapsed="false">
      <c r="B260" s="7"/>
      <c r="C260" s="20" t="s">
        <v>280</v>
      </c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X260" s="64" t="str">
        <f aca="false">IF($AA$192=0,"No soft layer - n/a",IF($AA$259&gt;=Input!$AA$24,"FS ≥ FS req …. OK!!","FS &lt; FS req …. NG!!"))</f>
        <v>No soft layer - n/a</v>
      </c>
      <c r="Y260" s="64"/>
      <c r="Z260" s="64"/>
      <c r="AA260" s="64"/>
      <c r="AB260" s="64"/>
      <c r="AC260" s="64"/>
      <c r="AD260" s="64"/>
      <c r="AE260" s="64"/>
      <c r="AF260" s="12"/>
    </row>
    <row r="261" customFormat="false" ht="14.25" hidden="false" customHeight="false" outlineLevel="0" collapsed="false">
      <c r="B261" s="7"/>
      <c r="C261" s="19" t="s">
        <v>283</v>
      </c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  <c r="AC261" s="19"/>
      <c r="AD261" s="19"/>
      <c r="AE261" s="19"/>
      <c r="AF261" s="12"/>
    </row>
    <row r="262" customFormat="false" ht="14.25" hidden="false" customHeight="false" outlineLevel="0" collapsed="false">
      <c r="B262" s="7"/>
      <c r="AF262" s="12"/>
    </row>
    <row r="263" customFormat="false" ht="14.25" hidden="false" customHeight="false" outlineLevel="0" collapsed="false">
      <c r="B263" s="7"/>
      <c r="AF263" s="12"/>
    </row>
    <row r="264" customFormat="false" ht="14.25" hidden="false" customHeight="false" outlineLevel="0" collapsed="false">
      <c r="B264" s="7"/>
      <c r="AF264" s="12"/>
    </row>
    <row r="265" customFormat="false" ht="14.25" hidden="false" customHeight="false" outlineLevel="0" collapsed="false">
      <c r="B265" s="7"/>
      <c r="AF265" s="12"/>
    </row>
    <row r="266" customFormat="false" ht="14.25" hidden="false" customHeight="false" outlineLevel="0" collapsed="false">
      <c r="B266" s="7"/>
      <c r="AF266" s="12"/>
    </row>
    <row r="267" customFormat="false" ht="14.25" hidden="false" customHeight="false" outlineLevel="0" collapsed="false">
      <c r="B267" s="7"/>
      <c r="AF267" s="12"/>
    </row>
    <row r="268" customFormat="false" ht="14.25" hidden="false" customHeight="false" outlineLevel="0" collapsed="false">
      <c r="B268" s="7"/>
      <c r="AF268" s="12"/>
    </row>
    <row r="269" customFormat="false" ht="14.25" hidden="false" customHeight="false" outlineLevel="0" collapsed="false">
      <c r="B269" s="7"/>
      <c r="AF269" s="12"/>
    </row>
    <row r="270" customFormat="false" ht="14.25" hidden="false" customHeight="false" outlineLevel="0" collapsed="false">
      <c r="B270" s="7"/>
      <c r="AF270" s="12"/>
    </row>
    <row r="271" customFormat="false" ht="14.25" hidden="false" customHeight="false" outlineLevel="0" collapsed="false">
      <c r="B271" s="7"/>
      <c r="AF271" s="12"/>
    </row>
    <row r="272" customFormat="false" ht="14.25" hidden="false" customHeight="false" outlineLevel="0" collapsed="false">
      <c r="B272" s="7"/>
      <c r="AF272" s="12"/>
    </row>
    <row r="273" customFormat="false" ht="14.25" hidden="false" customHeight="false" outlineLevel="0" collapsed="false">
      <c r="B273" s="7"/>
      <c r="AF273" s="12"/>
    </row>
    <row r="274" customFormat="false" ht="14.25" hidden="false" customHeight="false" outlineLevel="0" collapsed="false">
      <c r="B274" s="7"/>
      <c r="AF274" s="12"/>
    </row>
    <row r="275" customFormat="false" ht="14.25" hidden="false" customHeight="false" outlineLevel="0" collapsed="false">
      <c r="B275" s="7"/>
      <c r="AF275" s="12"/>
    </row>
    <row r="276" customFormat="false" ht="14.25" hidden="false" customHeight="false" outlineLevel="0" collapsed="false">
      <c r="B276" s="7"/>
      <c r="AF276" s="12"/>
    </row>
    <row r="277" customFormat="false" ht="14.25" hidden="false" customHeight="false" outlineLevel="0" collapsed="false">
      <c r="B277" s="7"/>
      <c r="AF277" s="12"/>
    </row>
    <row r="278" customFormat="false" ht="14.25" hidden="false" customHeight="false" outlineLevel="0" collapsed="false">
      <c r="B278" s="7"/>
      <c r="AF278" s="12"/>
    </row>
    <row r="279" customFormat="false" ht="14.25" hidden="false" customHeight="false" outlineLevel="0" collapsed="false">
      <c r="B279" s="7"/>
      <c r="AF279" s="12"/>
    </row>
    <row r="280" customFormat="false" ht="14.25" hidden="false" customHeight="false" outlineLevel="0" collapsed="false">
      <c r="B280" s="7"/>
      <c r="AF280" s="12"/>
    </row>
    <row r="281" customFormat="false" ht="14.25" hidden="false" customHeight="false" outlineLevel="0" collapsed="false">
      <c r="B281" s="7"/>
      <c r="AF281" s="12"/>
    </row>
    <row r="282" customFormat="false" ht="14.25" hidden="false" customHeight="false" outlineLevel="0" collapsed="false">
      <c r="B282" s="7"/>
      <c r="AF282" s="12"/>
    </row>
    <row r="283" customFormat="false" ht="14.25" hidden="false" customHeight="false" outlineLevel="0" collapsed="false">
      <c r="B283" s="7"/>
      <c r="AF283" s="12"/>
    </row>
    <row r="284" customFormat="false" ht="14.25" hidden="false" customHeight="false" outlineLevel="0" collapsed="false">
      <c r="B284" s="7"/>
      <c r="AF284" s="12"/>
    </row>
    <row r="285" customFormat="false" ht="14.25" hidden="false" customHeight="false" outlineLevel="0" collapsed="false">
      <c r="B285" s="7"/>
      <c r="AF285" s="12"/>
    </row>
    <row r="286" customFormat="false" ht="14.25" hidden="false" customHeight="false" outlineLevel="0" collapsed="false">
      <c r="B286" s="7"/>
      <c r="AF286" s="12"/>
    </row>
    <row r="287" customFormat="false" ht="14.25" hidden="false" customHeight="false" outlineLevel="0" collapsed="false">
      <c r="B287" s="7"/>
      <c r="AF287" s="12"/>
    </row>
    <row r="288" customFormat="false" ht="14.25" hidden="false" customHeight="false" outlineLevel="0" collapsed="false">
      <c r="B288" s="7"/>
      <c r="AF288" s="12"/>
    </row>
    <row r="289" customFormat="false" ht="14.25" hidden="false" customHeight="true" outlineLevel="0" collapsed="false">
      <c r="B289" s="36"/>
      <c r="C289" s="37"/>
      <c r="D289" s="37"/>
      <c r="E289" s="37"/>
      <c r="F289" s="37"/>
      <c r="G289" s="37"/>
      <c r="H289" s="37"/>
      <c r="I289" s="37"/>
      <c r="J289" s="37"/>
      <c r="K289" s="37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8" t="s">
        <v>93</v>
      </c>
      <c r="Y289" s="38"/>
      <c r="Z289" s="38"/>
      <c r="AA289" s="38"/>
      <c r="AB289" s="38" t="n">
        <v>4</v>
      </c>
      <c r="AC289" s="38"/>
      <c r="AD289" s="38"/>
      <c r="AE289" s="38"/>
      <c r="AF289" s="39"/>
    </row>
    <row r="290" customFormat="false" ht="14.25" hidden="false" customHeight="true" outlineLevel="0" collapsed="false">
      <c r="B290" s="1"/>
      <c r="C290" s="2" t="s">
        <v>0</v>
      </c>
      <c r="D290" s="2"/>
      <c r="E290" s="2"/>
      <c r="F290" s="2"/>
      <c r="G290" s="2"/>
      <c r="H290" s="3" t="s">
        <v>1</v>
      </c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4" t="s">
        <v>2</v>
      </c>
      <c r="Y290" s="4"/>
      <c r="Z290" s="4"/>
      <c r="AA290" s="4"/>
      <c r="AB290" s="5" t="s">
        <v>3</v>
      </c>
      <c r="AC290" s="5"/>
      <c r="AD290" s="5"/>
      <c r="AE290" s="5"/>
      <c r="AF290" s="6"/>
    </row>
    <row r="291" customFormat="false" ht="14.25" hidden="false" customHeight="true" outlineLevel="0" collapsed="false">
      <c r="B291" s="7"/>
      <c r="C291" s="8" t="s">
        <v>4</v>
      </c>
      <c r="D291" s="8"/>
      <c r="E291" s="8"/>
      <c r="F291" s="8"/>
      <c r="G291" s="8"/>
      <c r="H291" s="9" t="s">
        <v>5</v>
      </c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10" t="s">
        <v>6</v>
      </c>
      <c r="Y291" s="10"/>
      <c r="Z291" s="10"/>
      <c r="AA291" s="10"/>
      <c r="AB291" s="11" t="n">
        <v>46301</v>
      </c>
      <c r="AC291" s="11"/>
      <c r="AD291" s="11"/>
      <c r="AE291" s="11"/>
      <c r="AF291" s="12"/>
    </row>
    <row r="292" customFormat="false" ht="14.25" hidden="false" customHeight="true" outlineLevel="0" collapsed="false">
      <c r="B292" s="7"/>
      <c r="C292" s="8" t="s">
        <v>7</v>
      </c>
      <c r="D292" s="8"/>
      <c r="E292" s="8"/>
      <c r="F292" s="8"/>
      <c r="G292" s="8"/>
      <c r="H292" s="9" t="s">
        <v>327</v>
      </c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10" t="s">
        <v>9</v>
      </c>
      <c r="Y292" s="10"/>
      <c r="Z292" s="10"/>
      <c r="AA292" s="10"/>
      <c r="AB292" s="11" t="s">
        <v>3</v>
      </c>
      <c r="AC292" s="11"/>
      <c r="AD292" s="11"/>
      <c r="AE292" s="11"/>
      <c r="AF292" s="12"/>
    </row>
    <row r="293" customFormat="false" ht="14.25" hidden="false" customHeight="true" outlineLevel="0" collapsed="false">
      <c r="B293" s="13"/>
      <c r="C293" s="14" t="s">
        <v>10</v>
      </c>
      <c r="D293" s="14"/>
      <c r="E293" s="14"/>
      <c r="F293" s="14"/>
      <c r="G293" s="14"/>
      <c r="H293" s="15" t="s">
        <v>134</v>
      </c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6" t="s">
        <v>12</v>
      </c>
      <c r="Y293" s="16"/>
      <c r="Z293" s="16"/>
      <c r="AA293" s="16"/>
      <c r="AB293" s="17" t="n">
        <v>46301</v>
      </c>
      <c r="AC293" s="17"/>
      <c r="AD293" s="17"/>
      <c r="AE293" s="17"/>
      <c r="AF293" s="18"/>
    </row>
    <row r="294" customFormat="false" ht="14.25" hidden="false" customHeight="false" outlineLevel="0" collapsed="false">
      <c r="B294" s="7"/>
      <c r="AF294" s="12"/>
    </row>
    <row r="295" customFormat="false" ht="14.25" hidden="false" customHeight="false" outlineLevel="0" collapsed="false">
      <c r="B295" s="7"/>
      <c r="C295" s="9" t="s">
        <v>284</v>
      </c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12"/>
    </row>
    <row r="296" customFormat="false" ht="14.25" hidden="false" customHeight="false" outlineLevel="0" collapsed="false">
      <c r="B296" s="7"/>
      <c r="C296" s="20" t="s">
        <v>285</v>
      </c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  <c r="AD296" s="20"/>
      <c r="AE296" s="20"/>
      <c r="AF296" s="12"/>
    </row>
    <row r="297" customFormat="false" ht="14.25" hidden="false" customHeight="false" outlineLevel="0" collapsed="false">
      <c r="B297" s="7"/>
      <c r="C297" s="20" t="s">
        <v>286</v>
      </c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  <c r="AE297" s="20"/>
      <c r="AF297" s="12"/>
    </row>
    <row r="298" customFormat="false" ht="14.25" hidden="false" customHeight="false" outlineLevel="0" collapsed="false">
      <c r="B298" s="7"/>
      <c r="C298" s="20" t="s">
        <v>287</v>
      </c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  <c r="AE298" s="20"/>
      <c r="AF298" s="12"/>
    </row>
    <row r="299" customFormat="false" ht="14.25" hidden="false" customHeight="false" outlineLevel="0" collapsed="false">
      <c r="B299" s="7"/>
      <c r="C299" s="20" t="s">
        <v>288</v>
      </c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  <c r="AF299" s="12"/>
    </row>
    <row r="300" customFormat="false" ht="14.25" hidden="false" customHeight="false" outlineLevel="0" collapsed="false">
      <c r="B300" s="7"/>
      <c r="C300" s="20" t="s">
        <v>330</v>
      </c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  <c r="AF300" s="12"/>
    </row>
    <row r="301" customFormat="false" ht="27" hidden="false" customHeight="true" outlineLevel="0" collapsed="false">
      <c r="B301" s="7"/>
      <c r="C301" s="28" t="s">
        <v>157</v>
      </c>
      <c r="D301" s="28"/>
      <c r="E301" s="28" t="s">
        <v>158</v>
      </c>
      <c r="F301" s="28"/>
      <c r="G301" s="28"/>
      <c r="H301" s="28" t="s">
        <v>159</v>
      </c>
      <c r="I301" s="28"/>
      <c r="J301" s="28"/>
      <c r="K301" s="28" t="s">
        <v>160</v>
      </c>
      <c r="L301" s="28"/>
      <c r="M301" s="28"/>
      <c r="N301" s="28" t="s">
        <v>178</v>
      </c>
      <c r="O301" s="28"/>
      <c r="P301" s="28"/>
      <c r="Q301" s="28" t="s">
        <v>290</v>
      </c>
      <c r="R301" s="28"/>
      <c r="S301" s="28" t="s">
        <v>291</v>
      </c>
      <c r="T301" s="28"/>
      <c r="U301" s="28"/>
      <c r="V301" s="28" t="s">
        <v>292</v>
      </c>
      <c r="W301" s="28"/>
      <c r="X301" s="28"/>
      <c r="Y301" s="28" t="s">
        <v>183</v>
      </c>
      <c r="Z301" s="28"/>
      <c r="AA301" s="28" t="s">
        <v>184</v>
      </c>
      <c r="AB301" s="28"/>
      <c r="AC301" s="28" t="s">
        <v>186</v>
      </c>
      <c r="AD301" s="28"/>
      <c r="AE301" s="28"/>
      <c r="AF301" s="12"/>
    </row>
    <row r="302" customFormat="false" ht="14.25" hidden="false" customHeight="true" outlineLevel="0" collapsed="false">
      <c r="B302" s="7"/>
      <c r="C302" s="29"/>
      <c r="D302" s="29"/>
      <c r="E302" s="29" t="s">
        <v>19</v>
      </c>
      <c r="F302" s="29"/>
      <c r="G302" s="29"/>
      <c r="H302" s="29" t="s">
        <v>19</v>
      </c>
      <c r="I302" s="29"/>
      <c r="J302" s="29"/>
      <c r="K302" s="29"/>
      <c r="L302" s="29"/>
      <c r="M302" s="29"/>
      <c r="N302" s="29" t="s">
        <v>26</v>
      </c>
      <c r="O302" s="29"/>
      <c r="P302" s="29"/>
      <c r="Q302" s="29" t="s">
        <v>38</v>
      </c>
      <c r="R302" s="29"/>
      <c r="S302" s="29" t="s">
        <v>26</v>
      </c>
      <c r="T302" s="29"/>
      <c r="U302" s="29"/>
      <c r="V302" s="29" t="s">
        <v>26</v>
      </c>
      <c r="W302" s="29"/>
      <c r="X302" s="29"/>
      <c r="Y302" s="29" t="s">
        <v>38</v>
      </c>
      <c r="Z302" s="29"/>
      <c r="AA302" s="29" t="s">
        <v>38</v>
      </c>
      <c r="AB302" s="29"/>
      <c r="AC302" s="29" t="s">
        <v>45</v>
      </c>
      <c r="AD302" s="29"/>
      <c r="AE302" s="29"/>
      <c r="AF302" s="12"/>
    </row>
    <row r="303" customFormat="false" ht="14.25" hidden="false" customHeight="false" outlineLevel="0" collapsed="false">
      <c r="B303" s="7"/>
      <c r="C303" s="46" t="n">
        <v>1</v>
      </c>
      <c r="D303" s="46"/>
      <c r="E303" s="44" t="n">
        <f aca="false">AI83</f>
        <v>0</v>
      </c>
      <c r="F303" s="44"/>
      <c r="G303" s="44"/>
      <c r="H303" s="44" t="n">
        <f aca="false">AJ83</f>
        <v>1.5</v>
      </c>
      <c r="I303" s="44"/>
      <c r="J303" s="44"/>
      <c r="K303" s="41" t="str">
        <f aca="false">AM83</f>
        <v>Sand</v>
      </c>
      <c r="L303" s="41"/>
      <c r="M303" s="41"/>
      <c r="N303" s="43" t="n">
        <f aca="false">AX83</f>
        <v>54150</v>
      </c>
      <c r="O303" s="43"/>
      <c r="P303" s="43"/>
      <c r="Q303" s="42" t="n">
        <f aca="false">AY83</f>
        <v>0.3</v>
      </c>
      <c r="R303" s="42"/>
      <c r="S303" s="42" t="n">
        <f aca="false">AQ83</f>
        <v>13.875</v>
      </c>
      <c r="T303" s="42"/>
      <c r="U303" s="42"/>
      <c r="V303" s="42" t="n">
        <f aca="false">BC83</f>
        <v>135.999510418892</v>
      </c>
      <c r="W303" s="42"/>
      <c r="X303" s="42"/>
      <c r="Y303" s="32" t="n">
        <f aca="false">BD83</f>
        <v>0.000278357738281407</v>
      </c>
      <c r="Z303" s="32"/>
      <c r="AA303" s="32" t="n">
        <f aca="false">BE83</f>
        <v>0.00985670448566872</v>
      </c>
      <c r="AB303" s="32"/>
      <c r="AC303" s="42" t="n">
        <f aca="false">BG83</f>
        <v>1.99934114215323</v>
      </c>
      <c r="AD303" s="42"/>
      <c r="AE303" s="42"/>
      <c r="AF303" s="12"/>
    </row>
    <row r="304" customFormat="false" ht="14.25" hidden="false" customHeight="false" outlineLevel="0" collapsed="false">
      <c r="B304" s="7"/>
      <c r="C304" s="46" t="n">
        <v>2</v>
      </c>
      <c r="D304" s="46"/>
      <c r="E304" s="44" t="n">
        <f aca="false">AI84</f>
        <v>1.5</v>
      </c>
      <c r="F304" s="44"/>
      <c r="G304" s="44"/>
      <c r="H304" s="44" t="n">
        <f aca="false">AJ84</f>
        <v>3</v>
      </c>
      <c r="I304" s="44"/>
      <c r="J304" s="44"/>
      <c r="K304" s="41" t="str">
        <f aca="false">AM84</f>
        <v>Sand</v>
      </c>
      <c r="L304" s="41"/>
      <c r="M304" s="41"/>
      <c r="N304" s="43" t="n">
        <f aca="false">AX84</f>
        <v>54150</v>
      </c>
      <c r="O304" s="43"/>
      <c r="P304" s="43"/>
      <c r="Q304" s="42" t="n">
        <f aca="false">AY84</f>
        <v>0.3</v>
      </c>
      <c r="R304" s="42"/>
      <c r="S304" s="42" t="n">
        <f aca="false">AQ84</f>
        <v>41.625</v>
      </c>
      <c r="T304" s="42"/>
      <c r="U304" s="42"/>
      <c r="V304" s="42" t="n">
        <f aca="false">BC84</f>
        <v>135.986832457853</v>
      </c>
      <c r="W304" s="42"/>
      <c r="X304" s="42"/>
      <c r="Y304" s="32" t="n">
        <f aca="false">BD84</f>
        <v>0.0011108168584366</v>
      </c>
      <c r="Z304" s="32"/>
      <c r="AA304" s="32" t="n">
        <f aca="false">BE84</f>
        <v>0.0191582913405592</v>
      </c>
      <c r="AB304" s="32"/>
      <c r="AC304" s="42" t="n">
        <f aca="false">BG84</f>
        <v>2.07947068766506</v>
      </c>
      <c r="AD304" s="42"/>
      <c r="AE304" s="42"/>
      <c r="AF304" s="12"/>
    </row>
    <row r="305" customFormat="false" ht="14.25" hidden="false" customHeight="false" outlineLevel="0" collapsed="false">
      <c r="B305" s="7"/>
      <c r="C305" s="46" t="n">
        <v>3</v>
      </c>
      <c r="D305" s="46"/>
      <c r="E305" s="44" t="n">
        <f aca="false">AI85</f>
        <v>3</v>
      </c>
      <c r="F305" s="44"/>
      <c r="G305" s="44"/>
      <c r="H305" s="44" t="n">
        <f aca="false">AJ85</f>
        <v>4.5</v>
      </c>
      <c r="I305" s="44"/>
      <c r="J305" s="44"/>
      <c r="K305" s="41" t="str">
        <f aca="false">AM85</f>
        <v>Sand</v>
      </c>
      <c r="L305" s="41"/>
      <c r="M305" s="41"/>
      <c r="N305" s="43" t="n">
        <f aca="false">AX85</f>
        <v>54150</v>
      </c>
      <c r="O305" s="43"/>
      <c r="P305" s="43"/>
      <c r="Q305" s="42" t="n">
        <f aca="false">AY85</f>
        <v>0.3</v>
      </c>
      <c r="R305" s="42"/>
      <c r="S305" s="42" t="n">
        <f aca="false">AQ85</f>
        <v>69.375</v>
      </c>
      <c r="T305" s="42"/>
      <c r="U305" s="42"/>
      <c r="V305" s="42" t="n">
        <f aca="false">BC85</f>
        <v>135.93950780949</v>
      </c>
      <c r="W305" s="42"/>
      <c r="X305" s="42"/>
      <c r="Y305" s="32" t="n">
        <f aca="false">BD85</f>
        <v>0.00248961870853131</v>
      </c>
      <c r="Z305" s="32"/>
      <c r="AA305" s="32" t="n">
        <f aca="false">BE85</f>
        <v>0.027909941348913</v>
      </c>
      <c r="AB305" s="32"/>
      <c r="AC305" s="42" t="n">
        <f aca="false">BG85</f>
        <v>2.15797721925499</v>
      </c>
      <c r="AD305" s="42"/>
      <c r="AE305" s="42"/>
      <c r="AF305" s="12"/>
    </row>
    <row r="306" customFormat="false" ht="14.25" hidden="false" customHeight="false" outlineLevel="0" collapsed="false">
      <c r="B306" s="7"/>
      <c r="C306" s="46" t="n">
        <v>4</v>
      </c>
      <c r="D306" s="46"/>
      <c r="E306" s="44" t="n">
        <f aca="false">AI86</f>
        <v>4.5</v>
      </c>
      <c r="F306" s="44"/>
      <c r="G306" s="44"/>
      <c r="H306" s="44" t="n">
        <f aca="false">AJ86</f>
        <v>6</v>
      </c>
      <c r="I306" s="44"/>
      <c r="J306" s="44"/>
      <c r="K306" s="41" t="str">
        <f aca="false">AM86</f>
        <v>Sand</v>
      </c>
      <c r="L306" s="41"/>
      <c r="M306" s="41"/>
      <c r="N306" s="43" t="n">
        <f aca="false">AX86</f>
        <v>44403</v>
      </c>
      <c r="O306" s="43"/>
      <c r="P306" s="43"/>
      <c r="Q306" s="42" t="n">
        <f aca="false">AY86</f>
        <v>0.3</v>
      </c>
      <c r="R306" s="42"/>
      <c r="S306" s="42" t="n">
        <f aca="false">AQ86</f>
        <v>97.125</v>
      </c>
      <c r="T306" s="42"/>
      <c r="U306" s="42"/>
      <c r="V306" s="42" t="n">
        <f aca="false">BC86</f>
        <v>135.835905210694</v>
      </c>
      <c r="W306" s="42"/>
      <c r="X306" s="42"/>
      <c r="Y306" s="32" t="n">
        <f aca="false">BD86</f>
        <v>0.00440210534422831</v>
      </c>
      <c r="Z306" s="32"/>
      <c r="AA306" s="32" t="n">
        <f aca="false">BE86</f>
        <v>0.0361201249719141</v>
      </c>
      <c r="AB306" s="32"/>
      <c r="AC306" s="42" t="n">
        <f aca="false">BG86</f>
        <v>2.72419437232101</v>
      </c>
      <c r="AD306" s="42"/>
      <c r="AE306" s="42"/>
      <c r="AF306" s="12"/>
    </row>
    <row r="307" customFormat="false" ht="14.25" hidden="false" customHeight="false" outlineLevel="0" collapsed="false">
      <c r="B307" s="7"/>
      <c r="C307" s="46" t="n">
        <v>5</v>
      </c>
      <c r="D307" s="46"/>
      <c r="E307" s="44" t="n">
        <f aca="false">AI87</f>
        <v>6</v>
      </c>
      <c r="F307" s="44"/>
      <c r="G307" s="44"/>
      <c r="H307" s="44" t="n">
        <f aca="false">AJ87</f>
        <v>7.5</v>
      </c>
      <c r="I307" s="44"/>
      <c r="J307" s="44"/>
      <c r="K307" s="41" t="str">
        <f aca="false">AM87</f>
        <v>Sand</v>
      </c>
      <c r="L307" s="41"/>
      <c r="M307" s="41"/>
      <c r="N307" s="43" t="n">
        <f aca="false">AX87</f>
        <v>54150</v>
      </c>
      <c r="O307" s="43"/>
      <c r="P307" s="43"/>
      <c r="Q307" s="42" t="n">
        <f aca="false">AY87</f>
        <v>0.3</v>
      </c>
      <c r="R307" s="42"/>
      <c r="S307" s="42" t="n">
        <f aca="false">AQ87</f>
        <v>124.875</v>
      </c>
      <c r="T307" s="42"/>
      <c r="U307" s="42"/>
      <c r="V307" s="42" t="n">
        <f aca="false">BC87</f>
        <v>135.656483291149</v>
      </c>
      <c r="W307" s="42"/>
      <c r="X307" s="42"/>
      <c r="Y307" s="32" t="n">
        <f aca="false">BD87</f>
        <v>0.00683111017475556</v>
      </c>
      <c r="Z307" s="32"/>
      <c r="AA307" s="32" t="n">
        <f aca="false">BE87</f>
        <v>0.0438003669964678</v>
      </c>
      <c r="AB307" s="32"/>
      <c r="AC307" s="42" t="n">
        <f aca="false">BG87</f>
        <v>2.30612248130691</v>
      </c>
      <c r="AD307" s="42"/>
      <c r="AE307" s="42"/>
      <c r="AF307" s="12"/>
    </row>
    <row r="308" customFormat="false" ht="14.25" hidden="false" customHeight="false" outlineLevel="0" collapsed="false">
      <c r="B308" s="7"/>
      <c r="C308" s="46" t="n">
        <v>6</v>
      </c>
      <c r="D308" s="46"/>
      <c r="E308" s="44" t="n">
        <f aca="false">AI88</f>
        <v>7.5</v>
      </c>
      <c r="F308" s="44"/>
      <c r="G308" s="44"/>
      <c r="H308" s="44" t="n">
        <f aca="false">AJ88</f>
        <v>9</v>
      </c>
      <c r="I308" s="44"/>
      <c r="J308" s="44"/>
      <c r="K308" s="41" t="str">
        <f aca="false">AM88</f>
        <v>Sand</v>
      </c>
      <c r="L308" s="41"/>
      <c r="M308" s="41"/>
      <c r="N308" s="43" t="n">
        <f aca="false">AX88</f>
        <v>28158</v>
      </c>
      <c r="O308" s="43"/>
      <c r="P308" s="43"/>
      <c r="Q308" s="42" t="n">
        <f aca="false">AY88</f>
        <v>0.3</v>
      </c>
      <c r="R308" s="42"/>
      <c r="S308" s="42" t="n">
        <f aca="false">AQ88</f>
        <v>140.05</v>
      </c>
      <c r="T308" s="42"/>
      <c r="U308" s="42"/>
      <c r="V308" s="42" t="n">
        <f aca="false">BC88</f>
        <v>135.384419937794</v>
      </c>
      <c r="W308" s="42"/>
      <c r="X308" s="42"/>
      <c r="Y308" s="32" t="n">
        <f aca="false">BD88</f>
        <v>0.00975546893705105</v>
      </c>
      <c r="Z308" s="32"/>
      <c r="AA308" s="32" t="n">
        <f aca="false">BE88</f>
        <v>0.0509649376512068</v>
      </c>
      <c r="AB308" s="32"/>
      <c r="AC308" s="42" t="n">
        <f aca="false">BG88</f>
        <v>4.56539411231175</v>
      </c>
      <c r="AD308" s="42"/>
      <c r="AE308" s="42"/>
      <c r="AF308" s="12"/>
    </row>
    <row r="309" customFormat="false" ht="14.25" hidden="false" customHeight="false" outlineLevel="0" collapsed="false">
      <c r="B309" s="7"/>
      <c r="C309" s="46" t="n">
        <v>7</v>
      </c>
      <c r="D309" s="46"/>
      <c r="E309" s="44" t="n">
        <f aca="false">AI89</f>
        <v>9</v>
      </c>
      <c r="F309" s="44"/>
      <c r="G309" s="44"/>
      <c r="H309" s="44" t="n">
        <f aca="false">AJ89</f>
        <v>10.5</v>
      </c>
      <c r="I309" s="44"/>
      <c r="J309" s="44"/>
      <c r="K309" s="41" t="str">
        <f aca="false">AM89</f>
        <v>Sand</v>
      </c>
      <c r="L309" s="41"/>
      <c r="M309" s="41"/>
      <c r="N309" s="43" t="n">
        <f aca="false">AX89</f>
        <v>16245</v>
      </c>
      <c r="O309" s="43"/>
      <c r="P309" s="43"/>
      <c r="Q309" s="42" t="n">
        <f aca="false">AY89</f>
        <v>0.3</v>
      </c>
      <c r="R309" s="42"/>
      <c r="S309" s="42" t="n">
        <f aca="false">AQ89</f>
        <v>152.65</v>
      </c>
      <c r="T309" s="42"/>
      <c r="U309" s="42"/>
      <c r="V309" s="42" t="n">
        <f aca="false">BC89</f>
        <v>135.006063558054</v>
      </c>
      <c r="W309" s="42"/>
      <c r="X309" s="42"/>
      <c r="Y309" s="32" t="n">
        <f aca="false">BD89</f>
        <v>0.0131506198333031</v>
      </c>
      <c r="Z309" s="32"/>
      <c r="AA309" s="32" t="n">
        <f aca="false">BE89</f>
        <v>0.0576304881402393</v>
      </c>
      <c r="AB309" s="32"/>
      <c r="AC309" s="42" t="n">
        <f aca="false">BG89</f>
        <v>8.1226591329437</v>
      </c>
      <c r="AD309" s="42"/>
      <c r="AE309" s="42"/>
      <c r="AF309" s="12"/>
    </row>
    <row r="310" customFormat="false" ht="14.25" hidden="false" customHeight="false" outlineLevel="0" collapsed="false">
      <c r="B310" s="7"/>
      <c r="C310" s="46" t="n">
        <v>8</v>
      </c>
      <c r="D310" s="46"/>
      <c r="E310" s="44" t="n">
        <f aca="false">AI90</f>
        <v>10.5</v>
      </c>
      <c r="F310" s="44"/>
      <c r="G310" s="44"/>
      <c r="H310" s="44" t="n">
        <f aca="false">AJ90</f>
        <v>12</v>
      </c>
      <c r="I310" s="44"/>
      <c r="J310" s="44"/>
      <c r="K310" s="41" t="str">
        <f aca="false">AM90</f>
        <v>Sand</v>
      </c>
      <c r="L310" s="41"/>
      <c r="M310" s="41"/>
      <c r="N310" s="43" t="n">
        <f aca="false">AX90</f>
        <v>27075</v>
      </c>
      <c r="O310" s="43"/>
      <c r="P310" s="43"/>
      <c r="Q310" s="42" t="n">
        <f aca="false">AY90</f>
        <v>0.3</v>
      </c>
      <c r="R310" s="42"/>
      <c r="S310" s="42" t="n">
        <f aca="false">AQ90</f>
        <v>165.25</v>
      </c>
      <c r="T310" s="42"/>
      <c r="U310" s="42"/>
      <c r="V310" s="42" t="n">
        <f aca="false">BC90</f>
        <v>134.511190640081</v>
      </c>
      <c r="W310" s="42"/>
      <c r="X310" s="42"/>
      <c r="Y310" s="32" t="n">
        <f aca="false">BD90</f>
        <v>0.0169892586870808</v>
      </c>
      <c r="Z310" s="32"/>
      <c r="AA310" s="32" t="n">
        <f aca="false">BE90</f>
        <v>0.063815650361614</v>
      </c>
      <c r="AB310" s="32"/>
      <c r="AC310" s="42" t="n">
        <f aca="false">BG90</f>
        <v>4.9879122176249</v>
      </c>
      <c r="AD310" s="42"/>
      <c r="AE310" s="42"/>
      <c r="AF310" s="12"/>
    </row>
    <row r="311" customFormat="false" ht="14.25" hidden="false" customHeight="false" outlineLevel="0" collapsed="false">
      <c r="B311" s="7"/>
      <c r="C311" s="46" t="n">
        <v>9</v>
      </c>
      <c r="D311" s="46"/>
      <c r="E311" s="44" t="n">
        <f aca="false">AI91</f>
        <v>12</v>
      </c>
      <c r="F311" s="44"/>
      <c r="G311" s="44"/>
      <c r="H311" s="44" t="n">
        <f aca="false">AJ91</f>
        <v>13.5</v>
      </c>
      <c r="I311" s="44"/>
      <c r="J311" s="44"/>
      <c r="K311" s="41" t="str">
        <f aca="false">AM91</f>
        <v>Sand</v>
      </c>
      <c r="L311" s="41"/>
      <c r="M311" s="41"/>
      <c r="N311" s="43" t="n">
        <f aca="false">AX91</f>
        <v>21660</v>
      </c>
      <c r="O311" s="43"/>
      <c r="P311" s="43"/>
      <c r="Q311" s="42" t="n">
        <f aca="false">AY91</f>
        <v>0.3</v>
      </c>
      <c r="R311" s="42"/>
      <c r="S311" s="42" t="n">
        <f aca="false">AQ91</f>
        <v>177.85</v>
      </c>
      <c r="T311" s="42"/>
      <c r="U311" s="42"/>
      <c r="V311" s="42" t="n">
        <f aca="false">BC91</f>
        <v>133.893072357031</v>
      </c>
      <c r="W311" s="42"/>
      <c r="X311" s="42"/>
      <c r="Y311" s="32" t="n">
        <f aca="false">BD91</f>
        <v>0.0212420151090567</v>
      </c>
      <c r="Z311" s="32"/>
      <c r="AA311" s="32" t="n">
        <f aca="false">BE91</f>
        <v>0.0695406206380035</v>
      </c>
      <c r="AB311" s="32"/>
      <c r="AC311" s="42" t="n">
        <f aca="false">BG91</f>
        <v>6.36270881089754</v>
      </c>
      <c r="AD311" s="42"/>
      <c r="AE311" s="42"/>
      <c r="AF311" s="12"/>
    </row>
    <row r="312" customFormat="false" ht="14.25" hidden="false" customHeight="false" outlineLevel="0" collapsed="false">
      <c r="B312" s="7"/>
      <c r="C312" s="46" t="n">
        <v>10</v>
      </c>
      <c r="D312" s="46"/>
      <c r="E312" s="44" t="n">
        <f aca="false">AI92</f>
        <v>13.5</v>
      </c>
      <c r="F312" s="44"/>
      <c r="G312" s="44"/>
      <c r="H312" s="44" t="n">
        <f aca="false">AJ92</f>
        <v>15</v>
      </c>
      <c r="I312" s="44"/>
      <c r="J312" s="44"/>
      <c r="K312" s="41" t="str">
        <f aca="false">AM92</f>
        <v>Sand</v>
      </c>
      <c r="L312" s="41"/>
      <c r="M312" s="41"/>
      <c r="N312" s="43" t="n">
        <f aca="false">AX92</f>
        <v>50901</v>
      </c>
      <c r="O312" s="43"/>
      <c r="P312" s="43"/>
      <c r="Q312" s="42" t="n">
        <f aca="false">AY92</f>
        <v>0.3</v>
      </c>
      <c r="R312" s="42"/>
      <c r="S312" s="42" t="n">
        <f aca="false">AQ92</f>
        <v>190.45</v>
      </c>
      <c r="T312" s="42"/>
      <c r="U312" s="42"/>
      <c r="V312" s="42" t="n">
        <f aca="false">BC92</f>
        <v>133.148368665013</v>
      </c>
      <c r="W312" s="42"/>
      <c r="X312" s="42"/>
      <c r="Y312" s="32" t="n">
        <f aca="false">BD92</f>
        <v>0.0258781185005073</v>
      </c>
      <c r="Z312" s="32"/>
      <c r="AA312" s="32" t="n">
        <f aca="false">BE92</f>
        <v>0.0748267458113844</v>
      </c>
      <c r="AB312" s="32"/>
      <c r="AC312" s="42" t="n">
        <f aca="false">BG92</f>
        <v>2.75524334182311</v>
      </c>
      <c r="AD312" s="42"/>
      <c r="AE312" s="42"/>
      <c r="AF312" s="12"/>
    </row>
    <row r="313" customFormat="false" ht="14.25" hidden="false" customHeight="false" outlineLevel="0" collapsed="false">
      <c r="B313" s="7"/>
      <c r="C313" s="46" t="n">
        <v>11</v>
      </c>
      <c r="D313" s="46"/>
      <c r="E313" s="44" t="n">
        <f aca="false">AI93</f>
        <v>15</v>
      </c>
      <c r="F313" s="44"/>
      <c r="G313" s="44"/>
      <c r="H313" s="44" t="n">
        <f aca="false">AJ93</f>
        <v>16.5</v>
      </c>
      <c r="I313" s="44"/>
      <c r="J313" s="44"/>
      <c r="K313" s="41" t="str">
        <f aca="false">AM93</f>
        <v>Sand</v>
      </c>
      <c r="L313" s="41"/>
      <c r="M313" s="41"/>
      <c r="N313" s="43" t="n">
        <f aca="false">AX93</f>
        <v>12996</v>
      </c>
      <c r="O313" s="43"/>
      <c r="P313" s="43"/>
      <c r="Q313" s="42" t="n">
        <f aca="false">AY93</f>
        <v>0.3</v>
      </c>
      <c r="R313" s="42"/>
      <c r="S313" s="42" t="n">
        <f aca="false">AQ93</f>
        <v>203.05</v>
      </c>
      <c r="T313" s="42"/>
      <c r="U313" s="42"/>
      <c r="V313" s="42" t="n">
        <f aca="false">BC93</f>
        <v>132.27687978272</v>
      </c>
      <c r="W313" s="42"/>
      <c r="X313" s="42"/>
      <c r="Y313" s="32" t="n">
        <f aca="false">BD93</f>
        <v>0.0308660275726865</v>
      </c>
      <c r="Z313" s="32"/>
      <c r="AA313" s="32" t="n">
        <f aca="false">BE93</f>
        <v>0.0796961274153755</v>
      </c>
      <c r="AB313" s="32"/>
      <c r="AC313" s="42" t="n">
        <f aca="false">BG93</f>
        <v>10.9515705973729</v>
      </c>
      <c r="AD313" s="42"/>
      <c r="AE313" s="42"/>
      <c r="AF313" s="12"/>
    </row>
    <row r="314" customFormat="false" ht="14.25" hidden="false" customHeight="false" outlineLevel="0" collapsed="false">
      <c r="B314" s="7"/>
      <c r="C314" s="46" t="n">
        <v>12</v>
      </c>
      <c r="D314" s="46"/>
      <c r="E314" s="44" t="n">
        <f aca="false">AI94</f>
        <v>16.5</v>
      </c>
      <c r="F314" s="44"/>
      <c r="G314" s="44"/>
      <c r="H314" s="44" t="n">
        <f aca="false">AJ94</f>
        <v>18</v>
      </c>
      <c r="I314" s="44"/>
      <c r="J314" s="44"/>
      <c r="K314" s="41" t="str">
        <f aca="false">AM94</f>
        <v>Sand</v>
      </c>
      <c r="L314" s="41"/>
      <c r="M314" s="41"/>
      <c r="N314" s="43" t="n">
        <f aca="false">AX94</f>
        <v>24909</v>
      </c>
      <c r="O314" s="43"/>
      <c r="P314" s="43"/>
      <c r="Q314" s="42" t="n">
        <f aca="false">AY94</f>
        <v>0.3</v>
      </c>
      <c r="R314" s="42"/>
      <c r="S314" s="42" t="n">
        <f aca="false">AQ94</f>
        <v>215.65</v>
      </c>
      <c r="T314" s="42"/>
      <c r="U314" s="42"/>
      <c r="V314" s="42" t="n">
        <f aca="false">BC94</f>
        <v>131.281191431882</v>
      </c>
      <c r="W314" s="42"/>
      <c r="X314" s="42"/>
      <c r="Y314" s="32" t="n">
        <f aca="false">BD94</f>
        <v>0.0361740031105239</v>
      </c>
      <c r="Z314" s="32"/>
      <c r="AA314" s="32" t="n">
        <f aca="false">BE94</f>
        <v>0.0841712562846844</v>
      </c>
      <c r="AB314" s="32"/>
      <c r="AC314" s="42" t="n">
        <f aca="false">BG94</f>
        <v>5.7835574530347</v>
      </c>
      <c r="AD314" s="42"/>
      <c r="AE314" s="42"/>
      <c r="AF314" s="12"/>
    </row>
    <row r="315" customFormat="false" ht="14.25" hidden="false" customHeight="false" outlineLevel="0" collapsed="false">
      <c r="B315" s="7"/>
      <c r="C315" s="46" t="n">
        <v>13</v>
      </c>
      <c r="D315" s="46"/>
      <c r="E315" s="44" t="n">
        <f aca="false">AI95</f>
        <v>18</v>
      </c>
      <c r="F315" s="44"/>
      <c r="G315" s="44"/>
      <c r="H315" s="44" t="n">
        <f aca="false">AJ95</f>
        <v>19.5</v>
      </c>
      <c r="I315" s="44"/>
      <c r="J315" s="44"/>
      <c r="K315" s="41" t="str">
        <f aca="false">AM95</f>
        <v>Sand</v>
      </c>
      <c r="L315" s="41"/>
      <c r="M315" s="41"/>
      <c r="N315" s="43" t="n">
        <f aca="false">AX95</f>
        <v>32490</v>
      </c>
      <c r="O315" s="43"/>
      <c r="P315" s="43"/>
      <c r="Q315" s="42" t="n">
        <f aca="false">AY95</f>
        <v>0.3</v>
      </c>
      <c r="R315" s="42"/>
      <c r="S315" s="42" t="n">
        <f aca="false">AQ95</f>
        <v>228.25</v>
      </c>
      <c r="T315" s="42"/>
      <c r="U315" s="42"/>
      <c r="V315" s="42" t="n">
        <f aca="false">BC95</f>
        <v>130.166251943235</v>
      </c>
      <c r="W315" s="42"/>
      <c r="X315" s="42"/>
      <c r="Y315" s="32" t="n">
        <f aca="false">BD95</f>
        <v>0.0417706101655238</v>
      </c>
      <c r="Z315" s="32"/>
      <c r="AA315" s="32" t="n">
        <f aca="false">BE95</f>
        <v>0.0882746863320375</v>
      </c>
      <c r="AB315" s="32"/>
      <c r="AC315" s="42" t="n">
        <f aca="false">BG95</f>
        <v>4.47703718027672</v>
      </c>
      <c r="AD315" s="42"/>
      <c r="AE315" s="42"/>
      <c r="AF315" s="12"/>
    </row>
    <row r="316" customFormat="false" ht="14.25" hidden="false" customHeight="false" outlineLevel="0" collapsed="false">
      <c r="B316" s="7"/>
      <c r="C316" s="46" t="n">
        <v>14</v>
      </c>
      <c r="D316" s="46"/>
      <c r="E316" s="44" t="n">
        <f aca="false">AI96</f>
        <v>19.5</v>
      </c>
      <c r="F316" s="44"/>
      <c r="G316" s="44"/>
      <c r="H316" s="44" t="n">
        <f aca="false">AJ96</f>
        <v>21</v>
      </c>
      <c r="I316" s="44"/>
      <c r="J316" s="44"/>
      <c r="K316" s="41" t="str">
        <f aca="false">AM96</f>
        <v>Sand</v>
      </c>
      <c r="L316" s="41"/>
      <c r="M316" s="41"/>
      <c r="N316" s="43" t="n">
        <f aca="false">AX96</f>
        <v>29241</v>
      </c>
      <c r="O316" s="43"/>
      <c r="P316" s="43"/>
      <c r="Q316" s="42" t="n">
        <f aca="false">AY96</f>
        <v>0.3</v>
      </c>
      <c r="R316" s="42"/>
      <c r="S316" s="42" t="n">
        <f aca="false">AQ96</f>
        <v>240.85</v>
      </c>
      <c r="T316" s="42"/>
      <c r="U316" s="42"/>
      <c r="V316" s="42" t="n">
        <f aca="false">BC96</f>
        <v>128.938917112008</v>
      </c>
      <c r="W316" s="42"/>
      <c r="X316" s="42"/>
      <c r="Y316" s="32" t="n">
        <f aca="false">BD96</f>
        <v>0.0476251420550853</v>
      </c>
      <c r="Z316" s="32"/>
      <c r="AA316" s="32" t="n">
        <f aca="false">BE96</f>
        <v>0.0920287526961581</v>
      </c>
      <c r="AB316" s="32"/>
      <c r="AC316" s="42" t="n">
        <f aca="false">BG96</f>
        <v>5.01099747301952</v>
      </c>
      <c r="AD316" s="42"/>
      <c r="AE316" s="42"/>
      <c r="AF316" s="12"/>
    </row>
    <row r="317" customFormat="false" ht="14.25" hidden="false" customHeight="false" outlineLevel="0" collapsed="false">
      <c r="B317" s="7"/>
      <c r="C317" s="46" t="n">
        <v>15</v>
      </c>
      <c r="D317" s="46"/>
      <c r="E317" s="44" t="n">
        <f aca="false">AI97</f>
        <v>21</v>
      </c>
      <c r="F317" s="44"/>
      <c r="G317" s="44"/>
      <c r="H317" s="44" t="n">
        <f aca="false">AJ97</f>
        <v>22.5</v>
      </c>
      <c r="I317" s="44"/>
      <c r="J317" s="44"/>
      <c r="K317" s="41" t="str">
        <f aca="false">AM97</f>
        <v>Sand</v>
      </c>
      <c r="L317" s="41"/>
      <c r="M317" s="41"/>
      <c r="N317" s="43" t="n">
        <f aca="false">AX97</f>
        <v>30324</v>
      </c>
      <c r="O317" s="43"/>
      <c r="P317" s="43"/>
      <c r="Q317" s="42" t="n">
        <f aca="false">AY97</f>
        <v>0.3</v>
      </c>
      <c r="R317" s="42"/>
      <c r="S317" s="42" t="n">
        <f aca="false">AQ97</f>
        <v>253.45</v>
      </c>
      <c r="T317" s="42"/>
      <c r="U317" s="42"/>
      <c r="V317" s="42" t="n">
        <f aca="false">BC97</f>
        <v>127.607493683403</v>
      </c>
      <c r="W317" s="42"/>
      <c r="X317" s="42"/>
      <c r="Y317" s="32" t="n">
        <f aca="false">BD97</f>
        <v>0.0537079639877145</v>
      </c>
      <c r="Z317" s="32"/>
      <c r="AA317" s="32" t="n">
        <f aca="false">BE97</f>
        <v>0.0954553363186186</v>
      </c>
      <c r="AB317" s="32"/>
      <c r="AC317" s="42" t="n">
        <f aca="false">BG97</f>
        <v>4.85689319852479</v>
      </c>
      <c r="AD317" s="42"/>
      <c r="AE317" s="42"/>
      <c r="AF317" s="12"/>
    </row>
    <row r="318" customFormat="false" ht="14.25" hidden="false" customHeight="false" outlineLevel="0" collapsed="false">
      <c r="B318" s="7"/>
      <c r="C318" s="46" t="n">
        <v>16</v>
      </c>
      <c r="D318" s="46"/>
      <c r="E318" s="44" t="n">
        <f aca="false">AI98</f>
        <v>22.5</v>
      </c>
      <c r="F318" s="44"/>
      <c r="G318" s="44"/>
      <c r="H318" s="44" t="n">
        <f aca="false">AJ98</f>
        <v>24</v>
      </c>
      <c r="I318" s="44"/>
      <c r="J318" s="44"/>
      <c r="K318" s="41" t="str">
        <f aca="false">AM98</f>
        <v>Sand</v>
      </c>
      <c r="L318" s="41"/>
      <c r="M318" s="41"/>
      <c r="N318" s="43" t="n">
        <f aca="false">AX98</f>
        <v>25992</v>
      </c>
      <c r="O318" s="43"/>
      <c r="P318" s="43"/>
      <c r="Q318" s="42" t="n">
        <f aca="false">AY98</f>
        <v>0.3</v>
      </c>
      <c r="R318" s="42"/>
      <c r="S318" s="42" t="n">
        <f aca="false">AQ98</f>
        <v>266.05</v>
      </c>
      <c r="T318" s="42"/>
      <c r="U318" s="42"/>
      <c r="V318" s="42" t="n">
        <f aca="false">BC98</f>
        <v>126.181305793762</v>
      </c>
      <c r="W318" s="42"/>
      <c r="X318" s="42"/>
      <c r="Y318" s="32" t="n">
        <f aca="false">BD98</f>
        <v>0.0599907785392672</v>
      </c>
      <c r="Z318" s="32"/>
      <c r="AA318" s="32" t="n">
        <f aca="false">BE98</f>
        <v>0.0985756744132035</v>
      </c>
      <c r="AB318" s="32"/>
      <c r="AC318" s="42" t="n">
        <f aca="false">BG98</f>
        <v>5.68398941845496</v>
      </c>
      <c r="AD318" s="42"/>
      <c r="AE318" s="42"/>
      <c r="AF318" s="12"/>
    </row>
    <row r="319" customFormat="false" ht="14.25" hidden="false" customHeight="false" outlineLevel="0" collapsed="false">
      <c r="B319" s="7"/>
      <c r="C319" s="46" t="n">
        <v>17</v>
      </c>
      <c r="D319" s="46"/>
      <c r="E319" s="44" t="n">
        <f aca="false">AI99</f>
        <v>24</v>
      </c>
      <c r="F319" s="44"/>
      <c r="G319" s="44"/>
      <c r="H319" s="44" t="n">
        <f aca="false">AJ99</f>
        <v>25.5</v>
      </c>
      <c r="I319" s="44"/>
      <c r="J319" s="44"/>
      <c r="K319" s="41" t="str">
        <f aca="false">AM99</f>
        <v>Sand</v>
      </c>
      <c r="L319" s="41"/>
      <c r="M319" s="41"/>
      <c r="N319" s="43" t="n">
        <f aca="false">AX99</f>
        <v>47652</v>
      </c>
      <c r="O319" s="43"/>
      <c r="P319" s="43"/>
      <c r="Q319" s="42" t="n">
        <f aca="false">AY99</f>
        <v>0.3</v>
      </c>
      <c r="R319" s="42"/>
      <c r="S319" s="42" t="n">
        <f aca="false">AQ99</f>
        <v>278.65</v>
      </c>
      <c r="T319" s="42"/>
      <c r="U319" s="42"/>
      <c r="V319" s="42" t="n">
        <f aca="false">BC99</f>
        <v>124.670301678981</v>
      </c>
      <c r="W319" s="42"/>
      <c r="X319" s="42"/>
      <c r="Y319" s="32" t="n">
        <f aca="false">BD99</f>
        <v>0.0664468184683822</v>
      </c>
      <c r="Z319" s="32"/>
      <c r="AA319" s="32" t="n">
        <f aca="false">BE99</f>
        <v>0.101410214319719</v>
      </c>
      <c r="AB319" s="32"/>
      <c r="AC319" s="42" t="n">
        <f aca="false">BG99</f>
        <v>3.10416788896103</v>
      </c>
      <c r="AD319" s="42"/>
      <c r="AE319" s="42"/>
      <c r="AF319" s="12"/>
    </row>
    <row r="320" customFormat="false" ht="14.25" hidden="false" customHeight="false" outlineLevel="0" collapsed="false">
      <c r="B320" s="7"/>
      <c r="C320" s="46" t="n">
        <v>18</v>
      </c>
      <c r="D320" s="46"/>
      <c r="E320" s="44" t="n">
        <f aca="false">AI100</f>
        <v>25.5</v>
      </c>
      <c r="F320" s="44"/>
      <c r="G320" s="44"/>
      <c r="H320" s="44" t="n">
        <f aca="false">AJ100</f>
        <v>27</v>
      </c>
      <c r="I320" s="44"/>
      <c r="J320" s="44"/>
      <c r="K320" s="41" t="str">
        <f aca="false">AM100</f>
        <v>Sand</v>
      </c>
      <c r="L320" s="41"/>
      <c r="M320" s="41"/>
      <c r="N320" s="43" t="n">
        <f aca="false">AX100</f>
        <v>22743</v>
      </c>
      <c r="O320" s="43"/>
      <c r="P320" s="43"/>
      <c r="Q320" s="42" t="n">
        <f aca="false">AY100</f>
        <v>0.3</v>
      </c>
      <c r="R320" s="42"/>
      <c r="S320" s="42" t="n">
        <f aca="false">AQ100</f>
        <v>291.25</v>
      </c>
      <c r="T320" s="42"/>
      <c r="U320" s="42"/>
      <c r="V320" s="42" t="n">
        <f aca="false">BC100</f>
        <v>123.084711322374</v>
      </c>
      <c r="W320" s="42"/>
      <c r="X320" s="42"/>
      <c r="Y320" s="32" t="n">
        <f aca="false">BD100</f>
        <v>0.0730509745149719</v>
      </c>
      <c r="Z320" s="32"/>
      <c r="AA320" s="32" t="n">
        <f aca="false">BE100</f>
        <v>0.103978506876715</v>
      </c>
      <c r="AB320" s="32"/>
      <c r="AC320" s="42" t="n">
        <f aca="false">BG100</f>
        <v>6.50072902825465</v>
      </c>
      <c r="AD320" s="42"/>
      <c r="AE320" s="42"/>
      <c r="AF320" s="12"/>
    </row>
    <row r="321" customFormat="false" ht="14.25" hidden="false" customHeight="false" outlineLevel="0" collapsed="false">
      <c r="B321" s="7"/>
      <c r="C321" s="46" t="n">
        <v>19</v>
      </c>
      <c r="D321" s="46"/>
      <c r="E321" s="44" t="n">
        <f aca="false">AI101</f>
        <v>27</v>
      </c>
      <c r="F321" s="44"/>
      <c r="G321" s="44"/>
      <c r="H321" s="44" t="n">
        <f aca="false">AJ101</f>
        <v>28.5</v>
      </c>
      <c r="I321" s="44"/>
      <c r="J321" s="44"/>
      <c r="K321" s="41" t="str">
        <f aca="false">AM101</f>
        <v>Sand</v>
      </c>
      <c r="L321" s="41"/>
      <c r="M321" s="41"/>
      <c r="N321" s="43" t="n">
        <f aca="false">AX101</f>
        <v>33573</v>
      </c>
      <c r="O321" s="43"/>
      <c r="P321" s="43"/>
      <c r="Q321" s="42" t="n">
        <f aca="false">AY101</f>
        <v>0.3</v>
      </c>
      <c r="R321" s="42"/>
      <c r="S321" s="42" t="n">
        <f aca="false">AQ101</f>
        <v>303.85</v>
      </c>
      <c r="T321" s="42"/>
      <c r="U321" s="42"/>
      <c r="V321" s="42" t="n">
        <f aca="false">BC101</f>
        <v>121.434759989289</v>
      </c>
      <c r="W321" s="42"/>
      <c r="X321" s="42"/>
      <c r="Y321" s="32" t="n">
        <f aca="false">BD101</f>
        <v>0.0797798670040491</v>
      </c>
      <c r="Z321" s="32"/>
      <c r="AA321" s="32" t="n">
        <f aca="false">BE101</f>
        <v>0.106299134641581</v>
      </c>
      <c r="AB321" s="32"/>
      <c r="AC321" s="42" t="n">
        <f aca="false">BG101</f>
        <v>4.39456153566757</v>
      </c>
      <c r="AD321" s="42"/>
      <c r="AE321" s="42"/>
      <c r="AF321" s="12"/>
    </row>
    <row r="322" customFormat="false" ht="14.25" hidden="false" customHeight="false" outlineLevel="0" collapsed="false">
      <c r="B322" s="7"/>
      <c r="C322" s="46" t="n">
        <v>20</v>
      </c>
      <c r="D322" s="46"/>
      <c r="E322" s="44" t="n">
        <f aca="false">AI102</f>
        <v>28.5</v>
      </c>
      <c r="F322" s="44"/>
      <c r="G322" s="44"/>
      <c r="H322" s="44" t="n">
        <f aca="false">AJ102</f>
        <v>30</v>
      </c>
      <c r="I322" s="44"/>
      <c r="J322" s="44"/>
      <c r="K322" s="41" t="str">
        <f aca="false">AM102</f>
        <v>Sand</v>
      </c>
      <c r="L322" s="41"/>
      <c r="M322" s="41"/>
      <c r="N322" s="43" t="n">
        <f aca="false">AX102</f>
        <v>54150</v>
      </c>
      <c r="O322" s="43"/>
      <c r="P322" s="43"/>
      <c r="Q322" s="42" t="n">
        <f aca="false">AY102</f>
        <v>0.3</v>
      </c>
      <c r="R322" s="42"/>
      <c r="S322" s="42" t="n">
        <f aca="false">AQ102</f>
        <v>316.45</v>
      </c>
      <c r="T322" s="42"/>
      <c r="U322" s="42"/>
      <c r="V322" s="42" t="n">
        <f aca="false">BC102</f>
        <v>119.73043805321</v>
      </c>
      <c r="W322" s="42"/>
      <c r="X322" s="42"/>
      <c r="Y322" s="32" t="n">
        <f aca="false">BD102</f>
        <v>0.0866118704592208</v>
      </c>
      <c r="Z322" s="32"/>
      <c r="AA322" s="32" t="n">
        <f aca="false">BE102</f>
        <v>0.108389669938441</v>
      </c>
      <c r="AB322" s="32"/>
      <c r="AC322" s="42" t="n">
        <f aca="false">BG102</f>
        <v>2.71503172231372</v>
      </c>
      <c r="AD322" s="42"/>
      <c r="AE322" s="42"/>
      <c r="AF322" s="12"/>
    </row>
    <row r="323" customFormat="false" ht="14.25" hidden="false" customHeight="false" outlineLevel="0" collapsed="false">
      <c r="B323" s="7"/>
      <c r="C323" s="46" t="n">
        <v>21</v>
      </c>
      <c r="D323" s="46"/>
      <c r="E323" s="44" t="n">
        <f aca="false">AI103</f>
        <v>30</v>
      </c>
      <c r="F323" s="44"/>
      <c r="G323" s="44"/>
      <c r="H323" s="44" t="n">
        <f aca="false">AJ103</f>
        <v>31.5</v>
      </c>
      <c r="I323" s="44"/>
      <c r="J323" s="44"/>
      <c r="K323" s="41" t="str">
        <f aca="false">AM103</f>
        <v>Sand</v>
      </c>
      <c r="L323" s="41"/>
      <c r="M323" s="41"/>
      <c r="N323" s="43" t="n">
        <f aca="false">AX103</f>
        <v>43320</v>
      </c>
      <c r="O323" s="43"/>
      <c r="P323" s="43"/>
      <c r="Q323" s="42" t="n">
        <f aca="false">AY103</f>
        <v>0.3</v>
      </c>
      <c r="R323" s="42"/>
      <c r="S323" s="42" t="n">
        <f aca="false">AQ103</f>
        <v>329.05</v>
      </c>
      <c r="T323" s="42"/>
      <c r="U323" s="42"/>
      <c r="V323" s="42" t="n">
        <f aca="false">BC103</f>
        <v>117.981324211207</v>
      </c>
      <c r="W323" s="42"/>
      <c r="X323" s="42"/>
      <c r="Y323" s="32" t="n">
        <f aca="false">BD103</f>
        <v>0.0935271002119951</v>
      </c>
      <c r="Z323" s="32"/>
      <c r="AA323" s="32" t="n">
        <f aca="false">BE103</f>
        <v>0.11026665771977</v>
      </c>
      <c r="AB323" s="32"/>
      <c r="AC323" s="42" t="n">
        <f aca="false">BG103</f>
        <v>3.37738394955323</v>
      </c>
      <c r="AD323" s="42"/>
      <c r="AE323" s="42"/>
      <c r="AF323" s="12"/>
    </row>
    <row r="324" customFormat="false" ht="14.25" hidden="false" customHeight="false" outlineLevel="0" collapsed="false">
      <c r="B324" s="7"/>
      <c r="C324" s="46" t="n">
        <v>22</v>
      </c>
      <c r="D324" s="46"/>
      <c r="E324" s="44" t="n">
        <f aca="false">AI104</f>
        <v>31.5</v>
      </c>
      <c r="F324" s="44"/>
      <c r="G324" s="44"/>
      <c r="H324" s="44" t="n">
        <f aca="false">AJ104</f>
        <v>33</v>
      </c>
      <c r="I324" s="44"/>
      <c r="J324" s="44"/>
      <c r="K324" s="41" t="str">
        <f aca="false">AM104</f>
        <v>Sand</v>
      </c>
      <c r="L324" s="41"/>
      <c r="M324" s="41"/>
      <c r="N324" s="43" t="n">
        <f aca="false">AX104</f>
        <v>46569</v>
      </c>
      <c r="O324" s="43"/>
      <c r="P324" s="43"/>
      <c r="Q324" s="42" t="n">
        <f aca="false">AY104</f>
        <v>0.3</v>
      </c>
      <c r="R324" s="42"/>
      <c r="S324" s="42" t="n">
        <f aca="false">AQ104</f>
        <v>341.65</v>
      </c>
      <c r="T324" s="42"/>
      <c r="U324" s="42"/>
      <c r="V324" s="42" t="n">
        <f aca="false">BC104</f>
        <v>116.196457021307</v>
      </c>
      <c r="W324" s="42"/>
      <c r="X324" s="42"/>
      <c r="Y324" s="32" t="n">
        <f aca="false">BD104</f>
        <v>0.100507369360851</v>
      </c>
      <c r="Z324" s="32"/>
      <c r="AA324" s="32" t="n">
        <f aca="false">BE104</f>
        <v>0.111945618485189</v>
      </c>
      <c r="AB324" s="32"/>
      <c r="AC324" s="42" t="n">
        <f aca="false">BG104</f>
        <v>3.12282642634641</v>
      </c>
      <c r="AD324" s="42"/>
      <c r="AE324" s="42"/>
      <c r="AF324" s="12"/>
    </row>
    <row r="325" customFormat="false" ht="14.25" hidden="false" customHeight="false" outlineLevel="0" collapsed="false">
      <c r="B325" s="7"/>
      <c r="C325" s="46" t="n">
        <v>23</v>
      </c>
      <c r="D325" s="46"/>
      <c r="E325" s="44" t="n">
        <f aca="false">AI105</f>
        <v>33</v>
      </c>
      <c r="F325" s="44"/>
      <c r="G325" s="44"/>
      <c r="H325" s="44" t="n">
        <f aca="false">AJ105</f>
        <v>34.5</v>
      </c>
      <c r="I325" s="44"/>
      <c r="J325" s="44"/>
      <c r="K325" s="41" t="str">
        <f aca="false">AM105</f>
        <v>Sand</v>
      </c>
      <c r="L325" s="41"/>
      <c r="M325" s="41"/>
      <c r="N325" s="43" t="n">
        <f aca="false">AX105</f>
        <v>28158</v>
      </c>
      <c r="O325" s="43"/>
      <c r="P325" s="43"/>
      <c r="Q325" s="42" t="n">
        <f aca="false">AY105</f>
        <v>0.3</v>
      </c>
      <c r="R325" s="42"/>
      <c r="S325" s="42" t="n">
        <f aca="false">AQ105</f>
        <v>354.25</v>
      </c>
      <c r="T325" s="42"/>
      <c r="U325" s="42"/>
      <c r="V325" s="42" t="n">
        <f aca="false">BC105</f>
        <v>114.384248493289</v>
      </c>
      <c r="W325" s="42"/>
      <c r="X325" s="42"/>
      <c r="Y325" s="32" t="n">
        <f aca="false">BD105</f>
        <v>0.107536123549061</v>
      </c>
      <c r="Z325" s="32"/>
      <c r="AA325" s="32" t="n">
        <f aca="false">BE105</f>
        <v>0.113441066921048</v>
      </c>
      <c r="AB325" s="32"/>
      <c r="AC325" s="42" t="n">
        <f aca="false">BG105</f>
        <v>5.12800043661121</v>
      </c>
      <c r="AD325" s="42"/>
      <c r="AE325" s="42"/>
      <c r="AF325" s="12"/>
    </row>
    <row r="326" customFormat="false" ht="14.25" hidden="false" customHeight="false" outlineLevel="0" collapsed="false">
      <c r="B326" s="7"/>
      <c r="C326" s="46" t="n">
        <v>24</v>
      </c>
      <c r="D326" s="46"/>
      <c r="E326" s="44" t="n">
        <f aca="false">AI106</f>
        <v>34.5</v>
      </c>
      <c r="F326" s="44"/>
      <c r="G326" s="44"/>
      <c r="H326" s="44" t="n">
        <f aca="false">AJ106</f>
        <v>36</v>
      </c>
      <c r="I326" s="44"/>
      <c r="J326" s="44"/>
      <c r="K326" s="41" t="str">
        <f aca="false">AM106</f>
        <v>Sand</v>
      </c>
      <c r="L326" s="41"/>
      <c r="M326" s="41"/>
      <c r="N326" s="43" t="n">
        <f aca="false">AX106</f>
        <v>57399</v>
      </c>
      <c r="O326" s="43"/>
      <c r="P326" s="43"/>
      <c r="Q326" s="42" t="n">
        <f aca="false">AY106</f>
        <v>0.3</v>
      </c>
      <c r="R326" s="42"/>
      <c r="S326" s="42" t="n">
        <f aca="false">AQ106</f>
        <v>366.85</v>
      </c>
      <c r="T326" s="42"/>
      <c r="U326" s="42"/>
      <c r="V326" s="42" t="n">
        <f aca="false">BC106</f>
        <v>112.552433017023</v>
      </c>
      <c r="W326" s="42"/>
      <c r="X326" s="42"/>
      <c r="Y326" s="32" t="n">
        <f aca="false">BD106</f>
        <v>0.114598360022051</v>
      </c>
      <c r="Z326" s="32"/>
      <c r="AA326" s="32" t="n">
        <f aca="false">BE106</f>
        <v>0.114766542433847</v>
      </c>
      <c r="AB326" s="32"/>
      <c r="AC326" s="42" t="n">
        <f aca="false">BG106</f>
        <v>2.49531319528265</v>
      </c>
      <c r="AD326" s="42"/>
      <c r="AE326" s="42"/>
      <c r="AF326" s="12"/>
    </row>
    <row r="327" customFormat="false" ht="14.25" hidden="false" customHeight="false" outlineLevel="0" collapsed="false">
      <c r="B327" s="7"/>
      <c r="C327" s="46" t="n">
        <v>25</v>
      </c>
      <c r="D327" s="46"/>
      <c r="E327" s="44" t="n">
        <f aca="false">AI107</f>
        <v>36</v>
      </c>
      <c r="F327" s="44"/>
      <c r="G327" s="44"/>
      <c r="H327" s="44" t="n">
        <f aca="false">AJ107</f>
        <v>37.5</v>
      </c>
      <c r="I327" s="44"/>
      <c r="J327" s="44"/>
      <c r="K327" s="41" t="str">
        <f aca="false">AM107</f>
        <v>Sand</v>
      </c>
      <c r="L327" s="41"/>
      <c r="M327" s="41"/>
      <c r="N327" s="43" t="n">
        <f aca="false">AX107</f>
        <v>58482</v>
      </c>
      <c r="O327" s="43"/>
      <c r="P327" s="43"/>
      <c r="Q327" s="42" t="n">
        <f aca="false">AY107</f>
        <v>0.3</v>
      </c>
      <c r="R327" s="42"/>
      <c r="S327" s="42" t="n">
        <f aca="false">AQ107</f>
        <v>379.45</v>
      </c>
      <c r="T327" s="42"/>
      <c r="U327" s="42"/>
      <c r="V327" s="42" t="n">
        <f aca="false">BC107</f>
        <v>110.708045010863</v>
      </c>
      <c r="W327" s="42"/>
      <c r="X327" s="42"/>
      <c r="Y327" s="32" t="n">
        <f aca="false">BD107</f>
        <v>0.121680536390531</v>
      </c>
      <c r="Z327" s="32"/>
      <c r="AA327" s="32" t="n">
        <f aca="false">BE107</f>
        <v>0.115934648292991</v>
      </c>
      <c r="AB327" s="32"/>
      <c r="AC327" s="42" t="n">
        <f aca="false">BG107</f>
        <v>2.42718429381396</v>
      </c>
      <c r="AD327" s="42"/>
      <c r="AE327" s="42"/>
      <c r="AF327" s="12"/>
    </row>
    <row r="328" customFormat="false" ht="14.25" hidden="false" customHeight="false" outlineLevel="0" collapsed="false">
      <c r="B328" s="7"/>
      <c r="C328" s="46" t="n">
        <v>26</v>
      </c>
      <c r="D328" s="46"/>
      <c r="E328" s="44" t="n">
        <f aca="false">AI108</f>
        <v>37.5</v>
      </c>
      <c r="F328" s="44"/>
      <c r="G328" s="44"/>
      <c r="H328" s="44" t="n">
        <f aca="false">AJ108</f>
        <v>39</v>
      </c>
      <c r="I328" s="44"/>
      <c r="J328" s="44"/>
      <c r="K328" s="41" t="str">
        <f aca="false">AM108</f>
        <v>Sand</v>
      </c>
      <c r="L328" s="41"/>
      <c r="M328" s="41"/>
      <c r="N328" s="43" t="n">
        <f aca="false">AX108</f>
        <v>54150</v>
      </c>
      <c r="O328" s="43"/>
      <c r="P328" s="43"/>
      <c r="Q328" s="42" t="n">
        <f aca="false">AY108</f>
        <v>0.3</v>
      </c>
      <c r="R328" s="42"/>
      <c r="S328" s="42" t="n">
        <f aca="false">AQ108</f>
        <v>392.05</v>
      </c>
      <c r="T328" s="42"/>
      <c r="U328" s="42"/>
      <c r="V328" s="42" t="n">
        <f aca="false">BC108</f>
        <v>108.857419132691</v>
      </c>
      <c r="W328" s="42"/>
      <c r="X328" s="42"/>
      <c r="Y328" s="32" t="n">
        <f aca="false">BD108</f>
        <v>0.128770473532044</v>
      </c>
      <c r="Z328" s="32"/>
      <c r="AA328" s="32" t="n">
        <f aca="false">BE108</f>
        <v>0.116957096633813</v>
      </c>
      <c r="AB328" s="32"/>
      <c r="AC328" s="42" t="n">
        <f aca="false">BG108</f>
        <v>2.59583026334049</v>
      </c>
      <c r="AD328" s="42"/>
      <c r="AE328" s="42"/>
      <c r="AF328" s="12"/>
    </row>
    <row r="329" customFormat="false" ht="14.25" hidden="false" customHeight="false" outlineLevel="0" collapsed="false">
      <c r="B329" s="7"/>
      <c r="C329" s="46" t="n">
        <v>27</v>
      </c>
      <c r="D329" s="46"/>
      <c r="E329" s="44" t="n">
        <f aca="false">AI109</f>
        <v>39</v>
      </c>
      <c r="F329" s="44"/>
      <c r="G329" s="44"/>
      <c r="H329" s="44" t="n">
        <f aca="false">AJ109</f>
        <v>40.5</v>
      </c>
      <c r="I329" s="44"/>
      <c r="J329" s="44"/>
      <c r="K329" s="41" t="str">
        <f aca="false">AM109</f>
        <v>Sand</v>
      </c>
      <c r="L329" s="41"/>
      <c r="M329" s="41"/>
      <c r="N329" s="43" t="n">
        <f aca="false">AX109</f>
        <v>54150</v>
      </c>
      <c r="O329" s="43"/>
      <c r="P329" s="43"/>
      <c r="Q329" s="42" t="n">
        <f aca="false">AY109</f>
        <v>0.3</v>
      </c>
      <c r="R329" s="42"/>
      <c r="S329" s="42" t="n">
        <f aca="false">AQ109</f>
        <v>404.65</v>
      </c>
      <c r="T329" s="42"/>
      <c r="U329" s="42"/>
      <c r="V329" s="42" t="n">
        <f aca="false">BC109</f>
        <v>107.006207567439</v>
      </c>
      <c r="W329" s="42"/>
      <c r="X329" s="42"/>
      <c r="Y329" s="32" t="n">
        <f aca="false">BD109</f>
        <v>0.135857256153312</v>
      </c>
      <c r="Z329" s="32"/>
      <c r="AA329" s="32" t="n">
        <f aca="false">BE109</f>
        <v>0.117844757073459</v>
      </c>
      <c r="AB329" s="32"/>
      <c r="AC329" s="42" t="n">
        <f aca="false">BG109</f>
        <v>2.56871031205885</v>
      </c>
      <c r="AD329" s="42"/>
      <c r="AE329" s="42"/>
      <c r="AF329" s="12"/>
    </row>
    <row r="330" customFormat="false" ht="14.25" hidden="false" customHeight="false" outlineLevel="0" collapsed="false">
      <c r="B330" s="7"/>
      <c r="C330" s="46" t="n">
        <v>28</v>
      </c>
      <c r="D330" s="46"/>
      <c r="E330" s="44" t="n">
        <f aca="false">AI110</f>
        <v>40.5</v>
      </c>
      <c r="F330" s="44"/>
      <c r="G330" s="44"/>
      <c r="H330" s="44" t="n">
        <f aca="false">AJ110</f>
        <v>42</v>
      </c>
      <c r="I330" s="44"/>
      <c r="J330" s="44"/>
      <c r="K330" s="41" t="str">
        <f aca="false">AM110</f>
        <v>Sand</v>
      </c>
      <c r="L330" s="41"/>
      <c r="M330" s="41"/>
      <c r="N330" s="43" t="n">
        <f aca="false">AX110</f>
        <v>40071</v>
      </c>
      <c r="O330" s="43"/>
      <c r="P330" s="43"/>
      <c r="Q330" s="42" t="n">
        <f aca="false">AY110</f>
        <v>0.3</v>
      </c>
      <c r="R330" s="42"/>
      <c r="S330" s="42" t="n">
        <f aca="false">AQ110</f>
        <v>417.25</v>
      </c>
      <c r="T330" s="42"/>
      <c r="U330" s="42"/>
      <c r="V330" s="42" t="n">
        <f aca="false">BC110</f>
        <v>105.159409672716</v>
      </c>
      <c r="W330" s="42"/>
      <c r="X330" s="42"/>
      <c r="Y330" s="32" t="n">
        <f aca="false">BD110</f>
        <v>0.142931133731755</v>
      </c>
      <c r="Z330" s="32"/>
      <c r="AA330" s="32" t="n">
        <f aca="false">BE110</f>
        <v>0.118607707144671</v>
      </c>
      <c r="AB330" s="32"/>
      <c r="AC330" s="42" t="n">
        <f aca="false">BG110</f>
        <v>3.43275685371848</v>
      </c>
      <c r="AD330" s="42"/>
      <c r="AE330" s="42"/>
      <c r="AF330" s="12"/>
    </row>
    <row r="331" customFormat="false" ht="14.25" hidden="false" customHeight="false" outlineLevel="0" collapsed="false">
      <c r="B331" s="7"/>
      <c r="C331" s="46" t="n">
        <v>29</v>
      </c>
      <c r="D331" s="46"/>
      <c r="E331" s="44" t="n">
        <f aca="false">AI111</f>
        <v>42</v>
      </c>
      <c r="F331" s="44"/>
      <c r="G331" s="44"/>
      <c r="H331" s="44" t="n">
        <f aca="false">AJ111</f>
        <v>43.5</v>
      </c>
      <c r="I331" s="44"/>
      <c r="J331" s="44"/>
      <c r="K331" s="41" t="str">
        <f aca="false">AM111</f>
        <v>Sand</v>
      </c>
      <c r="L331" s="41"/>
      <c r="M331" s="41"/>
      <c r="N331" s="43" t="n">
        <f aca="false">AX111</f>
        <v>54150</v>
      </c>
      <c r="O331" s="43"/>
      <c r="P331" s="43"/>
      <c r="Q331" s="42" t="n">
        <f aca="false">AY111</f>
        <v>0.3</v>
      </c>
      <c r="R331" s="42"/>
      <c r="S331" s="42" t="n">
        <f aca="false">AQ111</f>
        <v>429.850000000001</v>
      </c>
      <c r="T331" s="42"/>
      <c r="U331" s="42"/>
      <c r="V331" s="42" t="n">
        <f aca="false">BC111</f>
        <v>103.321410046931</v>
      </c>
      <c r="W331" s="42"/>
      <c r="X331" s="42"/>
      <c r="Y331" s="32" t="n">
        <f aca="false">BD111</f>
        <v>0.149983423865366</v>
      </c>
      <c r="Z331" s="32"/>
      <c r="AA331" s="32" t="n">
        <f aca="false">BE111</f>
        <v>0.11925528314828</v>
      </c>
      <c r="AB331" s="32"/>
      <c r="AC331" s="42" t="n">
        <f aca="false">BG111</f>
        <v>2.51063756754944</v>
      </c>
      <c r="AD331" s="42"/>
      <c r="AE331" s="42"/>
      <c r="AF331" s="12"/>
    </row>
    <row r="332" customFormat="false" ht="14.25" hidden="false" customHeight="false" outlineLevel="0" collapsed="false">
      <c r="B332" s="7"/>
      <c r="C332" s="46" t="n">
        <v>30</v>
      </c>
      <c r="D332" s="46"/>
      <c r="E332" s="44" t="n">
        <f aca="false">AI112</f>
        <v>43.5</v>
      </c>
      <c r="F332" s="44"/>
      <c r="G332" s="44"/>
      <c r="H332" s="44" t="n">
        <f aca="false">AJ112</f>
        <v>45</v>
      </c>
      <c r="I332" s="44"/>
      <c r="J332" s="44"/>
      <c r="K332" s="41" t="str">
        <f aca="false">AM112</f>
        <v>Sand</v>
      </c>
      <c r="L332" s="41"/>
      <c r="M332" s="41"/>
      <c r="N332" s="43" t="n">
        <f aca="false">AX112</f>
        <v>54150</v>
      </c>
      <c r="O332" s="43"/>
      <c r="P332" s="43"/>
      <c r="Q332" s="42" t="n">
        <f aca="false">AY112</f>
        <v>0.3</v>
      </c>
      <c r="R332" s="42"/>
      <c r="S332" s="42" t="n">
        <f aca="false">AQ112</f>
        <v>442.450000000001</v>
      </c>
      <c r="T332" s="42"/>
      <c r="U332" s="42"/>
      <c r="V332" s="42" t="n">
        <f aca="false">BC112</f>
        <v>101.496021828265</v>
      </c>
      <c r="W332" s="42"/>
      <c r="X332" s="42"/>
      <c r="Y332" s="32" t="n">
        <f aca="false">BD112</f>
        <v>0.157006419484548</v>
      </c>
      <c r="Z332" s="32"/>
      <c r="AA332" s="32" t="n">
        <f aca="false">BE112</f>
        <v>0.119796130362691</v>
      </c>
      <c r="AB332" s="32"/>
      <c r="AC332" s="42" t="n">
        <f aca="false">BG112</f>
        <v>2.48009914347766</v>
      </c>
      <c r="AD332" s="42"/>
      <c r="AE332" s="42"/>
      <c r="AF332" s="12"/>
    </row>
    <row r="333" customFormat="false" ht="14.25" hidden="false" customHeight="false" outlineLevel="0" collapsed="false">
      <c r="B333" s="7"/>
      <c r="C333" s="46" t="n">
        <v>31</v>
      </c>
      <c r="D333" s="46"/>
      <c r="E333" s="44" t="n">
        <f aca="false">AI113</f>
        <v>45</v>
      </c>
      <c r="F333" s="44"/>
      <c r="G333" s="44"/>
      <c r="H333" s="44" t="n">
        <f aca="false">AJ113</f>
        <v>46.5</v>
      </c>
      <c r="I333" s="44"/>
      <c r="J333" s="44"/>
      <c r="K333" s="41" t="str">
        <f aca="false">AM113</f>
        <v>Sand</v>
      </c>
      <c r="L333" s="41"/>
      <c r="M333" s="41"/>
      <c r="N333" s="43" t="n">
        <f aca="false">AX113</f>
        <v>54150</v>
      </c>
      <c r="O333" s="43"/>
      <c r="P333" s="43"/>
      <c r="Q333" s="42" t="n">
        <f aca="false">AY113</f>
        <v>0.3</v>
      </c>
      <c r="R333" s="42"/>
      <c r="S333" s="42" t="n">
        <f aca="false">AQ113</f>
        <v>455.050000000001</v>
      </c>
      <c r="T333" s="42"/>
      <c r="U333" s="42"/>
      <c r="V333" s="42" t="n">
        <f aca="false">BC113</f>
        <v>99.6865327062518</v>
      </c>
      <c r="W333" s="42"/>
      <c r="X333" s="42"/>
      <c r="Y333" s="32" t="n">
        <f aca="false">BD113</f>
        <v>0.163993300910008</v>
      </c>
      <c r="Z333" s="32"/>
      <c r="AA333" s="32" t="n">
        <f aca="false">BE113</f>
        <v>0.120238251830284</v>
      </c>
      <c r="AB333" s="32"/>
      <c r="AC333" s="42" t="n">
        <f aca="false">BG113</f>
        <v>2.44880082658623</v>
      </c>
      <c r="AD333" s="42"/>
      <c r="AE333" s="42"/>
      <c r="AF333" s="12"/>
    </row>
    <row r="334" customFormat="false" ht="14.25" hidden="false" customHeight="false" outlineLevel="0" collapsed="false">
      <c r="B334" s="7"/>
      <c r="C334" s="46" t="n">
        <v>32</v>
      </c>
      <c r="D334" s="46"/>
      <c r="E334" s="44" t="n">
        <f aca="false">AI114</f>
        <v>46.5</v>
      </c>
      <c r="F334" s="44"/>
      <c r="G334" s="44"/>
      <c r="H334" s="44" t="n">
        <f aca="false">AJ114</f>
        <v>48</v>
      </c>
      <c r="I334" s="44"/>
      <c r="J334" s="44"/>
      <c r="K334" s="41" t="str">
        <f aca="false">AM114</f>
        <v>Sand</v>
      </c>
      <c r="L334" s="41"/>
      <c r="M334" s="41"/>
      <c r="N334" s="43" t="n">
        <f aca="false">AX114</f>
        <v>54150</v>
      </c>
      <c r="O334" s="43"/>
      <c r="P334" s="43"/>
      <c r="Q334" s="42" t="n">
        <f aca="false">AY114</f>
        <v>0.3</v>
      </c>
      <c r="R334" s="42"/>
      <c r="S334" s="42" t="n">
        <f aca="false">AQ114</f>
        <v>467.650000000001</v>
      </c>
      <c r="T334" s="42"/>
      <c r="U334" s="42"/>
      <c r="V334" s="42" t="n">
        <f aca="false">BC114</f>
        <v>97.8957517150986</v>
      </c>
      <c r="W334" s="42"/>
      <c r="X334" s="42"/>
      <c r="Y334" s="32" t="n">
        <f aca="false">BD114</f>
        <v>0.170938053366324</v>
      </c>
      <c r="Z334" s="32"/>
      <c r="AA334" s="32" t="n">
        <f aca="false">BE114</f>
        <v>0.120589055170862</v>
      </c>
      <c r="AB334" s="32"/>
      <c r="AC334" s="42" t="n">
        <f aca="false">BG114</f>
        <v>2.41689979101431</v>
      </c>
      <c r="AD334" s="42"/>
      <c r="AE334" s="42"/>
      <c r="AF334" s="12"/>
    </row>
    <row r="335" customFormat="false" ht="14.25" hidden="false" customHeight="false" outlineLevel="0" collapsed="false">
      <c r="B335" s="7"/>
      <c r="C335" s="46" t="n">
        <v>33</v>
      </c>
      <c r="D335" s="46"/>
      <c r="E335" s="44" t="n">
        <f aca="false">AI115</f>
        <v>48</v>
      </c>
      <c r="F335" s="44"/>
      <c r="G335" s="44"/>
      <c r="H335" s="44" t="n">
        <f aca="false">AJ115</f>
        <v>49.5</v>
      </c>
      <c r="I335" s="44"/>
      <c r="J335" s="44"/>
      <c r="K335" s="41" t="str">
        <f aca="false">AM115</f>
        <v>Sand</v>
      </c>
      <c r="L335" s="41"/>
      <c r="M335" s="41"/>
      <c r="N335" s="43" t="n">
        <f aca="false">AX115</f>
        <v>29241</v>
      </c>
      <c r="O335" s="43"/>
      <c r="P335" s="43"/>
      <c r="Q335" s="42" t="n">
        <f aca="false">AY115</f>
        <v>0.3</v>
      </c>
      <c r="R335" s="42"/>
      <c r="S335" s="42" t="n">
        <f aca="false">AQ115</f>
        <v>480.250000000001</v>
      </c>
      <c r="T335" s="42"/>
      <c r="U335" s="42"/>
      <c r="V335" s="42" t="n">
        <f aca="false">BC115</f>
        <v>96.1260553748583</v>
      </c>
      <c r="W335" s="42"/>
      <c r="X335" s="42"/>
      <c r="Y335" s="32" t="n">
        <f aca="false">BD115</f>
        <v>0.177835390268971</v>
      </c>
      <c r="Z335" s="32"/>
      <c r="AA335" s="32" t="n">
        <f aca="false">BE115</f>
        <v>0.120855397057084</v>
      </c>
      <c r="AB335" s="32"/>
      <c r="AC335" s="42" t="n">
        <f aca="false">BG115</f>
        <v>4.41580714624181</v>
      </c>
      <c r="AD335" s="42"/>
      <c r="AE335" s="42"/>
      <c r="AF335" s="12"/>
    </row>
    <row r="336" customFormat="false" ht="14.25" hidden="false" customHeight="false" outlineLevel="0" collapsed="false">
      <c r="B336" s="7"/>
      <c r="C336" s="46" t="n">
        <v>34</v>
      </c>
      <c r="D336" s="46"/>
      <c r="E336" s="44" t="n">
        <f aca="false">AI116</f>
        <v>49.5</v>
      </c>
      <c r="F336" s="44"/>
      <c r="G336" s="44"/>
      <c r="H336" s="44" t="n">
        <f aca="false">AJ116</f>
        <v>51</v>
      </c>
      <c r="I336" s="44"/>
      <c r="J336" s="44"/>
      <c r="K336" s="41" t="str">
        <f aca="false">AM116</f>
        <v>Sand</v>
      </c>
      <c r="L336" s="41"/>
      <c r="M336" s="41"/>
      <c r="N336" s="43" t="n">
        <f aca="false">AX116</f>
        <v>27075</v>
      </c>
      <c r="O336" s="43"/>
      <c r="P336" s="43"/>
      <c r="Q336" s="42" t="n">
        <f aca="false">AY116</f>
        <v>0.3</v>
      </c>
      <c r="R336" s="42"/>
      <c r="S336" s="42" t="n">
        <f aca="false">AQ116</f>
        <v>492.850000000001</v>
      </c>
      <c r="T336" s="42"/>
      <c r="U336" s="42"/>
      <c r="V336" s="42" t="n">
        <f aca="false">BC116</f>
        <v>94.379432156388</v>
      </c>
      <c r="W336" s="42"/>
      <c r="X336" s="42"/>
      <c r="Y336" s="32" t="n">
        <f aca="false">BD116</f>
        <v>0.184680682380465</v>
      </c>
      <c r="Z336" s="32"/>
      <c r="AA336" s="32" t="n">
        <f aca="false">BE116</f>
        <v>0.121043625132288</v>
      </c>
      <c r="AB336" s="32"/>
      <c r="AC336" s="42" t="n">
        <f aca="false">BG116</f>
        <v>0</v>
      </c>
      <c r="AD336" s="42"/>
      <c r="AE336" s="42"/>
      <c r="AF336" s="12"/>
    </row>
    <row r="337" customFormat="false" ht="14.25" hidden="false" customHeight="false" outlineLevel="0" collapsed="false">
      <c r="B337" s="7"/>
      <c r="C337" s="46" t="n">
        <v>35</v>
      </c>
      <c r="D337" s="46"/>
      <c r="E337" s="44" t="n">
        <f aca="false">AI117</f>
        <v>51</v>
      </c>
      <c r="F337" s="44"/>
      <c r="G337" s="44"/>
      <c r="H337" s="44" t="n">
        <f aca="false">AJ117</f>
        <v>52.5</v>
      </c>
      <c r="I337" s="44"/>
      <c r="J337" s="44"/>
      <c r="K337" s="41" t="str">
        <f aca="false">AM117</f>
        <v>Sand</v>
      </c>
      <c r="L337" s="41"/>
      <c r="M337" s="41"/>
      <c r="N337" s="43" t="n">
        <f aca="false">AX117</f>
        <v>31407</v>
      </c>
      <c r="O337" s="43"/>
      <c r="P337" s="43"/>
      <c r="Q337" s="42" t="n">
        <f aca="false">AY117</f>
        <v>0.3</v>
      </c>
      <c r="R337" s="42"/>
      <c r="S337" s="42" t="n">
        <f aca="false">AQ117</f>
        <v>505.450000000001</v>
      </c>
      <c r="T337" s="42"/>
      <c r="U337" s="42"/>
      <c r="V337" s="42" t="n">
        <f aca="false">BC117</f>
        <v>92.657524576064</v>
      </c>
      <c r="W337" s="42"/>
      <c r="X337" s="42"/>
      <c r="Y337" s="32" t="n">
        <f aca="false">BD117</f>
        <v>0.191469892767081</v>
      </c>
      <c r="Z337" s="32"/>
      <c r="AA337" s="32" t="n">
        <f aca="false">BE117</f>
        <v>0.121159617263437</v>
      </c>
      <c r="AB337" s="32"/>
      <c r="AC337" s="42" t="n">
        <f aca="false">BG117</f>
        <v>0</v>
      </c>
      <c r="AD337" s="42"/>
      <c r="AE337" s="42"/>
      <c r="AF337" s="12"/>
    </row>
    <row r="338" customFormat="false" ht="14.25" hidden="false" customHeight="false" outlineLevel="0" collapsed="false">
      <c r="B338" s="7"/>
      <c r="C338" s="46" t="n">
        <v>36</v>
      </c>
      <c r="D338" s="46"/>
      <c r="E338" s="44" t="n">
        <f aca="false">AI118</f>
        <v>52.5</v>
      </c>
      <c r="F338" s="44"/>
      <c r="G338" s="44"/>
      <c r="H338" s="44" t="n">
        <f aca="false">AJ118</f>
        <v>54</v>
      </c>
      <c r="I338" s="44"/>
      <c r="J338" s="44"/>
      <c r="K338" s="41" t="str">
        <f aca="false">AM118</f>
        <v>Sand</v>
      </c>
      <c r="L338" s="41"/>
      <c r="M338" s="41"/>
      <c r="N338" s="43" t="n">
        <f aca="false">AX118</f>
        <v>37905</v>
      </c>
      <c r="O338" s="43"/>
      <c r="P338" s="43"/>
      <c r="Q338" s="42" t="n">
        <f aca="false">AY118</f>
        <v>0.3</v>
      </c>
      <c r="R338" s="42"/>
      <c r="S338" s="42" t="n">
        <f aca="false">AQ118</f>
        <v>518.050000000001</v>
      </c>
      <c r="T338" s="42"/>
      <c r="U338" s="42"/>
      <c r="V338" s="42" t="n">
        <f aca="false">BC118</f>
        <v>90.9616684860851</v>
      </c>
      <c r="W338" s="42"/>
      <c r="X338" s="42"/>
      <c r="Y338" s="32" t="n">
        <f aca="false">BD118</f>
        <v>0.19819951737019</v>
      </c>
      <c r="Z338" s="32"/>
      <c r="AA338" s="32" t="n">
        <f aca="false">BE118</f>
        <v>0.121208818106769</v>
      </c>
      <c r="AB338" s="32"/>
      <c r="AC338" s="42" t="n">
        <f aca="false">BG118</f>
        <v>0</v>
      </c>
      <c r="AD338" s="42"/>
      <c r="AE338" s="42"/>
      <c r="AF338" s="12"/>
    </row>
    <row r="339" customFormat="false" ht="14.25" hidden="false" customHeight="false" outlineLevel="0" collapsed="false">
      <c r="B339" s="7"/>
      <c r="C339" s="46" t="n">
        <v>37</v>
      </c>
      <c r="D339" s="46"/>
      <c r="E339" s="44" t="n">
        <f aca="false">AI119</f>
        <v>54</v>
      </c>
      <c r="F339" s="44"/>
      <c r="G339" s="44"/>
      <c r="H339" s="44" t="n">
        <f aca="false">AJ119</f>
        <v>55.5</v>
      </c>
      <c r="I339" s="44"/>
      <c r="J339" s="44"/>
      <c r="K339" s="41" t="str">
        <f aca="false">AM119</f>
        <v>Sand</v>
      </c>
      <c r="L339" s="41"/>
      <c r="M339" s="41"/>
      <c r="N339" s="43" t="n">
        <f aca="false">AX119</f>
        <v>54150</v>
      </c>
      <c r="O339" s="43"/>
      <c r="P339" s="43"/>
      <c r="Q339" s="42" t="n">
        <f aca="false">AY119</f>
        <v>0.3</v>
      </c>
      <c r="R339" s="42"/>
      <c r="S339" s="42" t="n">
        <f aca="false">AQ119</f>
        <v>530.650000000001</v>
      </c>
      <c r="T339" s="42"/>
      <c r="U339" s="42"/>
      <c r="V339" s="42" t="n">
        <f aca="false">BC119</f>
        <v>89.2929293261871</v>
      </c>
      <c r="W339" s="42"/>
      <c r="X339" s="42"/>
      <c r="Y339" s="32" t="n">
        <f aca="false">BD119</f>
        <v>0.204866530926182</v>
      </c>
      <c r="Z339" s="32"/>
      <c r="AA339" s="32" t="n">
        <f aca="false">BE119</f>
        <v>0.121196273026185</v>
      </c>
      <c r="AB339" s="32"/>
      <c r="AC339" s="42" t="n">
        <f aca="false">BG119</f>
        <v>0</v>
      </c>
      <c r="AD339" s="42"/>
      <c r="AE339" s="42"/>
      <c r="AF339" s="12"/>
    </row>
    <row r="340" customFormat="false" ht="14.25" hidden="false" customHeight="false" outlineLevel="0" collapsed="false">
      <c r="B340" s="7"/>
      <c r="C340" s="46" t="n">
        <v>38</v>
      </c>
      <c r="D340" s="46"/>
      <c r="E340" s="44" t="n">
        <f aca="false">AI120</f>
        <v>55.5</v>
      </c>
      <c r="F340" s="44"/>
      <c r="G340" s="44"/>
      <c r="H340" s="44" t="n">
        <f aca="false">AJ120</f>
        <v>57</v>
      </c>
      <c r="I340" s="44"/>
      <c r="J340" s="44"/>
      <c r="K340" s="41" t="str">
        <f aca="false">AM120</f>
        <v>Sand</v>
      </c>
      <c r="L340" s="41"/>
      <c r="M340" s="41"/>
      <c r="N340" s="43" t="n">
        <f aca="false">AX120</f>
        <v>54150</v>
      </c>
      <c r="O340" s="43"/>
      <c r="P340" s="43"/>
      <c r="Q340" s="42" t="n">
        <f aca="false">AY120</f>
        <v>0.3</v>
      </c>
      <c r="R340" s="42"/>
      <c r="S340" s="42" t="n">
        <f aca="false">AQ120</f>
        <v>543.250000000001</v>
      </c>
      <c r="T340" s="42"/>
      <c r="U340" s="42"/>
      <c r="V340" s="42" t="n">
        <f aca="false">BC120</f>
        <v>87.6521352527307</v>
      </c>
      <c r="W340" s="42"/>
      <c r="X340" s="42"/>
      <c r="Y340" s="32" t="n">
        <f aca="false">BD120</f>
        <v>0.211468337918076</v>
      </c>
      <c r="Z340" s="32"/>
      <c r="AA340" s="32" t="n">
        <f aca="false">BE120</f>
        <v>0.121126659448925</v>
      </c>
      <c r="AB340" s="32"/>
      <c r="AC340" s="42" t="n">
        <f aca="false">BG120</f>
        <v>0</v>
      </c>
      <c r="AD340" s="42"/>
      <c r="AE340" s="42"/>
      <c r="AF340" s="12"/>
    </row>
    <row r="341" customFormat="false" ht="14.25" hidden="false" customHeight="false" outlineLevel="0" collapsed="false">
      <c r="B341" s="7"/>
      <c r="C341" s="46" t="n">
        <v>39</v>
      </c>
      <c r="D341" s="46"/>
      <c r="E341" s="44" t="n">
        <f aca="false">AI121</f>
        <v>57</v>
      </c>
      <c r="F341" s="44"/>
      <c r="G341" s="44"/>
      <c r="H341" s="44" t="n">
        <f aca="false">AJ121</f>
        <v>58.5</v>
      </c>
      <c r="I341" s="44"/>
      <c r="J341" s="44"/>
      <c r="K341" s="41" t="str">
        <f aca="false">AM121</f>
        <v>Sand</v>
      </c>
      <c r="L341" s="41"/>
      <c r="M341" s="41"/>
      <c r="N341" s="43" t="n">
        <f aca="false">AX121</f>
        <v>54150</v>
      </c>
      <c r="O341" s="43"/>
      <c r="P341" s="43"/>
      <c r="Q341" s="42" t="n">
        <f aca="false">AY121</f>
        <v>0.3</v>
      </c>
      <c r="R341" s="42"/>
      <c r="S341" s="42" t="n">
        <f aca="false">AQ121</f>
        <v>555.850000000001</v>
      </c>
      <c r="T341" s="42"/>
      <c r="U341" s="42"/>
      <c r="V341" s="42" t="n">
        <f aca="false">BC121</f>
        <v>86.0399071706701</v>
      </c>
      <c r="W341" s="42"/>
      <c r="X341" s="42"/>
      <c r="Y341" s="32" t="n">
        <f aca="false">BD121</f>
        <v>0.218002728213384</v>
      </c>
      <c r="Z341" s="32"/>
      <c r="AA341" s="32" t="n">
        <f aca="false">BE121</f>
        <v>0.121004315773392</v>
      </c>
      <c r="AB341" s="32"/>
      <c r="AC341" s="42" t="n">
        <f aca="false">BG121</f>
        <v>0</v>
      </c>
      <c r="AD341" s="42"/>
      <c r="AE341" s="42"/>
      <c r="AF341" s="12"/>
    </row>
    <row r="342" customFormat="false" ht="14.25" hidden="false" customHeight="false" outlineLevel="0" collapsed="false">
      <c r="B342" s="7"/>
      <c r="C342" s="46" t="n">
        <v>40</v>
      </c>
      <c r="D342" s="46"/>
      <c r="E342" s="44" t="n">
        <f aca="false">AI122</f>
        <v>58.5</v>
      </c>
      <c r="F342" s="44"/>
      <c r="G342" s="44"/>
      <c r="H342" s="44" t="n">
        <f aca="false">AJ122</f>
        <v>59.5</v>
      </c>
      <c r="I342" s="44"/>
      <c r="J342" s="44"/>
      <c r="K342" s="41" t="str">
        <f aca="false">AM122</f>
        <v>Sand</v>
      </c>
      <c r="L342" s="41"/>
      <c r="M342" s="41"/>
      <c r="N342" s="43" t="n">
        <f aca="false">AX122</f>
        <v>31407</v>
      </c>
      <c r="O342" s="43"/>
      <c r="P342" s="43"/>
      <c r="Q342" s="42" t="n">
        <f aca="false">AY122</f>
        <v>0.3</v>
      </c>
      <c r="R342" s="42"/>
      <c r="S342" s="42" t="n">
        <f aca="false">AQ122</f>
        <v>566.350000000001</v>
      </c>
      <c r="T342" s="42"/>
      <c r="U342" s="42"/>
      <c r="V342" s="42" t="n">
        <f aca="false">BC122</f>
        <v>84.7185277966616</v>
      </c>
      <c r="W342" s="42"/>
      <c r="X342" s="42"/>
      <c r="Y342" s="32" t="n">
        <f aca="false">BD122</f>
        <v>0.222320600711722</v>
      </c>
      <c r="Z342" s="32"/>
      <c r="AA342" s="32" t="n">
        <f aca="false">BE122</f>
        <v>0.120895459060618</v>
      </c>
      <c r="AB342" s="32"/>
      <c r="AC342" s="42" t="n">
        <f aca="false">BG122</f>
        <v>0</v>
      </c>
      <c r="AD342" s="42"/>
      <c r="AE342" s="42"/>
      <c r="AF342" s="12"/>
    </row>
    <row r="343" customFormat="false" ht="14.25" hidden="false" customHeight="false" outlineLevel="0" collapsed="false">
      <c r="B343" s="7"/>
      <c r="C343" s="60" t="n">
        <v>41</v>
      </c>
      <c r="D343" s="60"/>
      <c r="E343" s="61" t="n">
        <f aca="false">AI123</f>
        <v>59.5</v>
      </c>
      <c r="F343" s="61"/>
      <c r="G343" s="61"/>
      <c r="H343" s="61" t="n">
        <f aca="false">AJ123</f>
        <v>60</v>
      </c>
      <c r="I343" s="61"/>
      <c r="J343" s="61"/>
      <c r="K343" s="48" t="str">
        <f aca="false">AM123</f>
        <v>Sand</v>
      </c>
      <c r="L343" s="48"/>
      <c r="M343" s="48"/>
      <c r="N343" s="66" t="n">
        <f aca="false">AX123</f>
        <v>47652</v>
      </c>
      <c r="O343" s="66"/>
      <c r="P343" s="66"/>
      <c r="Q343" s="49" t="n">
        <f aca="false">AY123</f>
        <v>0.3</v>
      </c>
      <c r="R343" s="49"/>
      <c r="S343" s="49" t="n">
        <f aca="false">AQ123</f>
        <v>572.650000000001</v>
      </c>
      <c r="T343" s="49"/>
      <c r="U343" s="49"/>
      <c r="V343" s="49" t="n">
        <f aca="false">BC123</f>
        <v>83.9354445039259</v>
      </c>
      <c r="W343" s="49"/>
      <c r="X343" s="49"/>
      <c r="Y343" s="35" t="n">
        <f aca="false">BD123</f>
        <v>0.224467837031054</v>
      </c>
      <c r="Z343" s="35"/>
      <c r="AA343" s="35" t="n">
        <f aca="false">BE123</f>
        <v>0.120833267963286</v>
      </c>
      <c r="AB343" s="35"/>
      <c r="AC343" s="49" t="n">
        <f aca="false">BG123</f>
        <v>0</v>
      </c>
      <c r="AD343" s="49"/>
      <c r="AE343" s="49"/>
      <c r="AF343" s="12"/>
    </row>
    <row r="344" customFormat="false" ht="14.25" hidden="false" customHeight="false" outlineLevel="0" collapsed="false">
      <c r="B344" s="7"/>
      <c r="AF344" s="12"/>
    </row>
    <row r="345" customFormat="false" ht="14.25" hidden="false" customHeight="true" outlineLevel="0" collapsed="false">
      <c r="B345" s="7"/>
      <c r="C345" s="20" t="s">
        <v>293</v>
      </c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1" t="s">
        <v>294</v>
      </c>
      <c r="P345" s="21"/>
      <c r="Q345" s="21"/>
      <c r="R345" s="21"/>
      <c r="S345" s="21"/>
      <c r="T345" s="21"/>
      <c r="U345" s="21"/>
      <c r="V345" s="21"/>
      <c r="W345" s="21"/>
      <c r="X345" s="22" t="s">
        <v>295</v>
      </c>
      <c r="Y345" s="22"/>
      <c r="Z345" s="22"/>
      <c r="AA345" s="24" t="n">
        <f aca="false">SUM(BG83:BG123)</f>
        <v>130.959809219777</v>
      </c>
      <c r="AB345" s="24"/>
      <c r="AC345" s="24"/>
      <c r="AD345" s="20" t="s">
        <v>45</v>
      </c>
      <c r="AE345" s="20"/>
      <c r="AF345" s="12"/>
    </row>
    <row r="346" customFormat="false" ht="14.25" hidden="false" customHeight="false" outlineLevel="0" collapsed="false">
      <c r="B346" s="7"/>
      <c r="C346" s="20" t="s">
        <v>296</v>
      </c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1"/>
      <c r="P346" s="21"/>
      <c r="Q346" s="21"/>
      <c r="R346" s="21"/>
      <c r="S346" s="21"/>
      <c r="T346" s="21"/>
      <c r="U346" s="21"/>
      <c r="V346" s="21"/>
      <c r="W346" s="21"/>
      <c r="X346" s="22"/>
      <c r="Y346" s="22"/>
      <c r="Z346" s="22"/>
      <c r="AA346" s="51" t="n">
        <f aca="false">SUMPRODUCT(--(AM83:AM123="Sand"),BG83:BG123)</f>
        <v>130.959809219777</v>
      </c>
      <c r="AB346" s="51"/>
      <c r="AC346" s="51"/>
      <c r="AD346" s="20" t="s">
        <v>45</v>
      </c>
      <c r="AE346" s="20"/>
      <c r="AF346" s="12"/>
    </row>
    <row r="347" customFormat="false" ht="14.25" hidden="false" customHeight="false" outlineLevel="0" collapsed="false">
      <c r="B347" s="7"/>
      <c r="C347" s="20" t="s">
        <v>297</v>
      </c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1"/>
      <c r="P347" s="21"/>
      <c r="Q347" s="21"/>
      <c r="R347" s="21"/>
      <c r="S347" s="21"/>
      <c r="T347" s="21"/>
      <c r="U347" s="21"/>
      <c r="V347" s="21"/>
      <c r="W347" s="21"/>
      <c r="X347" s="22"/>
      <c r="Y347" s="22"/>
      <c r="Z347" s="22"/>
      <c r="AA347" s="51" t="n">
        <f aca="false">$AA$345-$AA$346</f>
        <v>0</v>
      </c>
      <c r="AB347" s="51"/>
      <c r="AC347" s="51"/>
      <c r="AD347" s="20" t="s">
        <v>45</v>
      </c>
      <c r="AE347" s="20"/>
      <c r="AF347" s="12"/>
    </row>
    <row r="348" customFormat="false" ht="14.25" hidden="false" customHeight="false" outlineLevel="0" collapsed="false">
      <c r="B348" s="7"/>
      <c r="AF348" s="12"/>
    </row>
    <row r="349" customFormat="false" ht="14.25" hidden="false" customHeight="false" outlineLevel="0" collapsed="false">
      <c r="B349" s="7"/>
      <c r="AF349" s="12"/>
    </row>
    <row r="350" customFormat="false" ht="14.25" hidden="false" customHeight="false" outlineLevel="0" collapsed="false">
      <c r="B350" s="7"/>
      <c r="AF350" s="12"/>
    </row>
    <row r="351" customFormat="false" ht="14.25" hidden="false" customHeight="false" outlineLevel="0" collapsed="false">
      <c r="B351" s="7"/>
      <c r="AF351" s="12"/>
    </row>
    <row r="352" customFormat="false" ht="14.25" hidden="false" customHeight="false" outlineLevel="0" collapsed="false">
      <c r="B352" s="7"/>
      <c r="AF352" s="12"/>
    </row>
    <row r="353" customFormat="false" ht="14.25" hidden="false" customHeight="false" outlineLevel="0" collapsed="false">
      <c r="B353" s="7"/>
      <c r="AF353" s="12"/>
    </row>
    <row r="354" customFormat="false" ht="14.25" hidden="false" customHeight="false" outlineLevel="0" collapsed="false">
      <c r="B354" s="7"/>
      <c r="AF354" s="12"/>
    </row>
    <row r="355" customFormat="false" ht="14.25" hidden="false" customHeight="false" outlineLevel="0" collapsed="false">
      <c r="B355" s="7"/>
      <c r="AF355" s="12"/>
    </row>
    <row r="356" customFormat="false" ht="14.25" hidden="false" customHeight="false" outlineLevel="0" collapsed="false">
      <c r="B356" s="7"/>
      <c r="AF356" s="12"/>
    </row>
    <row r="357" customFormat="false" ht="14.25" hidden="false" customHeight="false" outlineLevel="0" collapsed="false">
      <c r="B357" s="7"/>
      <c r="AF357" s="12"/>
    </row>
    <row r="358" customFormat="false" ht="14.25" hidden="false" customHeight="false" outlineLevel="0" collapsed="false">
      <c r="B358" s="7"/>
      <c r="AF358" s="12"/>
    </row>
    <row r="359" customFormat="false" ht="14.25" hidden="false" customHeight="false" outlineLevel="0" collapsed="false">
      <c r="B359" s="7"/>
      <c r="AF359" s="12"/>
    </row>
    <row r="360" customFormat="false" ht="14.25" hidden="false" customHeight="false" outlineLevel="0" collapsed="false">
      <c r="B360" s="7"/>
      <c r="AF360" s="12"/>
    </row>
    <row r="361" customFormat="false" ht="14.25" hidden="false" customHeight="true" outlineLevel="0" collapsed="false">
      <c r="B361" s="36"/>
      <c r="C361" s="37"/>
      <c r="D361" s="37"/>
      <c r="E361" s="37"/>
      <c r="F361" s="37"/>
      <c r="G361" s="37"/>
      <c r="H361" s="37"/>
      <c r="I361" s="37"/>
      <c r="J361" s="37"/>
      <c r="K361" s="37"/>
      <c r="L361" s="37"/>
      <c r="M361" s="37"/>
      <c r="N361" s="37"/>
      <c r="O361" s="37"/>
      <c r="P361" s="37"/>
      <c r="Q361" s="37"/>
      <c r="R361" s="37"/>
      <c r="S361" s="37"/>
      <c r="T361" s="37"/>
      <c r="U361" s="37"/>
      <c r="V361" s="37"/>
      <c r="W361" s="37"/>
      <c r="X361" s="38" t="s">
        <v>93</v>
      </c>
      <c r="Y361" s="38"/>
      <c r="Z361" s="38"/>
      <c r="AA361" s="38"/>
      <c r="AB361" s="38" t="n">
        <v>5</v>
      </c>
      <c r="AC361" s="38"/>
      <c r="AD361" s="38"/>
      <c r="AE361" s="38"/>
      <c r="AF361" s="39"/>
    </row>
    <row r="362" customFormat="false" ht="14.25" hidden="false" customHeight="true" outlineLevel="0" collapsed="false">
      <c r="B362" s="1"/>
      <c r="C362" s="2" t="s">
        <v>0</v>
      </c>
      <c r="D362" s="2"/>
      <c r="E362" s="2"/>
      <c r="F362" s="2"/>
      <c r="G362" s="2"/>
      <c r="H362" s="3" t="s">
        <v>1</v>
      </c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4" t="s">
        <v>2</v>
      </c>
      <c r="Y362" s="4"/>
      <c r="Z362" s="4"/>
      <c r="AA362" s="4"/>
      <c r="AB362" s="5" t="s">
        <v>3</v>
      </c>
      <c r="AC362" s="5"/>
      <c r="AD362" s="5"/>
      <c r="AE362" s="5"/>
      <c r="AF362" s="6"/>
    </row>
    <row r="363" customFormat="false" ht="14.25" hidden="false" customHeight="true" outlineLevel="0" collapsed="false">
      <c r="B363" s="7"/>
      <c r="C363" s="8" t="s">
        <v>4</v>
      </c>
      <c r="D363" s="8"/>
      <c r="E363" s="8"/>
      <c r="F363" s="8"/>
      <c r="G363" s="8"/>
      <c r="H363" s="9" t="s">
        <v>5</v>
      </c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10" t="s">
        <v>6</v>
      </c>
      <c r="Y363" s="10"/>
      <c r="Z363" s="10"/>
      <c r="AA363" s="10"/>
      <c r="AB363" s="11" t="n">
        <v>46301</v>
      </c>
      <c r="AC363" s="11"/>
      <c r="AD363" s="11"/>
      <c r="AE363" s="11"/>
      <c r="AF363" s="12"/>
    </row>
    <row r="364" customFormat="false" ht="14.25" hidden="false" customHeight="true" outlineLevel="0" collapsed="false">
      <c r="B364" s="7"/>
      <c r="C364" s="8" t="s">
        <v>7</v>
      </c>
      <c r="D364" s="8"/>
      <c r="E364" s="8"/>
      <c r="F364" s="8"/>
      <c r="G364" s="8"/>
      <c r="H364" s="9" t="s">
        <v>327</v>
      </c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10" t="s">
        <v>9</v>
      </c>
      <c r="Y364" s="10"/>
      <c r="Z364" s="10"/>
      <c r="AA364" s="10"/>
      <c r="AB364" s="11" t="s">
        <v>3</v>
      </c>
      <c r="AC364" s="11"/>
      <c r="AD364" s="11"/>
      <c r="AE364" s="11"/>
      <c r="AF364" s="12"/>
    </row>
    <row r="365" customFormat="false" ht="14.25" hidden="false" customHeight="true" outlineLevel="0" collapsed="false">
      <c r="B365" s="13"/>
      <c r="C365" s="14" t="s">
        <v>10</v>
      </c>
      <c r="D365" s="14"/>
      <c r="E365" s="14"/>
      <c r="F365" s="14"/>
      <c r="G365" s="14"/>
      <c r="H365" s="15" t="s">
        <v>134</v>
      </c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6" t="s">
        <v>12</v>
      </c>
      <c r="Y365" s="16"/>
      <c r="Z365" s="16"/>
      <c r="AA365" s="16"/>
      <c r="AB365" s="17" t="n">
        <v>46301</v>
      </c>
      <c r="AC365" s="17"/>
      <c r="AD365" s="17"/>
      <c r="AE365" s="17"/>
      <c r="AF365" s="18"/>
    </row>
    <row r="366" customFormat="false" ht="14.25" hidden="false" customHeight="false" outlineLevel="0" collapsed="false">
      <c r="B366" s="7"/>
      <c r="AF366" s="12"/>
    </row>
    <row r="367" customFormat="false" ht="14.25" hidden="false" customHeight="false" outlineLevel="0" collapsed="false">
      <c r="B367" s="7"/>
      <c r="AF367" s="12"/>
    </row>
    <row r="368" customFormat="false" ht="14.25" hidden="false" customHeight="false" outlineLevel="0" collapsed="false">
      <c r="B368" s="7"/>
      <c r="AF368" s="12"/>
    </row>
    <row r="369" customFormat="false" ht="14.25" hidden="false" customHeight="false" outlineLevel="0" collapsed="false">
      <c r="B369" s="7"/>
      <c r="AF369" s="12"/>
    </row>
    <row r="370" customFormat="false" ht="14.25" hidden="false" customHeight="false" outlineLevel="0" collapsed="false">
      <c r="B370" s="7"/>
      <c r="AF370" s="12"/>
    </row>
    <row r="371" customFormat="false" ht="14.25" hidden="false" customHeight="false" outlineLevel="0" collapsed="false">
      <c r="B371" s="7"/>
      <c r="AF371" s="12"/>
    </row>
    <row r="372" customFormat="false" ht="14.25" hidden="false" customHeight="false" outlineLevel="0" collapsed="false">
      <c r="B372" s="7"/>
      <c r="AF372" s="12"/>
    </row>
    <row r="373" customFormat="false" ht="14.25" hidden="false" customHeight="false" outlineLevel="0" collapsed="false">
      <c r="B373" s="7"/>
      <c r="AF373" s="12"/>
    </row>
    <row r="374" customFormat="false" ht="14.25" hidden="false" customHeight="false" outlineLevel="0" collapsed="false">
      <c r="B374" s="7"/>
      <c r="AF374" s="12"/>
    </row>
    <row r="375" customFormat="false" ht="14.25" hidden="false" customHeight="false" outlineLevel="0" collapsed="false">
      <c r="B375" s="7"/>
      <c r="AF375" s="12"/>
    </row>
    <row r="376" customFormat="false" ht="14.25" hidden="false" customHeight="false" outlineLevel="0" collapsed="false">
      <c r="B376" s="7"/>
      <c r="AF376" s="12"/>
    </row>
    <row r="377" customFormat="false" ht="14.25" hidden="false" customHeight="false" outlineLevel="0" collapsed="false">
      <c r="B377" s="7"/>
      <c r="AF377" s="12"/>
    </row>
    <row r="378" customFormat="false" ht="14.25" hidden="false" customHeight="false" outlineLevel="0" collapsed="false">
      <c r="B378" s="7"/>
      <c r="AF378" s="12"/>
    </row>
    <row r="379" customFormat="false" ht="14.25" hidden="false" customHeight="false" outlineLevel="0" collapsed="false">
      <c r="B379" s="7"/>
      <c r="AF379" s="12"/>
    </row>
    <row r="380" customFormat="false" ht="14.25" hidden="false" customHeight="false" outlineLevel="0" collapsed="false">
      <c r="B380" s="7"/>
      <c r="AF380" s="12"/>
    </row>
    <row r="381" customFormat="false" ht="14.25" hidden="false" customHeight="false" outlineLevel="0" collapsed="false">
      <c r="B381" s="7"/>
      <c r="AF381" s="12"/>
    </row>
    <row r="382" customFormat="false" ht="14.25" hidden="false" customHeight="false" outlineLevel="0" collapsed="false">
      <c r="B382" s="7"/>
      <c r="AF382" s="12"/>
    </row>
    <row r="383" customFormat="false" ht="14.25" hidden="false" customHeight="false" outlineLevel="0" collapsed="false">
      <c r="B383" s="7"/>
      <c r="AF383" s="12"/>
    </row>
    <row r="384" customFormat="false" ht="14.25" hidden="false" customHeight="false" outlineLevel="0" collapsed="false">
      <c r="B384" s="7"/>
      <c r="AF384" s="12"/>
    </row>
    <row r="385" customFormat="false" ht="14.25" hidden="false" customHeight="false" outlineLevel="0" collapsed="false">
      <c r="B385" s="7"/>
      <c r="AF385" s="12"/>
    </row>
    <row r="386" customFormat="false" ht="14.25" hidden="false" customHeight="false" outlineLevel="0" collapsed="false">
      <c r="B386" s="7"/>
      <c r="C386" s="52" t="s">
        <v>298</v>
      </c>
      <c r="D386" s="52"/>
      <c r="E386" s="52"/>
      <c r="F386" s="52"/>
      <c r="G386" s="52"/>
      <c r="H386" s="52"/>
      <c r="I386" s="52"/>
      <c r="J386" s="52"/>
      <c r="K386" s="52"/>
      <c r="L386" s="52"/>
      <c r="M386" s="52"/>
      <c r="N386" s="52"/>
      <c r="O386" s="52"/>
      <c r="P386" s="52"/>
      <c r="Q386" s="52"/>
      <c r="R386" s="52"/>
      <c r="S386" s="52"/>
      <c r="T386" s="52"/>
      <c r="U386" s="52"/>
      <c r="V386" s="52"/>
      <c r="W386" s="52"/>
      <c r="X386" s="52"/>
      <c r="Y386" s="52"/>
      <c r="Z386" s="52"/>
      <c r="AA386" s="52"/>
      <c r="AB386" s="52"/>
      <c r="AC386" s="52"/>
      <c r="AD386" s="52"/>
      <c r="AE386" s="52"/>
      <c r="AF386" s="12"/>
    </row>
    <row r="387" customFormat="false" ht="14.25" hidden="false" customHeight="false" outlineLevel="0" collapsed="false">
      <c r="B387" s="7"/>
      <c r="AF387" s="12"/>
    </row>
    <row r="388" customFormat="false" ht="14.25" hidden="false" customHeight="false" outlineLevel="0" collapsed="false">
      <c r="B388" s="7"/>
      <c r="C388" s="9" t="s">
        <v>299</v>
      </c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12"/>
    </row>
    <row r="389" customFormat="false" ht="14.25" hidden="false" customHeight="false" outlineLevel="0" collapsed="false">
      <c r="B389" s="7"/>
      <c r="C389" s="20" t="s">
        <v>300</v>
      </c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  <c r="AE389" s="20"/>
      <c r="AF389" s="12"/>
    </row>
    <row r="390" customFormat="false" ht="14.25" hidden="false" customHeight="false" outlineLevel="0" collapsed="false">
      <c r="B390" s="7"/>
      <c r="C390" s="20" t="s">
        <v>301</v>
      </c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  <c r="AD390" s="20"/>
      <c r="AE390" s="20"/>
      <c r="AF390" s="12"/>
    </row>
    <row r="391" customFormat="false" ht="14.25" hidden="false" customHeight="false" outlineLevel="0" collapsed="false">
      <c r="B391" s="7"/>
      <c r="AF391" s="12"/>
    </row>
    <row r="392" customFormat="false" ht="14.25" hidden="false" customHeight="false" outlineLevel="0" collapsed="false">
      <c r="B392" s="7"/>
      <c r="AF392" s="12"/>
    </row>
    <row r="393" customFormat="false" ht="14.25" hidden="false" customHeight="false" outlineLevel="0" collapsed="false">
      <c r="B393" s="7"/>
      <c r="AF393" s="12"/>
    </row>
    <row r="394" customFormat="false" ht="14.25" hidden="false" customHeight="false" outlineLevel="0" collapsed="false">
      <c r="B394" s="7"/>
      <c r="AF394" s="12"/>
    </row>
    <row r="395" customFormat="false" ht="14.25" hidden="false" customHeight="false" outlineLevel="0" collapsed="false">
      <c r="B395" s="7"/>
      <c r="AF395" s="12"/>
    </row>
    <row r="396" customFormat="false" ht="14.25" hidden="false" customHeight="false" outlineLevel="0" collapsed="false">
      <c r="B396" s="7"/>
      <c r="AF396" s="12"/>
    </row>
    <row r="397" customFormat="false" ht="14.25" hidden="false" customHeight="false" outlineLevel="0" collapsed="false">
      <c r="B397" s="7"/>
      <c r="AF397" s="12"/>
    </row>
    <row r="398" customFormat="false" ht="14.25" hidden="false" customHeight="false" outlineLevel="0" collapsed="false">
      <c r="B398" s="7"/>
      <c r="AF398" s="12"/>
    </row>
    <row r="399" customFormat="false" ht="14.25" hidden="false" customHeight="false" outlineLevel="0" collapsed="false">
      <c r="B399" s="7"/>
      <c r="AF399" s="12"/>
    </row>
    <row r="400" customFormat="false" ht="14.25" hidden="false" customHeight="false" outlineLevel="0" collapsed="false">
      <c r="B400" s="7"/>
      <c r="AF400" s="12"/>
    </row>
    <row r="401" customFormat="false" ht="14.25" hidden="false" customHeight="false" outlineLevel="0" collapsed="false">
      <c r="B401" s="7"/>
      <c r="AF401" s="12"/>
    </row>
    <row r="402" customFormat="false" ht="14.25" hidden="false" customHeight="false" outlineLevel="0" collapsed="false">
      <c r="B402" s="7"/>
      <c r="AF402" s="12"/>
    </row>
    <row r="403" customFormat="false" ht="14.25" hidden="false" customHeight="false" outlineLevel="0" collapsed="false">
      <c r="B403" s="7"/>
      <c r="AF403" s="12"/>
    </row>
    <row r="404" customFormat="false" ht="14.25" hidden="false" customHeight="false" outlineLevel="0" collapsed="false">
      <c r="B404" s="7"/>
      <c r="AF404" s="12"/>
    </row>
    <row r="405" customFormat="false" ht="14.25" hidden="false" customHeight="false" outlineLevel="0" collapsed="false">
      <c r="B405" s="7"/>
      <c r="AF405" s="12"/>
    </row>
    <row r="406" customFormat="false" ht="14.25" hidden="false" customHeight="false" outlineLevel="0" collapsed="false">
      <c r="B406" s="7"/>
      <c r="AF406" s="12"/>
    </row>
    <row r="407" customFormat="false" ht="14.25" hidden="false" customHeight="false" outlineLevel="0" collapsed="false">
      <c r="B407" s="7"/>
      <c r="C407" s="52" t="s">
        <v>302</v>
      </c>
      <c r="D407" s="52"/>
      <c r="E407" s="52"/>
      <c r="F407" s="52"/>
      <c r="G407" s="52"/>
      <c r="H407" s="52"/>
      <c r="I407" s="52"/>
      <c r="J407" s="52"/>
      <c r="K407" s="52"/>
      <c r="L407" s="52"/>
      <c r="M407" s="52"/>
      <c r="N407" s="52"/>
      <c r="O407" s="52"/>
      <c r="P407" s="52"/>
      <c r="Q407" s="52"/>
      <c r="R407" s="52"/>
      <c r="S407" s="52"/>
      <c r="T407" s="52"/>
      <c r="U407" s="52"/>
      <c r="V407" s="52"/>
      <c r="W407" s="52"/>
      <c r="X407" s="52"/>
      <c r="Y407" s="52"/>
      <c r="Z407" s="52"/>
      <c r="AA407" s="52"/>
      <c r="AB407" s="52"/>
      <c r="AC407" s="52"/>
      <c r="AD407" s="52"/>
      <c r="AE407" s="52"/>
      <c r="AF407" s="12"/>
    </row>
    <row r="408" customFormat="false" ht="14.25" hidden="false" customHeight="false" outlineLevel="0" collapsed="false">
      <c r="B408" s="7"/>
      <c r="AF408" s="12"/>
    </row>
    <row r="409" customFormat="false" ht="14.25" hidden="false" customHeight="false" outlineLevel="0" collapsed="false">
      <c r="B409" s="7"/>
      <c r="AF409" s="12"/>
    </row>
    <row r="410" customFormat="false" ht="14.25" hidden="false" customHeight="false" outlineLevel="0" collapsed="false">
      <c r="B410" s="7"/>
      <c r="AF410" s="12"/>
    </row>
    <row r="411" customFormat="false" ht="14.25" hidden="false" customHeight="false" outlineLevel="0" collapsed="false">
      <c r="B411" s="7"/>
      <c r="AF411" s="12"/>
    </row>
    <row r="412" customFormat="false" ht="14.25" hidden="false" customHeight="false" outlineLevel="0" collapsed="false">
      <c r="B412" s="7"/>
      <c r="AF412" s="12"/>
    </row>
    <row r="413" customFormat="false" ht="14.25" hidden="false" customHeight="false" outlineLevel="0" collapsed="false">
      <c r="B413" s="7"/>
      <c r="AF413" s="12"/>
    </row>
    <row r="414" customFormat="false" ht="14.25" hidden="false" customHeight="false" outlineLevel="0" collapsed="false">
      <c r="B414" s="7"/>
      <c r="AF414" s="12"/>
    </row>
    <row r="415" customFormat="false" ht="14.25" hidden="false" customHeight="false" outlineLevel="0" collapsed="false">
      <c r="B415" s="7"/>
      <c r="AF415" s="12"/>
    </row>
    <row r="416" customFormat="false" ht="14.25" hidden="false" customHeight="false" outlineLevel="0" collapsed="false">
      <c r="B416" s="7"/>
      <c r="AF416" s="12"/>
    </row>
    <row r="417" customFormat="false" ht="14.25" hidden="false" customHeight="false" outlineLevel="0" collapsed="false">
      <c r="B417" s="7"/>
      <c r="AF417" s="12"/>
    </row>
    <row r="418" customFormat="false" ht="14.25" hidden="false" customHeight="false" outlineLevel="0" collapsed="false">
      <c r="B418" s="7"/>
      <c r="AF418" s="12"/>
    </row>
    <row r="419" customFormat="false" ht="14.25" hidden="false" customHeight="false" outlineLevel="0" collapsed="false">
      <c r="B419" s="7"/>
      <c r="AF419" s="12"/>
    </row>
    <row r="420" customFormat="false" ht="14.25" hidden="false" customHeight="false" outlineLevel="0" collapsed="false">
      <c r="B420" s="7"/>
      <c r="AF420" s="12"/>
    </row>
    <row r="421" customFormat="false" ht="14.25" hidden="false" customHeight="false" outlineLevel="0" collapsed="false">
      <c r="B421" s="7"/>
      <c r="AF421" s="12"/>
    </row>
    <row r="422" customFormat="false" ht="14.25" hidden="false" customHeight="false" outlineLevel="0" collapsed="false">
      <c r="B422" s="7"/>
      <c r="AF422" s="12"/>
    </row>
    <row r="423" customFormat="false" ht="14.25" hidden="false" customHeight="false" outlineLevel="0" collapsed="false">
      <c r="B423" s="7"/>
      <c r="AF423" s="12"/>
    </row>
    <row r="424" customFormat="false" ht="14.25" hidden="false" customHeight="false" outlineLevel="0" collapsed="false">
      <c r="B424" s="7"/>
      <c r="AF424" s="12"/>
    </row>
    <row r="425" customFormat="false" ht="14.25" hidden="false" customHeight="false" outlineLevel="0" collapsed="false">
      <c r="B425" s="7"/>
      <c r="AF425" s="12"/>
    </row>
    <row r="426" customFormat="false" ht="14.25" hidden="false" customHeight="false" outlineLevel="0" collapsed="false">
      <c r="B426" s="7"/>
      <c r="AF426" s="12"/>
    </row>
    <row r="427" customFormat="false" ht="14.25" hidden="false" customHeight="false" outlineLevel="0" collapsed="false">
      <c r="B427" s="7"/>
      <c r="AF427" s="12"/>
    </row>
    <row r="428" customFormat="false" ht="14.25" hidden="false" customHeight="false" outlineLevel="0" collapsed="false">
      <c r="B428" s="7"/>
      <c r="AF428" s="12"/>
    </row>
    <row r="429" customFormat="false" ht="14.25" hidden="false" customHeight="false" outlineLevel="0" collapsed="false">
      <c r="B429" s="7"/>
      <c r="AF429" s="12"/>
    </row>
    <row r="430" customFormat="false" ht="14.25" hidden="false" customHeight="false" outlineLevel="0" collapsed="false">
      <c r="B430" s="7"/>
      <c r="AF430" s="12"/>
    </row>
    <row r="431" customFormat="false" ht="14.25" hidden="false" customHeight="false" outlineLevel="0" collapsed="false">
      <c r="B431" s="7"/>
      <c r="AF431" s="12"/>
    </row>
    <row r="432" customFormat="false" ht="14.25" hidden="false" customHeight="false" outlineLevel="0" collapsed="false">
      <c r="B432" s="7"/>
      <c r="AF432" s="12"/>
    </row>
    <row r="433" customFormat="false" ht="14.25" hidden="false" customHeight="true" outlineLevel="0" collapsed="false">
      <c r="B433" s="36"/>
      <c r="C433" s="37"/>
      <c r="D433" s="37"/>
      <c r="E433" s="37"/>
      <c r="F433" s="37"/>
      <c r="G433" s="37"/>
      <c r="H433" s="37"/>
      <c r="I433" s="37"/>
      <c r="J433" s="37"/>
      <c r="K433" s="37"/>
      <c r="L433" s="37"/>
      <c r="M433" s="37"/>
      <c r="N433" s="37"/>
      <c r="O433" s="37"/>
      <c r="P433" s="37"/>
      <c r="Q433" s="37"/>
      <c r="R433" s="37"/>
      <c r="S433" s="37"/>
      <c r="T433" s="37"/>
      <c r="U433" s="37"/>
      <c r="V433" s="37"/>
      <c r="W433" s="37"/>
      <c r="X433" s="38" t="s">
        <v>93</v>
      </c>
      <c r="Y433" s="38"/>
      <c r="Z433" s="38"/>
      <c r="AA433" s="38"/>
      <c r="AB433" s="38" t="n">
        <v>6</v>
      </c>
      <c r="AC433" s="38"/>
      <c r="AD433" s="38"/>
      <c r="AE433" s="38"/>
      <c r="AF433" s="39"/>
    </row>
    <row r="434" customFormat="false" ht="14.25" hidden="false" customHeight="true" outlineLevel="0" collapsed="false">
      <c r="B434" s="1"/>
      <c r="C434" s="2" t="s">
        <v>0</v>
      </c>
      <c r="D434" s="2"/>
      <c r="E434" s="2"/>
      <c r="F434" s="2"/>
      <c r="G434" s="2"/>
      <c r="H434" s="3" t="s">
        <v>1</v>
      </c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4" t="s">
        <v>2</v>
      </c>
      <c r="Y434" s="4"/>
      <c r="Z434" s="4"/>
      <c r="AA434" s="4"/>
      <c r="AB434" s="5" t="s">
        <v>3</v>
      </c>
      <c r="AC434" s="5"/>
      <c r="AD434" s="5"/>
      <c r="AE434" s="5"/>
      <c r="AF434" s="6"/>
    </row>
    <row r="435" customFormat="false" ht="14.25" hidden="false" customHeight="true" outlineLevel="0" collapsed="false">
      <c r="B435" s="7"/>
      <c r="C435" s="8" t="s">
        <v>4</v>
      </c>
      <c r="D435" s="8"/>
      <c r="E435" s="8"/>
      <c r="F435" s="8"/>
      <c r="G435" s="8"/>
      <c r="H435" s="9" t="s">
        <v>5</v>
      </c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10" t="s">
        <v>6</v>
      </c>
      <c r="Y435" s="10"/>
      <c r="Z435" s="10"/>
      <c r="AA435" s="10"/>
      <c r="AB435" s="11" t="n">
        <v>46301</v>
      </c>
      <c r="AC435" s="11"/>
      <c r="AD435" s="11"/>
      <c r="AE435" s="11"/>
      <c r="AF435" s="12"/>
    </row>
    <row r="436" customFormat="false" ht="14.25" hidden="false" customHeight="true" outlineLevel="0" collapsed="false">
      <c r="B436" s="7"/>
      <c r="C436" s="8" t="s">
        <v>7</v>
      </c>
      <c r="D436" s="8"/>
      <c r="E436" s="8"/>
      <c r="F436" s="8"/>
      <c r="G436" s="8"/>
      <c r="H436" s="9" t="s">
        <v>327</v>
      </c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10" t="s">
        <v>9</v>
      </c>
      <c r="Y436" s="10"/>
      <c r="Z436" s="10"/>
      <c r="AA436" s="10"/>
      <c r="AB436" s="11" t="s">
        <v>3</v>
      </c>
      <c r="AC436" s="11"/>
      <c r="AD436" s="11"/>
      <c r="AE436" s="11"/>
      <c r="AF436" s="12"/>
    </row>
    <row r="437" customFormat="false" ht="14.25" hidden="false" customHeight="true" outlineLevel="0" collapsed="false">
      <c r="B437" s="13"/>
      <c r="C437" s="14" t="s">
        <v>10</v>
      </c>
      <c r="D437" s="14"/>
      <c r="E437" s="14"/>
      <c r="F437" s="14"/>
      <c r="G437" s="14"/>
      <c r="H437" s="15" t="s">
        <v>134</v>
      </c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6" t="s">
        <v>12</v>
      </c>
      <c r="Y437" s="16"/>
      <c r="Z437" s="16"/>
      <c r="AA437" s="16"/>
      <c r="AB437" s="17" t="n">
        <v>46301</v>
      </c>
      <c r="AC437" s="17"/>
      <c r="AD437" s="17"/>
      <c r="AE437" s="17"/>
      <c r="AF437" s="18"/>
    </row>
    <row r="438" customFormat="false" ht="14.25" hidden="false" customHeight="false" outlineLevel="0" collapsed="false">
      <c r="B438" s="7"/>
      <c r="AF438" s="12"/>
    </row>
    <row r="439" customFormat="false" ht="14.25" hidden="false" customHeight="false" outlineLevel="0" collapsed="false">
      <c r="B439" s="7"/>
      <c r="C439" s="20" t="s">
        <v>331</v>
      </c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  <c r="AC439" s="20"/>
      <c r="AD439" s="20"/>
      <c r="AE439" s="20"/>
      <c r="AF439" s="12"/>
    </row>
    <row r="440" customFormat="false" ht="27" hidden="false" customHeight="true" outlineLevel="0" collapsed="false">
      <c r="B440" s="7"/>
      <c r="C440" s="28" t="s">
        <v>157</v>
      </c>
      <c r="D440" s="28"/>
      <c r="E440" s="28" t="s">
        <v>158</v>
      </c>
      <c r="F440" s="28"/>
      <c r="G440" s="28"/>
      <c r="H440" s="28" t="s">
        <v>160</v>
      </c>
      <c r="I440" s="28"/>
      <c r="J440" s="28"/>
      <c r="K440" s="28" t="s">
        <v>291</v>
      </c>
      <c r="L440" s="28"/>
      <c r="M440" s="28"/>
      <c r="N440" s="28" t="s">
        <v>292</v>
      </c>
      <c r="O440" s="28"/>
      <c r="P440" s="28"/>
      <c r="Q440" s="28" t="s">
        <v>304</v>
      </c>
      <c r="R440" s="28"/>
      <c r="S440" s="28"/>
      <c r="T440" s="28" t="s">
        <v>164</v>
      </c>
      <c r="U440" s="28"/>
      <c r="V440" s="28" t="s">
        <v>187</v>
      </c>
      <c r="W440" s="28"/>
      <c r="X440" s="28" t="s">
        <v>188</v>
      </c>
      <c r="Y440" s="28"/>
      <c r="Z440" s="28" t="s">
        <v>190</v>
      </c>
      <c r="AA440" s="28"/>
      <c r="AB440" s="28"/>
      <c r="AC440" s="28" t="s">
        <v>191</v>
      </c>
      <c r="AD440" s="28"/>
      <c r="AE440" s="28"/>
      <c r="AF440" s="12"/>
    </row>
    <row r="441" customFormat="false" ht="14.25" hidden="false" customHeight="true" outlineLevel="0" collapsed="false">
      <c r="B441" s="7"/>
      <c r="C441" s="29"/>
      <c r="D441" s="29"/>
      <c r="E441" s="29" t="s">
        <v>19</v>
      </c>
      <c r="F441" s="29"/>
      <c r="G441" s="29"/>
      <c r="H441" s="29"/>
      <c r="I441" s="29"/>
      <c r="J441" s="29"/>
      <c r="K441" s="29" t="s">
        <v>26</v>
      </c>
      <c r="L441" s="29"/>
      <c r="M441" s="29"/>
      <c r="N441" s="29" t="s">
        <v>26</v>
      </c>
      <c r="O441" s="29"/>
      <c r="P441" s="29"/>
      <c r="Q441" s="29" t="s">
        <v>26</v>
      </c>
      <c r="R441" s="29"/>
      <c r="S441" s="29"/>
      <c r="T441" s="29" t="s">
        <v>38</v>
      </c>
      <c r="U441" s="29"/>
      <c r="V441" s="29" t="s">
        <v>38</v>
      </c>
      <c r="W441" s="29"/>
      <c r="X441" s="29" t="s">
        <v>38</v>
      </c>
      <c r="Y441" s="29"/>
      <c r="Z441" s="29" t="s">
        <v>45</v>
      </c>
      <c r="AA441" s="29"/>
      <c r="AB441" s="29"/>
      <c r="AC441" s="29" t="s">
        <v>124</v>
      </c>
      <c r="AD441" s="29"/>
      <c r="AE441" s="29"/>
      <c r="AF441" s="12"/>
    </row>
    <row r="442" customFormat="false" ht="14.25" hidden="false" customHeight="false" outlineLevel="0" collapsed="false">
      <c r="B442" s="7"/>
      <c r="C442" s="46" t="n">
        <v>1</v>
      </c>
      <c r="D442" s="46"/>
      <c r="E442" s="44" t="n">
        <f aca="false">AI83</f>
        <v>0</v>
      </c>
      <c r="F442" s="44"/>
      <c r="G442" s="44"/>
      <c r="H442" s="41" t="str">
        <f aca="false">AM83</f>
        <v>Sand</v>
      </c>
      <c r="I442" s="41"/>
      <c r="J442" s="41"/>
      <c r="K442" s="42" t="n">
        <f aca="false">AQ83</f>
        <v>13.875</v>
      </c>
      <c r="L442" s="42"/>
      <c r="M442" s="42"/>
      <c r="N442" s="42" t="n">
        <f aca="false">BC83</f>
        <v>135.999510418892</v>
      </c>
      <c r="O442" s="42"/>
      <c r="P442" s="42"/>
      <c r="Q442" s="55" t="n">
        <f aca="false">BJ83</f>
        <v>0</v>
      </c>
      <c r="R442" s="55"/>
      <c r="S442" s="55"/>
      <c r="T442" s="44" t="n">
        <f aca="false">AU83</f>
        <v>0.65</v>
      </c>
      <c r="U442" s="44"/>
      <c r="V442" s="67" t="n">
        <f aca="false">BH83</f>
        <v>0</v>
      </c>
      <c r="W442" s="67"/>
      <c r="X442" s="67" t="n">
        <f aca="false">BI83</f>
        <v>0</v>
      </c>
      <c r="Y442" s="67"/>
      <c r="Z442" s="68" t="n">
        <f aca="false">BK83</f>
        <v>0</v>
      </c>
      <c r="AA442" s="68"/>
      <c r="AB442" s="68"/>
      <c r="AC442" s="69" t="n">
        <f aca="false">BM83</f>
        <v>0</v>
      </c>
      <c r="AD442" s="69"/>
      <c r="AE442" s="69"/>
      <c r="AF442" s="12"/>
    </row>
    <row r="443" customFormat="false" ht="14.25" hidden="false" customHeight="false" outlineLevel="0" collapsed="false">
      <c r="B443" s="7"/>
      <c r="C443" s="46" t="n">
        <v>2</v>
      </c>
      <c r="D443" s="46"/>
      <c r="E443" s="44" t="n">
        <f aca="false">AI84</f>
        <v>1.5</v>
      </c>
      <c r="F443" s="44"/>
      <c r="G443" s="44"/>
      <c r="H443" s="41" t="str">
        <f aca="false">AM84</f>
        <v>Sand</v>
      </c>
      <c r="I443" s="41"/>
      <c r="J443" s="41"/>
      <c r="K443" s="42" t="n">
        <f aca="false">AQ84</f>
        <v>41.625</v>
      </c>
      <c r="L443" s="42"/>
      <c r="M443" s="42"/>
      <c r="N443" s="42" t="n">
        <f aca="false">BC84</f>
        <v>135.986832457853</v>
      </c>
      <c r="O443" s="42"/>
      <c r="P443" s="42"/>
      <c r="Q443" s="55" t="n">
        <f aca="false">BJ84</f>
        <v>0</v>
      </c>
      <c r="R443" s="55"/>
      <c r="S443" s="55"/>
      <c r="T443" s="44" t="n">
        <f aca="false">AU84</f>
        <v>0.65</v>
      </c>
      <c r="U443" s="44"/>
      <c r="V443" s="67" t="n">
        <f aca="false">BH84</f>
        <v>0</v>
      </c>
      <c r="W443" s="67"/>
      <c r="X443" s="67" t="n">
        <f aca="false">BI84</f>
        <v>0</v>
      </c>
      <c r="Y443" s="67"/>
      <c r="Z443" s="68" t="n">
        <f aca="false">BK84</f>
        <v>0</v>
      </c>
      <c r="AA443" s="68"/>
      <c r="AB443" s="68"/>
      <c r="AC443" s="69" t="n">
        <f aca="false">BM84</f>
        <v>0</v>
      </c>
      <c r="AD443" s="69"/>
      <c r="AE443" s="69"/>
      <c r="AF443" s="12"/>
    </row>
    <row r="444" customFormat="false" ht="14.25" hidden="false" customHeight="false" outlineLevel="0" collapsed="false">
      <c r="B444" s="7"/>
      <c r="C444" s="46" t="n">
        <v>3</v>
      </c>
      <c r="D444" s="46"/>
      <c r="E444" s="44" t="n">
        <f aca="false">AI85</f>
        <v>3</v>
      </c>
      <c r="F444" s="44"/>
      <c r="G444" s="44"/>
      <c r="H444" s="41" t="str">
        <f aca="false">AM85</f>
        <v>Sand</v>
      </c>
      <c r="I444" s="41"/>
      <c r="J444" s="41"/>
      <c r="K444" s="42" t="n">
        <f aca="false">AQ85</f>
        <v>69.375</v>
      </c>
      <c r="L444" s="42"/>
      <c r="M444" s="42"/>
      <c r="N444" s="42" t="n">
        <f aca="false">BC85</f>
        <v>135.93950780949</v>
      </c>
      <c r="O444" s="42"/>
      <c r="P444" s="42"/>
      <c r="Q444" s="55" t="n">
        <f aca="false">BJ85</f>
        <v>0</v>
      </c>
      <c r="R444" s="55"/>
      <c r="S444" s="55"/>
      <c r="T444" s="44" t="n">
        <f aca="false">AU85</f>
        <v>0.65</v>
      </c>
      <c r="U444" s="44"/>
      <c r="V444" s="67" t="n">
        <f aca="false">BH85</f>
        <v>0</v>
      </c>
      <c r="W444" s="67"/>
      <c r="X444" s="67" t="n">
        <f aca="false">BI85</f>
        <v>0</v>
      </c>
      <c r="Y444" s="67"/>
      <c r="Z444" s="68" t="n">
        <f aca="false">BK85</f>
        <v>0</v>
      </c>
      <c r="AA444" s="68"/>
      <c r="AB444" s="68"/>
      <c r="AC444" s="69" t="n">
        <f aca="false">BM85</f>
        <v>0</v>
      </c>
      <c r="AD444" s="69"/>
      <c r="AE444" s="69"/>
      <c r="AF444" s="12"/>
    </row>
    <row r="445" customFormat="false" ht="14.25" hidden="false" customHeight="false" outlineLevel="0" collapsed="false">
      <c r="B445" s="7"/>
      <c r="C445" s="46" t="n">
        <v>4</v>
      </c>
      <c r="D445" s="46"/>
      <c r="E445" s="44" t="n">
        <f aca="false">AI86</f>
        <v>4.5</v>
      </c>
      <c r="F445" s="44"/>
      <c r="G445" s="44"/>
      <c r="H445" s="41" t="str">
        <f aca="false">AM86</f>
        <v>Sand</v>
      </c>
      <c r="I445" s="41"/>
      <c r="J445" s="41"/>
      <c r="K445" s="42" t="n">
        <f aca="false">AQ86</f>
        <v>97.125</v>
      </c>
      <c r="L445" s="42"/>
      <c r="M445" s="42"/>
      <c r="N445" s="42" t="n">
        <f aca="false">BC86</f>
        <v>135.835905210694</v>
      </c>
      <c r="O445" s="42"/>
      <c r="P445" s="42"/>
      <c r="Q445" s="55" t="n">
        <f aca="false">BJ86</f>
        <v>0</v>
      </c>
      <c r="R445" s="55"/>
      <c r="S445" s="55"/>
      <c r="T445" s="44" t="n">
        <f aca="false">AU86</f>
        <v>0.588</v>
      </c>
      <c r="U445" s="44"/>
      <c r="V445" s="67" t="n">
        <f aca="false">BH86</f>
        <v>0</v>
      </c>
      <c r="W445" s="67"/>
      <c r="X445" s="67" t="n">
        <f aca="false">BI86</f>
        <v>0</v>
      </c>
      <c r="Y445" s="67"/>
      <c r="Z445" s="68" t="n">
        <f aca="false">BK86</f>
        <v>0</v>
      </c>
      <c r="AA445" s="68"/>
      <c r="AB445" s="68"/>
      <c r="AC445" s="69" t="n">
        <f aca="false">BM86</f>
        <v>0</v>
      </c>
      <c r="AD445" s="69"/>
      <c r="AE445" s="69"/>
      <c r="AF445" s="12"/>
    </row>
    <row r="446" customFormat="false" ht="14.25" hidden="false" customHeight="false" outlineLevel="0" collapsed="false">
      <c r="B446" s="7"/>
      <c r="C446" s="46" t="n">
        <v>5</v>
      </c>
      <c r="D446" s="46"/>
      <c r="E446" s="44" t="n">
        <f aca="false">AI87</f>
        <v>6</v>
      </c>
      <c r="F446" s="44"/>
      <c r="G446" s="44"/>
      <c r="H446" s="41" t="str">
        <f aca="false">AM87</f>
        <v>Sand</v>
      </c>
      <c r="I446" s="41"/>
      <c r="J446" s="41"/>
      <c r="K446" s="42" t="n">
        <f aca="false">AQ87</f>
        <v>124.875</v>
      </c>
      <c r="L446" s="42"/>
      <c r="M446" s="42"/>
      <c r="N446" s="42" t="n">
        <f aca="false">BC87</f>
        <v>135.656483291149</v>
      </c>
      <c r="O446" s="42"/>
      <c r="P446" s="42"/>
      <c r="Q446" s="55" t="n">
        <f aca="false">BJ87</f>
        <v>0</v>
      </c>
      <c r="R446" s="55"/>
      <c r="S446" s="55"/>
      <c r="T446" s="44" t="n">
        <f aca="false">AU87</f>
        <v>0.503</v>
      </c>
      <c r="U446" s="44"/>
      <c r="V446" s="67" t="n">
        <f aca="false">BH87</f>
        <v>0</v>
      </c>
      <c r="W446" s="67"/>
      <c r="X446" s="67" t="n">
        <f aca="false">BI87</f>
        <v>0</v>
      </c>
      <c r="Y446" s="67"/>
      <c r="Z446" s="68" t="n">
        <f aca="false">BK87</f>
        <v>0</v>
      </c>
      <c r="AA446" s="68"/>
      <c r="AB446" s="68"/>
      <c r="AC446" s="69" t="n">
        <f aca="false">BM87</f>
        <v>0</v>
      </c>
      <c r="AD446" s="69"/>
      <c r="AE446" s="69"/>
      <c r="AF446" s="12"/>
    </row>
    <row r="447" customFormat="false" ht="14.25" hidden="false" customHeight="false" outlineLevel="0" collapsed="false">
      <c r="B447" s="7"/>
      <c r="C447" s="46" t="n">
        <v>6</v>
      </c>
      <c r="D447" s="46"/>
      <c r="E447" s="44" t="n">
        <f aca="false">AI88</f>
        <v>7.5</v>
      </c>
      <c r="F447" s="44"/>
      <c r="G447" s="44"/>
      <c r="H447" s="41" t="str">
        <f aca="false">AM88</f>
        <v>Sand</v>
      </c>
      <c r="I447" s="41"/>
      <c r="J447" s="41"/>
      <c r="K447" s="42" t="n">
        <f aca="false">AQ88</f>
        <v>140.05</v>
      </c>
      <c r="L447" s="42"/>
      <c r="M447" s="42"/>
      <c r="N447" s="42" t="n">
        <f aca="false">BC88</f>
        <v>135.384419937794</v>
      </c>
      <c r="O447" s="42"/>
      <c r="P447" s="42"/>
      <c r="Q447" s="55" t="n">
        <f aca="false">BJ88</f>
        <v>0</v>
      </c>
      <c r="R447" s="55"/>
      <c r="S447" s="55"/>
      <c r="T447" s="44" t="n">
        <f aca="false">AU88</f>
        <v>0.65</v>
      </c>
      <c r="U447" s="44"/>
      <c r="V447" s="67" t="n">
        <f aca="false">BH88</f>
        <v>0</v>
      </c>
      <c r="W447" s="67"/>
      <c r="X447" s="67" t="n">
        <f aca="false">BI88</f>
        <v>0</v>
      </c>
      <c r="Y447" s="67"/>
      <c r="Z447" s="68" t="n">
        <f aca="false">BK88</f>
        <v>0</v>
      </c>
      <c r="AA447" s="68"/>
      <c r="AB447" s="68"/>
      <c r="AC447" s="69" t="n">
        <f aca="false">BM88</f>
        <v>0</v>
      </c>
      <c r="AD447" s="69"/>
      <c r="AE447" s="69"/>
      <c r="AF447" s="12"/>
    </row>
    <row r="448" customFormat="false" ht="14.25" hidden="false" customHeight="false" outlineLevel="0" collapsed="false">
      <c r="B448" s="7"/>
      <c r="C448" s="46" t="n">
        <v>7</v>
      </c>
      <c r="D448" s="46"/>
      <c r="E448" s="44" t="n">
        <f aca="false">AI89</f>
        <v>9</v>
      </c>
      <c r="F448" s="44"/>
      <c r="G448" s="44"/>
      <c r="H448" s="41" t="str">
        <f aca="false">AM89</f>
        <v>Sand</v>
      </c>
      <c r="I448" s="41"/>
      <c r="J448" s="41"/>
      <c r="K448" s="42" t="n">
        <f aca="false">AQ89</f>
        <v>152.65</v>
      </c>
      <c r="L448" s="42"/>
      <c r="M448" s="42"/>
      <c r="N448" s="42" t="n">
        <f aca="false">BC89</f>
        <v>135.006063558054</v>
      </c>
      <c r="O448" s="42"/>
      <c r="P448" s="42"/>
      <c r="Q448" s="55" t="n">
        <f aca="false">BJ89</f>
        <v>0</v>
      </c>
      <c r="R448" s="55"/>
      <c r="S448" s="55"/>
      <c r="T448" s="44" t="n">
        <f aca="false">AU89</f>
        <v>0.787</v>
      </c>
      <c r="U448" s="44"/>
      <c r="V448" s="67" t="n">
        <f aca="false">BH89</f>
        <v>0</v>
      </c>
      <c r="W448" s="67"/>
      <c r="X448" s="67" t="n">
        <f aca="false">BI89</f>
        <v>0</v>
      </c>
      <c r="Y448" s="67"/>
      <c r="Z448" s="68" t="n">
        <f aca="false">BK89</f>
        <v>0</v>
      </c>
      <c r="AA448" s="68"/>
      <c r="AB448" s="68"/>
      <c r="AC448" s="69" t="n">
        <f aca="false">BM89</f>
        <v>0</v>
      </c>
      <c r="AD448" s="69"/>
      <c r="AE448" s="69"/>
      <c r="AF448" s="12"/>
    </row>
    <row r="449" customFormat="false" ht="14.25" hidden="false" customHeight="false" outlineLevel="0" collapsed="false">
      <c r="B449" s="7"/>
      <c r="C449" s="46" t="n">
        <v>8</v>
      </c>
      <c r="D449" s="46"/>
      <c r="E449" s="44" t="n">
        <f aca="false">AI90</f>
        <v>10.5</v>
      </c>
      <c r="F449" s="44"/>
      <c r="G449" s="44"/>
      <c r="H449" s="41" t="str">
        <f aca="false">AM90</f>
        <v>Sand</v>
      </c>
      <c r="I449" s="41"/>
      <c r="J449" s="41"/>
      <c r="K449" s="42" t="n">
        <f aca="false">AQ90</f>
        <v>165.25</v>
      </c>
      <c r="L449" s="42"/>
      <c r="M449" s="42"/>
      <c r="N449" s="42" t="n">
        <f aca="false">BC90</f>
        <v>134.511190640081</v>
      </c>
      <c r="O449" s="42"/>
      <c r="P449" s="42"/>
      <c r="Q449" s="55" t="n">
        <f aca="false">BJ90</f>
        <v>0</v>
      </c>
      <c r="R449" s="55"/>
      <c r="S449" s="55"/>
      <c r="T449" s="44" t="n">
        <f aca="false">AU90</f>
        <v>0.645</v>
      </c>
      <c r="U449" s="44"/>
      <c r="V449" s="67" t="n">
        <f aca="false">BH90</f>
        <v>0</v>
      </c>
      <c r="W449" s="67"/>
      <c r="X449" s="67" t="n">
        <f aca="false">BI90</f>
        <v>0</v>
      </c>
      <c r="Y449" s="67"/>
      <c r="Z449" s="68" t="n">
        <f aca="false">BK90</f>
        <v>0</v>
      </c>
      <c r="AA449" s="68"/>
      <c r="AB449" s="68"/>
      <c r="AC449" s="69" t="n">
        <f aca="false">BM90</f>
        <v>0</v>
      </c>
      <c r="AD449" s="69"/>
      <c r="AE449" s="69"/>
      <c r="AF449" s="12"/>
    </row>
    <row r="450" customFormat="false" ht="14.25" hidden="false" customHeight="false" outlineLevel="0" collapsed="false">
      <c r="B450" s="7"/>
      <c r="C450" s="46" t="n">
        <v>9</v>
      </c>
      <c r="D450" s="46"/>
      <c r="E450" s="44" t="n">
        <f aca="false">AI91</f>
        <v>12</v>
      </c>
      <c r="F450" s="44"/>
      <c r="G450" s="44"/>
      <c r="H450" s="41" t="str">
        <f aca="false">AM91</f>
        <v>Sand</v>
      </c>
      <c r="I450" s="41"/>
      <c r="J450" s="41"/>
      <c r="K450" s="42" t="n">
        <f aca="false">AQ91</f>
        <v>177.85</v>
      </c>
      <c r="L450" s="42"/>
      <c r="M450" s="42"/>
      <c r="N450" s="42" t="n">
        <f aca="false">BC91</f>
        <v>133.893072357031</v>
      </c>
      <c r="O450" s="42"/>
      <c r="P450" s="42"/>
      <c r="Q450" s="55" t="n">
        <f aca="false">BJ91</f>
        <v>0</v>
      </c>
      <c r="R450" s="55"/>
      <c r="S450" s="55"/>
      <c r="T450" s="44" t="n">
        <f aca="false">AU91</f>
        <v>0.628</v>
      </c>
      <c r="U450" s="44"/>
      <c r="V450" s="67" t="n">
        <f aca="false">BH91</f>
        <v>0</v>
      </c>
      <c r="W450" s="67"/>
      <c r="X450" s="67" t="n">
        <f aca="false">BI91</f>
        <v>0</v>
      </c>
      <c r="Y450" s="67"/>
      <c r="Z450" s="68" t="n">
        <f aca="false">BK91</f>
        <v>0</v>
      </c>
      <c r="AA450" s="68"/>
      <c r="AB450" s="68"/>
      <c r="AC450" s="69" t="n">
        <f aca="false">BM91</f>
        <v>0</v>
      </c>
      <c r="AD450" s="69"/>
      <c r="AE450" s="69"/>
      <c r="AF450" s="12"/>
    </row>
    <row r="451" customFormat="false" ht="14.25" hidden="false" customHeight="false" outlineLevel="0" collapsed="false">
      <c r="B451" s="7"/>
      <c r="C451" s="46" t="n">
        <v>10</v>
      </c>
      <c r="D451" s="46"/>
      <c r="E451" s="44" t="n">
        <f aca="false">AI92</f>
        <v>13.5</v>
      </c>
      <c r="F451" s="44"/>
      <c r="G451" s="44"/>
      <c r="H451" s="41" t="str">
        <f aca="false">AM92</f>
        <v>Sand</v>
      </c>
      <c r="I451" s="41"/>
      <c r="J451" s="41"/>
      <c r="K451" s="42" t="n">
        <f aca="false">AQ92</f>
        <v>190.45</v>
      </c>
      <c r="L451" s="42"/>
      <c r="M451" s="42"/>
      <c r="N451" s="42" t="n">
        <f aca="false">BC92</f>
        <v>133.148368665013</v>
      </c>
      <c r="O451" s="42"/>
      <c r="P451" s="42"/>
      <c r="Q451" s="55" t="n">
        <f aca="false">BJ92</f>
        <v>0</v>
      </c>
      <c r="R451" s="55"/>
      <c r="S451" s="55"/>
      <c r="T451" s="44" t="n">
        <f aca="false">AU92</f>
        <v>0.565</v>
      </c>
      <c r="U451" s="44"/>
      <c r="V451" s="67" t="n">
        <f aca="false">BH92</f>
        <v>0</v>
      </c>
      <c r="W451" s="67"/>
      <c r="X451" s="67" t="n">
        <f aca="false">BI92</f>
        <v>0</v>
      </c>
      <c r="Y451" s="67"/>
      <c r="Z451" s="68" t="n">
        <f aca="false">BK92</f>
        <v>0</v>
      </c>
      <c r="AA451" s="68"/>
      <c r="AB451" s="68"/>
      <c r="AC451" s="69" t="n">
        <f aca="false">BM92</f>
        <v>0</v>
      </c>
      <c r="AD451" s="69"/>
      <c r="AE451" s="69"/>
      <c r="AF451" s="12"/>
    </row>
    <row r="452" customFormat="false" ht="14.25" hidden="false" customHeight="false" outlineLevel="0" collapsed="false">
      <c r="B452" s="7"/>
      <c r="C452" s="46" t="n">
        <v>11</v>
      </c>
      <c r="D452" s="46"/>
      <c r="E452" s="44" t="n">
        <f aca="false">AI93</f>
        <v>15</v>
      </c>
      <c r="F452" s="44"/>
      <c r="G452" s="44"/>
      <c r="H452" s="41" t="str">
        <f aca="false">AM93</f>
        <v>Sand</v>
      </c>
      <c r="I452" s="41"/>
      <c r="J452" s="41"/>
      <c r="K452" s="42" t="n">
        <f aca="false">AQ93</f>
        <v>203.05</v>
      </c>
      <c r="L452" s="42"/>
      <c r="M452" s="42"/>
      <c r="N452" s="42" t="n">
        <f aca="false">BC93</f>
        <v>132.27687978272</v>
      </c>
      <c r="O452" s="42"/>
      <c r="P452" s="42"/>
      <c r="Q452" s="55" t="n">
        <f aca="false">BJ93</f>
        <v>0</v>
      </c>
      <c r="R452" s="55"/>
      <c r="S452" s="55"/>
      <c r="T452" s="44" t="n">
        <f aca="false">AU93</f>
        <v>0.464</v>
      </c>
      <c r="U452" s="44"/>
      <c r="V452" s="67" t="n">
        <f aca="false">BH93</f>
        <v>0</v>
      </c>
      <c r="W452" s="67"/>
      <c r="X452" s="67" t="n">
        <f aca="false">BI93</f>
        <v>0</v>
      </c>
      <c r="Y452" s="67"/>
      <c r="Z452" s="68" t="n">
        <f aca="false">BK93</f>
        <v>0</v>
      </c>
      <c r="AA452" s="68"/>
      <c r="AB452" s="68"/>
      <c r="AC452" s="69" t="n">
        <f aca="false">BM93</f>
        <v>0</v>
      </c>
      <c r="AD452" s="69"/>
      <c r="AE452" s="69"/>
      <c r="AF452" s="12"/>
    </row>
    <row r="453" customFormat="false" ht="14.25" hidden="false" customHeight="false" outlineLevel="0" collapsed="false">
      <c r="B453" s="7"/>
      <c r="C453" s="46" t="n">
        <v>12</v>
      </c>
      <c r="D453" s="46"/>
      <c r="E453" s="44" t="n">
        <f aca="false">AI94</f>
        <v>16.5</v>
      </c>
      <c r="F453" s="44"/>
      <c r="G453" s="44"/>
      <c r="H453" s="41" t="str">
        <f aca="false">AM94</f>
        <v>Sand</v>
      </c>
      <c r="I453" s="41"/>
      <c r="J453" s="41"/>
      <c r="K453" s="42" t="n">
        <f aca="false">AQ94</f>
        <v>215.65</v>
      </c>
      <c r="L453" s="42"/>
      <c r="M453" s="42"/>
      <c r="N453" s="42" t="n">
        <f aca="false">BC94</f>
        <v>131.281191431882</v>
      </c>
      <c r="O453" s="42"/>
      <c r="P453" s="42"/>
      <c r="Q453" s="55" t="n">
        <f aca="false">BJ94</f>
        <v>0</v>
      </c>
      <c r="R453" s="55"/>
      <c r="S453" s="55"/>
      <c r="T453" s="44" t="n">
        <f aca="false">AU94</f>
        <v>0.65</v>
      </c>
      <c r="U453" s="44"/>
      <c r="V453" s="67" t="n">
        <f aca="false">BH94</f>
        <v>0</v>
      </c>
      <c r="W453" s="67"/>
      <c r="X453" s="67" t="n">
        <f aca="false">BI94</f>
        <v>0</v>
      </c>
      <c r="Y453" s="67"/>
      <c r="Z453" s="68" t="n">
        <f aca="false">BK94</f>
        <v>0</v>
      </c>
      <c r="AA453" s="68"/>
      <c r="AB453" s="68"/>
      <c r="AC453" s="69" t="n">
        <f aca="false">BM94</f>
        <v>0</v>
      </c>
      <c r="AD453" s="69"/>
      <c r="AE453" s="69"/>
      <c r="AF453" s="12"/>
    </row>
    <row r="454" customFormat="false" ht="14.25" hidden="false" customHeight="false" outlineLevel="0" collapsed="false">
      <c r="B454" s="7"/>
      <c r="C454" s="46" t="n">
        <v>13</v>
      </c>
      <c r="D454" s="46"/>
      <c r="E454" s="44" t="n">
        <f aca="false">AI95</f>
        <v>18</v>
      </c>
      <c r="F454" s="44"/>
      <c r="G454" s="44"/>
      <c r="H454" s="41" t="str">
        <f aca="false">AM95</f>
        <v>Sand</v>
      </c>
      <c r="I454" s="41"/>
      <c r="J454" s="41"/>
      <c r="K454" s="42" t="n">
        <f aca="false">AQ95</f>
        <v>228.25</v>
      </c>
      <c r="L454" s="42"/>
      <c r="M454" s="42"/>
      <c r="N454" s="42" t="n">
        <f aca="false">BC95</f>
        <v>130.166251943235</v>
      </c>
      <c r="O454" s="42"/>
      <c r="P454" s="42"/>
      <c r="Q454" s="55" t="n">
        <f aca="false">BJ95</f>
        <v>0</v>
      </c>
      <c r="R454" s="55"/>
      <c r="S454" s="55"/>
      <c r="T454" s="44" t="n">
        <f aca="false">AU95</f>
        <v>0.65</v>
      </c>
      <c r="U454" s="44"/>
      <c r="V454" s="67" t="n">
        <f aca="false">BH95</f>
        <v>0</v>
      </c>
      <c r="W454" s="67"/>
      <c r="X454" s="67" t="n">
        <f aca="false">BI95</f>
        <v>0</v>
      </c>
      <c r="Y454" s="67"/>
      <c r="Z454" s="68" t="n">
        <f aca="false">BK95</f>
        <v>0</v>
      </c>
      <c r="AA454" s="68"/>
      <c r="AB454" s="68"/>
      <c r="AC454" s="69" t="n">
        <f aca="false">BM95</f>
        <v>0</v>
      </c>
      <c r="AD454" s="69"/>
      <c r="AE454" s="69"/>
      <c r="AF454" s="12"/>
    </row>
    <row r="455" customFormat="false" ht="14.25" hidden="false" customHeight="false" outlineLevel="0" collapsed="false">
      <c r="B455" s="7"/>
      <c r="C455" s="46" t="n">
        <v>14</v>
      </c>
      <c r="D455" s="46"/>
      <c r="E455" s="44" t="n">
        <f aca="false">AI96</f>
        <v>19.5</v>
      </c>
      <c r="F455" s="44"/>
      <c r="G455" s="44"/>
      <c r="H455" s="41" t="str">
        <f aca="false">AM96</f>
        <v>Sand</v>
      </c>
      <c r="I455" s="41"/>
      <c r="J455" s="41"/>
      <c r="K455" s="42" t="n">
        <f aca="false">AQ96</f>
        <v>240.85</v>
      </c>
      <c r="L455" s="42"/>
      <c r="M455" s="42"/>
      <c r="N455" s="42" t="n">
        <f aca="false">BC96</f>
        <v>128.938917112008</v>
      </c>
      <c r="O455" s="42"/>
      <c r="P455" s="42"/>
      <c r="Q455" s="55" t="n">
        <f aca="false">BJ96</f>
        <v>0</v>
      </c>
      <c r="R455" s="55"/>
      <c r="S455" s="55"/>
      <c r="T455" s="44" t="n">
        <f aca="false">AU96</f>
        <v>0.73</v>
      </c>
      <c r="U455" s="44"/>
      <c r="V455" s="67" t="n">
        <f aca="false">BH96</f>
        <v>0</v>
      </c>
      <c r="W455" s="67"/>
      <c r="X455" s="67" t="n">
        <f aca="false">BI96</f>
        <v>0</v>
      </c>
      <c r="Y455" s="67"/>
      <c r="Z455" s="68" t="n">
        <f aca="false">BK96</f>
        <v>0</v>
      </c>
      <c r="AA455" s="68"/>
      <c r="AB455" s="68"/>
      <c r="AC455" s="69" t="n">
        <f aca="false">BM96</f>
        <v>0</v>
      </c>
      <c r="AD455" s="69"/>
      <c r="AE455" s="69"/>
      <c r="AF455" s="12"/>
    </row>
    <row r="456" customFormat="false" ht="14.25" hidden="false" customHeight="false" outlineLevel="0" collapsed="false">
      <c r="B456" s="7"/>
      <c r="C456" s="46" t="n">
        <v>15</v>
      </c>
      <c r="D456" s="46"/>
      <c r="E456" s="44" t="n">
        <f aca="false">AI97</f>
        <v>21</v>
      </c>
      <c r="F456" s="44"/>
      <c r="G456" s="44"/>
      <c r="H456" s="41" t="str">
        <f aca="false">AM97</f>
        <v>Sand</v>
      </c>
      <c r="I456" s="41"/>
      <c r="J456" s="41"/>
      <c r="K456" s="42" t="n">
        <f aca="false">AQ97</f>
        <v>253.45</v>
      </c>
      <c r="L456" s="42"/>
      <c r="M456" s="42"/>
      <c r="N456" s="42" t="n">
        <f aca="false">BC97</f>
        <v>127.607493683403</v>
      </c>
      <c r="O456" s="42"/>
      <c r="P456" s="42"/>
      <c r="Q456" s="55" t="n">
        <f aca="false">BJ97</f>
        <v>0</v>
      </c>
      <c r="R456" s="55"/>
      <c r="S456" s="55"/>
      <c r="T456" s="44" t="n">
        <f aca="false">AU97</f>
        <v>0.65</v>
      </c>
      <c r="U456" s="44"/>
      <c r="V456" s="67" t="n">
        <f aca="false">BH97</f>
        <v>0</v>
      </c>
      <c r="W456" s="67"/>
      <c r="X456" s="67" t="n">
        <f aca="false">BI97</f>
        <v>0</v>
      </c>
      <c r="Y456" s="67"/>
      <c r="Z456" s="68" t="n">
        <f aca="false">BK97</f>
        <v>0</v>
      </c>
      <c r="AA456" s="68"/>
      <c r="AB456" s="68"/>
      <c r="AC456" s="69" t="n">
        <f aca="false">BM97</f>
        <v>0</v>
      </c>
      <c r="AD456" s="69"/>
      <c r="AE456" s="69"/>
      <c r="AF456" s="12"/>
    </row>
    <row r="457" customFormat="false" ht="14.25" hidden="false" customHeight="false" outlineLevel="0" collapsed="false">
      <c r="B457" s="7"/>
      <c r="C457" s="46" t="n">
        <v>16</v>
      </c>
      <c r="D457" s="46"/>
      <c r="E457" s="44" t="n">
        <f aca="false">AI98</f>
        <v>22.5</v>
      </c>
      <c r="F457" s="44"/>
      <c r="G457" s="44"/>
      <c r="H457" s="41" t="str">
        <f aca="false">AM98</f>
        <v>Sand</v>
      </c>
      <c r="I457" s="41"/>
      <c r="J457" s="41"/>
      <c r="K457" s="42" t="n">
        <f aca="false">AQ98</f>
        <v>266.05</v>
      </c>
      <c r="L457" s="42"/>
      <c r="M457" s="42"/>
      <c r="N457" s="42" t="n">
        <f aca="false">BC98</f>
        <v>126.181305793762</v>
      </c>
      <c r="O457" s="42"/>
      <c r="P457" s="42"/>
      <c r="Q457" s="55" t="n">
        <f aca="false">BJ98</f>
        <v>0</v>
      </c>
      <c r="R457" s="55"/>
      <c r="S457" s="55"/>
      <c r="T457" s="44" t="n">
        <f aca="false">AU98</f>
        <v>0.747</v>
      </c>
      <c r="U457" s="44"/>
      <c r="V457" s="67" t="n">
        <f aca="false">BH98</f>
        <v>0</v>
      </c>
      <c r="W457" s="67"/>
      <c r="X457" s="67" t="n">
        <f aca="false">BI98</f>
        <v>0</v>
      </c>
      <c r="Y457" s="67"/>
      <c r="Z457" s="68" t="n">
        <f aca="false">BK98</f>
        <v>0</v>
      </c>
      <c r="AA457" s="68"/>
      <c r="AB457" s="68"/>
      <c r="AC457" s="69" t="n">
        <f aca="false">BM98</f>
        <v>0</v>
      </c>
      <c r="AD457" s="69"/>
      <c r="AE457" s="69"/>
      <c r="AF457" s="12"/>
    </row>
    <row r="458" customFormat="false" ht="14.25" hidden="false" customHeight="false" outlineLevel="0" collapsed="false">
      <c r="B458" s="7"/>
      <c r="C458" s="46" t="n">
        <v>17</v>
      </c>
      <c r="D458" s="46"/>
      <c r="E458" s="44" t="n">
        <f aca="false">AI99</f>
        <v>24</v>
      </c>
      <c r="F458" s="44"/>
      <c r="G458" s="44"/>
      <c r="H458" s="41" t="str">
        <f aca="false">AM99</f>
        <v>Sand</v>
      </c>
      <c r="I458" s="41"/>
      <c r="J458" s="41"/>
      <c r="K458" s="42" t="n">
        <f aca="false">AQ99</f>
        <v>278.65</v>
      </c>
      <c r="L458" s="42"/>
      <c r="M458" s="42"/>
      <c r="N458" s="42" t="n">
        <f aca="false">BC99</f>
        <v>124.670301678981</v>
      </c>
      <c r="O458" s="42"/>
      <c r="P458" s="42"/>
      <c r="Q458" s="55" t="n">
        <f aca="false">BJ99</f>
        <v>0</v>
      </c>
      <c r="R458" s="55"/>
      <c r="S458" s="55"/>
      <c r="T458" s="44" t="n">
        <f aca="false">AU99</f>
        <v>0.65</v>
      </c>
      <c r="U458" s="44"/>
      <c r="V458" s="67" t="n">
        <f aca="false">BH99</f>
        <v>0</v>
      </c>
      <c r="W458" s="67"/>
      <c r="X458" s="67" t="n">
        <f aca="false">BI99</f>
        <v>0</v>
      </c>
      <c r="Y458" s="67"/>
      <c r="Z458" s="68" t="n">
        <f aca="false">BK99</f>
        <v>0</v>
      </c>
      <c r="AA458" s="68"/>
      <c r="AB458" s="68"/>
      <c r="AC458" s="69" t="n">
        <f aca="false">BM99</f>
        <v>0</v>
      </c>
      <c r="AD458" s="69"/>
      <c r="AE458" s="69"/>
      <c r="AF458" s="12"/>
    </row>
    <row r="459" customFormat="false" ht="14.25" hidden="false" customHeight="false" outlineLevel="0" collapsed="false">
      <c r="B459" s="7"/>
      <c r="C459" s="46" t="n">
        <v>18</v>
      </c>
      <c r="D459" s="46"/>
      <c r="E459" s="44" t="n">
        <f aca="false">AI100</f>
        <v>25.5</v>
      </c>
      <c r="F459" s="44"/>
      <c r="G459" s="44"/>
      <c r="H459" s="41" t="str">
        <f aca="false">AM100</f>
        <v>Sand</v>
      </c>
      <c r="I459" s="41"/>
      <c r="J459" s="41"/>
      <c r="K459" s="42" t="n">
        <f aca="false">AQ100</f>
        <v>291.25</v>
      </c>
      <c r="L459" s="42"/>
      <c r="M459" s="42"/>
      <c r="N459" s="42" t="n">
        <f aca="false">BC100</f>
        <v>123.084711322374</v>
      </c>
      <c r="O459" s="42"/>
      <c r="P459" s="42"/>
      <c r="Q459" s="55" t="n">
        <f aca="false">BJ100</f>
        <v>0</v>
      </c>
      <c r="R459" s="55"/>
      <c r="S459" s="55"/>
      <c r="T459" s="44" t="n">
        <f aca="false">AU100</f>
        <v>0.73</v>
      </c>
      <c r="U459" s="44"/>
      <c r="V459" s="67" t="n">
        <f aca="false">BH100</f>
        <v>0</v>
      </c>
      <c r="W459" s="67"/>
      <c r="X459" s="67" t="n">
        <f aca="false">BI100</f>
        <v>0</v>
      </c>
      <c r="Y459" s="67"/>
      <c r="Z459" s="68" t="n">
        <f aca="false">BK100</f>
        <v>0</v>
      </c>
      <c r="AA459" s="68"/>
      <c r="AB459" s="68"/>
      <c r="AC459" s="69" t="n">
        <f aca="false">BM100</f>
        <v>0</v>
      </c>
      <c r="AD459" s="69"/>
      <c r="AE459" s="69"/>
      <c r="AF459" s="12"/>
    </row>
    <row r="460" customFormat="false" ht="14.25" hidden="false" customHeight="false" outlineLevel="0" collapsed="false">
      <c r="B460" s="7"/>
      <c r="C460" s="46" t="n">
        <v>19</v>
      </c>
      <c r="D460" s="46"/>
      <c r="E460" s="44" t="n">
        <f aca="false">AI101</f>
        <v>27</v>
      </c>
      <c r="F460" s="44"/>
      <c r="G460" s="44"/>
      <c r="H460" s="41" t="str">
        <f aca="false">AM101</f>
        <v>Sand</v>
      </c>
      <c r="I460" s="41"/>
      <c r="J460" s="41"/>
      <c r="K460" s="42" t="n">
        <f aca="false">AQ101</f>
        <v>303.85</v>
      </c>
      <c r="L460" s="42"/>
      <c r="M460" s="42"/>
      <c r="N460" s="42" t="n">
        <f aca="false">BC101</f>
        <v>121.434759989289</v>
      </c>
      <c r="O460" s="42"/>
      <c r="P460" s="42"/>
      <c r="Q460" s="55" t="n">
        <f aca="false">BJ101</f>
        <v>0</v>
      </c>
      <c r="R460" s="55"/>
      <c r="S460" s="55"/>
      <c r="T460" s="44" t="n">
        <f aca="false">AU101</f>
        <v>0.65</v>
      </c>
      <c r="U460" s="44"/>
      <c r="V460" s="67" t="n">
        <f aca="false">BH101</f>
        <v>0</v>
      </c>
      <c r="W460" s="67"/>
      <c r="X460" s="67" t="n">
        <f aca="false">BI101</f>
        <v>0</v>
      </c>
      <c r="Y460" s="67"/>
      <c r="Z460" s="68" t="n">
        <f aca="false">BK101</f>
        <v>0</v>
      </c>
      <c r="AA460" s="68"/>
      <c r="AB460" s="68"/>
      <c r="AC460" s="69" t="n">
        <f aca="false">BM101</f>
        <v>0</v>
      </c>
      <c r="AD460" s="69"/>
      <c r="AE460" s="69"/>
      <c r="AF460" s="12"/>
    </row>
    <row r="461" customFormat="false" ht="14.25" hidden="false" customHeight="false" outlineLevel="0" collapsed="false">
      <c r="B461" s="7"/>
      <c r="C461" s="46" t="n">
        <v>20</v>
      </c>
      <c r="D461" s="46"/>
      <c r="E461" s="44" t="n">
        <f aca="false">AI102</f>
        <v>28.5</v>
      </c>
      <c r="F461" s="44"/>
      <c r="G461" s="44"/>
      <c r="H461" s="41" t="str">
        <f aca="false">AM102</f>
        <v>Sand</v>
      </c>
      <c r="I461" s="41"/>
      <c r="J461" s="41"/>
      <c r="K461" s="42" t="n">
        <f aca="false">AQ102</f>
        <v>316.45</v>
      </c>
      <c r="L461" s="42"/>
      <c r="M461" s="42"/>
      <c r="N461" s="42" t="n">
        <f aca="false">BC102</f>
        <v>119.73043805321</v>
      </c>
      <c r="O461" s="42"/>
      <c r="P461" s="42"/>
      <c r="Q461" s="55" t="n">
        <f aca="false">BJ102</f>
        <v>0</v>
      </c>
      <c r="R461" s="55"/>
      <c r="S461" s="55"/>
      <c r="T461" s="44" t="n">
        <f aca="false">AU102</f>
        <v>0.65</v>
      </c>
      <c r="U461" s="44"/>
      <c r="V461" s="67" t="n">
        <f aca="false">BH102</f>
        <v>0</v>
      </c>
      <c r="W461" s="67"/>
      <c r="X461" s="67" t="n">
        <f aca="false">BI102</f>
        <v>0</v>
      </c>
      <c r="Y461" s="67"/>
      <c r="Z461" s="68" t="n">
        <f aca="false">BK102</f>
        <v>0</v>
      </c>
      <c r="AA461" s="68"/>
      <c r="AB461" s="68"/>
      <c r="AC461" s="69" t="n">
        <f aca="false">BM102</f>
        <v>0</v>
      </c>
      <c r="AD461" s="69"/>
      <c r="AE461" s="69"/>
      <c r="AF461" s="12"/>
    </row>
    <row r="462" customFormat="false" ht="14.25" hidden="false" customHeight="false" outlineLevel="0" collapsed="false">
      <c r="B462" s="7"/>
      <c r="C462" s="46" t="n">
        <v>21</v>
      </c>
      <c r="D462" s="46"/>
      <c r="E462" s="44" t="n">
        <f aca="false">AI103</f>
        <v>30</v>
      </c>
      <c r="F462" s="44"/>
      <c r="G462" s="44"/>
      <c r="H462" s="41" t="str">
        <f aca="false">AM103</f>
        <v>Sand</v>
      </c>
      <c r="I462" s="41"/>
      <c r="J462" s="41"/>
      <c r="K462" s="42" t="n">
        <f aca="false">AQ103</f>
        <v>329.05</v>
      </c>
      <c r="L462" s="42"/>
      <c r="M462" s="42"/>
      <c r="N462" s="42" t="n">
        <f aca="false">BC103</f>
        <v>117.981324211207</v>
      </c>
      <c r="O462" s="42"/>
      <c r="P462" s="42"/>
      <c r="Q462" s="55" t="n">
        <f aca="false">BJ103</f>
        <v>0</v>
      </c>
      <c r="R462" s="55"/>
      <c r="S462" s="55"/>
      <c r="T462" s="44" t="n">
        <f aca="false">AU103</f>
        <v>0.65</v>
      </c>
      <c r="U462" s="44"/>
      <c r="V462" s="67" t="n">
        <f aca="false">BH103</f>
        <v>0</v>
      </c>
      <c r="W462" s="67"/>
      <c r="X462" s="67" t="n">
        <f aca="false">BI103</f>
        <v>0</v>
      </c>
      <c r="Y462" s="67"/>
      <c r="Z462" s="68" t="n">
        <f aca="false">BK103</f>
        <v>0</v>
      </c>
      <c r="AA462" s="68"/>
      <c r="AB462" s="68"/>
      <c r="AC462" s="69" t="n">
        <f aca="false">BM103</f>
        <v>0</v>
      </c>
      <c r="AD462" s="69"/>
      <c r="AE462" s="69"/>
      <c r="AF462" s="12"/>
    </row>
    <row r="463" customFormat="false" ht="14.25" hidden="false" customHeight="false" outlineLevel="0" collapsed="false">
      <c r="B463" s="7"/>
      <c r="C463" s="46" t="n">
        <v>22</v>
      </c>
      <c r="D463" s="46"/>
      <c r="E463" s="44" t="n">
        <f aca="false">AI104</f>
        <v>31.5</v>
      </c>
      <c r="F463" s="44"/>
      <c r="G463" s="44"/>
      <c r="H463" s="41" t="str">
        <f aca="false">AM104</f>
        <v>Sand</v>
      </c>
      <c r="I463" s="41"/>
      <c r="J463" s="41"/>
      <c r="K463" s="42" t="n">
        <f aca="false">AQ104</f>
        <v>341.65</v>
      </c>
      <c r="L463" s="42"/>
      <c r="M463" s="42"/>
      <c r="N463" s="42" t="n">
        <f aca="false">BC104</f>
        <v>116.196457021307</v>
      </c>
      <c r="O463" s="42"/>
      <c r="P463" s="42"/>
      <c r="Q463" s="55" t="n">
        <f aca="false">BJ104</f>
        <v>0</v>
      </c>
      <c r="R463" s="55"/>
      <c r="S463" s="55"/>
      <c r="T463" s="44" t="n">
        <f aca="false">AU104</f>
        <v>0.65</v>
      </c>
      <c r="U463" s="44"/>
      <c r="V463" s="67" t="n">
        <f aca="false">BH104</f>
        <v>0</v>
      </c>
      <c r="W463" s="67"/>
      <c r="X463" s="67" t="n">
        <f aca="false">BI104</f>
        <v>0</v>
      </c>
      <c r="Y463" s="67"/>
      <c r="Z463" s="68" t="n">
        <f aca="false">BK104</f>
        <v>0</v>
      </c>
      <c r="AA463" s="68"/>
      <c r="AB463" s="68"/>
      <c r="AC463" s="69" t="n">
        <f aca="false">BM104</f>
        <v>0</v>
      </c>
      <c r="AD463" s="69"/>
      <c r="AE463" s="69"/>
      <c r="AF463" s="12"/>
    </row>
    <row r="464" customFormat="false" ht="14.25" hidden="false" customHeight="false" outlineLevel="0" collapsed="false">
      <c r="B464" s="7"/>
      <c r="C464" s="46" t="n">
        <v>23</v>
      </c>
      <c r="D464" s="46"/>
      <c r="E464" s="44" t="n">
        <f aca="false">AI105</f>
        <v>33</v>
      </c>
      <c r="F464" s="44"/>
      <c r="G464" s="44"/>
      <c r="H464" s="41" t="str">
        <f aca="false">AM105</f>
        <v>Sand</v>
      </c>
      <c r="I464" s="41"/>
      <c r="J464" s="41"/>
      <c r="K464" s="42" t="n">
        <f aca="false">AQ105</f>
        <v>354.25</v>
      </c>
      <c r="L464" s="42"/>
      <c r="M464" s="42"/>
      <c r="N464" s="42" t="n">
        <f aca="false">BC105</f>
        <v>114.384248493289</v>
      </c>
      <c r="O464" s="42"/>
      <c r="P464" s="42"/>
      <c r="Q464" s="55" t="n">
        <f aca="false">BJ105</f>
        <v>0</v>
      </c>
      <c r="R464" s="55"/>
      <c r="S464" s="55"/>
      <c r="T464" s="44" t="n">
        <f aca="false">AU105</f>
        <v>0.65</v>
      </c>
      <c r="U464" s="44"/>
      <c r="V464" s="67" t="n">
        <f aca="false">BH105</f>
        <v>0</v>
      </c>
      <c r="W464" s="67"/>
      <c r="X464" s="67" t="n">
        <f aca="false">BI105</f>
        <v>0</v>
      </c>
      <c r="Y464" s="67"/>
      <c r="Z464" s="68" t="n">
        <f aca="false">BK105</f>
        <v>0</v>
      </c>
      <c r="AA464" s="68"/>
      <c r="AB464" s="68"/>
      <c r="AC464" s="69" t="n">
        <f aca="false">BM105</f>
        <v>0</v>
      </c>
      <c r="AD464" s="69"/>
      <c r="AE464" s="69"/>
      <c r="AF464" s="12"/>
    </row>
    <row r="465" customFormat="false" ht="14.25" hidden="false" customHeight="false" outlineLevel="0" collapsed="false">
      <c r="B465" s="7"/>
      <c r="C465" s="46" t="n">
        <v>24</v>
      </c>
      <c r="D465" s="46"/>
      <c r="E465" s="44" t="n">
        <f aca="false">AI106</f>
        <v>34.5</v>
      </c>
      <c r="F465" s="44"/>
      <c r="G465" s="44"/>
      <c r="H465" s="41" t="str">
        <f aca="false">AM106</f>
        <v>Sand</v>
      </c>
      <c r="I465" s="41"/>
      <c r="J465" s="41"/>
      <c r="K465" s="42" t="n">
        <f aca="false">AQ106</f>
        <v>366.85</v>
      </c>
      <c r="L465" s="42"/>
      <c r="M465" s="42"/>
      <c r="N465" s="42" t="n">
        <f aca="false">BC106</f>
        <v>112.552433017023</v>
      </c>
      <c r="O465" s="42"/>
      <c r="P465" s="42"/>
      <c r="Q465" s="55" t="n">
        <f aca="false">BJ106</f>
        <v>0</v>
      </c>
      <c r="R465" s="55"/>
      <c r="S465" s="55"/>
      <c r="T465" s="44" t="n">
        <f aca="false">AU106</f>
        <v>0.65</v>
      </c>
      <c r="U465" s="44"/>
      <c r="V465" s="67" t="n">
        <f aca="false">BH106</f>
        <v>0</v>
      </c>
      <c r="W465" s="67"/>
      <c r="X465" s="67" t="n">
        <f aca="false">BI106</f>
        <v>0</v>
      </c>
      <c r="Y465" s="67"/>
      <c r="Z465" s="68" t="n">
        <f aca="false">BK106</f>
        <v>0</v>
      </c>
      <c r="AA465" s="68"/>
      <c r="AB465" s="68"/>
      <c r="AC465" s="69" t="n">
        <f aca="false">BM106</f>
        <v>0</v>
      </c>
      <c r="AD465" s="69"/>
      <c r="AE465" s="69"/>
      <c r="AF465" s="12"/>
    </row>
    <row r="466" customFormat="false" ht="14.25" hidden="false" customHeight="false" outlineLevel="0" collapsed="false">
      <c r="B466" s="7"/>
      <c r="C466" s="46" t="n">
        <v>25</v>
      </c>
      <c r="D466" s="46"/>
      <c r="E466" s="44" t="n">
        <f aca="false">AI107</f>
        <v>36</v>
      </c>
      <c r="F466" s="44"/>
      <c r="G466" s="44"/>
      <c r="H466" s="41" t="str">
        <f aca="false">AM107</f>
        <v>Sand</v>
      </c>
      <c r="I466" s="41"/>
      <c r="J466" s="41"/>
      <c r="K466" s="42" t="n">
        <f aca="false">AQ107</f>
        <v>379.45</v>
      </c>
      <c r="L466" s="42"/>
      <c r="M466" s="42"/>
      <c r="N466" s="42" t="n">
        <f aca="false">BC107</f>
        <v>110.708045010863</v>
      </c>
      <c r="O466" s="42"/>
      <c r="P466" s="42"/>
      <c r="Q466" s="55" t="n">
        <f aca="false">BJ107</f>
        <v>0</v>
      </c>
      <c r="R466" s="55"/>
      <c r="S466" s="55"/>
      <c r="T466" s="44" t="n">
        <f aca="false">AU107</f>
        <v>0.65</v>
      </c>
      <c r="U466" s="44"/>
      <c r="V466" s="67" t="n">
        <f aca="false">BH107</f>
        <v>0</v>
      </c>
      <c r="W466" s="67"/>
      <c r="X466" s="67" t="n">
        <f aca="false">BI107</f>
        <v>0</v>
      </c>
      <c r="Y466" s="67"/>
      <c r="Z466" s="68" t="n">
        <f aca="false">BK107</f>
        <v>0</v>
      </c>
      <c r="AA466" s="68"/>
      <c r="AB466" s="68"/>
      <c r="AC466" s="69" t="n">
        <f aca="false">BM107</f>
        <v>0</v>
      </c>
      <c r="AD466" s="69"/>
      <c r="AE466" s="69"/>
      <c r="AF466" s="12"/>
    </row>
    <row r="467" customFormat="false" ht="14.25" hidden="false" customHeight="false" outlineLevel="0" collapsed="false">
      <c r="B467" s="7"/>
      <c r="C467" s="46" t="n">
        <v>26</v>
      </c>
      <c r="D467" s="46"/>
      <c r="E467" s="44" t="n">
        <f aca="false">AI108</f>
        <v>37.5</v>
      </c>
      <c r="F467" s="44"/>
      <c r="G467" s="44"/>
      <c r="H467" s="41" t="str">
        <f aca="false">AM108</f>
        <v>Sand</v>
      </c>
      <c r="I467" s="41"/>
      <c r="J467" s="41"/>
      <c r="K467" s="42" t="n">
        <f aca="false">AQ108</f>
        <v>392.05</v>
      </c>
      <c r="L467" s="42"/>
      <c r="M467" s="42"/>
      <c r="N467" s="42" t="n">
        <f aca="false">BC108</f>
        <v>108.857419132691</v>
      </c>
      <c r="O467" s="42"/>
      <c r="P467" s="42"/>
      <c r="Q467" s="55" t="n">
        <f aca="false">BJ108</f>
        <v>0</v>
      </c>
      <c r="R467" s="55"/>
      <c r="S467" s="55"/>
      <c r="T467" s="44" t="n">
        <f aca="false">AU108</f>
        <v>0.65</v>
      </c>
      <c r="U467" s="44"/>
      <c r="V467" s="67" t="n">
        <f aca="false">BH108</f>
        <v>0</v>
      </c>
      <c r="W467" s="67"/>
      <c r="X467" s="67" t="n">
        <f aca="false">BI108</f>
        <v>0</v>
      </c>
      <c r="Y467" s="67"/>
      <c r="Z467" s="68" t="n">
        <f aca="false">BK108</f>
        <v>0</v>
      </c>
      <c r="AA467" s="68"/>
      <c r="AB467" s="68"/>
      <c r="AC467" s="69" t="n">
        <f aca="false">BM108</f>
        <v>0</v>
      </c>
      <c r="AD467" s="69"/>
      <c r="AE467" s="69"/>
      <c r="AF467" s="12"/>
    </row>
    <row r="468" customFormat="false" ht="14.25" hidden="false" customHeight="false" outlineLevel="0" collapsed="false">
      <c r="B468" s="7"/>
      <c r="C468" s="46" t="n">
        <v>27</v>
      </c>
      <c r="D468" s="46"/>
      <c r="E468" s="44" t="n">
        <f aca="false">AI109</f>
        <v>39</v>
      </c>
      <c r="F468" s="44"/>
      <c r="G468" s="44"/>
      <c r="H468" s="41" t="str">
        <f aca="false">AM109</f>
        <v>Sand</v>
      </c>
      <c r="I468" s="41"/>
      <c r="J468" s="41"/>
      <c r="K468" s="42" t="n">
        <f aca="false">AQ109</f>
        <v>404.65</v>
      </c>
      <c r="L468" s="42"/>
      <c r="M468" s="42"/>
      <c r="N468" s="42" t="n">
        <f aca="false">BC109</f>
        <v>107.006207567439</v>
      </c>
      <c r="O468" s="42"/>
      <c r="P468" s="42"/>
      <c r="Q468" s="55" t="n">
        <f aca="false">BJ109</f>
        <v>0</v>
      </c>
      <c r="R468" s="55"/>
      <c r="S468" s="55"/>
      <c r="T468" s="44" t="n">
        <f aca="false">AU109</f>
        <v>0.65</v>
      </c>
      <c r="U468" s="44"/>
      <c r="V468" s="67" t="n">
        <f aca="false">BH109</f>
        <v>0</v>
      </c>
      <c r="W468" s="67"/>
      <c r="X468" s="67" t="n">
        <f aca="false">BI109</f>
        <v>0</v>
      </c>
      <c r="Y468" s="67"/>
      <c r="Z468" s="68" t="n">
        <f aca="false">BK109</f>
        <v>0</v>
      </c>
      <c r="AA468" s="68"/>
      <c r="AB468" s="68"/>
      <c r="AC468" s="69" t="n">
        <f aca="false">BM109</f>
        <v>0</v>
      </c>
      <c r="AD468" s="69"/>
      <c r="AE468" s="69"/>
      <c r="AF468" s="12"/>
    </row>
    <row r="469" customFormat="false" ht="14.25" hidden="false" customHeight="false" outlineLevel="0" collapsed="false">
      <c r="B469" s="7"/>
      <c r="C469" s="46" t="n">
        <v>28</v>
      </c>
      <c r="D469" s="46"/>
      <c r="E469" s="44" t="n">
        <f aca="false">AI110</f>
        <v>40.5</v>
      </c>
      <c r="F469" s="44"/>
      <c r="G469" s="44"/>
      <c r="H469" s="41" t="str">
        <f aca="false">AM110</f>
        <v>Sand</v>
      </c>
      <c r="I469" s="41"/>
      <c r="J469" s="41"/>
      <c r="K469" s="42" t="n">
        <f aca="false">AQ110</f>
        <v>417.25</v>
      </c>
      <c r="L469" s="42"/>
      <c r="M469" s="42"/>
      <c r="N469" s="42" t="n">
        <f aca="false">BC110</f>
        <v>105.159409672716</v>
      </c>
      <c r="O469" s="42"/>
      <c r="P469" s="42"/>
      <c r="Q469" s="55" t="n">
        <f aca="false">BJ110</f>
        <v>0</v>
      </c>
      <c r="R469" s="55"/>
      <c r="S469" s="55"/>
      <c r="T469" s="44" t="n">
        <f aca="false">AU110</f>
        <v>0.65</v>
      </c>
      <c r="U469" s="44"/>
      <c r="V469" s="67" t="n">
        <f aca="false">BH110</f>
        <v>0</v>
      </c>
      <c r="W469" s="67"/>
      <c r="X469" s="67" t="n">
        <f aca="false">BI110</f>
        <v>0</v>
      </c>
      <c r="Y469" s="67"/>
      <c r="Z469" s="68" t="n">
        <f aca="false">BK110</f>
        <v>0</v>
      </c>
      <c r="AA469" s="68"/>
      <c r="AB469" s="68"/>
      <c r="AC469" s="69" t="n">
        <f aca="false">BM110</f>
        <v>0</v>
      </c>
      <c r="AD469" s="69"/>
      <c r="AE469" s="69"/>
      <c r="AF469" s="12"/>
    </row>
    <row r="470" customFormat="false" ht="14.25" hidden="false" customHeight="false" outlineLevel="0" collapsed="false">
      <c r="B470" s="7"/>
      <c r="C470" s="46" t="n">
        <v>29</v>
      </c>
      <c r="D470" s="46"/>
      <c r="E470" s="44" t="n">
        <f aca="false">AI111</f>
        <v>42</v>
      </c>
      <c r="F470" s="44"/>
      <c r="G470" s="44"/>
      <c r="H470" s="41" t="str">
        <f aca="false">AM111</f>
        <v>Sand</v>
      </c>
      <c r="I470" s="41"/>
      <c r="J470" s="41"/>
      <c r="K470" s="42" t="n">
        <f aca="false">AQ111</f>
        <v>429.850000000001</v>
      </c>
      <c r="L470" s="42"/>
      <c r="M470" s="42"/>
      <c r="N470" s="42" t="n">
        <f aca="false">BC111</f>
        <v>103.321410046931</v>
      </c>
      <c r="O470" s="42"/>
      <c r="P470" s="42"/>
      <c r="Q470" s="55" t="n">
        <f aca="false">BJ111</f>
        <v>0</v>
      </c>
      <c r="R470" s="55"/>
      <c r="S470" s="55"/>
      <c r="T470" s="44" t="n">
        <f aca="false">AU111</f>
        <v>0.65</v>
      </c>
      <c r="U470" s="44"/>
      <c r="V470" s="67" t="n">
        <f aca="false">BH111</f>
        <v>0</v>
      </c>
      <c r="W470" s="67"/>
      <c r="X470" s="67" t="n">
        <f aca="false">BI111</f>
        <v>0</v>
      </c>
      <c r="Y470" s="67"/>
      <c r="Z470" s="68" t="n">
        <f aca="false">BK111</f>
        <v>0</v>
      </c>
      <c r="AA470" s="68"/>
      <c r="AB470" s="68"/>
      <c r="AC470" s="69" t="n">
        <f aca="false">BM111</f>
        <v>0</v>
      </c>
      <c r="AD470" s="69"/>
      <c r="AE470" s="69"/>
      <c r="AF470" s="12"/>
    </row>
    <row r="471" customFormat="false" ht="14.25" hidden="false" customHeight="false" outlineLevel="0" collapsed="false">
      <c r="B471" s="7"/>
      <c r="C471" s="46" t="n">
        <v>30</v>
      </c>
      <c r="D471" s="46"/>
      <c r="E471" s="44" t="n">
        <f aca="false">AI112</f>
        <v>43.5</v>
      </c>
      <c r="F471" s="44"/>
      <c r="G471" s="44"/>
      <c r="H471" s="41" t="str">
        <f aca="false">AM112</f>
        <v>Sand</v>
      </c>
      <c r="I471" s="41"/>
      <c r="J471" s="41"/>
      <c r="K471" s="42" t="n">
        <f aca="false">AQ112</f>
        <v>442.450000000001</v>
      </c>
      <c r="L471" s="42"/>
      <c r="M471" s="42"/>
      <c r="N471" s="42" t="n">
        <f aca="false">BC112</f>
        <v>101.496021828265</v>
      </c>
      <c r="O471" s="42"/>
      <c r="P471" s="42"/>
      <c r="Q471" s="55" t="n">
        <f aca="false">BJ112</f>
        <v>0</v>
      </c>
      <c r="R471" s="55"/>
      <c r="S471" s="55"/>
      <c r="T471" s="44" t="n">
        <f aca="false">AU112</f>
        <v>0.65</v>
      </c>
      <c r="U471" s="44"/>
      <c r="V471" s="67" t="n">
        <f aca="false">BH112</f>
        <v>0</v>
      </c>
      <c r="W471" s="67"/>
      <c r="X471" s="67" t="n">
        <f aca="false">BI112</f>
        <v>0</v>
      </c>
      <c r="Y471" s="67"/>
      <c r="Z471" s="68" t="n">
        <f aca="false">BK112</f>
        <v>0</v>
      </c>
      <c r="AA471" s="68"/>
      <c r="AB471" s="68"/>
      <c r="AC471" s="69" t="n">
        <f aca="false">BM112</f>
        <v>0</v>
      </c>
      <c r="AD471" s="69"/>
      <c r="AE471" s="69"/>
      <c r="AF471" s="12"/>
    </row>
    <row r="472" customFormat="false" ht="14.25" hidden="false" customHeight="false" outlineLevel="0" collapsed="false">
      <c r="B472" s="7"/>
      <c r="C472" s="46" t="n">
        <v>31</v>
      </c>
      <c r="D472" s="46"/>
      <c r="E472" s="44" t="n">
        <f aca="false">AI113</f>
        <v>45</v>
      </c>
      <c r="F472" s="44"/>
      <c r="G472" s="44"/>
      <c r="H472" s="41" t="str">
        <f aca="false">AM113</f>
        <v>Sand</v>
      </c>
      <c r="I472" s="41"/>
      <c r="J472" s="41"/>
      <c r="K472" s="42" t="n">
        <f aca="false">AQ113</f>
        <v>455.050000000001</v>
      </c>
      <c r="L472" s="42"/>
      <c r="M472" s="42"/>
      <c r="N472" s="42" t="n">
        <f aca="false">BC113</f>
        <v>99.6865327062518</v>
      </c>
      <c r="O472" s="42"/>
      <c r="P472" s="42"/>
      <c r="Q472" s="55" t="n">
        <f aca="false">BJ113</f>
        <v>0</v>
      </c>
      <c r="R472" s="55"/>
      <c r="S472" s="55"/>
      <c r="T472" s="44" t="n">
        <f aca="false">AU113</f>
        <v>0.65</v>
      </c>
      <c r="U472" s="44"/>
      <c r="V472" s="67" t="n">
        <f aca="false">BH113</f>
        <v>0</v>
      </c>
      <c r="W472" s="67"/>
      <c r="X472" s="67" t="n">
        <f aca="false">BI113</f>
        <v>0</v>
      </c>
      <c r="Y472" s="67"/>
      <c r="Z472" s="68" t="n">
        <f aca="false">BK113</f>
        <v>0</v>
      </c>
      <c r="AA472" s="68"/>
      <c r="AB472" s="68"/>
      <c r="AC472" s="69" t="n">
        <f aca="false">BM113</f>
        <v>0</v>
      </c>
      <c r="AD472" s="69"/>
      <c r="AE472" s="69"/>
      <c r="AF472" s="12"/>
    </row>
    <row r="473" customFormat="false" ht="14.25" hidden="false" customHeight="false" outlineLevel="0" collapsed="false">
      <c r="B473" s="7"/>
      <c r="C473" s="46" t="n">
        <v>32</v>
      </c>
      <c r="D473" s="46"/>
      <c r="E473" s="44" t="n">
        <f aca="false">AI114</f>
        <v>46.5</v>
      </c>
      <c r="F473" s="44"/>
      <c r="G473" s="44"/>
      <c r="H473" s="41" t="str">
        <f aca="false">AM114</f>
        <v>Sand</v>
      </c>
      <c r="I473" s="41"/>
      <c r="J473" s="41"/>
      <c r="K473" s="42" t="n">
        <f aca="false">AQ114</f>
        <v>467.650000000001</v>
      </c>
      <c r="L473" s="42"/>
      <c r="M473" s="42"/>
      <c r="N473" s="42" t="n">
        <f aca="false">BC114</f>
        <v>97.8957517150986</v>
      </c>
      <c r="O473" s="42"/>
      <c r="P473" s="42"/>
      <c r="Q473" s="55" t="n">
        <f aca="false">BJ114</f>
        <v>0</v>
      </c>
      <c r="R473" s="55"/>
      <c r="S473" s="55"/>
      <c r="T473" s="44" t="n">
        <f aca="false">AU114</f>
        <v>0.65</v>
      </c>
      <c r="U473" s="44"/>
      <c r="V473" s="67" t="n">
        <f aca="false">BH114</f>
        <v>0</v>
      </c>
      <c r="W473" s="67"/>
      <c r="X473" s="67" t="n">
        <f aca="false">BI114</f>
        <v>0</v>
      </c>
      <c r="Y473" s="67"/>
      <c r="Z473" s="68" t="n">
        <f aca="false">BK114</f>
        <v>0</v>
      </c>
      <c r="AA473" s="68"/>
      <c r="AB473" s="68"/>
      <c r="AC473" s="69" t="n">
        <f aca="false">BM114</f>
        <v>0</v>
      </c>
      <c r="AD473" s="69"/>
      <c r="AE473" s="69"/>
      <c r="AF473" s="12"/>
    </row>
    <row r="474" customFormat="false" ht="14.25" hidden="false" customHeight="false" outlineLevel="0" collapsed="false">
      <c r="B474" s="7"/>
      <c r="C474" s="46" t="n">
        <v>33</v>
      </c>
      <c r="D474" s="46"/>
      <c r="E474" s="44" t="n">
        <f aca="false">AI115</f>
        <v>48</v>
      </c>
      <c r="F474" s="44"/>
      <c r="G474" s="44"/>
      <c r="H474" s="41" t="str">
        <f aca="false">AM115</f>
        <v>Sand</v>
      </c>
      <c r="I474" s="41"/>
      <c r="J474" s="41"/>
      <c r="K474" s="42" t="n">
        <f aca="false">AQ115</f>
        <v>480.250000000001</v>
      </c>
      <c r="L474" s="42"/>
      <c r="M474" s="42"/>
      <c r="N474" s="42" t="n">
        <f aca="false">BC115</f>
        <v>96.1260553748583</v>
      </c>
      <c r="O474" s="42"/>
      <c r="P474" s="42"/>
      <c r="Q474" s="55" t="n">
        <f aca="false">BJ115</f>
        <v>0</v>
      </c>
      <c r="R474" s="55"/>
      <c r="S474" s="55"/>
      <c r="T474" s="44" t="n">
        <f aca="false">AU115</f>
        <v>0.65</v>
      </c>
      <c r="U474" s="44"/>
      <c r="V474" s="67" t="n">
        <f aca="false">BH115</f>
        <v>0</v>
      </c>
      <c r="W474" s="67"/>
      <c r="X474" s="67" t="n">
        <f aca="false">BI115</f>
        <v>0</v>
      </c>
      <c r="Y474" s="67"/>
      <c r="Z474" s="68" t="n">
        <f aca="false">BK115</f>
        <v>0</v>
      </c>
      <c r="AA474" s="68"/>
      <c r="AB474" s="68"/>
      <c r="AC474" s="69" t="n">
        <f aca="false">BM115</f>
        <v>0</v>
      </c>
      <c r="AD474" s="69"/>
      <c r="AE474" s="69"/>
      <c r="AF474" s="12"/>
    </row>
    <row r="475" customFormat="false" ht="14.25" hidden="false" customHeight="false" outlineLevel="0" collapsed="false">
      <c r="B475" s="7"/>
      <c r="C475" s="46" t="n">
        <v>34</v>
      </c>
      <c r="D475" s="46"/>
      <c r="E475" s="44" t="n">
        <f aca="false">AI116</f>
        <v>49.5</v>
      </c>
      <c r="F475" s="44"/>
      <c r="G475" s="44"/>
      <c r="H475" s="41" t="str">
        <f aca="false">AM116</f>
        <v>Sand</v>
      </c>
      <c r="I475" s="41"/>
      <c r="J475" s="41"/>
      <c r="K475" s="42" t="n">
        <f aca="false">AQ116</f>
        <v>492.850000000001</v>
      </c>
      <c r="L475" s="42"/>
      <c r="M475" s="42"/>
      <c r="N475" s="42" t="n">
        <f aca="false">BC116</f>
        <v>94.379432156388</v>
      </c>
      <c r="O475" s="42"/>
      <c r="P475" s="42"/>
      <c r="Q475" s="55" t="n">
        <f aca="false">BJ116</f>
        <v>0</v>
      </c>
      <c r="R475" s="55"/>
      <c r="S475" s="55"/>
      <c r="T475" s="44" t="n">
        <f aca="false">AU116</f>
        <v>0.65</v>
      </c>
      <c r="U475" s="44"/>
      <c r="V475" s="67" t="n">
        <f aca="false">BH116</f>
        <v>0</v>
      </c>
      <c r="W475" s="67"/>
      <c r="X475" s="67" t="n">
        <f aca="false">BI116</f>
        <v>0</v>
      </c>
      <c r="Y475" s="67"/>
      <c r="Z475" s="68" t="n">
        <f aca="false">BK116</f>
        <v>0</v>
      </c>
      <c r="AA475" s="68"/>
      <c r="AB475" s="68"/>
      <c r="AC475" s="69" t="n">
        <f aca="false">BM116</f>
        <v>0</v>
      </c>
      <c r="AD475" s="69"/>
      <c r="AE475" s="69"/>
      <c r="AF475" s="12"/>
    </row>
    <row r="476" customFormat="false" ht="14.25" hidden="false" customHeight="false" outlineLevel="0" collapsed="false">
      <c r="B476" s="7"/>
      <c r="C476" s="46" t="n">
        <v>35</v>
      </c>
      <c r="D476" s="46"/>
      <c r="E476" s="44" t="n">
        <f aca="false">AI117</f>
        <v>51</v>
      </c>
      <c r="F476" s="44"/>
      <c r="G476" s="44"/>
      <c r="H476" s="41" t="str">
        <f aca="false">AM117</f>
        <v>Sand</v>
      </c>
      <c r="I476" s="41"/>
      <c r="J476" s="41"/>
      <c r="K476" s="42" t="n">
        <f aca="false">AQ117</f>
        <v>505.450000000001</v>
      </c>
      <c r="L476" s="42"/>
      <c r="M476" s="42"/>
      <c r="N476" s="42" t="n">
        <f aca="false">BC117</f>
        <v>92.657524576064</v>
      </c>
      <c r="O476" s="42"/>
      <c r="P476" s="42"/>
      <c r="Q476" s="55" t="n">
        <f aca="false">BJ117</f>
        <v>0</v>
      </c>
      <c r="R476" s="55"/>
      <c r="S476" s="55"/>
      <c r="T476" s="44" t="n">
        <f aca="false">AU117</f>
        <v>0.65</v>
      </c>
      <c r="U476" s="44"/>
      <c r="V476" s="67" t="n">
        <f aca="false">BH117</f>
        <v>0</v>
      </c>
      <c r="W476" s="67"/>
      <c r="X476" s="67" t="n">
        <f aca="false">BI117</f>
        <v>0</v>
      </c>
      <c r="Y476" s="67"/>
      <c r="Z476" s="68" t="n">
        <f aca="false">BK117</f>
        <v>0</v>
      </c>
      <c r="AA476" s="68"/>
      <c r="AB476" s="68"/>
      <c r="AC476" s="69" t="n">
        <f aca="false">BM117</f>
        <v>0</v>
      </c>
      <c r="AD476" s="69"/>
      <c r="AE476" s="69"/>
      <c r="AF476" s="12"/>
    </row>
    <row r="477" customFormat="false" ht="14.25" hidden="false" customHeight="false" outlineLevel="0" collapsed="false">
      <c r="B477" s="7"/>
      <c r="C477" s="46" t="n">
        <v>36</v>
      </c>
      <c r="D477" s="46"/>
      <c r="E477" s="44" t="n">
        <f aca="false">AI118</f>
        <v>52.5</v>
      </c>
      <c r="F477" s="44"/>
      <c r="G477" s="44"/>
      <c r="H477" s="41" t="str">
        <f aca="false">AM118</f>
        <v>Sand</v>
      </c>
      <c r="I477" s="41"/>
      <c r="J477" s="41"/>
      <c r="K477" s="42" t="n">
        <f aca="false">AQ118</f>
        <v>518.050000000001</v>
      </c>
      <c r="L477" s="42"/>
      <c r="M477" s="42"/>
      <c r="N477" s="42" t="n">
        <f aca="false">BC118</f>
        <v>90.9616684860851</v>
      </c>
      <c r="O477" s="42"/>
      <c r="P477" s="42"/>
      <c r="Q477" s="55" t="n">
        <f aca="false">BJ118</f>
        <v>0</v>
      </c>
      <c r="R477" s="55"/>
      <c r="S477" s="55"/>
      <c r="T477" s="44" t="n">
        <f aca="false">AU118</f>
        <v>0.65</v>
      </c>
      <c r="U477" s="44"/>
      <c r="V477" s="67" t="n">
        <f aca="false">BH118</f>
        <v>0</v>
      </c>
      <c r="W477" s="67"/>
      <c r="X477" s="67" t="n">
        <f aca="false">BI118</f>
        <v>0</v>
      </c>
      <c r="Y477" s="67"/>
      <c r="Z477" s="68" t="n">
        <f aca="false">BK118</f>
        <v>0</v>
      </c>
      <c r="AA477" s="68"/>
      <c r="AB477" s="68"/>
      <c r="AC477" s="69" t="n">
        <f aca="false">BM118</f>
        <v>0</v>
      </c>
      <c r="AD477" s="69"/>
      <c r="AE477" s="69"/>
      <c r="AF477" s="12"/>
    </row>
    <row r="478" customFormat="false" ht="14.25" hidden="false" customHeight="false" outlineLevel="0" collapsed="false">
      <c r="B478" s="7"/>
      <c r="C478" s="46" t="n">
        <v>37</v>
      </c>
      <c r="D478" s="46"/>
      <c r="E478" s="44" t="n">
        <f aca="false">AI119</f>
        <v>54</v>
      </c>
      <c r="F478" s="44"/>
      <c r="G478" s="44"/>
      <c r="H478" s="41" t="str">
        <f aca="false">AM119</f>
        <v>Sand</v>
      </c>
      <c r="I478" s="41"/>
      <c r="J478" s="41"/>
      <c r="K478" s="42" t="n">
        <f aca="false">AQ119</f>
        <v>530.650000000001</v>
      </c>
      <c r="L478" s="42"/>
      <c r="M478" s="42"/>
      <c r="N478" s="42" t="n">
        <f aca="false">BC119</f>
        <v>89.2929293261871</v>
      </c>
      <c r="O478" s="42"/>
      <c r="P478" s="42"/>
      <c r="Q478" s="55" t="n">
        <f aca="false">BJ119</f>
        <v>0</v>
      </c>
      <c r="R478" s="55"/>
      <c r="S478" s="55"/>
      <c r="T478" s="44" t="n">
        <f aca="false">AU119</f>
        <v>0.65</v>
      </c>
      <c r="U478" s="44"/>
      <c r="V478" s="67" t="n">
        <f aca="false">BH119</f>
        <v>0</v>
      </c>
      <c r="W478" s="67"/>
      <c r="X478" s="67" t="n">
        <f aca="false">BI119</f>
        <v>0</v>
      </c>
      <c r="Y478" s="67"/>
      <c r="Z478" s="68" t="n">
        <f aca="false">BK119</f>
        <v>0</v>
      </c>
      <c r="AA478" s="68"/>
      <c r="AB478" s="68"/>
      <c r="AC478" s="69" t="n">
        <f aca="false">BM119</f>
        <v>0</v>
      </c>
      <c r="AD478" s="69"/>
      <c r="AE478" s="69"/>
      <c r="AF478" s="12"/>
    </row>
    <row r="479" customFormat="false" ht="14.25" hidden="false" customHeight="false" outlineLevel="0" collapsed="false">
      <c r="B479" s="7"/>
      <c r="C479" s="46" t="n">
        <v>38</v>
      </c>
      <c r="D479" s="46"/>
      <c r="E479" s="44" t="n">
        <f aca="false">AI120</f>
        <v>55.5</v>
      </c>
      <c r="F479" s="44"/>
      <c r="G479" s="44"/>
      <c r="H479" s="41" t="str">
        <f aca="false">AM120</f>
        <v>Sand</v>
      </c>
      <c r="I479" s="41"/>
      <c r="J479" s="41"/>
      <c r="K479" s="42" t="n">
        <f aca="false">AQ120</f>
        <v>543.250000000001</v>
      </c>
      <c r="L479" s="42"/>
      <c r="M479" s="42"/>
      <c r="N479" s="42" t="n">
        <f aca="false">BC120</f>
        <v>87.6521352527307</v>
      </c>
      <c r="O479" s="42"/>
      <c r="P479" s="42"/>
      <c r="Q479" s="55" t="n">
        <f aca="false">BJ120</f>
        <v>0</v>
      </c>
      <c r="R479" s="55"/>
      <c r="S479" s="55"/>
      <c r="T479" s="44" t="n">
        <f aca="false">AU120</f>
        <v>0.65</v>
      </c>
      <c r="U479" s="44"/>
      <c r="V479" s="67" t="n">
        <f aca="false">BH120</f>
        <v>0</v>
      </c>
      <c r="W479" s="67"/>
      <c r="X479" s="67" t="n">
        <f aca="false">BI120</f>
        <v>0</v>
      </c>
      <c r="Y479" s="67"/>
      <c r="Z479" s="68" t="n">
        <f aca="false">BK120</f>
        <v>0</v>
      </c>
      <c r="AA479" s="68"/>
      <c r="AB479" s="68"/>
      <c r="AC479" s="69" t="n">
        <f aca="false">BM120</f>
        <v>0</v>
      </c>
      <c r="AD479" s="69"/>
      <c r="AE479" s="69"/>
      <c r="AF479" s="12"/>
    </row>
    <row r="480" customFormat="false" ht="14.25" hidden="false" customHeight="false" outlineLevel="0" collapsed="false">
      <c r="B480" s="7"/>
      <c r="C480" s="46" t="n">
        <v>39</v>
      </c>
      <c r="D480" s="46"/>
      <c r="E480" s="44" t="n">
        <f aca="false">AI121</f>
        <v>57</v>
      </c>
      <c r="F480" s="44"/>
      <c r="G480" s="44"/>
      <c r="H480" s="41" t="str">
        <f aca="false">AM121</f>
        <v>Sand</v>
      </c>
      <c r="I480" s="41"/>
      <c r="J480" s="41"/>
      <c r="K480" s="42" t="n">
        <f aca="false">AQ121</f>
        <v>555.850000000001</v>
      </c>
      <c r="L480" s="42"/>
      <c r="M480" s="42"/>
      <c r="N480" s="42" t="n">
        <f aca="false">BC121</f>
        <v>86.0399071706701</v>
      </c>
      <c r="O480" s="42"/>
      <c r="P480" s="42"/>
      <c r="Q480" s="55" t="n">
        <f aca="false">BJ121</f>
        <v>0</v>
      </c>
      <c r="R480" s="55"/>
      <c r="S480" s="55"/>
      <c r="T480" s="44" t="n">
        <f aca="false">AU121</f>
        <v>0.65</v>
      </c>
      <c r="U480" s="44"/>
      <c r="V480" s="67" t="n">
        <f aca="false">BH121</f>
        <v>0</v>
      </c>
      <c r="W480" s="67"/>
      <c r="X480" s="67" t="n">
        <f aca="false">BI121</f>
        <v>0</v>
      </c>
      <c r="Y480" s="67"/>
      <c r="Z480" s="68" t="n">
        <f aca="false">BK121</f>
        <v>0</v>
      </c>
      <c r="AA480" s="68"/>
      <c r="AB480" s="68"/>
      <c r="AC480" s="69" t="n">
        <f aca="false">BM121</f>
        <v>0</v>
      </c>
      <c r="AD480" s="69"/>
      <c r="AE480" s="69"/>
      <c r="AF480" s="12"/>
    </row>
    <row r="481" customFormat="false" ht="14.25" hidden="false" customHeight="false" outlineLevel="0" collapsed="false">
      <c r="B481" s="7"/>
      <c r="C481" s="46" t="n">
        <v>40</v>
      </c>
      <c r="D481" s="46"/>
      <c r="E481" s="44" t="n">
        <f aca="false">AI122</f>
        <v>58.5</v>
      </c>
      <c r="F481" s="44"/>
      <c r="G481" s="44"/>
      <c r="H481" s="41" t="str">
        <f aca="false">AM122</f>
        <v>Sand</v>
      </c>
      <c r="I481" s="41"/>
      <c r="J481" s="41"/>
      <c r="K481" s="42" t="n">
        <f aca="false">AQ122</f>
        <v>566.350000000001</v>
      </c>
      <c r="L481" s="42"/>
      <c r="M481" s="42"/>
      <c r="N481" s="42" t="n">
        <f aca="false">BC122</f>
        <v>84.7185277966616</v>
      </c>
      <c r="O481" s="42"/>
      <c r="P481" s="42"/>
      <c r="Q481" s="55" t="n">
        <f aca="false">BJ122</f>
        <v>0</v>
      </c>
      <c r="R481" s="55"/>
      <c r="S481" s="55"/>
      <c r="T481" s="44" t="n">
        <f aca="false">AU122</f>
        <v>0.65</v>
      </c>
      <c r="U481" s="44"/>
      <c r="V481" s="67" t="n">
        <f aca="false">BH122</f>
        <v>0</v>
      </c>
      <c r="W481" s="67"/>
      <c r="X481" s="67" t="n">
        <f aca="false">BI122</f>
        <v>0</v>
      </c>
      <c r="Y481" s="67"/>
      <c r="Z481" s="68" t="n">
        <f aca="false">BK122</f>
        <v>0</v>
      </c>
      <c r="AA481" s="68"/>
      <c r="AB481" s="68"/>
      <c r="AC481" s="69" t="n">
        <f aca="false">BM122</f>
        <v>0</v>
      </c>
      <c r="AD481" s="69"/>
      <c r="AE481" s="69"/>
      <c r="AF481" s="12"/>
    </row>
    <row r="482" customFormat="false" ht="14.25" hidden="false" customHeight="false" outlineLevel="0" collapsed="false">
      <c r="B482" s="7"/>
      <c r="C482" s="60" t="n">
        <v>41</v>
      </c>
      <c r="D482" s="60"/>
      <c r="E482" s="61" t="n">
        <f aca="false">AI123</f>
        <v>59.5</v>
      </c>
      <c r="F482" s="61"/>
      <c r="G482" s="61"/>
      <c r="H482" s="48" t="str">
        <f aca="false">AM123</f>
        <v>Sand</v>
      </c>
      <c r="I482" s="48"/>
      <c r="J482" s="48"/>
      <c r="K482" s="49" t="n">
        <f aca="false">AQ123</f>
        <v>572.650000000001</v>
      </c>
      <c r="L482" s="49"/>
      <c r="M482" s="49"/>
      <c r="N482" s="49" t="n">
        <f aca="false">BC123</f>
        <v>83.9354445039259</v>
      </c>
      <c r="O482" s="49"/>
      <c r="P482" s="49"/>
      <c r="Q482" s="62" t="n">
        <f aca="false">BJ123</f>
        <v>0</v>
      </c>
      <c r="R482" s="62"/>
      <c r="S482" s="62"/>
      <c r="T482" s="61" t="n">
        <f aca="false">AU123</f>
        <v>0.65</v>
      </c>
      <c r="U482" s="61"/>
      <c r="V482" s="70" t="n">
        <f aca="false">BH123</f>
        <v>0</v>
      </c>
      <c r="W482" s="70"/>
      <c r="X482" s="70" t="n">
        <f aca="false">BI123</f>
        <v>0</v>
      </c>
      <c r="Y482" s="70"/>
      <c r="Z482" s="71" t="n">
        <f aca="false">BK123</f>
        <v>0</v>
      </c>
      <c r="AA482" s="71"/>
      <c r="AB482" s="71"/>
      <c r="AC482" s="72" t="n">
        <f aca="false">BM123</f>
        <v>0</v>
      </c>
      <c r="AD482" s="72"/>
      <c r="AE482" s="72"/>
      <c r="AF482" s="12"/>
    </row>
    <row r="483" customFormat="false" ht="14.25" hidden="false" customHeight="false" outlineLevel="0" collapsed="false">
      <c r="B483" s="7"/>
      <c r="AF483" s="12"/>
    </row>
    <row r="484" customFormat="false" ht="14.25" hidden="false" customHeight="true" outlineLevel="0" collapsed="false">
      <c r="B484" s="7"/>
      <c r="C484" s="20" t="s">
        <v>305</v>
      </c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1" t="s">
        <v>306</v>
      </c>
      <c r="P484" s="21"/>
      <c r="Q484" s="21"/>
      <c r="R484" s="21"/>
      <c r="S484" s="21"/>
      <c r="T484" s="21"/>
      <c r="U484" s="21"/>
      <c r="V484" s="21"/>
      <c r="W484" s="21"/>
      <c r="X484" s="22" t="s">
        <v>307</v>
      </c>
      <c r="Y484" s="22"/>
      <c r="Z484" s="22"/>
      <c r="AA484" s="24" t="n">
        <f aca="false">SUM(BK83:BK123)</f>
        <v>0</v>
      </c>
      <c r="AB484" s="24"/>
      <c r="AC484" s="24"/>
      <c r="AD484" s="20" t="s">
        <v>45</v>
      </c>
      <c r="AE484" s="20"/>
      <c r="AF484" s="12"/>
    </row>
    <row r="485" customFormat="false" ht="14.25" hidden="false" customHeight="true" outlineLevel="0" collapsed="false">
      <c r="B485" s="7"/>
      <c r="C485" s="20" t="s">
        <v>308</v>
      </c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1" t="s">
        <v>309</v>
      </c>
      <c r="P485" s="21"/>
      <c r="Q485" s="21"/>
      <c r="R485" s="21"/>
      <c r="S485" s="21"/>
      <c r="T485" s="21"/>
      <c r="U485" s="21"/>
      <c r="V485" s="21"/>
      <c r="W485" s="21"/>
      <c r="X485" s="22" t="s">
        <v>310</v>
      </c>
      <c r="Y485" s="22"/>
      <c r="Z485" s="22"/>
      <c r="AA485" s="50" t="n">
        <f aca="false">MAX(BM83:BM123)</f>
        <v>0</v>
      </c>
      <c r="AB485" s="50"/>
      <c r="AC485" s="50"/>
      <c r="AD485" s="20" t="s">
        <v>124</v>
      </c>
      <c r="AE485" s="20"/>
      <c r="AF485" s="12"/>
    </row>
    <row r="486" customFormat="false" ht="14.25" hidden="false" customHeight="false" outlineLevel="0" collapsed="false">
      <c r="B486" s="7"/>
      <c r="AF486" s="12"/>
    </row>
    <row r="487" customFormat="false" ht="14.25" hidden="false" customHeight="false" outlineLevel="0" collapsed="false">
      <c r="B487" s="7"/>
      <c r="AF487" s="12"/>
    </row>
    <row r="488" customFormat="false" ht="14.25" hidden="false" customHeight="false" outlineLevel="0" collapsed="false">
      <c r="B488" s="7"/>
      <c r="AF488" s="12"/>
    </row>
    <row r="489" customFormat="false" ht="14.25" hidden="false" customHeight="false" outlineLevel="0" collapsed="false">
      <c r="B489" s="7"/>
      <c r="AF489" s="12"/>
    </row>
    <row r="490" customFormat="false" ht="14.25" hidden="false" customHeight="false" outlineLevel="0" collapsed="false">
      <c r="B490" s="7"/>
      <c r="AF490" s="12"/>
    </row>
    <row r="491" customFormat="false" ht="14.25" hidden="false" customHeight="false" outlineLevel="0" collapsed="false">
      <c r="B491" s="7"/>
      <c r="AF491" s="12"/>
    </row>
    <row r="492" customFormat="false" ht="14.25" hidden="false" customHeight="false" outlineLevel="0" collapsed="false">
      <c r="B492" s="7"/>
      <c r="AF492" s="12"/>
    </row>
    <row r="493" customFormat="false" ht="14.25" hidden="false" customHeight="false" outlineLevel="0" collapsed="false">
      <c r="B493" s="7"/>
      <c r="AF493" s="12"/>
    </row>
    <row r="494" customFormat="false" ht="14.25" hidden="false" customHeight="false" outlineLevel="0" collapsed="false">
      <c r="B494" s="7"/>
      <c r="AF494" s="12"/>
    </row>
    <row r="495" customFormat="false" ht="14.25" hidden="false" customHeight="false" outlineLevel="0" collapsed="false">
      <c r="B495" s="7"/>
      <c r="AF495" s="12"/>
    </row>
    <row r="496" customFormat="false" ht="14.25" hidden="false" customHeight="false" outlineLevel="0" collapsed="false">
      <c r="B496" s="7"/>
      <c r="AF496" s="12"/>
    </row>
    <row r="497" customFormat="false" ht="14.25" hidden="false" customHeight="false" outlineLevel="0" collapsed="false">
      <c r="B497" s="7"/>
      <c r="AF497" s="12"/>
    </row>
    <row r="498" customFormat="false" ht="14.25" hidden="false" customHeight="false" outlineLevel="0" collapsed="false">
      <c r="B498" s="7"/>
      <c r="AF498" s="12"/>
    </row>
    <row r="499" customFormat="false" ht="14.25" hidden="false" customHeight="false" outlineLevel="0" collapsed="false">
      <c r="B499" s="7"/>
      <c r="AF499" s="12"/>
    </row>
    <row r="500" customFormat="false" ht="14.25" hidden="false" customHeight="false" outlineLevel="0" collapsed="false">
      <c r="B500" s="7"/>
      <c r="AF500" s="12"/>
    </row>
    <row r="501" customFormat="false" ht="14.25" hidden="false" customHeight="false" outlineLevel="0" collapsed="false">
      <c r="B501" s="7"/>
      <c r="AF501" s="12"/>
    </row>
    <row r="502" customFormat="false" ht="14.25" hidden="false" customHeight="false" outlineLevel="0" collapsed="false">
      <c r="B502" s="7"/>
      <c r="AF502" s="12"/>
    </row>
    <row r="503" customFormat="false" ht="14.25" hidden="false" customHeight="false" outlineLevel="0" collapsed="false">
      <c r="B503" s="7"/>
      <c r="AF503" s="12"/>
    </row>
    <row r="504" customFormat="false" ht="14.25" hidden="false" customHeight="false" outlineLevel="0" collapsed="false">
      <c r="B504" s="7"/>
      <c r="AF504" s="12"/>
    </row>
    <row r="505" customFormat="false" ht="14.25" hidden="false" customHeight="true" outlineLevel="0" collapsed="false">
      <c r="B505" s="36"/>
      <c r="C505" s="37"/>
      <c r="D505" s="37"/>
      <c r="E505" s="37"/>
      <c r="F505" s="37"/>
      <c r="G505" s="37"/>
      <c r="H505" s="37"/>
      <c r="I505" s="37"/>
      <c r="J505" s="37"/>
      <c r="K505" s="37"/>
      <c r="L505" s="37"/>
      <c r="M505" s="37"/>
      <c r="N505" s="37"/>
      <c r="O505" s="37"/>
      <c r="P505" s="37"/>
      <c r="Q505" s="37"/>
      <c r="R505" s="37"/>
      <c r="S505" s="37"/>
      <c r="T505" s="37"/>
      <c r="U505" s="37"/>
      <c r="V505" s="37"/>
      <c r="W505" s="37"/>
      <c r="X505" s="38" t="s">
        <v>93</v>
      </c>
      <c r="Y505" s="38"/>
      <c r="Z505" s="38"/>
      <c r="AA505" s="38"/>
      <c r="AB505" s="38" t="n">
        <v>7</v>
      </c>
      <c r="AC505" s="38"/>
      <c r="AD505" s="38"/>
      <c r="AE505" s="38"/>
      <c r="AF505" s="39"/>
    </row>
    <row r="506" customFormat="false" ht="14.25" hidden="false" customHeight="true" outlineLevel="0" collapsed="false">
      <c r="B506" s="1"/>
      <c r="C506" s="2" t="s">
        <v>0</v>
      </c>
      <c r="D506" s="2"/>
      <c r="E506" s="2"/>
      <c r="F506" s="2"/>
      <c r="G506" s="2"/>
      <c r="H506" s="3" t="s">
        <v>1</v>
      </c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4" t="s">
        <v>2</v>
      </c>
      <c r="Y506" s="4"/>
      <c r="Z506" s="4"/>
      <c r="AA506" s="4"/>
      <c r="AB506" s="5" t="s">
        <v>3</v>
      </c>
      <c r="AC506" s="5"/>
      <c r="AD506" s="5"/>
      <c r="AE506" s="5"/>
      <c r="AF506" s="6"/>
    </row>
    <row r="507" customFormat="false" ht="14.25" hidden="false" customHeight="true" outlineLevel="0" collapsed="false">
      <c r="B507" s="7"/>
      <c r="C507" s="8" t="s">
        <v>4</v>
      </c>
      <c r="D507" s="8"/>
      <c r="E507" s="8"/>
      <c r="F507" s="8"/>
      <c r="G507" s="8"/>
      <c r="H507" s="9" t="s">
        <v>5</v>
      </c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10" t="s">
        <v>6</v>
      </c>
      <c r="Y507" s="10"/>
      <c r="Z507" s="10"/>
      <c r="AA507" s="10"/>
      <c r="AB507" s="11" t="n">
        <v>46301</v>
      </c>
      <c r="AC507" s="11"/>
      <c r="AD507" s="11"/>
      <c r="AE507" s="11"/>
      <c r="AF507" s="12"/>
    </row>
    <row r="508" customFormat="false" ht="14.25" hidden="false" customHeight="true" outlineLevel="0" collapsed="false">
      <c r="B508" s="7"/>
      <c r="C508" s="8" t="s">
        <v>7</v>
      </c>
      <c r="D508" s="8"/>
      <c r="E508" s="8"/>
      <c r="F508" s="8"/>
      <c r="G508" s="8"/>
      <c r="H508" s="9" t="s">
        <v>327</v>
      </c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10" t="s">
        <v>9</v>
      </c>
      <c r="Y508" s="10"/>
      <c r="Z508" s="10"/>
      <c r="AA508" s="10"/>
      <c r="AB508" s="11" t="s">
        <v>3</v>
      </c>
      <c r="AC508" s="11"/>
      <c r="AD508" s="11"/>
      <c r="AE508" s="11"/>
      <c r="AF508" s="12"/>
    </row>
    <row r="509" customFormat="false" ht="14.25" hidden="false" customHeight="true" outlineLevel="0" collapsed="false">
      <c r="B509" s="13"/>
      <c r="C509" s="14" t="s">
        <v>10</v>
      </c>
      <c r="D509" s="14"/>
      <c r="E509" s="14"/>
      <c r="F509" s="14"/>
      <c r="G509" s="14"/>
      <c r="H509" s="15" t="s">
        <v>134</v>
      </c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6" t="s">
        <v>12</v>
      </c>
      <c r="Y509" s="16"/>
      <c r="Z509" s="16"/>
      <c r="AA509" s="16"/>
      <c r="AB509" s="17" t="n">
        <v>46301</v>
      </c>
      <c r="AC509" s="17"/>
      <c r="AD509" s="17"/>
      <c r="AE509" s="17"/>
      <c r="AF509" s="18"/>
    </row>
    <row r="510" customFormat="false" ht="14.25" hidden="false" customHeight="false" outlineLevel="0" collapsed="false">
      <c r="B510" s="7"/>
      <c r="AF510" s="12"/>
    </row>
    <row r="511" customFormat="false" ht="14.25" hidden="false" customHeight="false" outlineLevel="0" collapsed="false">
      <c r="B511" s="7"/>
      <c r="C511" s="9" t="s">
        <v>311</v>
      </c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9"/>
      <c r="AF511" s="12"/>
    </row>
    <row r="512" customFormat="false" ht="14.25" hidden="false" customHeight="false" outlineLevel="0" collapsed="false">
      <c r="B512" s="7"/>
      <c r="AF512" s="12"/>
    </row>
    <row r="513" customFormat="false" ht="14.25" hidden="false" customHeight="true" outlineLevel="0" collapsed="false">
      <c r="B513" s="7"/>
      <c r="C513" s="20" t="s">
        <v>312</v>
      </c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1"/>
      <c r="P513" s="21"/>
      <c r="Q513" s="21"/>
      <c r="R513" s="21"/>
      <c r="S513" s="21"/>
      <c r="T513" s="21"/>
      <c r="U513" s="21"/>
      <c r="V513" s="21"/>
      <c r="W513" s="21"/>
      <c r="X513" s="22" t="s">
        <v>248</v>
      </c>
      <c r="Y513" s="22"/>
      <c r="Z513" s="22"/>
      <c r="AA513" s="51" t="n">
        <f aca="false">$AA$185</f>
        <v>16903.5636440004</v>
      </c>
      <c r="AB513" s="51"/>
      <c r="AC513" s="51"/>
      <c r="AD513" s="20" t="s">
        <v>26</v>
      </c>
      <c r="AE513" s="20"/>
      <c r="AF513" s="12"/>
    </row>
    <row r="514" customFormat="false" ht="14.25" hidden="false" customHeight="false" outlineLevel="0" collapsed="false">
      <c r="B514" s="7"/>
      <c r="C514" s="20" t="s">
        <v>280</v>
      </c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X514" s="73" t="str">
        <f aca="false">$X$189</f>
        <v>qall ≥ q …. OK!!</v>
      </c>
      <c r="Y514" s="73"/>
      <c r="Z514" s="73"/>
      <c r="AA514" s="73"/>
      <c r="AB514" s="73"/>
      <c r="AC514" s="73"/>
      <c r="AD514" s="73"/>
      <c r="AE514" s="73"/>
      <c r="AF514" s="12"/>
    </row>
    <row r="515" customFormat="false" ht="14.25" hidden="false" customHeight="true" outlineLevel="0" collapsed="false">
      <c r="B515" s="7"/>
      <c r="C515" s="20" t="s">
        <v>313</v>
      </c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1" t="s">
        <v>314</v>
      </c>
      <c r="P515" s="21"/>
      <c r="Q515" s="21"/>
      <c r="R515" s="21"/>
      <c r="S515" s="21"/>
      <c r="T515" s="21"/>
      <c r="U515" s="21"/>
      <c r="V515" s="21"/>
      <c r="W515" s="21"/>
      <c r="X515" s="22" t="s">
        <v>248</v>
      </c>
      <c r="Y515" s="22"/>
      <c r="Z515" s="22"/>
      <c r="AA515" s="51" t="n">
        <f aca="false">$AA$204</f>
        <v>16903.5636440004</v>
      </c>
      <c r="AB515" s="51"/>
      <c r="AC515" s="51"/>
      <c r="AD515" s="20" t="s">
        <v>26</v>
      </c>
      <c r="AE515" s="20"/>
      <c r="AF515" s="12"/>
    </row>
    <row r="516" customFormat="false" ht="14.25" hidden="false" customHeight="false" outlineLevel="0" collapsed="false">
      <c r="B516" s="7"/>
      <c r="C516" s="20" t="s">
        <v>280</v>
      </c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X516" s="73" t="str">
        <f aca="false">$X$208</f>
        <v>qall ≥ q …. OK!!</v>
      </c>
      <c r="Y516" s="73"/>
      <c r="Z516" s="73"/>
      <c r="AA516" s="73"/>
      <c r="AB516" s="73"/>
      <c r="AC516" s="73"/>
      <c r="AD516" s="73"/>
      <c r="AE516" s="73"/>
      <c r="AF516" s="12"/>
    </row>
    <row r="517" customFormat="false" ht="14.25" hidden="false" customHeight="true" outlineLevel="0" collapsed="false">
      <c r="B517" s="7"/>
      <c r="C517" s="20" t="s">
        <v>315</v>
      </c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1" t="s">
        <v>316</v>
      </c>
      <c r="P517" s="21"/>
      <c r="Q517" s="21"/>
      <c r="R517" s="21"/>
      <c r="S517" s="21"/>
      <c r="T517" s="21"/>
      <c r="U517" s="21"/>
      <c r="V517" s="21"/>
      <c r="W517" s="21"/>
      <c r="X517" s="22" t="s">
        <v>252</v>
      </c>
      <c r="Y517" s="22"/>
      <c r="Z517" s="22"/>
      <c r="AA517" s="50" t="str">
        <f aca="false">$AA$259</f>
        <v>n/a</v>
      </c>
      <c r="AB517" s="50"/>
      <c r="AC517" s="50"/>
      <c r="AD517" s="20" t="s">
        <v>38</v>
      </c>
      <c r="AE517" s="20"/>
      <c r="AF517" s="12"/>
    </row>
    <row r="518" customFormat="false" ht="14.25" hidden="false" customHeight="false" outlineLevel="0" collapsed="false">
      <c r="B518" s="7"/>
      <c r="C518" s="20" t="s">
        <v>280</v>
      </c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X518" s="73" t="str">
        <f aca="false">$X$260</f>
        <v>No soft layer - n/a</v>
      </c>
      <c r="Y518" s="73"/>
      <c r="Z518" s="73"/>
      <c r="AA518" s="73"/>
      <c r="AB518" s="73"/>
      <c r="AC518" s="73"/>
      <c r="AD518" s="73"/>
      <c r="AE518" s="73"/>
      <c r="AF518" s="12"/>
    </row>
    <row r="519" customFormat="false" ht="14.25" hidden="false" customHeight="true" outlineLevel="0" collapsed="false">
      <c r="B519" s="7"/>
      <c r="C519" s="20" t="s">
        <v>317</v>
      </c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1" t="s">
        <v>318</v>
      </c>
      <c r="P519" s="21"/>
      <c r="Q519" s="21"/>
      <c r="R519" s="21"/>
      <c r="S519" s="21"/>
      <c r="T519" s="21"/>
      <c r="U519" s="21"/>
      <c r="V519" s="21"/>
      <c r="W519" s="21"/>
      <c r="X519" s="22" t="s">
        <v>295</v>
      </c>
      <c r="Y519" s="22"/>
      <c r="Z519" s="22"/>
      <c r="AA519" s="51" t="n">
        <f aca="false">$AA$345</f>
        <v>130.959809219777</v>
      </c>
      <c r="AB519" s="51"/>
      <c r="AC519" s="51"/>
      <c r="AD519" s="20" t="s">
        <v>45</v>
      </c>
      <c r="AE519" s="20"/>
      <c r="AF519" s="12"/>
    </row>
    <row r="520" customFormat="false" ht="14.25" hidden="false" customHeight="true" outlineLevel="0" collapsed="false">
      <c r="B520" s="7"/>
      <c r="C520" s="20" t="s">
        <v>319</v>
      </c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1" t="s">
        <v>320</v>
      </c>
      <c r="P520" s="21"/>
      <c r="Q520" s="21"/>
      <c r="R520" s="21"/>
      <c r="S520" s="21"/>
      <c r="T520" s="21"/>
      <c r="U520" s="21"/>
      <c r="V520" s="21"/>
      <c r="W520" s="21"/>
      <c r="X520" s="22" t="s">
        <v>307</v>
      </c>
      <c r="Y520" s="22"/>
      <c r="Z520" s="22"/>
      <c r="AA520" s="51" t="n">
        <f aca="false">$AA$484</f>
        <v>0</v>
      </c>
      <c r="AB520" s="51"/>
      <c r="AC520" s="51"/>
      <c r="AD520" s="20" t="s">
        <v>45</v>
      </c>
      <c r="AE520" s="20"/>
      <c r="AF520" s="12"/>
    </row>
    <row r="521" customFormat="false" ht="14.25" hidden="false" customHeight="true" outlineLevel="0" collapsed="false">
      <c r="B521" s="7"/>
      <c r="C521" s="20" t="s">
        <v>123</v>
      </c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1" t="s">
        <v>320</v>
      </c>
      <c r="P521" s="21"/>
      <c r="Q521" s="21"/>
      <c r="R521" s="21"/>
      <c r="S521" s="21"/>
      <c r="T521" s="21"/>
      <c r="U521" s="21"/>
      <c r="V521" s="21"/>
      <c r="W521" s="21"/>
      <c r="X521" s="22" t="s">
        <v>310</v>
      </c>
      <c r="Y521" s="22"/>
      <c r="Z521" s="22"/>
      <c r="AA521" s="50" t="n">
        <f aca="false">$AA$485</f>
        <v>0</v>
      </c>
      <c r="AB521" s="50"/>
      <c r="AC521" s="50"/>
      <c r="AD521" s="20" t="s">
        <v>124</v>
      </c>
      <c r="AE521" s="20"/>
      <c r="AF521" s="12"/>
    </row>
    <row r="522" customFormat="false" ht="14.25" hidden="false" customHeight="true" outlineLevel="0" collapsed="false">
      <c r="B522" s="7"/>
      <c r="C522" s="20" t="s">
        <v>321</v>
      </c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1" t="s">
        <v>322</v>
      </c>
      <c r="P522" s="21"/>
      <c r="Q522" s="21"/>
      <c r="R522" s="21"/>
      <c r="S522" s="21"/>
      <c r="T522" s="21"/>
      <c r="U522" s="21"/>
      <c r="V522" s="21"/>
      <c r="W522" s="21"/>
      <c r="X522" s="22" t="s">
        <v>323</v>
      </c>
      <c r="Y522" s="22"/>
      <c r="Z522" s="22"/>
      <c r="AA522" s="24" t="n">
        <f aca="false">$AA$345+$AA$484</f>
        <v>130.959809219777</v>
      </c>
      <c r="AB522" s="24"/>
      <c r="AC522" s="24"/>
      <c r="AD522" s="20" t="s">
        <v>45</v>
      </c>
      <c r="AE522" s="20"/>
      <c r="AF522" s="12"/>
    </row>
    <row r="523" customFormat="false" ht="14.25" hidden="true" customHeight="false" outlineLevel="0" collapsed="false">
      <c r="B523" s="7"/>
      <c r="C523" s="9" t="s">
        <v>324</v>
      </c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X523" s="64" t="str">
        <f aca="false">IF($AA$522&lt;=Input!$AA$22,"S ≤ S all …. OK!!","S &gt; S all …. NG!!")</f>
        <v>S &gt; S all …. NG!!</v>
      </c>
      <c r="Y523" s="64"/>
      <c r="Z523" s="64"/>
      <c r="AA523" s="64"/>
      <c r="AB523" s="64"/>
      <c r="AC523" s="64"/>
      <c r="AD523" s="64"/>
      <c r="AE523" s="64"/>
      <c r="AF523" s="12"/>
    </row>
    <row r="524" customFormat="false" ht="14.25" hidden="false" customHeight="false" outlineLevel="0" collapsed="false">
      <c r="B524" s="7"/>
      <c r="AF524" s="12"/>
    </row>
    <row r="525" customFormat="false" ht="14.25" hidden="false" customHeight="false" outlineLevel="0" collapsed="false">
      <c r="B525" s="7"/>
      <c r="C525" s="19" t="s">
        <v>325</v>
      </c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  <c r="AA525" s="19"/>
      <c r="AB525" s="19"/>
      <c r="AC525" s="19"/>
      <c r="AD525" s="19"/>
      <c r="AE525" s="19"/>
      <c r="AF525" s="12"/>
    </row>
    <row r="526" customFormat="false" ht="14.25" hidden="false" customHeight="false" outlineLevel="0" collapsed="false">
      <c r="B526" s="7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  <c r="AA526" s="19"/>
      <c r="AB526" s="19"/>
      <c r="AC526" s="19"/>
      <c r="AD526" s="19"/>
      <c r="AE526" s="19"/>
      <c r="AF526" s="12"/>
    </row>
    <row r="527" customFormat="false" ht="14.25" hidden="false" customHeight="false" outlineLevel="0" collapsed="false">
      <c r="B527" s="7"/>
      <c r="AF527" s="12"/>
    </row>
    <row r="528" customFormat="false" ht="14.25" hidden="false" customHeight="false" outlineLevel="0" collapsed="false">
      <c r="B528" s="7"/>
      <c r="C528" s="9" t="s">
        <v>332</v>
      </c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  <c r="AE528" s="9"/>
      <c r="AF528" s="12"/>
    </row>
    <row r="529" customFormat="false" ht="14.25" hidden="false" customHeight="false" outlineLevel="0" collapsed="false">
      <c r="B529" s="7"/>
      <c r="AF529" s="12"/>
    </row>
    <row r="530" customFormat="false" ht="14.25" hidden="false" customHeight="false" outlineLevel="0" collapsed="false">
      <c r="B530" s="7"/>
      <c r="AF530" s="12"/>
    </row>
    <row r="531" customFormat="false" ht="14.25" hidden="false" customHeight="false" outlineLevel="0" collapsed="false">
      <c r="B531" s="7"/>
      <c r="AF531" s="12"/>
    </row>
    <row r="532" customFormat="false" ht="14.25" hidden="false" customHeight="false" outlineLevel="0" collapsed="false">
      <c r="B532" s="7"/>
      <c r="AF532" s="12"/>
    </row>
    <row r="533" customFormat="false" ht="14.25" hidden="false" customHeight="false" outlineLevel="0" collapsed="false">
      <c r="B533" s="7"/>
      <c r="AF533" s="12"/>
    </row>
    <row r="534" customFormat="false" ht="14.25" hidden="false" customHeight="false" outlineLevel="0" collapsed="false">
      <c r="B534" s="7"/>
      <c r="AF534" s="12"/>
    </row>
    <row r="535" customFormat="false" ht="14.25" hidden="false" customHeight="false" outlineLevel="0" collapsed="false">
      <c r="B535" s="7"/>
      <c r="AF535" s="12"/>
    </row>
    <row r="536" customFormat="false" ht="14.25" hidden="false" customHeight="false" outlineLevel="0" collapsed="false">
      <c r="B536" s="7"/>
      <c r="AF536" s="12"/>
    </row>
    <row r="537" customFormat="false" ht="14.25" hidden="false" customHeight="false" outlineLevel="0" collapsed="false">
      <c r="B537" s="7"/>
      <c r="AF537" s="12"/>
    </row>
    <row r="538" customFormat="false" ht="14.25" hidden="false" customHeight="false" outlineLevel="0" collapsed="false">
      <c r="B538" s="7"/>
      <c r="AF538" s="12"/>
    </row>
    <row r="539" customFormat="false" ht="14.25" hidden="false" customHeight="false" outlineLevel="0" collapsed="false">
      <c r="B539" s="7"/>
      <c r="AF539" s="12"/>
    </row>
    <row r="540" customFormat="false" ht="14.25" hidden="false" customHeight="false" outlineLevel="0" collapsed="false">
      <c r="B540" s="7"/>
      <c r="AF540" s="12"/>
    </row>
    <row r="541" customFormat="false" ht="14.25" hidden="false" customHeight="false" outlineLevel="0" collapsed="false">
      <c r="B541" s="7"/>
      <c r="AF541" s="12"/>
    </row>
    <row r="542" customFormat="false" ht="14.25" hidden="false" customHeight="false" outlineLevel="0" collapsed="false">
      <c r="B542" s="7"/>
      <c r="AF542" s="12"/>
    </row>
    <row r="543" customFormat="false" ht="14.25" hidden="false" customHeight="false" outlineLevel="0" collapsed="false">
      <c r="B543" s="7"/>
      <c r="AF543" s="12"/>
    </row>
    <row r="544" customFormat="false" ht="14.25" hidden="false" customHeight="false" outlineLevel="0" collapsed="false">
      <c r="B544" s="7"/>
      <c r="AF544" s="12"/>
    </row>
    <row r="545" customFormat="false" ht="14.25" hidden="false" customHeight="false" outlineLevel="0" collapsed="false">
      <c r="B545" s="7"/>
      <c r="AF545" s="12"/>
    </row>
    <row r="546" customFormat="false" ht="14.25" hidden="false" customHeight="false" outlineLevel="0" collapsed="false">
      <c r="B546" s="7"/>
      <c r="AF546" s="12"/>
    </row>
    <row r="547" customFormat="false" ht="14.25" hidden="false" customHeight="false" outlineLevel="0" collapsed="false">
      <c r="B547" s="7"/>
      <c r="AF547" s="12"/>
    </row>
    <row r="548" customFormat="false" ht="14.25" hidden="false" customHeight="false" outlineLevel="0" collapsed="false">
      <c r="B548" s="7"/>
      <c r="AF548" s="12"/>
    </row>
    <row r="549" customFormat="false" ht="14.25" hidden="false" customHeight="false" outlineLevel="0" collapsed="false">
      <c r="B549" s="7"/>
      <c r="AF549" s="12"/>
    </row>
    <row r="550" customFormat="false" ht="14.25" hidden="false" customHeight="false" outlineLevel="0" collapsed="false">
      <c r="B550" s="7"/>
      <c r="AF550" s="12"/>
    </row>
    <row r="551" customFormat="false" ht="14.25" hidden="false" customHeight="false" outlineLevel="0" collapsed="false">
      <c r="B551" s="7"/>
      <c r="AF551" s="12"/>
    </row>
    <row r="552" customFormat="false" ht="14.25" hidden="false" customHeight="false" outlineLevel="0" collapsed="false">
      <c r="B552" s="7"/>
      <c r="AF552" s="12"/>
    </row>
    <row r="553" customFormat="false" ht="14.25" hidden="false" customHeight="false" outlineLevel="0" collapsed="false">
      <c r="B553" s="7"/>
      <c r="AF553" s="12"/>
    </row>
    <row r="554" customFormat="false" ht="14.25" hidden="false" customHeight="false" outlineLevel="0" collapsed="false">
      <c r="B554" s="7"/>
      <c r="AF554" s="12"/>
    </row>
    <row r="555" customFormat="false" ht="14.25" hidden="false" customHeight="false" outlineLevel="0" collapsed="false">
      <c r="B555" s="7"/>
      <c r="AF555" s="12"/>
    </row>
    <row r="556" customFormat="false" ht="14.25" hidden="false" customHeight="false" outlineLevel="0" collapsed="false">
      <c r="B556" s="7"/>
      <c r="AF556" s="12"/>
    </row>
    <row r="557" customFormat="false" ht="14.25" hidden="false" customHeight="false" outlineLevel="0" collapsed="false">
      <c r="B557" s="7"/>
      <c r="AF557" s="12"/>
    </row>
    <row r="558" customFormat="false" ht="14.25" hidden="false" customHeight="false" outlineLevel="0" collapsed="false">
      <c r="B558" s="7"/>
      <c r="AF558" s="12"/>
    </row>
    <row r="559" customFormat="false" ht="14.25" hidden="false" customHeight="false" outlineLevel="0" collapsed="false">
      <c r="B559" s="7"/>
      <c r="AF559" s="12"/>
    </row>
    <row r="560" customFormat="false" ht="14.25" hidden="false" customHeight="false" outlineLevel="0" collapsed="false">
      <c r="B560" s="7"/>
      <c r="AF560" s="12"/>
    </row>
    <row r="561" customFormat="false" ht="14.25" hidden="false" customHeight="false" outlineLevel="0" collapsed="false">
      <c r="B561" s="7"/>
      <c r="AF561" s="12"/>
    </row>
    <row r="562" customFormat="false" ht="14.25" hidden="false" customHeight="false" outlineLevel="0" collapsed="false">
      <c r="B562" s="7"/>
      <c r="AF562" s="12"/>
    </row>
    <row r="563" customFormat="false" ht="14.25" hidden="false" customHeight="false" outlineLevel="0" collapsed="false">
      <c r="B563" s="7"/>
      <c r="AF563" s="12"/>
    </row>
    <row r="564" customFormat="false" ht="14.25" hidden="false" customHeight="false" outlineLevel="0" collapsed="false">
      <c r="B564" s="7"/>
      <c r="AF564" s="12"/>
    </row>
    <row r="565" customFormat="false" ht="14.25" hidden="false" customHeight="false" outlineLevel="0" collapsed="false">
      <c r="B565" s="7"/>
      <c r="AF565" s="12"/>
    </row>
    <row r="566" customFormat="false" ht="14.25" hidden="false" customHeight="false" outlineLevel="0" collapsed="false">
      <c r="B566" s="7"/>
      <c r="AF566" s="12"/>
    </row>
    <row r="567" customFormat="false" ht="14.25" hidden="false" customHeight="false" outlineLevel="0" collapsed="false">
      <c r="B567" s="7"/>
      <c r="AF567" s="12"/>
    </row>
    <row r="568" customFormat="false" ht="14.25" hidden="false" customHeight="false" outlineLevel="0" collapsed="false">
      <c r="B568" s="7"/>
      <c r="AF568" s="12"/>
    </row>
    <row r="569" customFormat="false" ht="14.25" hidden="false" customHeight="false" outlineLevel="0" collapsed="false">
      <c r="B569" s="7"/>
      <c r="AF569" s="12"/>
    </row>
    <row r="570" customFormat="false" ht="14.25" hidden="false" customHeight="false" outlineLevel="0" collapsed="false">
      <c r="B570" s="7"/>
      <c r="AF570" s="12"/>
    </row>
    <row r="571" customFormat="false" ht="14.25" hidden="false" customHeight="false" outlineLevel="0" collapsed="false">
      <c r="B571" s="7"/>
      <c r="AF571" s="12"/>
    </row>
    <row r="572" customFormat="false" ht="14.25" hidden="false" customHeight="false" outlineLevel="0" collapsed="false">
      <c r="B572" s="7"/>
      <c r="AF572" s="12"/>
    </row>
    <row r="573" customFormat="false" ht="14.25" hidden="false" customHeight="false" outlineLevel="0" collapsed="false">
      <c r="B573" s="7"/>
      <c r="AF573" s="12"/>
    </row>
    <row r="574" customFormat="false" ht="14.25" hidden="false" customHeight="false" outlineLevel="0" collapsed="false">
      <c r="B574" s="7"/>
      <c r="AF574" s="12"/>
    </row>
    <row r="575" customFormat="false" ht="14.25" hidden="false" customHeight="false" outlineLevel="0" collapsed="false">
      <c r="B575" s="7"/>
      <c r="AF575" s="12"/>
    </row>
    <row r="576" customFormat="false" ht="14.25" hidden="false" customHeight="false" outlineLevel="0" collapsed="false">
      <c r="B576" s="7"/>
      <c r="AF576" s="12"/>
    </row>
    <row r="577" customFormat="false" ht="14.25" hidden="false" customHeight="true" outlineLevel="0" collapsed="false">
      <c r="B577" s="36"/>
      <c r="C577" s="37"/>
      <c r="D577" s="37"/>
      <c r="E577" s="37"/>
      <c r="F577" s="37"/>
      <c r="G577" s="37"/>
      <c r="H577" s="37"/>
      <c r="I577" s="37"/>
      <c r="J577" s="37"/>
      <c r="K577" s="37"/>
      <c r="L577" s="37"/>
      <c r="M577" s="37"/>
      <c r="N577" s="37"/>
      <c r="O577" s="37"/>
      <c r="P577" s="37"/>
      <c r="Q577" s="37"/>
      <c r="R577" s="37"/>
      <c r="S577" s="37"/>
      <c r="T577" s="37"/>
      <c r="U577" s="37"/>
      <c r="V577" s="37"/>
      <c r="W577" s="37"/>
      <c r="X577" s="38" t="s">
        <v>93</v>
      </c>
      <c r="Y577" s="38"/>
      <c r="Z577" s="38"/>
      <c r="AA577" s="38"/>
      <c r="AB577" s="38" t="n">
        <v>8</v>
      </c>
      <c r="AC577" s="38"/>
      <c r="AD577" s="38"/>
      <c r="AE577" s="38"/>
      <c r="AF577" s="39"/>
    </row>
  </sheetData>
  <mergeCells count="1931">
    <mergeCell ref="C2:G2"/>
    <mergeCell ref="H2:W2"/>
    <mergeCell ref="X2:AA2"/>
    <mergeCell ref="AB2:AE2"/>
    <mergeCell ref="C3:G3"/>
    <mergeCell ref="H3:W3"/>
    <mergeCell ref="X3:AA3"/>
    <mergeCell ref="AB3:AE3"/>
    <mergeCell ref="C4:G4"/>
    <mergeCell ref="H4:W4"/>
    <mergeCell ref="X4:AA4"/>
    <mergeCell ref="AB4:AE4"/>
    <mergeCell ref="C5:G5"/>
    <mergeCell ref="H5:W5"/>
    <mergeCell ref="X5:AA5"/>
    <mergeCell ref="AB5:AE5"/>
    <mergeCell ref="C7:AE7"/>
    <mergeCell ref="C8:AE8"/>
    <mergeCell ref="C9:AE9"/>
    <mergeCell ref="C11:AE11"/>
    <mergeCell ref="C12:N12"/>
    <mergeCell ref="O12:W12"/>
    <mergeCell ref="X12:Z12"/>
    <mergeCell ref="AA12:AC12"/>
    <mergeCell ref="AD12:AE12"/>
    <mergeCell ref="C13:N13"/>
    <mergeCell ref="O13:W13"/>
    <mergeCell ref="X13:Z13"/>
    <mergeCell ref="AA13:AC13"/>
    <mergeCell ref="AD13:AE13"/>
    <mergeCell ref="C14:N14"/>
    <mergeCell ref="O14:W14"/>
    <mergeCell ref="X14:Z14"/>
    <mergeCell ref="AA14:AC14"/>
    <mergeCell ref="AD14:AE14"/>
    <mergeCell ref="C15:N15"/>
    <mergeCell ref="O15:W15"/>
    <mergeCell ref="X15:Z15"/>
    <mergeCell ref="AA15:AC15"/>
    <mergeCell ref="AD15:AE15"/>
    <mergeCell ref="C16:N16"/>
    <mergeCell ref="O16:W16"/>
    <mergeCell ref="X16:Z16"/>
    <mergeCell ref="AA16:AC16"/>
    <mergeCell ref="AD16:AE16"/>
    <mergeCell ref="C17:N17"/>
    <mergeCell ref="O17:W17"/>
    <mergeCell ref="X17:Z17"/>
    <mergeCell ref="AA17:AC17"/>
    <mergeCell ref="AD17:AE17"/>
    <mergeCell ref="C19:AE19"/>
    <mergeCell ref="C20:N20"/>
    <mergeCell ref="O20:W20"/>
    <mergeCell ref="X20:Z20"/>
    <mergeCell ref="AA20:AC20"/>
    <mergeCell ref="AD20:AE20"/>
    <mergeCell ref="C21:N21"/>
    <mergeCell ref="O21:W21"/>
    <mergeCell ref="X21:Z21"/>
    <mergeCell ref="AA21:AC21"/>
    <mergeCell ref="AD21:AE21"/>
    <mergeCell ref="C22:N22"/>
    <mergeCell ref="O22:W22"/>
    <mergeCell ref="X22:Z22"/>
    <mergeCell ref="AA22:AC22"/>
    <mergeCell ref="AD22:AE22"/>
    <mergeCell ref="C23:N23"/>
    <mergeCell ref="O23:W23"/>
    <mergeCell ref="X23:Z23"/>
    <mergeCell ref="AA23:AC23"/>
    <mergeCell ref="AD23:AE23"/>
    <mergeCell ref="C41:AE41"/>
    <mergeCell ref="X73:AA73"/>
    <mergeCell ref="AB73:AE73"/>
    <mergeCell ref="C74:G74"/>
    <mergeCell ref="H74:W74"/>
    <mergeCell ref="X74:AA74"/>
    <mergeCell ref="AB74:AE74"/>
    <mergeCell ref="C75:G75"/>
    <mergeCell ref="H75:W75"/>
    <mergeCell ref="X75:AA75"/>
    <mergeCell ref="AB75:AE75"/>
    <mergeCell ref="C76:G76"/>
    <mergeCell ref="H76:W76"/>
    <mergeCell ref="X76:AA76"/>
    <mergeCell ref="AB76:AE76"/>
    <mergeCell ref="C77:G77"/>
    <mergeCell ref="H77:W77"/>
    <mergeCell ref="X77:AA77"/>
    <mergeCell ref="AB77:AE77"/>
    <mergeCell ref="C79:AE79"/>
    <mergeCell ref="C80:AE80"/>
    <mergeCell ref="C81:D81"/>
    <mergeCell ref="E81:G81"/>
    <mergeCell ref="H81:J81"/>
    <mergeCell ref="K81:M81"/>
    <mergeCell ref="N81:P81"/>
    <mergeCell ref="Q81:S81"/>
    <mergeCell ref="T81:U81"/>
    <mergeCell ref="V81:W81"/>
    <mergeCell ref="X81:Y81"/>
    <mergeCell ref="Z81:AB81"/>
    <mergeCell ref="AC81:AE81"/>
    <mergeCell ref="C82:D82"/>
    <mergeCell ref="E82:G82"/>
    <mergeCell ref="H82:J82"/>
    <mergeCell ref="K82:M82"/>
    <mergeCell ref="N82:P82"/>
    <mergeCell ref="Q82:S82"/>
    <mergeCell ref="T82:U82"/>
    <mergeCell ref="V82:W82"/>
    <mergeCell ref="X82:Y82"/>
    <mergeCell ref="Z82:AB82"/>
    <mergeCell ref="AC82:AE82"/>
    <mergeCell ref="C83:D83"/>
    <mergeCell ref="E83:G83"/>
    <mergeCell ref="H83:J83"/>
    <mergeCell ref="K83:M83"/>
    <mergeCell ref="N83:P83"/>
    <mergeCell ref="Q83:S83"/>
    <mergeCell ref="T83:U83"/>
    <mergeCell ref="V83:W83"/>
    <mergeCell ref="X83:Y83"/>
    <mergeCell ref="Z83:AB83"/>
    <mergeCell ref="AC83:AE83"/>
    <mergeCell ref="C84:D84"/>
    <mergeCell ref="E84:G84"/>
    <mergeCell ref="H84:J84"/>
    <mergeCell ref="K84:M84"/>
    <mergeCell ref="N84:P84"/>
    <mergeCell ref="Q84:S84"/>
    <mergeCell ref="T84:U84"/>
    <mergeCell ref="V84:W84"/>
    <mergeCell ref="X84:Y84"/>
    <mergeCell ref="Z84:AB84"/>
    <mergeCell ref="AC84:AE84"/>
    <mergeCell ref="C85:D85"/>
    <mergeCell ref="E85:G85"/>
    <mergeCell ref="H85:J85"/>
    <mergeCell ref="K85:M85"/>
    <mergeCell ref="N85:P85"/>
    <mergeCell ref="Q85:S85"/>
    <mergeCell ref="T85:U85"/>
    <mergeCell ref="V85:W85"/>
    <mergeCell ref="X85:Y85"/>
    <mergeCell ref="Z85:AB85"/>
    <mergeCell ref="AC85:AE85"/>
    <mergeCell ref="C86:D86"/>
    <mergeCell ref="E86:G86"/>
    <mergeCell ref="H86:J86"/>
    <mergeCell ref="K86:M86"/>
    <mergeCell ref="N86:P86"/>
    <mergeCell ref="Q86:S86"/>
    <mergeCell ref="T86:U86"/>
    <mergeCell ref="V86:W86"/>
    <mergeCell ref="X86:Y86"/>
    <mergeCell ref="Z86:AB86"/>
    <mergeCell ref="AC86:AE86"/>
    <mergeCell ref="C87:D87"/>
    <mergeCell ref="E87:G87"/>
    <mergeCell ref="H87:J87"/>
    <mergeCell ref="K87:M87"/>
    <mergeCell ref="N87:P87"/>
    <mergeCell ref="Q87:S87"/>
    <mergeCell ref="T87:U87"/>
    <mergeCell ref="V87:W87"/>
    <mergeCell ref="X87:Y87"/>
    <mergeCell ref="Z87:AB87"/>
    <mergeCell ref="AC87:AE87"/>
    <mergeCell ref="C88:D88"/>
    <mergeCell ref="E88:G88"/>
    <mergeCell ref="H88:J88"/>
    <mergeCell ref="K88:M88"/>
    <mergeCell ref="N88:P88"/>
    <mergeCell ref="Q88:S88"/>
    <mergeCell ref="T88:U88"/>
    <mergeCell ref="V88:W88"/>
    <mergeCell ref="X88:Y88"/>
    <mergeCell ref="Z88:AB88"/>
    <mergeCell ref="AC88:AE88"/>
    <mergeCell ref="C89:D89"/>
    <mergeCell ref="E89:G89"/>
    <mergeCell ref="H89:J89"/>
    <mergeCell ref="K89:M89"/>
    <mergeCell ref="N89:P89"/>
    <mergeCell ref="Q89:S89"/>
    <mergeCell ref="T89:U89"/>
    <mergeCell ref="V89:W89"/>
    <mergeCell ref="X89:Y89"/>
    <mergeCell ref="Z89:AB89"/>
    <mergeCell ref="AC89:AE89"/>
    <mergeCell ref="C90:D90"/>
    <mergeCell ref="E90:G90"/>
    <mergeCell ref="H90:J90"/>
    <mergeCell ref="K90:M90"/>
    <mergeCell ref="N90:P90"/>
    <mergeCell ref="Q90:S90"/>
    <mergeCell ref="T90:U90"/>
    <mergeCell ref="V90:W90"/>
    <mergeCell ref="X90:Y90"/>
    <mergeCell ref="Z90:AB90"/>
    <mergeCell ref="AC90:AE90"/>
    <mergeCell ref="C91:D91"/>
    <mergeCell ref="E91:G91"/>
    <mergeCell ref="H91:J91"/>
    <mergeCell ref="K91:M91"/>
    <mergeCell ref="N91:P91"/>
    <mergeCell ref="Q91:S91"/>
    <mergeCell ref="T91:U91"/>
    <mergeCell ref="V91:W91"/>
    <mergeCell ref="X91:Y91"/>
    <mergeCell ref="Z91:AB91"/>
    <mergeCell ref="AC91:AE91"/>
    <mergeCell ref="C92:D92"/>
    <mergeCell ref="E92:G92"/>
    <mergeCell ref="H92:J92"/>
    <mergeCell ref="K92:M92"/>
    <mergeCell ref="N92:P92"/>
    <mergeCell ref="Q92:S92"/>
    <mergeCell ref="T92:U92"/>
    <mergeCell ref="V92:W92"/>
    <mergeCell ref="X92:Y92"/>
    <mergeCell ref="Z92:AB92"/>
    <mergeCell ref="AC92:AE92"/>
    <mergeCell ref="C93:D93"/>
    <mergeCell ref="E93:G93"/>
    <mergeCell ref="H93:J93"/>
    <mergeCell ref="K93:M93"/>
    <mergeCell ref="N93:P93"/>
    <mergeCell ref="Q93:S93"/>
    <mergeCell ref="T93:U93"/>
    <mergeCell ref="V93:W93"/>
    <mergeCell ref="X93:Y93"/>
    <mergeCell ref="Z93:AB93"/>
    <mergeCell ref="AC93:AE93"/>
    <mergeCell ref="C94:D94"/>
    <mergeCell ref="E94:G94"/>
    <mergeCell ref="H94:J94"/>
    <mergeCell ref="K94:M94"/>
    <mergeCell ref="N94:P94"/>
    <mergeCell ref="Q94:S94"/>
    <mergeCell ref="T94:U94"/>
    <mergeCell ref="V94:W94"/>
    <mergeCell ref="X94:Y94"/>
    <mergeCell ref="Z94:AB94"/>
    <mergeCell ref="AC94:AE94"/>
    <mergeCell ref="C95:D95"/>
    <mergeCell ref="E95:G95"/>
    <mergeCell ref="H95:J95"/>
    <mergeCell ref="K95:M95"/>
    <mergeCell ref="N95:P95"/>
    <mergeCell ref="Q95:S95"/>
    <mergeCell ref="T95:U95"/>
    <mergeCell ref="V95:W95"/>
    <mergeCell ref="X95:Y95"/>
    <mergeCell ref="Z95:AB95"/>
    <mergeCell ref="AC95:AE95"/>
    <mergeCell ref="C96:D96"/>
    <mergeCell ref="E96:G96"/>
    <mergeCell ref="H96:J96"/>
    <mergeCell ref="K96:M96"/>
    <mergeCell ref="N96:P96"/>
    <mergeCell ref="Q96:S96"/>
    <mergeCell ref="T96:U96"/>
    <mergeCell ref="V96:W96"/>
    <mergeCell ref="X96:Y96"/>
    <mergeCell ref="Z96:AB96"/>
    <mergeCell ref="AC96:AE96"/>
    <mergeCell ref="C97:D97"/>
    <mergeCell ref="E97:G97"/>
    <mergeCell ref="H97:J97"/>
    <mergeCell ref="K97:M97"/>
    <mergeCell ref="N97:P97"/>
    <mergeCell ref="Q97:S97"/>
    <mergeCell ref="T97:U97"/>
    <mergeCell ref="V97:W97"/>
    <mergeCell ref="X97:Y97"/>
    <mergeCell ref="Z97:AB97"/>
    <mergeCell ref="AC97:AE97"/>
    <mergeCell ref="C98:D98"/>
    <mergeCell ref="E98:G98"/>
    <mergeCell ref="H98:J98"/>
    <mergeCell ref="K98:M98"/>
    <mergeCell ref="N98:P98"/>
    <mergeCell ref="Q98:S98"/>
    <mergeCell ref="T98:U98"/>
    <mergeCell ref="V98:W98"/>
    <mergeCell ref="X98:Y98"/>
    <mergeCell ref="Z98:AB98"/>
    <mergeCell ref="AC98:AE98"/>
    <mergeCell ref="C99:D99"/>
    <mergeCell ref="E99:G99"/>
    <mergeCell ref="H99:J99"/>
    <mergeCell ref="K99:M99"/>
    <mergeCell ref="N99:P99"/>
    <mergeCell ref="Q99:S99"/>
    <mergeCell ref="T99:U99"/>
    <mergeCell ref="V99:W99"/>
    <mergeCell ref="X99:Y99"/>
    <mergeCell ref="Z99:AB99"/>
    <mergeCell ref="AC99:AE99"/>
    <mergeCell ref="C100:D100"/>
    <mergeCell ref="E100:G100"/>
    <mergeCell ref="H100:J100"/>
    <mergeCell ref="K100:M100"/>
    <mergeCell ref="N100:P100"/>
    <mergeCell ref="Q100:S100"/>
    <mergeCell ref="T100:U100"/>
    <mergeCell ref="V100:W100"/>
    <mergeCell ref="X100:Y100"/>
    <mergeCell ref="Z100:AB100"/>
    <mergeCell ref="AC100:AE100"/>
    <mergeCell ref="C101:D101"/>
    <mergeCell ref="E101:G101"/>
    <mergeCell ref="H101:J101"/>
    <mergeCell ref="K101:M101"/>
    <mergeCell ref="N101:P101"/>
    <mergeCell ref="Q101:S101"/>
    <mergeCell ref="T101:U101"/>
    <mergeCell ref="V101:W101"/>
    <mergeCell ref="X101:Y101"/>
    <mergeCell ref="Z101:AB101"/>
    <mergeCell ref="AC101:AE101"/>
    <mergeCell ref="C102:D102"/>
    <mergeCell ref="E102:G102"/>
    <mergeCell ref="H102:J102"/>
    <mergeCell ref="K102:M102"/>
    <mergeCell ref="N102:P102"/>
    <mergeCell ref="Q102:S102"/>
    <mergeCell ref="T102:U102"/>
    <mergeCell ref="V102:W102"/>
    <mergeCell ref="X102:Y102"/>
    <mergeCell ref="Z102:AB102"/>
    <mergeCell ref="AC102:AE102"/>
    <mergeCell ref="C103:D103"/>
    <mergeCell ref="E103:G103"/>
    <mergeCell ref="H103:J103"/>
    <mergeCell ref="K103:M103"/>
    <mergeCell ref="N103:P103"/>
    <mergeCell ref="Q103:S103"/>
    <mergeCell ref="T103:U103"/>
    <mergeCell ref="V103:W103"/>
    <mergeCell ref="X103:Y103"/>
    <mergeCell ref="Z103:AB103"/>
    <mergeCell ref="AC103:AE103"/>
    <mergeCell ref="C104:D104"/>
    <mergeCell ref="E104:G104"/>
    <mergeCell ref="H104:J104"/>
    <mergeCell ref="K104:M104"/>
    <mergeCell ref="N104:P104"/>
    <mergeCell ref="Q104:S104"/>
    <mergeCell ref="T104:U104"/>
    <mergeCell ref="V104:W104"/>
    <mergeCell ref="X104:Y104"/>
    <mergeCell ref="Z104:AB104"/>
    <mergeCell ref="AC104:AE104"/>
    <mergeCell ref="C105:D105"/>
    <mergeCell ref="E105:G105"/>
    <mergeCell ref="H105:J105"/>
    <mergeCell ref="K105:M105"/>
    <mergeCell ref="N105:P105"/>
    <mergeCell ref="Q105:S105"/>
    <mergeCell ref="T105:U105"/>
    <mergeCell ref="V105:W105"/>
    <mergeCell ref="X105:Y105"/>
    <mergeCell ref="Z105:AB105"/>
    <mergeCell ref="AC105:AE105"/>
    <mergeCell ref="C106:D106"/>
    <mergeCell ref="E106:G106"/>
    <mergeCell ref="H106:J106"/>
    <mergeCell ref="K106:M106"/>
    <mergeCell ref="N106:P106"/>
    <mergeCell ref="Q106:S106"/>
    <mergeCell ref="T106:U106"/>
    <mergeCell ref="V106:W106"/>
    <mergeCell ref="X106:Y106"/>
    <mergeCell ref="Z106:AB106"/>
    <mergeCell ref="AC106:AE106"/>
    <mergeCell ref="C107:D107"/>
    <mergeCell ref="E107:G107"/>
    <mergeCell ref="H107:J107"/>
    <mergeCell ref="K107:M107"/>
    <mergeCell ref="N107:P107"/>
    <mergeCell ref="Q107:S107"/>
    <mergeCell ref="T107:U107"/>
    <mergeCell ref="V107:W107"/>
    <mergeCell ref="X107:Y107"/>
    <mergeCell ref="Z107:AB107"/>
    <mergeCell ref="AC107:AE107"/>
    <mergeCell ref="C108:D108"/>
    <mergeCell ref="E108:G108"/>
    <mergeCell ref="H108:J108"/>
    <mergeCell ref="K108:M108"/>
    <mergeCell ref="N108:P108"/>
    <mergeCell ref="Q108:S108"/>
    <mergeCell ref="T108:U108"/>
    <mergeCell ref="V108:W108"/>
    <mergeCell ref="X108:Y108"/>
    <mergeCell ref="Z108:AB108"/>
    <mergeCell ref="AC108:AE108"/>
    <mergeCell ref="C109:D109"/>
    <mergeCell ref="E109:G109"/>
    <mergeCell ref="H109:J109"/>
    <mergeCell ref="K109:M109"/>
    <mergeCell ref="N109:P109"/>
    <mergeCell ref="Q109:S109"/>
    <mergeCell ref="T109:U109"/>
    <mergeCell ref="V109:W109"/>
    <mergeCell ref="X109:Y109"/>
    <mergeCell ref="Z109:AB109"/>
    <mergeCell ref="AC109:AE109"/>
    <mergeCell ref="C110:D110"/>
    <mergeCell ref="E110:G110"/>
    <mergeCell ref="H110:J110"/>
    <mergeCell ref="K110:M110"/>
    <mergeCell ref="N110:P110"/>
    <mergeCell ref="Q110:S110"/>
    <mergeCell ref="T110:U110"/>
    <mergeCell ref="V110:W110"/>
    <mergeCell ref="X110:Y110"/>
    <mergeCell ref="Z110:AB110"/>
    <mergeCell ref="AC110:AE110"/>
    <mergeCell ref="C111:D111"/>
    <mergeCell ref="E111:G111"/>
    <mergeCell ref="H111:J111"/>
    <mergeCell ref="K111:M111"/>
    <mergeCell ref="N111:P111"/>
    <mergeCell ref="Q111:S111"/>
    <mergeCell ref="T111:U111"/>
    <mergeCell ref="V111:W111"/>
    <mergeCell ref="X111:Y111"/>
    <mergeCell ref="Z111:AB111"/>
    <mergeCell ref="AC111:AE111"/>
    <mergeCell ref="C112:D112"/>
    <mergeCell ref="E112:G112"/>
    <mergeCell ref="H112:J112"/>
    <mergeCell ref="K112:M112"/>
    <mergeCell ref="N112:P112"/>
    <mergeCell ref="Q112:S112"/>
    <mergeCell ref="T112:U112"/>
    <mergeCell ref="V112:W112"/>
    <mergeCell ref="X112:Y112"/>
    <mergeCell ref="Z112:AB112"/>
    <mergeCell ref="AC112:AE112"/>
    <mergeCell ref="C113:D113"/>
    <mergeCell ref="E113:G113"/>
    <mergeCell ref="H113:J113"/>
    <mergeCell ref="K113:M113"/>
    <mergeCell ref="N113:P113"/>
    <mergeCell ref="Q113:S113"/>
    <mergeCell ref="T113:U113"/>
    <mergeCell ref="V113:W113"/>
    <mergeCell ref="X113:Y113"/>
    <mergeCell ref="Z113:AB113"/>
    <mergeCell ref="AC113:AE113"/>
    <mergeCell ref="C114:D114"/>
    <mergeCell ref="E114:G114"/>
    <mergeCell ref="H114:J114"/>
    <mergeCell ref="K114:M114"/>
    <mergeCell ref="N114:P114"/>
    <mergeCell ref="Q114:S114"/>
    <mergeCell ref="T114:U114"/>
    <mergeCell ref="V114:W114"/>
    <mergeCell ref="X114:Y114"/>
    <mergeCell ref="Z114:AB114"/>
    <mergeCell ref="AC114:AE114"/>
    <mergeCell ref="C115:D115"/>
    <mergeCell ref="E115:G115"/>
    <mergeCell ref="H115:J115"/>
    <mergeCell ref="K115:M115"/>
    <mergeCell ref="N115:P115"/>
    <mergeCell ref="Q115:S115"/>
    <mergeCell ref="T115:U115"/>
    <mergeCell ref="V115:W115"/>
    <mergeCell ref="X115:Y115"/>
    <mergeCell ref="Z115:AB115"/>
    <mergeCell ref="AC115:AE115"/>
    <mergeCell ref="C116:D116"/>
    <mergeCell ref="E116:G116"/>
    <mergeCell ref="H116:J116"/>
    <mergeCell ref="K116:M116"/>
    <mergeCell ref="N116:P116"/>
    <mergeCell ref="Q116:S116"/>
    <mergeCell ref="T116:U116"/>
    <mergeCell ref="V116:W116"/>
    <mergeCell ref="X116:Y116"/>
    <mergeCell ref="Z116:AB116"/>
    <mergeCell ref="AC116:AE116"/>
    <mergeCell ref="C117:D117"/>
    <mergeCell ref="E117:G117"/>
    <mergeCell ref="H117:J117"/>
    <mergeCell ref="K117:M117"/>
    <mergeCell ref="N117:P117"/>
    <mergeCell ref="Q117:S117"/>
    <mergeCell ref="T117:U117"/>
    <mergeCell ref="V117:W117"/>
    <mergeCell ref="X117:Y117"/>
    <mergeCell ref="Z117:AB117"/>
    <mergeCell ref="AC117:AE117"/>
    <mergeCell ref="C118:D118"/>
    <mergeCell ref="E118:G118"/>
    <mergeCell ref="H118:J118"/>
    <mergeCell ref="K118:M118"/>
    <mergeCell ref="N118:P118"/>
    <mergeCell ref="Q118:S118"/>
    <mergeCell ref="T118:U118"/>
    <mergeCell ref="V118:W118"/>
    <mergeCell ref="X118:Y118"/>
    <mergeCell ref="Z118:AB118"/>
    <mergeCell ref="AC118:AE118"/>
    <mergeCell ref="C119:D119"/>
    <mergeCell ref="E119:G119"/>
    <mergeCell ref="H119:J119"/>
    <mergeCell ref="K119:M119"/>
    <mergeCell ref="N119:P119"/>
    <mergeCell ref="Q119:S119"/>
    <mergeCell ref="T119:U119"/>
    <mergeCell ref="V119:W119"/>
    <mergeCell ref="X119:Y119"/>
    <mergeCell ref="Z119:AB119"/>
    <mergeCell ref="AC119:AE119"/>
    <mergeCell ref="C120:D120"/>
    <mergeCell ref="E120:G120"/>
    <mergeCell ref="H120:J120"/>
    <mergeCell ref="K120:M120"/>
    <mergeCell ref="N120:P120"/>
    <mergeCell ref="Q120:S120"/>
    <mergeCell ref="T120:U120"/>
    <mergeCell ref="V120:W120"/>
    <mergeCell ref="X120:Y120"/>
    <mergeCell ref="Z120:AB120"/>
    <mergeCell ref="AC120:AE120"/>
    <mergeCell ref="C121:D121"/>
    <mergeCell ref="E121:G121"/>
    <mergeCell ref="H121:J121"/>
    <mergeCell ref="K121:M121"/>
    <mergeCell ref="N121:P121"/>
    <mergeCell ref="Q121:S121"/>
    <mergeCell ref="T121:U121"/>
    <mergeCell ref="V121:W121"/>
    <mergeCell ref="X121:Y121"/>
    <mergeCell ref="Z121:AB121"/>
    <mergeCell ref="AC121:AE121"/>
    <mergeCell ref="C122:D122"/>
    <mergeCell ref="E122:G122"/>
    <mergeCell ref="H122:J122"/>
    <mergeCell ref="K122:M122"/>
    <mergeCell ref="N122:P122"/>
    <mergeCell ref="Q122:S122"/>
    <mergeCell ref="T122:U122"/>
    <mergeCell ref="V122:W122"/>
    <mergeCell ref="X122:Y122"/>
    <mergeCell ref="Z122:AB122"/>
    <mergeCell ref="AC122:AE122"/>
    <mergeCell ref="C123:D123"/>
    <mergeCell ref="E123:G123"/>
    <mergeCell ref="H123:J123"/>
    <mergeCell ref="K123:M123"/>
    <mergeCell ref="N123:P123"/>
    <mergeCell ref="Q123:S123"/>
    <mergeCell ref="T123:U123"/>
    <mergeCell ref="V123:W123"/>
    <mergeCell ref="X123:Y123"/>
    <mergeCell ref="Z123:AB123"/>
    <mergeCell ref="AC123:AE123"/>
    <mergeCell ref="C124:AE124"/>
    <mergeCell ref="X145:AA145"/>
    <mergeCell ref="AB145:AE145"/>
    <mergeCell ref="C146:G146"/>
    <mergeCell ref="H146:W146"/>
    <mergeCell ref="X146:AA146"/>
    <mergeCell ref="AB146:AE146"/>
    <mergeCell ref="C147:G147"/>
    <mergeCell ref="H147:W147"/>
    <mergeCell ref="X147:AA147"/>
    <mergeCell ref="AB147:AE147"/>
    <mergeCell ref="C148:G148"/>
    <mergeCell ref="H148:W148"/>
    <mergeCell ref="X148:AA148"/>
    <mergeCell ref="AB148:AE148"/>
    <mergeCell ref="C149:G149"/>
    <mergeCell ref="H149:W149"/>
    <mergeCell ref="X149:AA149"/>
    <mergeCell ref="AB149:AE149"/>
    <mergeCell ref="C151:AE151"/>
    <mergeCell ref="C152:AE152"/>
    <mergeCell ref="C153:AE153"/>
    <mergeCell ref="C154:AE154"/>
    <mergeCell ref="C155:AE155"/>
    <mergeCell ref="C156:AE156"/>
    <mergeCell ref="C170:AE170"/>
    <mergeCell ref="C172:AE172"/>
    <mergeCell ref="C173:N173"/>
    <mergeCell ref="O173:W173"/>
    <mergeCell ref="X173:Z173"/>
    <mergeCell ref="AA173:AC173"/>
    <mergeCell ref="AD173:AE173"/>
    <mergeCell ref="C174:N174"/>
    <mergeCell ref="O174:W174"/>
    <mergeCell ref="X174:Z174"/>
    <mergeCell ref="AA174:AC174"/>
    <mergeCell ref="AD174:AE174"/>
    <mergeCell ref="C175:N175"/>
    <mergeCell ref="O175:W175"/>
    <mergeCell ref="X175:Z175"/>
    <mergeCell ref="AA175:AC175"/>
    <mergeCell ref="AD175:AE175"/>
    <mergeCell ref="C176:N176"/>
    <mergeCell ref="O176:W176"/>
    <mergeCell ref="X176:Z176"/>
    <mergeCell ref="AA176:AC176"/>
    <mergeCell ref="AD176:AE176"/>
    <mergeCell ref="C177:N177"/>
    <mergeCell ref="O177:W177"/>
    <mergeCell ref="X177:Z177"/>
    <mergeCell ref="AA177:AC177"/>
    <mergeCell ref="AD177:AE177"/>
    <mergeCell ref="C178:N178"/>
    <mergeCell ref="O178:W178"/>
    <mergeCell ref="X178:Z178"/>
    <mergeCell ref="AA178:AC178"/>
    <mergeCell ref="AD178:AE178"/>
    <mergeCell ref="C179:N179"/>
    <mergeCell ref="O179:W179"/>
    <mergeCell ref="X179:Z179"/>
    <mergeCell ref="AA179:AC179"/>
    <mergeCell ref="AD179:AE179"/>
    <mergeCell ref="C180:N180"/>
    <mergeCell ref="O180:W180"/>
    <mergeCell ref="X180:Z180"/>
    <mergeCell ref="AA180:AC180"/>
    <mergeCell ref="AD180:AE180"/>
    <mergeCell ref="C181:N181"/>
    <mergeCell ref="O181:W181"/>
    <mergeCell ref="X181:Z181"/>
    <mergeCell ref="AA181:AC181"/>
    <mergeCell ref="AD181:AE181"/>
    <mergeCell ref="C182:N182"/>
    <mergeCell ref="O182:W182"/>
    <mergeCell ref="X182:Z182"/>
    <mergeCell ref="AA182:AC182"/>
    <mergeCell ref="AD182:AE182"/>
    <mergeCell ref="C183:N183"/>
    <mergeCell ref="O183:W183"/>
    <mergeCell ref="X183:Z183"/>
    <mergeCell ref="AA183:AC183"/>
    <mergeCell ref="AD183:AE183"/>
    <mergeCell ref="C184:N184"/>
    <mergeCell ref="O184:W184"/>
    <mergeCell ref="X184:Z184"/>
    <mergeCell ref="AA184:AC184"/>
    <mergeCell ref="AD184:AE184"/>
    <mergeCell ref="C185:N185"/>
    <mergeCell ref="O185:W185"/>
    <mergeCell ref="X185:Z185"/>
    <mergeCell ref="AA185:AC185"/>
    <mergeCell ref="AD185:AE185"/>
    <mergeCell ref="C186:N186"/>
    <mergeCell ref="O186:W186"/>
    <mergeCell ref="X186:Z186"/>
    <mergeCell ref="AA186:AC186"/>
    <mergeCell ref="AD186:AE186"/>
    <mergeCell ref="C187:N187"/>
    <mergeCell ref="O187:W187"/>
    <mergeCell ref="X187:Z187"/>
    <mergeCell ref="AA187:AC187"/>
    <mergeCell ref="AD187:AE187"/>
    <mergeCell ref="C188:N188"/>
    <mergeCell ref="O188:W188"/>
    <mergeCell ref="X188:Z188"/>
    <mergeCell ref="AA188:AC188"/>
    <mergeCell ref="AD188:AE188"/>
    <mergeCell ref="C189:N189"/>
    <mergeCell ref="X189:AE189"/>
    <mergeCell ref="C191:AE191"/>
    <mergeCell ref="C192:N192"/>
    <mergeCell ref="O192:W192"/>
    <mergeCell ref="X192:Z192"/>
    <mergeCell ref="AA192:AC192"/>
    <mergeCell ref="AD192:AE192"/>
    <mergeCell ref="C193:N193"/>
    <mergeCell ref="O193:W193"/>
    <mergeCell ref="X193:Z193"/>
    <mergeCell ref="AA193:AC193"/>
    <mergeCell ref="AD193:AE193"/>
    <mergeCell ref="C194:N194"/>
    <mergeCell ref="O194:W194"/>
    <mergeCell ref="X194:Z194"/>
    <mergeCell ref="AA194:AC194"/>
    <mergeCell ref="AD194:AE194"/>
    <mergeCell ref="C195:N195"/>
    <mergeCell ref="O195:W195"/>
    <mergeCell ref="X195:Z195"/>
    <mergeCell ref="AA195:AC195"/>
    <mergeCell ref="AD195:AE195"/>
    <mergeCell ref="C196:N196"/>
    <mergeCell ref="O196:W196"/>
    <mergeCell ref="X196:Z196"/>
    <mergeCell ref="AA196:AC196"/>
    <mergeCell ref="AD196:AE196"/>
    <mergeCell ref="C197:N197"/>
    <mergeCell ref="O197:W197"/>
    <mergeCell ref="X197:Z197"/>
    <mergeCell ref="AA197:AC197"/>
    <mergeCell ref="AD197:AE197"/>
    <mergeCell ref="C198:N198"/>
    <mergeCell ref="O198:W198"/>
    <mergeCell ref="X198:Z198"/>
    <mergeCell ref="AA198:AC198"/>
    <mergeCell ref="AD198:AE198"/>
    <mergeCell ref="C199:N199"/>
    <mergeCell ref="O199:W199"/>
    <mergeCell ref="X199:Z199"/>
    <mergeCell ref="AA199:AC199"/>
    <mergeCell ref="AD199:AE199"/>
    <mergeCell ref="C200:N200"/>
    <mergeCell ref="O200:W200"/>
    <mergeCell ref="X200:Z200"/>
    <mergeCell ref="AA200:AC200"/>
    <mergeCell ref="AD200:AE200"/>
    <mergeCell ref="C201:N201"/>
    <mergeCell ref="O201:W201"/>
    <mergeCell ref="X201:Z201"/>
    <mergeCell ref="AA201:AC201"/>
    <mergeCell ref="AD201:AE201"/>
    <mergeCell ref="C202:N202"/>
    <mergeCell ref="O202:W202"/>
    <mergeCell ref="X202:Z202"/>
    <mergeCell ref="AA202:AC202"/>
    <mergeCell ref="AD202:AE202"/>
    <mergeCell ref="C203:N203"/>
    <mergeCell ref="O203:W203"/>
    <mergeCell ref="X203:Z203"/>
    <mergeCell ref="AA203:AC203"/>
    <mergeCell ref="AD203:AE203"/>
    <mergeCell ref="C204:N204"/>
    <mergeCell ref="O204:W204"/>
    <mergeCell ref="X204:Z204"/>
    <mergeCell ref="AA204:AC204"/>
    <mergeCell ref="AD204:AE204"/>
    <mergeCell ref="C205:N205"/>
    <mergeCell ref="O205:W205"/>
    <mergeCell ref="X205:Z205"/>
    <mergeCell ref="AA205:AC205"/>
    <mergeCell ref="AD205:AE205"/>
    <mergeCell ref="C206:N206"/>
    <mergeCell ref="O206:W206"/>
    <mergeCell ref="X206:Z206"/>
    <mergeCell ref="AA206:AC206"/>
    <mergeCell ref="AD206:AE206"/>
    <mergeCell ref="C207:N207"/>
    <mergeCell ref="O207:W207"/>
    <mergeCell ref="X207:Z207"/>
    <mergeCell ref="AA207:AC207"/>
    <mergeCell ref="AD207:AE207"/>
    <mergeCell ref="C208:N208"/>
    <mergeCell ref="X208:AE208"/>
    <mergeCell ref="X217:AA217"/>
    <mergeCell ref="AB217:AE217"/>
    <mergeCell ref="C218:G218"/>
    <mergeCell ref="H218:W218"/>
    <mergeCell ref="X218:AA218"/>
    <mergeCell ref="AB218:AE218"/>
    <mergeCell ref="C219:G219"/>
    <mergeCell ref="H219:W219"/>
    <mergeCell ref="X219:AA219"/>
    <mergeCell ref="AB219:AE219"/>
    <mergeCell ref="C220:G220"/>
    <mergeCell ref="H220:W220"/>
    <mergeCell ref="X220:AA220"/>
    <mergeCell ref="AB220:AE220"/>
    <mergeCell ref="C221:G221"/>
    <mergeCell ref="H221:W221"/>
    <mergeCell ref="X221:AA221"/>
    <mergeCell ref="AB221:AE221"/>
    <mergeCell ref="C223:AE223"/>
    <mergeCell ref="C224:N224"/>
    <mergeCell ref="O224:W224"/>
    <mergeCell ref="X224:Z224"/>
    <mergeCell ref="AA224:AC224"/>
    <mergeCell ref="AD224:AE224"/>
    <mergeCell ref="C225:N225"/>
    <mergeCell ref="O225:W225"/>
    <mergeCell ref="X225:Z225"/>
    <mergeCell ref="AA225:AC225"/>
    <mergeCell ref="AD225:AE225"/>
    <mergeCell ref="C226:AE226"/>
    <mergeCell ref="C228:AE228"/>
    <mergeCell ref="C229:AE229"/>
    <mergeCell ref="C230:AE230"/>
    <mergeCell ref="C231:AE231"/>
    <mergeCell ref="C251:AE251"/>
    <mergeCell ref="C253:N253"/>
    <mergeCell ref="O253:W253"/>
    <mergeCell ref="X253:Z253"/>
    <mergeCell ref="AA253:AC253"/>
    <mergeCell ref="AD253:AE253"/>
    <mergeCell ref="C254:N254"/>
    <mergeCell ref="O254:W254"/>
    <mergeCell ref="X254:Z254"/>
    <mergeCell ref="AA254:AC254"/>
    <mergeCell ref="AD254:AE254"/>
    <mergeCell ref="C255:N255"/>
    <mergeCell ref="O255:W255"/>
    <mergeCell ref="X255:Z255"/>
    <mergeCell ref="AA255:AC255"/>
    <mergeCell ref="AD255:AE255"/>
    <mergeCell ref="C256:N256"/>
    <mergeCell ref="O256:W256"/>
    <mergeCell ref="X256:Z256"/>
    <mergeCell ref="AA256:AC256"/>
    <mergeCell ref="AD256:AE256"/>
    <mergeCell ref="C257:N257"/>
    <mergeCell ref="X257:AE257"/>
    <mergeCell ref="C258:N258"/>
    <mergeCell ref="O258:W258"/>
    <mergeCell ref="X258:Z258"/>
    <mergeCell ref="AA258:AC258"/>
    <mergeCell ref="AD258:AE258"/>
    <mergeCell ref="C259:N259"/>
    <mergeCell ref="O259:W259"/>
    <mergeCell ref="X259:Z259"/>
    <mergeCell ref="AA259:AC259"/>
    <mergeCell ref="AD259:AE259"/>
    <mergeCell ref="C260:N260"/>
    <mergeCell ref="X260:AE260"/>
    <mergeCell ref="C261:AE261"/>
    <mergeCell ref="X289:AA289"/>
    <mergeCell ref="AB289:AE289"/>
    <mergeCell ref="C290:G290"/>
    <mergeCell ref="H290:W290"/>
    <mergeCell ref="X290:AA290"/>
    <mergeCell ref="AB290:AE290"/>
    <mergeCell ref="C291:G291"/>
    <mergeCell ref="H291:W291"/>
    <mergeCell ref="X291:AA291"/>
    <mergeCell ref="AB291:AE291"/>
    <mergeCell ref="C292:G292"/>
    <mergeCell ref="H292:W292"/>
    <mergeCell ref="X292:AA292"/>
    <mergeCell ref="AB292:AE292"/>
    <mergeCell ref="C293:G293"/>
    <mergeCell ref="H293:W293"/>
    <mergeCell ref="X293:AA293"/>
    <mergeCell ref="AB293:AE293"/>
    <mergeCell ref="C295:AE295"/>
    <mergeCell ref="C296:AE296"/>
    <mergeCell ref="C297:AE297"/>
    <mergeCell ref="C298:AE298"/>
    <mergeCell ref="C299:AE299"/>
    <mergeCell ref="C300:AE300"/>
    <mergeCell ref="C301:D301"/>
    <mergeCell ref="E301:G301"/>
    <mergeCell ref="H301:J301"/>
    <mergeCell ref="K301:M301"/>
    <mergeCell ref="N301:P301"/>
    <mergeCell ref="Q301:R301"/>
    <mergeCell ref="S301:U301"/>
    <mergeCell ref="V301:X301"/>
    <mergeCell ref="Y301:Z301"/>
    <mergeCell ref="AA301:AB301"/>
    <mergeCell ref="AC301:AE301"/>
    <mergeCell ref="C302:D302"/>
    <mergeCell ref="E302:G302"/>
    <mergeCell ref="H302:J302"/>
    <mergeCell ref="K302:M302"/>
    <mergeCell ref="N302:P302"/>
    <mergeCell ref="Q302:R302"/>
    <mergeCell ref="S302:U302"/>
    <mergeCell ref="V302:X302"/>
    <mergeCell ref="Y302:Z302"/>
    <mergeCell ref="AA302:AB302"/>
    <mergeCell ref="AC302:AE302"/>
    <mergeCell ref="C303:D303"/>
    <mergeCell ref="E303:G303"/>
    <mergeCell ref="H303:J303"/>
    <mergeCell ref="K303:M303"/>
    <mergeCell ref="N303:P303"/>
    <mergeCell ref="Q303:R303"/>
    <mergeCell ref="S303:U303"/>
    <mergeCell ref="V303:X303"/>
    <mergeCell ref="Y303:Z303"/>
    <mergeCell ref="AA303:AB303"/>
    <mergeCell ref="AC303:AE303"/>
    <mergeCell ref="C304:D304"/>
    <mergeCell ref="E304:G304"/>
    <mergeCell ref="H304:J304"/>
    <mergeCell ref="K304:M304"/>
    <mergeCell ref="N304:P304"/>
    <mergeCell ref="Q304:R304"/>
    <mergeCell ref="S304:U304"/>
    <mergeCell ref="V304:X304"/>
    <mergeCell ref="Y304:Z304"/>
    <mergeCell ref="AA304:AB304"/>
    <mergeCell ref="AC304:AE304"/>
    <mergeCell ref="C305:D305"/>
    <mergeCell ref="E305:G305"/>
    <mergeCell ref="H305:J305"/>
    <mergeCell ref="K305:M305"/>
    <mergeCell ref="N305:P305"/>
    <mergeCell ref="Q305:R305"/>
    <mergeCell ref="S305:U305"/>
    <mergeCell ref="V305:X305"/>
    <mergeCell ref="Y305:Z305"/>
    <mergeCell ref="AA305:AB305"/>
    <mergeCell ref="AC305:AE305"/>
    <mergeCell ref="C306:D306"/>
    <mergeCell ref="E306:G306"/>
    <mergeCell ref="H306:J306"/>
    <mergeCell ref="K306:M306"/>
    <mergeCell ref="N306:P306"/>
    <mergeCell ref="Q306:R306"/>
    <mergeCell ref="S306:U306"/>
    <mergeCell ref="V306:X306"/>
    <mergeCell ref="Y306:Z306"/>
    <mergeCell ref="AA306:AB306"/>
    <mergeCell ref="AC306:AE306"/>
    <mergeCell ref="C307:D307"/>
    <mergeCell ref="E307:G307"/>
    <mergeCell ref="H307:J307"/>
    <mergeCell ref="K307:M307"/>
    <mergeCell ref="N307:P307"/>
    <mergeCell ref="Q307:R307"/>
    <mergeCell ref="S307:U307"/>
    <mergeCell ref="V307:X307"/>
    <mergeCell ref="Y307:Z307"/>
    <mergeCell ref="AA307:AB307"/>
    <mergeCell ref="AC307:AE307"/>
    <mergeCell ref="C308:D308"/>
    <mergeCell ref="E308:G308"/>
    <mergeCell ref="H308:J308"/>
    <mergeCell ref="K308:M308"/>
    <mergeCell ref="N308:P308"/>
    <mergeCell ref="Q308:R308"/>
    <mergeCell ref="S308:U308"/>
    <mergeCell ref="V308:X308"/>
    <mergeCell ref="Y308:Z308"/>
    <mergeCell ref="AA308:AB308"/>
    <mergeCell ref="AC308:AE308"/>
    <mergeCell ref="C309:D309"/>
    <mergeCell ref="E309:G309"/>
    <mergeCell ref="H309:J309"/>
    <mergeCell ref="K309:M309"/>
    <mergeCell ref="N309:P309"/>
    <mergeCell ref="Q309:R309"/>
    <mergeCell ref="S309:U309"/>
    <mergeCell ref="V309:X309"/>
    <mergeCell ref="Y309:Z309"/>
    <mergeCell ref="AA309:AB309"/>
    <mergeCell ref="AC309:AE309"/>
    <mergeCell ref="C310:D310"/>
    <mergeCell ref="E310:G310"/>
    <mergeCell ref="H310:J310"/>
    <mergeCell ref="K310:M310"/>
    <mergeCell ref="N310:P310"/>
    <mergeCell ref="Q310:R310"/>
    <mergeCell ref="S310:U310"/>
    <mergeCell ref="V310:X310"/>
    <mergeCell ref="Y310:Z310"/>
    <mergeCell ref="AA310:AB310"/>
    <mergeCell ref="AC310:AE310"/>
    <mergeCell ref="C311:D311"/>
    <mergeCell ref="E311:G311"/>
    <mergeCell ref="H311:J311"/>
    <mergeCell ref="K311:M311"/>
    <mergeCell ref="N311:P311"/>
    <mergeCell ref="Q311:R311"/>
    <mergeCell ref="S311:U311"/>
    <mergeCell ref="V311:X311"/>
    <mergeCell ref="Y311:Z311"/>
    <mergeCell ref="AA311:AB311"/>
    <mergeCell ref="AC311:AE311"/>
    <mergeCell ref="C312:D312"/>
    <mergeCell ref="E312:G312"/>
    <mergeCell ref="H312:J312"/>
    <mergeCell ref="K312:M312"/>
    <mergeCell ref="N312:P312"/>
    <mergeCell ref="Q312:R312"/>
    <mergeCell ref="S312:U312"/>
    <mergeCell ref="V312:X312"/>
    <mergeCell ref="Y312:Z312"/>
    <mergeCell ref="AA312:AB312"/>
    <mergeCell ref="AC312:AE312"/>
    <mergeCell ref="C313:D313"/>
    <mergeCell ref="E313:G313"/>
    <mergeCell ref="H313:J313"/>
    <mergeCell ref="K313:M313"/>
    <mergeCell ref="N313:P313"/>
    <mergeCell ref="Q313:R313"/>
    <mergeCell ref="S313:U313"/>
    <mergeCell ref="V313:X313"/>
    <mergeCell ref="Y313:Z313"/>
    <mergeCell ref="AA313:AB313"/>
    <mergeCell ref="AC313:AE313"/>
    <mergeCell ref="C314:D314"/>
    <mergeCell ref="E314:G314"/>
    <mergeCell ref="H314:J314"/>
    <mergeCell ref="K314:M314"/>
    <mergeCell ref="N314:P314"/>
    <mergeCell ref="Q314:R314"/>
    <mergeCell ref="S314:U314"/>
    <mergeCell ref="V314:X314"/>
    <mergeCell ref="Y314:Z314"/>
    <mergeCell ref="AA314:AB314"/>
    <mergeCell ref="AC314:AE314"/>
    <mergeCell ref="C315:D315"/>
    <mergeCell ref="E315:G315"/>
    <mergeCell ref="H315:J315"/>
    <mergeCell ref="K315:M315"/>
    <mergeCell ref="N315:P315"/>
    <mergeCell ref="Q315:R315"/>
    <mergeCell ref="S315:U315"/>
    <mergeCell ref="V315:X315"/>
    <mergeCell ref="Y315:Z315"/>
    <mergeCell ref="AA315:AB315"/>
    <mergeCell ref="AC315:AE315"/>
    <mergeCell ref="C316:D316"/>
    <mergeCell ref="E316:G316"/>
    <mergeCell ref="H316:J316"/>
    <mergeCell ref="K316:M316"/>
    <mergeCell ref="N316:P316"/>
    <mergeCell ref="Q316:R316"/>
    <mergeCell ref="S316:U316"/>
    <mergeCell ref="V316:X316"/>
    <mergeCell ref="Y316:Z316"/>
    <mergeCell ref="AA316:AB316"/>
    <mergeCell ref="AC316:AE316"/>
    <mergeCell ref="C317:D317"/>
    <mergeCell ref="E317:G317"/>
    <mergeCell ref="H317:J317"/>
    <mergeCell ref="K317:M317"/>
    <mergeCell ref="N317:P317"/>
    <mergeCell ref="Q317:R317"/>
    <mergeCell ref="S317:U317"/>
    <mergeCell ref="V317:X317"/>
    <mergeCell ref="Y317:Z317"/>
    <mergeCell ref="AA317:AB317"/>
    <mergeCell ref="AC317:AE317"/>
    <mergeCell ref="C318:D318"/>
    <mergeCell ref="E318:G318"/>
    <mergeCell ref="H318:J318"/>
    <mergeCell ref="K318:M318"/>
    <mergeCell ref="N318:P318"/>
    <mergeCell ref="Q318:R318"/>
    <mergeCell ref="S318:U318"/>
    <mergeCell ref="V318:X318"/>
    <mergeCell ref="Y318:Z318"/>
    <mergeCell ref="AA318:AB318"/>
    <mergeCell ref="AC318:AE318"/>
    <mergeCell ref="C319:D319"/>
    <mergeCell ref="E319:G319"/>
    <mergeCell ref="H319:J319"/>
    <mergeCell ref="K319:M319"/>
    <mergeCell ref="N319:P319"/>
    <mergeCell ref="Q319:R319"/>
    <mergeCell ref="S319:U319"/>
    <mergeCell ref="V319:X319"/>
    <mergeCell ref="Y319:Z319"/>
    <mergeCell ref="AA319:AB319"/>
    <mergeCell ref="AC319:AE319"/>
    <mergeCell ref="C320:D320"/>
    <mergeCell ref="E320:G320"/>
    <mergeCell ref="H320:J320"/>
    <mergeCell ref="K320:M320"/>
    <mergeCell ref="N320:P320"/>
    <mergeCell ref="Q320:R320"/>
    <mergeCell ref="S320:U320"/>
    <mergeCell ref="V320:X320"/>
    <mergeCell ref="Y320:Z320"/>
    <mergeCell ref="AA320:AB320"/>
    <mergeCell ref="AC320:AE320"/>
    <mergeCell ref="C321:D321"/>
    <mergeCell ref="E321:G321"/>
    <mergeCell ref="H321:J321"/>
    <mergeCell ref="K321:M321"/>
    <mergeCell ref="N321:P321"/>
    <mergeCell ref="Q321:R321"/>
    <mergeCell ref="S321:U321"/>
    <mergeCell ref="V321:X321"/>
    <mergeCell ref="Y321:Z321"/>
    <mergeCell ref="AA321:AB321"/>
    <mergeCell ref="AC321:AE321"/>
    <mergeCell ref="C322:D322"/>
    <mergeCell ref="E322:G322"/>
    <mergeCell ref="H322:J322"/>
    <mergeCell ref="K322:M322"/>
    <mergeCell ref="N322:P322"/>
    <mergeCell ref="Q322:R322"/>
    <mergeCell ref="S322:U322"/>
    <mergeCell ref="V322:X322"/>
    <mergeCell ref="Y322:Z322"/>
    <mergeCell ref="AA322:AB322"/>
    <mergeCell ref="AC322:AE322"/>
    <mergeCell ref="C323:D323"/>
    <mergeCell ref="E323:G323"/>
    <mergeCell ref="H323:J323"/>
    <mergeCell ref="K323:M323"/>
    <mergeCell ref="N323:P323"/>
    <mergeCell ref="Q323:R323"/>
    <mergeCell ref="S323:U323"/>
    <mergeCell ref="V323:X323"/>
    <mergeCell ref="Y323:Z323"/>
    <mergeCell ref="AA323:AB323"/>
    <mergeCell ref="AC323:AE323"/>
    <mergeCell ref="C324:D324"/>
    <mergeCell ref="E324:G324"/>
    <mergeCell ref="H324:J324"/>
    <mergeCell ref="K324:M324"/>
    <mergeCell ref="N324:P324"/>
    <mergeCell ref="Q324:R324"/>
    <mergeCell ref="S324:U324"/>
    <mergeCell ref="V324:X324"/>
    <mergeCell ref="Y324:Z324"/>
    <mergeCell ref="AA324:AB324"/>
    <mergeCell ref="AC324:AE324"/>
    <mergeCell ref="C325:D325"/>
    <mergeCell ref="E325:G325"/>
    <mergeCell ref="H325:J325"/>
    <mergeCell ref="K325:M325"/>
    <mergeCell ref="N325:P325"/>
    <mergeCell ref="Q325:R325"/>
    <mergeCell ref="S325:U325"/>
    <mergeCell ref="V325:X325"/>
    <mergeCell ref="Y325:Z325"/>
    <mergeCell ref="AA325:AB325"/>
    <mergeCell ref="AC325:AE325"/>
    <mergeCell ref="C326:D326"/>
    <mergeCell ref="E326:G326"/>
    <mergeCell ref="H326:J326"/>
    <mergeCell ref="K326:M326"/>
    <mergeCell ref="N326:P326"/>
    <mergeCell ref="Q326:R326"/>
    <mergeCell ref="S326:U326"/>
    <mergeCell ref="V326:X326"/>
    <mergeCell ref="Y326:Z326"/>
    <mergeCell ref="AA326:AB326"/>
    <mergeCell ref="AC326:AE326"/>
    <mergeCell ref="C327:D327"/>
    <mergeCell ref="E327:G327"/>
    <mergeCell ref="H327:J327"/>
    <mergeCell ref="K327:M327"/>
    <mergeCell ref="N327:P327"/>
    <mergeCell ref="Q327:R327"/>
    <mergeCell ref="S327:U327"/>
    <mergeCell ref="V327:X327"/>
    <mergeCell ref="Y327:Z327"/>
    <mergeCell ref="AA327:AB327"/>
    <mergeCell ref="AC327:AE327"/>
    <mergeCell ref="C328:D328"/>
    <mergeCell ref="E328:G328"/>
    <mergeCell ref="H328:J328"/>
    <mergeCell ref="K328:M328"/>
    <mergeCell ref="N328:P328"/>
    <mergeCell ref="Q328:R328"/>
    <mergeCell ref="S328:U328"/>
    <mergeCell ref="V328:X328"/>
    <mergeCell ref="Y328:Z328"/>
    <mergeCell ref="AA328:AB328"/>
    <mergeCell ref="AC328:AE328"/>
    <mergeCell ref="C329:D329"/>
    <mergeCell ref="E329:G329"/>
    <mergeCell ref="H329:J329"/>
    <mergeCell ref="K329:M329"/>
    <mergeCell ref="N329:P329"/>
    <mergeCell ref="Q329:R329"/>
    <mergeCell ref="S329:U329"/>
    <mergeCell ref="V329:X329"/>
    <mergeCell ref="Y329:Z329"/>
    <mergeCell ref="AA329:AB329"/>
    <mergeCell ref="AC329:AE329"/>
    <mergeCell ref="C330:D330"/>
    <mergeCell ref="E330:G330"/>
    <mergeCell ref="H330:J330"/>
    <mergeCell ref="K330:M330"/>
    <mergeCell ref="N330:P330"/>
    <mergeCell ref="Q330:R330"/>
    <mergeCell ref="S330:U330"/>
    <mergeCell ref="V330:X330"/>
    <mergeCell ref="Y330:Z330"/>
    <mergeCell ref="AA330:AB330"/>
    <mergeCell ref="AC330:AE330"/>
    <mergeCell ref="C331:D331"/>
    <mergeCell ref="E331:G331"/>
    <mergeCell ref="H331:J331"/>
    <mergeCell ref="K331:M331"/>
    <mergeCell ref="N331:P331"/>
    <mergeCell ref="Q331:R331"/>
    <mergeCell ref="S331:U331"/>
    <mergeCell ref="V331:X331"/>
    <mergeCell ref="Y331:Z331"/>
    <mergeCell ref="AA331:AB331"/>
    <mergeCell ref="AC331:AE331"/>
    <mergeCell ref="C332:D332"/>
    <mergeCell ref="E332:G332"/>
    <mergeCell ref="H332:J332"/>
    <mergeCell ref="K332:M332"/>
    <mergeCell ref="N332:P332"/>
    <mergeCell ref="Q332:R332"/>
    <mergeCell ref="S332:U332"/>
    <mergeCell ref="V332:X332"/>
    <mergeCell ref="Y332:Z332"/>
    <mergeCell ref="AA332:AB332"/>
    <mergeCell ref="AC332:AE332"/>
    <mergeCell ref="C333:D333"/>
    <mergeCell ref="E333:G333"/>
    <mergeCell ref="H333:J333"/>
    <mergeCell ref="K333:M333"/>
    <mergeCell ref="N333:P333"/>
    <mergeCell ref="Q333:R333"/>
    <mergeCell ref="S333:U333"/>
    <mergeCell ref="V333:X333"/>
    <mergeCell ref="Y333:Z333"/>
    <mergeCell ref="AA333:AB333"/>
    <mergeCell ref="AC333:AE333"/>
    <mergeCell ref="C334:D334"/>
    <mergeCell ref="E334:G334"/>
    <mergeCell ref="H334:J334"/>
    <mergeCell ref="K334:M334"/>
    <mergeCell ref="N334:P334"/>
    <mergeCell ref="Q334:R334"/>
    <mergeCell ref="S334:U334"/>
    <mergeCell ref="V334:X334"/>
    <mergeCell ref="Y334:Z334"/>
    <mergeCell ref="AA334:AB334"/>
    <mergeCell ref="AC334:AE334"/>
    <mergeCell ref="C335:D335"/>
    <mergeCell ref="E335:G335"/>
    <mergeCell ref="H335:J335"/>
    <mergeCell ref="K335:M335"/>
    <mergeCell ref="N335:P335"/>
    <mergeCell ref="Q335:R335"/>
    <mergeCell ref="S335:U335"/>
    <mergeCell ref="V335:X335"/>
    <mergeCell ref="Y335:Z335"/>
    <mergeCell ref="AA335:AB335"/>
    <mergeCell ref="AC335:AE335"/>
    <mergeCell ref="C336:D336"/>
    <mergeCell ref="E336:G336"/>
    <mergeCell ref="H336:J336"/>
    <mergeCell ref="K336:M336"/>
    <mergeCell ref="N336:P336"/>
    <mergeCell ref="Q336:R336"/>
    <mergeCell ref="S336:U336"/>
    <mergeCell ref="V336:X336"/>
    <mergeCell ref="Y336:Z336"/>
    <mergeCell ref="AA336:AB336"/>
    <mergeCell ref="AC336:AE336"/>
    <mergeCell ref="C337:D337"/>
    <mergeCell ref="E337:G337"/>
    <mergeCell ref="H337:J337"/>
    <mergeCell ref="K337:M337"/>
    <mergeCell ref="N337:P337"/>
    <mergeCell ref="Q337:R337"/>
    <mergeCell ref="S337:U337"/>
    <mergeCell ref="V337:X337"/>
    <mergeCell ref="Y337:Z337"/>
    <mergeCell ref="AA337:AB337"/>
    <mergeCell ref="AC337:AE337"/>
    <mergeCell ref="C338:D338"/>
    <mergeCell ref="E338:G338"/>
    <mergeCell ref="H338:J338"/>
    <mergeCell ref="K338:M338"/>
    <mergeCell ref="N338:P338"/>
    <mergeCell ref="Q338:R338"/>
    <mergeCell ref="S338:U338"/>
    <mergeCell ref="V338:X338"/>
    <mergeCell ref="Y338:Z338"/>
    <mergeCell ref="AA338:AB338"/>
    <mergeCell ref="AC338:AE338"/>
    <mergeCell ref="C339:D339"/>
    <mergeCell ref="E339:G339"/>
    <mergeCell ref="H339:J339"/>
    <mergeCell ref="K339:M339"/>
    <mergeCell ref="N339:P339"/>
    <mergeCell ref="Q339:R339"/>
    <mergeCell ref="S339:U339"/>
    <mergeCell ref="V339:X339"/>
    <mergeCell ref="Y339:Z339"/>
    <mergeCell ref="AA339:AB339"/>
    <mergeCell ref="AC339:AE339"/>
    <mergeCell ref="C340:D340"/>
    <mergeCell ref="E340:G340"/>
    <mergeCell ref="H340:J340"/>
    <mergeCell ref="K340:M340"/>
    <mergeCell ref="N340:P340"/>
    <mergeCell ref="Q340:R340"/>
    <mergeCell ref="S340:U340"/>
    <mergeCell ref="V340:X340"/>
    <mergeCell ref="Y340:Z340"/>
    <mergeCell ref="AA340:AB340"/>
    <mergeCell ref="AC340:AE340"/>
    <mergeCell ref="C341:D341"/>
    <mergeCell ref="E341:G341"/>
    <mergeCell ref="H341:J341"/>
    <mergeCell ref="K341:M341"/>
    <mergeCell ref="N341:P341"/>
    <mergeCell ref="Q341:R341"/>
    <mergeCell ref="S341:U341"/>
    <mergeCell ref="V341:X341"/>
    <mergeCell ref="Y341:Z341"/>
    <mergeCell ref="AA341:AB341"/>
    <mergeCell ref="AC341:AE341"/>
    <mergeCell ref="C342:D342"/>
    <mergeCell ref="E342:G342"/>
    <mergeCell ref="H342:J342"/>
    <mergeCell ref="K342:M342"/>
    <mergeCell ref="N342:P342"/>
    <mergeCell ref="Q342:R342"/>
    <mergeCell ref="S342:U342"/>
    <mergeCell ref="V342:X342"/>
    <mergeCell ref="Y342:Z342"/>
    <mergeCell ref="AA342:AB342"/>
    <mergeCell ref="AC342:AE342"/>
    <mergeCell ref="C343:D343"/>
    <mergeCell ref="E343:G343"/>
    <mergeCell ref="H343:J343"/>
    <mergeCell ref="K343:M343"/>
    <mergeCell ref="N343:P343"/>
    <mergeCell ref="Q343:R343"/>
    <mergeCell ref="S343:U343"/>
    <mergeCell ref="V343:X343"/>
    <mergeCell ref="Y343:Z343"/>
    <mergeCell ref="AA343:AB343"/>
    <mergeCell ref="AC343:AE343"/>
    <mergeCell ref="C345:N345"/>
    <mergeCell ref="O345:W345"/>
    <mergeCell ref="X345:Z345"/>
    <mergeCell ref="AA345:AC345"/>
    <mergeCell ref="AD345:AE345"/>
    <mergeCell ref="C346:N346"/>
    <mergeCell ref="O346:W346"/>
    <mergeCell ref="X346:Z346"/>
    <mergeCell ref="AA346:AC346"/>
    <mergeCell ref="AD346:AE346"/>
    <mergeCell ref="C347:N347"/>
    <mergeCell ref="O347:W347"/>
    <mergeCell ref="X347:Z347"/>
    <mergeCell ref="AA347:AC347"/>
    <mergeCell ref="AD347:AE347"/>
    <mergeCell ref="X361:AA361"/>
    <mergeCell ref="AB361:AE361"/>
    <mergeCell ref="C362:G362"/>
    <mergeCell ref="H362:W362"/>
    <mergeCell ref="X362:AA362"/>
    <mergeCell ref="AB362:AE362"/>
    <mergeCell ref="C363:G363"/>
    <mergeCell ref="H363:W363"/>
    <mergeCell ref="X363:AA363"/>
    <mergeCell ref="AB363:AE363"/>
    <mergeCell ref="C364:G364"/>
    <mergeCell ref="H364:W364"/>
    <mergeCell ref="X364:AA364"/>
    <mergeCell ref="AB364:AE364"/>
    <mergeCell ref="C365:G365"/>
    <mergeCell ref="H365:W365"/>
    <mergeCell ref="X365:AA365"/>
    <mergeCell ref="AB365:AE365"/>
    <mergeCell ref="C386:AE386"/>
    <mergeCell ref="C388:AE388"/>
    <mergeCell ref="C389:AE389"/>
    <mergeCell ref="C390:AE390"/>
    <mergeCell ref="C407:AE407"/>
    <mergeCell ref="X433:AA433"/>
    <mergeCell ref="AB433:AE433"/>
    <mergeCell ref="C434:G434"/>
    <mergeCell ref="H434:W434"/>
    <mergeCell ref="X434:AA434"/>
    <mergeCell ref="AB434:AE434"/>
    <mergeCell ref="C435:G435"/>
    <mergeCell ref="H435:W435"/>
    <mergeCell ref="X435:AA435"/>
    <mergeCell ref="AB435:AE435"/>
    <mergeCell ref="C436:G436"/>
    <mergeCell ref="H436:W436"/>
    <mergeCell ref="X436:AA436"/>
    <mergeCell ref="AB436:AE436"/>
    <mergeCell ref="C437:G437"/>
    <mergeCell ref="H437:W437"/>
    <mergeCell ref="X437:AA437"/>
    <mergeCell ref="AB437:AE437"/>
    <mergeCell ref="C439:AE439"/>
    <mergeCell ref="C440:D440"/>
    <mergeCell ref="E440:G440"/>
    <mergeCell ref="H440:J440"/>
    <mergeCell ref="K440:M440"/>
    <mergeCell ref="N440:P440"/>
    <mergeCell ref="Q440:S440"/>
    <mergeCell ref="T440:U440"/>
    <mergeCell ref="V440:W440"/>
    <mergeCell ref="X440:Y440"/>
    <mergeCell ref="Z440:AB440"/>
    <mergeCell ref="AC440:AE440"/>
    <mergeCell ref="C441:D441"/>
    <mergeCell ref="E441:G441"/>
    <mergeCell ref="H441:J441"/>
    <mergeCell ref="K441:M441"/>
    <mergeCell ref="N441:P441"/>
    <mergeCell ref="Q441:S441"/>
    <mergeCell ref="T441:U441"/>
    <mergeCell ref="V441:W441"/>
    <mergeCell ref="X441:Y441"/>
    <mergeCell ref="Z441:AB441"/>
    <mergeCell ref="AC441:AE441"/>
    <mergeCell ref="C442:D442"/>
    <mergeCell ref="E442:G442"/>
    <mergeCell ref="H442:J442"/>
    <mergeCell ref="K442:M442"/>
    <mergeCell ref="N442:P442"/>
    <mergeCell ref="Q442:S442"/>
    <mergeCell ref="T442:U442"/>
    <mergeCell ref="V442:W442"/>
    <mergeCell ref="X442:Y442"/>
    <mergeCell ref="Z442:AB442"/>
    <mergeCell ref="AC442:AE442"/>
    <mergeCell ref="C443:D443"/>
    <mergeCell ref="E443:G443"/>
    <mergeCell ref="H443:J443"/>
    <mergeCell ref="K443:M443"/>
    <mergeCell ref="N443:P443"/>
    <mergeCell ref="Q443:S443"/>
    <mergeCell ref="T443:U443"/>
    <mergeCell ref="V443:W443"/>
    <mergeCell ref="X443:Y443"/>
    <mergeCell ref="Z443:AB443"/>
    <mergeCell ref="AC443:AE443"/>
    <mergeCell ref="C444:D444"/>
    <mergeCell ref="E444:G444"/>
    <mergeCell ref="H444:J444"/>
    <mergeCell ref="K444:M444"/>
    <mergeCell ref="N444:P444"/>
    <mergeCell ref="Q444:S444"/>
    <mergeCell ref="T444:U444"/>
    <mergeCell ref="V444:W444"/>
    <mergeCell ref="X444:Y444"/>
    <mergeCell ref="Z444:AB444"/>
    <mergeCell ref="AC444:AE444"/>
    <mergeCell ref="C445:D445"/>
    <mergeCell ref="E445:G445"/>
    <mergeCell ref="H445:J445"/>
    <mergeCell ref="K445:M445"/>
    <mergeCell ref="N445:P445"/>
    <mergeCell ref="Q445:S445"/>
    <mergeCell ref="T445:U445"/>
    <mergeCell ref="V445:W445"/>
    <mergeCell ref="X445:Y445"/>
    <mergeCell ref="Z445:AB445"/>
    <mergeCell ref="AC445:AE445"/>
    <mergeCell ref="C446:D446"/>
    <mergeCell ref="E446:G446"/>
    <mergeCell ref="H446:J446"/>
    <mergeCell ref="K446:M446"/>
    <mergeCell ref="N446:P446"/>
    <mergeCell ref="Q446:S446"/>
    <mergeCell ref="T446:U446"/>
    <mergeCell ref="V446:W446"/>
    <mergeCell ref="X446:Y446"/>
    <mergeCell ref="Z446:AB446"/>
    <mergeCell ref="AC446:AE446"/>
    <mergeCell ref="C447:D447"/>
    <mergeCell ref="E447:G447"/>
    <mergeCell ref="H447:J447"/>
    <mergeCell ref="K447:M447"/>
    <mergeCell ref="N447:P447"/>
    <mergeCell ref="Q447:S447"/>
    <mergeCell ref="T447:U447"/>
    <mergeCell ref="V447:W447"/>
    <mergeCell ref="X447:Y447"/>
    <mergeCell ref="Z447:AB447"/>
    <mergeCell ref="AC447:AE447"/>
    <mergeCell ref="C448:D448"/>
    <mergeCell ref="E448:G448"/>
    <mergeCell ref="H448:J448"/>
    <mergeCell ref="K448:M448"/>
    <mergeCell ref="N448:P448"/>
    <mergeCell ref="Q448:S448"/>
    <mergeCell ref="T448:U448"/>
    <mergeCell ref="V448:W448"/>
    <mergeCell ref="X448:Y448"/>
    <mergeCell ref="Z448:AB448"/>
    <mergeCell ref="AC448:AE448"/>
    <mergeCell ref="C449:D449"/>
    <mergeCell ref="E449:G449"/>
    <mergeCell ref="H449:J449"/>
    <mergeCell ref="K449:M449"/>
    <mergeCell ref="N449:P449"/>
    <mergeCell ref="Q449:S449"/>
    <mergeCell ref="T449:U449"/>
    <mergeCell ref="V449:W449"/>
    <mergeCell ref="X449:Y449"/>
    <mergeCell ref="Z449:AB449"/>
    <mergeCell ref="AC449:AE449"/>
    <mergeCell ref="C450:D450"/>
    <mergeCell ref="E450:G450"/>
    <mergeCell ref="H450:J450"/>
    <mergeCell ref="K450:M450"/>
    <mergeCell ref="N450:P450"/>
    <mergeCell ref="Q450:S450"/>
    <mergeCell ref="T450:U450"/>
    <mergeCell ref="V450:W450"/>
    <mergeCell ref="X450:Y450"/>
    <mergeCell ref="Z450:AB450"/>
    <mergeCell ref="AC450:AE450"/>
    <mergeCell ref="C451:D451"/>
    <mergeCell ref="E451:G451"/>
    <mergeCell ref="H451:J451"/>
    <mergeCell ref="K451:M451"/>
    <mergeCell ref="N451:P451"/>
    <mergeCell ref="Q451:S451"/>
    <mergeCell ref="T451:U451"/>
    <mergeCell ref="V451:W451"/>
    <mergeCell ref="X451:Y451"/>
    <mergeCell ref="Z451:AB451"/>
    <mergeCell ref="AC451:AE451"/>
    <mergeCell ref="C452:D452"/>
    <mergeCell ref="E452:G452"/>
    <mergeCell ref="H452:J452"/>
    <mergeCell ref="K452:M452"/>
    <mergeCell ref="N452:P452"/>
    <mergeCell ref="Q452:S452"/>
    <mergeCell ref="T452:U452"/>
    <mergeCell ref="V452:W452"/>
    <mergeCell ref="X452:Y452"/>
    <mergeCell ref="Z452:AB452"/>
    <mergeCell ref="AC452:AE452"/>
    <mergeCell ref="C453:D453"/>
    <mergeCell ref="E453:G453"/>
    <mergeCell ref="H453:J453"/>
    <mergeCell ref="K453:M453"/>
    <mergeCell ref="N453:P453"/>
    <mergeCell ref="Q453:S453"/>
    <mergeCell ref="T453:U453"/>
    <mergeCell ref="V453:W453"/>
    <mergeCell ref="X453:Y453"/>
    <mergeCell ref="Z453:AB453"/>
    <mergeCell ref="AC453:AE453"/>
    <mergeCell ref="C454:D454"/>
    <mergeCell ref="E454:G454"/>
    <mergeCell ref="H454:J454"/>
    <mergeCell ref="K454:M454"/>
    <mergeCell ref="N454:P454"/>
    <mergeCell ref="Q454:S454"/>
    <mergeCell ref="T454:U454"/>
    <mergeCell ref="V454:W454"/>
    <mergeCell ref="X454:Y454"/>
    <mergeCell ref="Z454:AB454"/>
    <mergeCell ref="AC454:AE454"/>
    <mergeCell ref="C455:D455"/>
    <mergeCell ref="E455:G455"/>
    <mergeCell ref="H455:J455"/>
    <mergeCell ref="K455:M455"/>
    <mergeCell ref="N455:P455"/>
    <mergeCell ref="Q455:S455"/>
    <mergeCell ref="T455:U455"/>
    <mergeCell ref="V455:W455"/>
    <mergeCell ref="X455:Y455"/>
    <mergeCell ref="Z455:AB455"/>
    <mergeCell ref="AC455:AE455"/>
    <mergeCell ref="C456:D456"/>
    <mergeCell ref="E456:G456"/>
    <mergeCell ref="H456:J456"/>
    <mergeCell ref="K456:M456"/>
    <mergeCell ref="N456:P456"/>
    <mergeCell ref="Q456:S456"/>
    <mergeCell ref="T456:U456"/>
    <mergeCell ref="V456:W456"/>
    <mergeCell ref="X456:Y456"/>
    <mergeCell ref="Z456:AB456"/>
    <mergeCell ref="AC456:AE456"/>
    <mergeCell ref="C457:D457"/>
    <mergeCell ref="E457:G457"/>
    <mergeCell ref="H457:J457"/>
    <mergeCell ref="K457:M457"/>
    <mergeCell ref="N457:P457"/>
    <mergeCell ref="Q457:S457"/>
    <mergeCell ref="T457:U457"/>
    <mergeCell ref="V457:W457"/>
    <mergeCell ref="X457:Y457"/>
    <mergeCell ref="Z457:AB457"/>
    <mergeCell ref="AC457:AE457"/>
    <mergeCell ref="C458:D458"/>
    <mergeCell ref="E458:G458"/>
    <mergeCell ref="H458:J458"/>
    <mergeCell ref="K458:M458"/>
    <mergeCell ref="N458:P458"/>
    <mergeCell ref="Q458:S458"/>
    <mergeCell ref="T458:U458"/>
    <mergeCell ref="V458:W458"/>
    <mergeCell ref="X458:Y458"/>
    <mergeCell ref="Z458:AB458"/>
    <mergeCell ref="AC458:AE458"/>
    <mergeCell ref="C459:D459"/>
    <mergeCell ref="E459:G459"/>
    <mergeCell ref="H459:J459"/>
    <mergeCell ref="K459:M459"/>
    <mergeCell ref="N459:P459"/>
    <mergeCell ref="Q459:S459"/>
    <mergeCell ref="T459:U459"/>
    <mergeCell ref="V459:W459"/>
    <mergeCell ref="X459:Y459"/>
    <mergeCell ref="Z459:AB459"/>
    <mergeCell ref="AC459:AE459"/>
    <mergeCell ref="C460:D460"/>
    <mergeCell ref="E460:G460"/>
    <mergeCell ref="H460:J460"/>
    <mergeCell ref="K460:M460"/>
    <mergeCell ref="N460:P460"/>
    <mergeCell ref="Q460:S460"/>
    <mergeCell ref="T460:U460"/>
    <mergeCell ref="V460:W460"/>
    <mergeCell ref="X460:Y460"/>
    <mergeCell ref="Z460:AB460"/>
    <mergeCell ref="AC460:AE460"/>
    <mergeCell ref="C461:D461"/>
    <mergeCell ref="E461:G461"/>
    <mergeCell ref="H461:J461"/>
    <mergeCell ref="K461:M461"/>
    <mergeCell ref="N461:P461"/>
    <mergeCell ref="Q461:S461"/>
    <mergeCell ref="T461:U461"/>
    <mergeCell ref="V461:W461"/>
    <mergeCell ref="X461:Y461"/>
    <mergeCell ref="Z461:AB461"/>
    <mergeCell ref="AC461:AE461"/>
    <mergeCell ref="C462:D462"/>
    <mergeCell ref="E462:G462"/>
    <mergeCell ref="H462:J462"/>
    <mergeCell ref="K462:M462"/>
    <mergeCell ref="N462:P462"/>
    <mergeCell ref="Q462:S462"/>
    <mergeCell ref="T462:U462"/>
    <mergeCell ref="V462:W462"/>
    <mergeCell ref="X462:Y462"/>
    <mergeCell ref="Z462:AB462"/>
    <mergeCell ref="AC462:AE462"/>
    <mergeCell ref="C463:D463"/>
    <mergeCell ref="E463:G463"/>
    <mergeCell ref="H463:J463"/>
    <mergeCell ref="K463:M463"/>
    <mergeCell ref="N463:P463"/>
    <mergeCell ref="Q463:S463"/>
    <mergeCell ref="T463:U463"/>
    <mergeCell ref="V463:W463"/>
    <mergeCell ref="X463:Y463"/>
    <mergeCell ref="Z463:AB463"/>
    <mergeCell ref="AC463:AE463"/>
    <mergeCell ref="C464:D464"/>
    <mergeCell ref="E464:G464"/>
    <mergeCell ref="H464:J464"/>
    <mergeCell ref="K464:M464"/>
    <mergeCell ref="N464:P464"/>
    <mergeCell ref="Q464:S464"/>
    <mergeCell ref="T464:U464"/>
    <mergeCell ref="V464:W464"/>
    <mergeCell ref="X464:Y464"/>
    <mergeCell ref="Z464:AB464"/>
    <mergeCell ref="AC464:AE464"/>
    <mergeCell ref="C465:D465"/>
    <mergeCell ref="E465:G465"/>
    <mergeCell ref="H465:J465"/>
    <mergeCell ref="K465:M465"/>
    <mergeCell ref="N465:P465"/>
    <mergeCell ref="Q465:S465"/>
    <mergeCell ref="T465:U465"/>
    <mergeCell ref="V465:W465"/>
    <mergeCell ref="X465:Y465"/>
    <mergeCell ref="Z465:AB465"/>
    <mergeCell ref="AC465:AE465"/>
    <mergeCell ref="C466:D466"/>
    <mergeCell ref="E466:G466"/>
    <mergeCell ref="H466:J466"/>
    <mergeCell ref="K466:M466"/>
    <mergeCell ref="N466:P466"/>
    <mergeCell ref="Q466:S466"/>
    <mergeCell ref="T466:U466"/>
    <mergeCell ref="V466:W466"/>
    <mergeCell ref="X466:Y466"/>
    <mergeCell ref="Z466:AB466"/>
    <mergeCell ref="AC466:AE466"/>
    <mergeCell ref="C467:D467"/>
    <mergeCell ref="E467:G467"/>
    <mergeCell ref="H467:J467"/>
    <mergeCell ref="K467:M467"/>
    <mergeCell ref="N467:P467"/>
    <mergeCell ref="Q467:S467"/>
    <mergeCell ref="T467:U467"/>
    <mergeCell ref="V467:W467"/>
    <mergeCell ref="X467:Y467"/>
    <mergeCell ref="Z467:AB467"/>
    <mergeCell ref="AC467:AE467"/>
    <mergeCell ref="C468:D468"/>
    <mergeCell ref="E468:G468"/>
    <mergeCell ref="H468:J468"/>
    <mergeCell ref="K468:M468"/>
    <mergeCell ref="N468:P468"/>
    <mergeCell ref="Q468:S468"/>
    <mergeCell ref="T468:U468"/>
    <mergeCell ref="V468:W468"/>
    <mergeCell ref="X468:Y468"/>
    <mergeCell ref="Z468:AB468"/>
    <mergeCell ref="AC468:AE468"/>
    <mergeCell ref="C469:D469"/>
    <mergeCell ref="E469:G469"/>
    <mergeCell ref="H469:J469"/>
    <mergeCell ref="K469:M469"/>
    <mergeCell ref="N469:P469"/>
    <mergeCell ref="Q469:S469"/>
    <mergeCell ref="T469:U469"/>
    <mergeCell ref="V469:W469"/>
    <mergeCell ref="X469:Y469"/>
    <mergeCell ref="Z469:AB469"/>
    <mergeCell ref="AC469:AE469"/>
    <mergeCell ref="C470:D470"/>
    <mergeCell ref="E470:G470"/>
    <mergeCell ref="H470:J470"/>
    <mergeCell ref="K470:M470"/>
    <mergeCell ref="N470:P470"/>
    <mergeCell ref="Q470:S470"/>
    <mergeCell ref="T470:U470"/>
    <mergeCell ref="V470:W470"/>
    <mergeCell ref="X470:Y470"/>
    <mergeCell ref="Z470:AB470"/>
    <mergeCell ref="AC470:AE470"/>
    <mergeCell ref="C471:D471"/>
    <mergeCell ref="E471:G471"/>
    <mergeCell ref="H471:J471"/>
    <mergeCell ref="K471:M471"/>
    <mergeCell ref="N471:P471"/>
    <mergeCell ref="Q471:S471"/>
    <mergeCell ref="T471:U471"/>
    <mergeCell ref="V471:W471"/>
    <mergeCell ref="X471:Y471"/>
    <mergeCell ref="Z471:AB471"/>
    <mergeCell ref="AC471:AE471"/>
    <mergeCell ref="C472:D472"/>
    <mergeCell ref="E472:G472"/>
    <mergeCell ref="H472:J472"/>
    <mergeCell ref="K472:M472"/>
    <mergeCell ref="N472:P472"/>
    <mergeCell ref="Q472:S472"/>
    <mergeCell ref="T472:U472"/>
    <mergeCell ref="V472:W472"/>
    <mergeCell ref="X472:Y472"/>
    <mergeCell ref="Z472:AB472"/>
    <mergeCell ref="AC472:AE472"/>
    <mergeCell ref="C473:D473"/>
    <mergeCell ref="E473:G473"/>
    <mergeCell ref="H473:J473"/>
    <mergeCell ref="K473:M473"/>
    <mergeCell ref="N473:P473"/>
    <mergeCell ref="Q473:S473"/>
    <mergeCell ref="T473:U473"/>
    <mergeCell ref="V473:W473"/>
    <mergeCell ref="X473:Y473"/>
    <mergeCell ref="Z473:AB473"/>
    <mergeCell ref="AC473:AE473"/>
    <mergeCell ref="C474:D474"/>
    <mergeCell ref="E474:G474"/>
    <mergeCell ref="H474:J474"/>
    <mergeCell ref="K474:M474"/>
    <mergeCell ref="N474:P474"/>
    <mergeCell ref="Q474:S474"/>
    <mergeCell ref="T474:U474"/>
    <mergeCell ref="V474:W474"/>
    <mergeCell ref="X474:Y474"/>
    <mergeCell ref="Z474:AB474"/>
    <mergeCell ref="AC474:AE474"/>
    <mergeCell ref="C475:D475"/>
    <mergeCell ref="E475:G475"/>
    <mergeCell ref="H475:J475"/>
    <mergeCell ref="K475:M475"/>
    <mergeCell ref="N475:P475"/>
    <mergeCell ref="Q475:S475"/>
    <mergeCell ref="T475:U475"/>
    <mergeCell ref="V475:W475"/>
    <mergeCell ref="X475:Y475"/>
    <mergeCell ref="Z475:AB475"/>
    <mergeCell ref="AC475:AE475"/>
    <mergeCell ref="C476:D476"/>
    <mergeCell ref="E476:G476"/>
    <mergeCell ref="H476:J476"/>
    <mergeCell ref="K476:M476"/>
    <mergeCell ref="N476:P476"/>
    <mergeCell ref="Q476:S476"/>
    <mergeCell ref="T476:U476"/>
    <mergeCell ref="V476:W476"/>
    <mergeCell ref="X476:Y476"/>
    <mergeCell ref="Z476:AB476"/>
    <mergeCell ref="AC476:AE476"/>
    <mergeCell ref="C477:D477"/>
    <mergeCell ref="E477:G477"/>
    <mergeCell ref="H477:J477"/>
    <mergeCell ref="K477:M477"/>
    <mergeCell ref="N477:P477"/>
    <mergeCell ref="Q477:S477"/>
    <mergeCell ref="T477:U477"/>
    <mergeCell ref="V477:W477"/>
    <mergeCell ref="X477:Y477"/>
    <mergeCell ref="Z477:AB477"/>
    <mergeCell ref="AC477:AE477"/>
    <mergeCell ref="C478:D478"/>
    <mergeCell ref="E478:G478"/>
    <mergeCell ref="H478:J478"/>
    <mergeCell ref="K478:M478"/>
    <mergeCell ref="N478:P478"/>
    <mergeCell ref="Q478:S478"/>
    <mergeCell ref="T478:U478"/>
    <mergeCell ref="V478:W478"/>
    <mergeCell ref="X478:Y478"/>
    <mergeCell ref="Z478:AB478"/>
    <mergeCell ref="AC478:AE478"/>
    <mergeCell ref="C479:D479"/>
    <mergeCell ref="E479:G479"/>
    <mergeCell ref="H479:J479"/>
    <mergeCell ref="K479:M479"/>
    <mergeCell ref="N479:P479"/>
    <mergeCell ref="Q479:S479"/>
    <mergeCell ref="T479:U479"/>
    <mergeCell ref="V479:W479"/>
    <mergeCell ref="X479:Y479"/>
    <mergeCell ref="Z479:AB479"/>
    <mergeCell ref="AC479:AE479"/>
    <mergeCell ref="C480:D480"/>
    <mergeCell ref="E480:G480"/>
    <mergeCell ref="H480:J480"/>
    <mergeCell ref="K480:M480"/>
    <mergeCell ref="N480:P480"/>
    <mergeCell ref="Q480:S480"/>
    <mergeCell ref="T480:U480"/>
    <mergeCell ref="V480:W480"/>
    <mergeCell ref="X480:Y480"/>
    <mergeCell ref="Z480:AB480"/>
    <mergeCell ref="AC480:AE480"/>
    <mergeCell ref="C481:D481"/>
    <mergeCell ref="E481:G481"/>
    <mergeCell ref="H481:J481"/>
    <mergeCell ref="K481:M481"/>
    <mergeCell ref="N481:P481"/>
    <mergeCell ref="Q481:S481"/>
    <mergeCell ref="T481:U481"/>
    <mergeCell ref="V481:W481"/>
    <mergeCell ref="X481:Y481"/>
    <mergeCell ref="Z481:AB481"/>
    <mergeCell ref="AC481:AE481"/>
    <mergeCell ref="C482:D482"/>
    <mergeCell ref="E482:G482"/>
    <mergeCell ref="H482:J482"/>
    <mergeCell ref="K482:M482"/>
    <mergeCell ref="N482:P482"/>
    <mergeCell ref="Q482:S482"/>
    <mergeCell ref="T482:U482"/>
    <mergeCell ref="V482:W482"/>
    <mergeCell ref="X482:Y482"/>
    <mergeCell ref="Z482:AB482"/>
    <mergeCell ref="AC482:AE482"/>
    <mergeCell ref="C484:N484"/>
    <mergeCell ref="O484:W484"/>
    <mergeCell ref="X484:Z484"/>
    <mergeCell ref="AA484:AC484"/>
    <mergeCell ref="AD484:AE484"/>
    <mergeCell ref="C485:N485"/>
    <mergeCell ref="O485:W485"/>
    <mergeCell ref="X485:Z485"/>
    <mergeCell ref="AA485:AC485"/>
    <mergeCell ref="AD485:AE485"/>
    <mergeCell ref="X505:AA505"/>
    <mergeCell ref="AB505:AE505"/>
    <mergeCell ref="C506:G506"/>
    <mergeCell ref="H506:W506"/>
    <mergeCell ref="X506:AA506"/>
    <mergeCell ref="AB506:AE506"/>
    <mergeCell ref="C507:G507"/>
    <mergeCell ref="H507:W507"/>
    <mergeCell ref="X507:AA507"/>
    <mergeCell ref="AB507:AE507"/>
    <mergeCell ref="C508:G508"/>
    <mergeCell ref="H508:W508"/>
    <mergeCell ref="X508:AA508"/>
    <mergeCell ref="AB508:AE508"/>
    <mergeCell ref="C509:G509"/>
    <mergeCell ref="H509:W509"/>
    <mergeCell ref="X509:AA509"/>
    <mergeCell ref="AB509:AE509"/>
    <mergeCell ref="C511:AE511"/>
    <mergeCell ref="C513:N513"/>
    <mergeCell ref="O513:W513"/>
    <mergeCell ref="X513:Z513"/>
    <mergeCell ref="AA513:AC513"/>
    <mergeCell ref="AD513:AE513"/>
    <mergeCell ref="C514:N514"/>
    <mergeCell ref="X514:AE514"/>
    <mergeCell ref="C515:N515"/>
    <mergeCell ref="O515:W515"/>
    <mergeCell ref="X515:Z515"/>
    <mergeCell ref="AA515:AC515"/>
    <mergeCell ref="AD515:AE515"/>
    <mergeCell ref="C516:N516"/>
    <mergeCell ref="X516:AE516"/>
    <mergeCell ref="C517:N517"/>
    <mergeCell ref="O517:W517"/>
    <mergeCell ref="X517:Z517"/>
    <mergeCell ref="AA517:AC517"/>
    <mergeCell ref="AD517:AE517"/>
    <mergeCell ref="C518:N518"/>
    <mergeCell ref="X518:AE518"/>
    <mergeCell ref="C519:N519"/>
    <mergeCell ref="O519:W519"/>
    <mergeCell ref="X519:Z519"/>
    <mergeCell ref="AA519:AC519"/>
    <mergeCell ref="AD519:AE519"/>
    <mergeCell ref="C520:N520"/>
    <mergeCell ref="O520:W520"/>
    <mergeCell ref="X520:Z520"/>
    <mergeCell ref="AA520:AC520"/>
    <mergeCell ref="AD520:AE520"/>
    <mergeCell ref="C521:N521"/>
    <mergeCell ref="O521:W521"/>
    <mergeCell ref="X521:Z521"/>
    <mergeCell ref="AA521:AC521"/>
    <mergeCell ref="AD521:AE521"/>
    <mergeCell ref="C522:N522"/>
    <mergeCell ref="O522:W522"/>
    <mergeCell ref="X522:Z522"/>
    <mergeCell ref="AA522:AC522"/>
    <mergeCell ref="AD522:AE522"/>
    <mergeCell ref="C523:N523"/>
    <mergeCell ref="X523:AE523"/>
    <mergeCell ref="C525:AE525"/>
    <mergeCell ref="C526:AE526"/>
    <mergeCell ref="C528:AE528"/>
    <mergeCell ref="X577:AA577"/>
    <mergeCell ref="AB577:AE577"/>
  </mergeCells>
  <printOptions headings="false" gridLines="false" gridLinesSet="true" horizontalCentered="true" verticalCentered="false"/>
  <pageMargins left="0.5" right="0.5" top="0.6" bottom="0.6" header="0.511811023622047" footer="0.511811023622047"/>
  <pageSetup paperSize="9" scale="66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rowBreaks count="7" manualBreakCount="7">
    <brk id="73" man="true" max="16383" min="0"/>
    <brk id="145" man="true" max="16383" min="0"/>
    <brk id="217" man="true" max="16383" min="0"/>
    <brk id="289" man="true" max="16383" min="0"/>
    <brk id="361" man="true" max="16383" min="0"/>
    <brk id="433" man="true" max="16383" min="0"/>
    <brk id="505" man="true" max="16383" min="0"/>
  </rowBreak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Q577"/>
  <sheetViews>
    <sheetView showFormulas="false" showGridLines="false" showRowColHeaders="true" showZeros="true" rightToLeft="false" tabSelected="false" showOutlineSymbols="true" defaultGridColor="true" view="normal" topLeftCell="A19" colorId="64" zoomScale="85" zoomScaleNormal="85" zoomScalePageLayoutView="100" workbookViewId="0">
      <selection pane="topLeft" activeCell="C39" activeCellId="0" sqref="C39"/>
    </sheetView>
  </sheetViews>
  <sheetFormatPr defaultColWidth="8.5390625" defaultRowHeight="14.25" zeroHeight="false" outlineLevelRow="0" outlineLevelCol="0"/>
  <cols>
    <col collapsed="false" customWidth="true" hidden="false" outlineLevel="0" max="1" min="1" style="0" width="3.44"/>
    <col collapsed="false" customWidth="true" hidden="false" outlineLevel="0" max="2" min="2" style="0" width="4"/>
    <col collapsed="false" customWidth="true" hidden="false" outlineLevel="0" max="9" min="3" style="0" width="3.56"/>
    <col collapsed="false" customWidth="true" hidden="false" outlineLevel="0" max="10" min="10" style="0" width="3.89"/>
    <col collapsed="false" customWidth="true" hidden="false" outlineLevel="0" max="11" min="11" style="0" width="4"/>
    <col collapsed="false" customWidth="true" hidden="false" outlineLevel="0" max="31" min="12" style="0" width="4.56"/>
    <col collapsed="false" customWidth="true" hidden="false" outlineLevel="0" max="32" min="32" style="0" width="3.44"/>
    <col collapsed="false" customWidth="true" hidden="false" outlineLevel="0" max="68" min="35" style="0" width="9"/>
    <col collapsed="false" customWidth="true" hidden="false" outlineLevel="0" max="69" min="69" style="0" width="40"/>
  </cols>
  <sheetData>
    <row r="2" customFormat="false" ht="14.25" hidden="false" customHeight="true" outlineLevel="0" collapsed="false">
      <c r="B2" s="1"/>
      <c r="C2" s="2" t="s">
        <v>0</v>
      </c>
      <c r="D2" s="2"/>
      <c r="E2" s="2"/>
      <c r="F2" s="2"/>
      <c r="G2" s="2"/>
      <c r="H2" s="3" t="s">
        <v>1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4" t="s">
        <v>2</v>
      </c>
      <c r="Y2" s="4"/>
      <c r="Z2" s="4"/>
      <c r="AA2" s="4"/>
      <c r="AB2" s="5" t="s">
        <v>3</v>
      </c>
      <c r="AC2" s="5"/>
      <c r="AD2" s="5"/>
      <c r="AE2" s="5"/>
      <c r="AF2" s="6"/>
    </row>
    <row r="3" customFormat="false" ht="14.25" hidden="false" customHeight="true" outlineLevel="0" collapsed="false">
      <c r="B3" s="7"/>
      <c r="C3" s="8" t="s">
        <v>4</v>
      </c>
      <c r="D3" s="8"/>
      <c r="E3" s="8"/>
      <c r="F3" s="8"/>
      <c r="G3" s="8"/>
      <c r="H3" s="9" t="s">
        <v>5</v>
      </c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10" t="s">
        <v>6</v>
      </c>
      <c r="Y3" s="10"/>
      <c r="Z3" s="10"/>
      <c r="AA3" s="10"/>
      <c r="AB3" s="11" t="n">
        <v>46301</v>
      </c>
      <c r="AC3" s="11"/>
      <c r="AD3" s="11"/>
      <c r="AE3" s="11"/>
      <c r="AF3" s="12"/>
    </row>
    <row r="4" customFormat="false" ht="14.25" hidden="false" customHeight="true" outlineLevel="0" collapsed="false">
      <c r="B4" s="7"/>
      <c r="C4" s="8" t="s">
        <v>7</v>
      </c>
      <c r="D4" s="8"/>
      <c r="E4" s="8"/>
      <c r="F4" s="8"/>
      <c r="G4" s="8"/>
      <c r="H4" s="9" t="s">
        <v>333</v>
      </c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10" t="s">
        <v>9</v>
      </c>
      <c r="Y4" s="10"/>
      <c r="Z4" s="10"/>
      <c r="AA4" s="10"/>
      <c r="AB4" s="11" t="s">
        <v>3</v>
      </c>
      <c r="AC4" s="11"/>
      <c r="AD4" s="11"/>
      <c r="AE4" s="11"/>
      <c r="AF4" s="12"/>
    </row>
    <row r="5" customFormat="false" ht="14.25" hidden="false" customHeight="true" outlineLevel="0" collapsed="false">
      <c r="B5" s="13"/>
      <c r="C5" s="14" t="s">
        <v>10</v>
      </c>
      <c r="D5" s="14"/>
      <c r="E5" s="14"/>
      <c r="F5" s="14"/>
      <c r="G5" s="14"/>
      <c r="H5" s="15" t="s">
        <v>134</v>
      </c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6" t="s">
        <v>12</v>
      </c>
      <c r="Y5" s="16"/>
      <c r="Z5" s="16"/>
      <c r="AA5" s="16"/>
      <c r="AB5" s="17" t="n">
        <v>46301</v>
      </c>
      <c r="AC5" s="17"/>
      <c r="AD5" s="17"/>
      <c r="AE5" s="17"/>
      <c r="AF5" s="18"/>
    </row>
    <row r="6" customFormat="false" ht="14.25" hidden="false" customHeight="false" outlineLevel="0" collapsed="false">
      <c r="B6" s="7"/>
      <c r="AF6" s="12"/>
    </row>
    <row r="7" customFormat="false" ht="14.25" hidden="false" customHeight="false" outlineLevel="0" collapsed="false">
      <c r="B7" s="7"/>
      <c r="C7" s="9" t="s">
        <v>135</v>
      </c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12"/>
    </row>
    <row r="8" customFormat="false" ht="14.25" hidden="false" customHeight="false" outlineLevel="0" collapsed="false">
      <c r="B8" s="7"/>
      <c r="C8" s="20" t="s">
        <v>136</v>
      </c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12"/>
    </row>
    <row r="9" customFormat="false" ht="14.25" hidden="false" customHeight="false" outlineLevel="0" collapsed="false">
      <c r="B9" s="7"/>
      <c r="C9" s="20" t="s">
        <v>137</v>
      </c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12"/>
    </row>
    <row r="10" customFormat="false" ht="14.25" hidden="false" customHeight="false" outlineLevel="0" collapsed="false">
      <c r="B10" s="7"/>
      <c r="AF10" s="12"/>
    </row>
    <row r="11" customFormat="false" ht="14.25" hidden="false" customHeight="false" outlineLevel="0" collapsed="false">
      <c r="B11" s="7"/>
      <c r="C11" s="9" t="s">
        <v>138</v>
      </c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12"/>
    </row>
    <row r="12" customFormat="false" ht="14.25" hidden="false" customHeight="true" outlineLevel="0" collapsed="false">
      <c r="B12" s="7"/>
      <c r="C12" s="20" t="s">
        <v>16</v>
      </c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1"/>
      <c r="P12" s="21"/>
      <c r="Q12" s="21"/>
      <c r="R12" s="21"/>
      <c r="S12" s="21"/>
      <c r="T12" s="21"/>
      <c r="U12" s="21"/>
      <c r="V12" s="21"/>
      <c r="W12" s="21"/>
      <c r="X12" s="22" t="s">
        <v>18</v>
      </c>
      <c r="Y12" s="22"/>
      <c r="Z12" s="22"/>
      <c r="AA12" s="50" t="n">
        <f aca="false">Input!$AA$11</f>
        <v>2</v>
      </c>
      <c r="AB12" s="50"/>
      <c r="AC12" s="50"/>
      <c r="AD12" s="20" t="s">
        <v>19</v>
      </c>
      <c r="AE12" s="20"/>
      <c r="AF12" s="12"/>
    </row>
    <row r="13" customFormat="false" ht="14.25" hidden="false" customHeight="true" outlineLevel="0" collapsed="false">
      <c r="B13" s="7"/>
      <c r="C13" s="20" t="s">
        <v>139</v>
      </c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1"/>
      <c r="P13" s="21"/>
      <c r="Q13" s="21"/>
      <c r="R13" s="21"/>
      <c r="S13" s="21"/>
      <c r="T13" s="21"/>
      <c r="U13" s="21"/>
      <c r="V13" s="21"/>
      <c r="W13" s="21"/>
      <c r="X13" s="22" t="s">
        <v>25</v>
      </c>
      <c r="Y13" s="22"/>
      <c r="Z13" s="22"/>
      <c r="AA13" s="51" t="n">
        <f aca="false">Input!$AA$13</f>
        <v>100</v>
      </c>
      <c r="AB13" s="51"/>
      <c r="AC13" s="51"/>
      <c r="AD13" s="20" t="s">
        <v>26</v>
      </c>
      <c r="AE13" s="20"/>
      <c r="AF13" s="12"/>
    </row>
    <row r="14" customFormat="false" ht="14.25" hidden="false" customHeight="true" outlineLevel="0" collapsed="false">
      <c r="B14" s="7"/>
      <c r="C14" s="20" t="s">
        <v>27</v>
      </c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1" t="s">
        <v>28</v>
      </c>
      <c r="P14" s="21"/>
      <c r="Q14" s="21"/>
      <c r="R14" s="21"/>
      <c r="S14" s="21"/>
      <c r="T14" s="21"/>
      <c r="U14" s="21"/>
      <c r="V14" s="21"/>
      <c r="W14" s="21"/>
      <c r="X14" s="22" t="s">
        <v>29</v>
      </c>
      <c r="Y14" s="22"/>
      <c r="Z14" s="22"/>
      <c r="AA14" s="51" t="n">
        <f aca="false">Input!$AA$14</f>
        <v>136</v>
      </c>
      <c r="AB14" s="51"/>
      <c r="AC14" s="51"/>
      <c r="AD14" s="20" t="s">
        <v>26</v>
      </c>
      <c r="AE14" s="20"/>
      <c r="AF14" s="12"/>
    </row>
    <row r="15" customFormat="false" ht="14.25" hidden="false" customHeight="true" outlineLevel="0" collapsed="false">
      <c r="B15" s="7"/>
      <c r="C15" s="20" t="s">
        <v>140</v>
      </c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1" t="s">
        <v>141</v>
      </c>
      <c r="P15" s="21"/>
      <c r="Q15" s="21"/>
      <c r="R15" s="21"/>
      <c r="S15" s="21"/>
      <c r="T15" s="21"/>
      <c r="U15" s="21"/>
      <c r="V15" s="21"/>
      <c r="W15" s="21"/>
      <c r="X15" s="22" t="s">
        <v>31</v>
      </c>
      <c r="Y15" s="22"/>
      <c r="Z15" s="22"/>
      <c r="AA15" s="51" t="n">
        <f aca="false">Input!$AA$15</f>
        <v>74</v>
      </c>
      <c r="AB15" s="51"/>
      <c r="AC15" s="51"/>
      <c r="AD15" s="20" t="s">
        <v>19</v>
      </c>
      <c r="AE15" s="20"/>
      <c r="AF15" s="12"/>
    </row>
    <row r="16" customFormat="false" ht="14.25" hidden="false" customHeight="true" outlineLevel="0" collapsed="false">
      <c r="B16" s="7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1"/>
      <c r="P16" s="21"/>
      <c r="Q16" s="21"/>
      <c r="R16" s="21"/>
      <c r="S16" s="21"/>
      <c r="T16" s="21"/>
      <c r="U16" s="21"/>
      <c r="V16" s="21"/>
      <c r="W16" s="21"/>
      <c r="X16" s="22" t="s">
        <v>33</v>
      </c>
      <c r="Y16" s="22"/>
      <c r="Z16" s="22"/>
      <c r="AA16" s="51" t="n">
        <f aca="false">Input!$AA$16</f>
        <v>202</v>
      </c>
      <c r="AB16" s="51"/>
      <c r="AC16" s="51"/>
      <c r="AD16" s="20" t="s">
        <v>19</v>
      </c>
      <c r="AE16" s="20"/>
      <c r="AF16" s="12"/>
    </row>
    <row r="17" customFormat="false" ht="14.25" hidden="false" customHeight="true" outlineLevel="0" collapsed="false">
      <c r="B17" s="7"/>
      <c r="C17" s="20" t="s">
        <v>142</v>
      </c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1" t="s">
        <v>47</v>
      </c>
      <c r="P17" s="21"/>
      <c r="Q17" s="21"/>
      <c r="R17" s="21"/>
      <c r="S17" s="21"/>
      <c r="T17" s="21"/>
      <c r="U17" s="21"/>
      <c r="V17" s="21"/>
      <c r="W17" s="21"/>
      <c r="X17" s="22" t="s">
        <v>48</v>
      </c>
      <c r="Y17" s="22"/>
      <c r="Z17" s="22"/>
      <c r="AA17" s="51" t="n">
        <f aca="false">Input!$AA$23</f>
        <v>2</v>
      </c>
      <c r="AB17" s="51"/>
      <c r="AC17" s="51"/>
      <c r="AD17" s="20" t="s">
        <v>38</v>
      </c>
      <c r="AE17" s="20"/>
      <c r="AF17" s="12"/>
    </row>
    <row r="18" customFormat="false" ht="14.25" hidden="false" customHeight="false" outlineLevel="0" collapsed="false">
      <c r="B18" s="7"/>
      <c r="AF18" s="12"/>
    </row>
    <row r="19" customFormat="false" ht="14.25" hidden="false" customHeight="false" outlineLevel="0" collapsed="false">
      <c r="B19" s="7"/>
      <c r="C19" s="9" t="s">
        <v>143</v>
      </c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12"/>
    </row>
    <row r="20" customFormat="false" ht="14.25" hidden="false" customHeight="true" outlineLevel="0" collapsed="false">
      <c r="B20" s="7"/>
      <c r="C20" s="20" t="s">
        <v>144</v>
      </c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1"/>
      <c r="P20" s="21"/>
      <c r="Q20" s="21"/>
      <c r="R20" s="21"/>
      <c r="S20" s="21"/>
      <c r="T20" s="21"/>
      <c r="U20" s="21"/>
      <c r="V20" s="21"/>
      <c r="W20" s="21"/>
      <c r="X20" s="22" t="s">
        <v>145</v>
      </c>
      <c r="Y20" s="22"/>
      <c r="Z20" s="22"/>
      <c r="AA20" s="25" t="n">
        <v>8</v>
      </c>
      <c r="AB20" s="25"/>
      <c r="AC20" s="25"/>
      <c r="AD20" s="20" t="s">
        <v>19</v>
      </c>
      <c r="AE20" s="20"/>
      <c r="AF20" s="12"/>
    </row>
    <row r="21" customFormat="false" ht="14.25" hidden="false" customHeight="true" outlineLevel="0" collapsed="false">
      <c r="B21" s="7"/>
      <c r="C21" s="20" t="s">
        <v>146</v>
      </c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1"/>
      <c r="P21" s="21"/>
      <c r="Q21" s="21"/>
      <c r="R21" s="21"/>
      <c r="S21" s="21"/>
      <c r="T21" s="21"/>
      <c r="U21" s="21"/>
      <c r="V21" s="21"/>
      <c r="W21" s="21"/>
      <c r="X21" s="22" t="s">
        <v>147</v>
      </c>
      <c r="Y21" s="22"/>
      <c r="Z21" s="22"/>
      <c r="AA21" s="25" t="n">
        <v>16.5</v>
      </c>
      <c r="AB21" s="25"/>
      <c r="AC21" s="25"/>
      <c r="AD21" s="20" t="s">
        <v>23</v>
      </c>
      <c r="AE21" s="20"/>
      <c r="AF21" s="12"/>
    </row>
    <row r="22" customFormat="false" ht="14.25" hidden="false" customHeight="true" outlineLevel="0" collapsed="false">
      <c r="B22" s="7"/>
      <c r="C22" s="20" t="s">
        <v>148</v>
      </c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1"/>
      <c r="P22" s="21"/>
      <c r="Q22" s="21"/>
      <c r="R22" s="21"/>
      <c r="S22" s="21"/>
      <c r="T22" s="21"/>
      <c r="U22" s="21"/>
      <c r="V22" s="21"/>
      <c r="W22" s="21"/>
      <c r="X22" s="22" t="s">
        <v>149</v>
      </c>
      <c r="Y22" s="22"/>
      <c r="Z22" s="22"/>
      <c r="AA22" s="25" t="n">
        <v>19</v>
      </c>
      <c r="AB22" s="25"/>
      <c r="AC22" s="25"/>
      <c r="AD22" s="20" t="s">
        <v>23</v>
      </c>
      <c r="AE22" s="20"/>
      <c r="AF22" s="12"/>
    </row>
    <row r="23" customFormat="false" ht="14.25" hidden="false" customHeight="true" outlineLevel="0" collapsed="false">
      <c r="B23" s="7"/>
      <c r="C23" s="20" t="s">
        <v>150</v>
      </c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1" t="s">
        <v>151</v>
      </c>
      <c r="P23" s="21"/>
      <c r="Q23" s="21"/>
      <c r="R23" s="21"/>
      <c r="S23" s="21"/>
      <c r="T23" s="21"/>
      <c r="U23" s="21"/>
      <c r="V23" s="21"/>
      <c r="W23" s="21"/>
      <c r="X23" s="22" t="s">
        <v>152</v>
      </c>
      <c r="Y23" s="22"/>
      <c r="Z23" s="22"/>
      <c r="AA23" s="25" t="n">
        <v>0</v>
      </c>
      <c r="AB23" s="25"/>
      <c r="AC23" s="25"/>
      <c r="AD23" s="20" t="s">
        <v>19</v>
      </c>
      <c r="AE23" s="20"/>
      <c r="AF23" s="12"/>
    </row>
    <row r="24" customFormat="false" ht="14.25" hidden="false" customHeight="false" outlineLevel="0" collapsed="false">
      <c r="B24" s="7"/>
      <c r="AF24" s="12"/>
    </row>
    <row r="25" customFormat="false" ht="14.25" hidden="false" customHeight="false" outlineLevel="0" collapsed="false">
      <c r="B25" s="7"/>
      <c r="AF25" s="12"/>
    </row>
    <row r="26" customFormat="false" ht="14.25" hidden="false" customHeight="false" outlineLevel="0" collapsed="false">
      <c r="B26" s="7"/>
      <c r="AF26" s="12"/>
    </row>
    <row r="27" customFormat="false" ht="14.25" hidden="false" customHeight="false" outlineLevel="0" collapsed="false">
      <c r="B27" s="7"/>
      <c r="AF27" s="12"/>
    </row>
    <row r="28" customFormat="false" ht="14.25" hidden="false" customHeight="false" outlineLevel="0" collapsed="false">
      <c r="B28" s="7"/>
      <c r="AF28" s="12"/>
    </row>
    <row r="29" customFormat="false" ht="14.25" hidden="false" customHeight="false" outlineLevel="0" collapsed="false">
      <c r="B29" s="7"/>
      <c r="AF29" s="12"/>
    </row>
    <row r="30" customFormat="false" ht="14.25" hidden="false" customHeight="false" outlineLevel="0" collapsed="false">
      <c r="B30" s="7"/>
      <c r="AF30" s="12"/>
    </row>
    <row r="31" customFormat="false" ht="14.25" hidden="false" customHeight="false" outlineLevel="0" collapsed="false">
      <c r="B31" s="7"/>
      <c r="AF31" s="12"/>
    </row>
    <row r="32" customFormat="false" ht="14.25" hidden="false" customHeight="false" outlineLevel="0" collapsed="false">
      <c r="B32" s="7"/>
      <c r="AF32" s="12"/>
    </row>
    <row r="33" customFormat="false" ht="14.25" hidden="false" customHeight="false" outlineLevel="0" collapsed="false">
      <c r="B33" s="7"/>
      <c r="AF33" s="12"/>
    </row>
    <row r="34" customFormat="false" ht="14.25" hidden="false" customHeight="false" outlineLevel="0" collapsed="false">
      <c r="B34" s="7"/>
      <c r="AF34" s="12"/>
    </row>
    <row r="35" customFormat="false" ht="14.25" hidden="false" customHeight="false" outlineLevel="0" collapsed="false">
      <c r="B35" s="7"/>
      <c r="AF35" s="12"/>
    </row>
    <row r="36" customFormat="false" ht="14.25" hidden="false" customHeight="false" outlineLevel="0" collapsed="false">
      <c r="B36" s="7"/>
      <c r="AF36" s="12"/>
    </row>
    <row r="37" customFormat="false" ht="14.25" hidden="false" customHeight="false" outlineLevel="0" collapsed="false">
      <c r="B37" s="7"/>
      <c r="AF37" s="12"/>
    </row>
    <row r="38" customFormat="false" ht="14.25" hidden="false" customHeight="false" outlineLevel="0" collapsed="false">
      <c r="B38" s="7"/>
      <c r="AF38" s="12"/>
    </row>
    <row r="39" customFormat="false" ht="14.25" hidden="false" customHeight="false" outlineLevel="0" collapsed="false">
      <c r="B39" s="7"/>
      <c r="AF39" s="12"/>
    </row>
    <row r="40" customFormat="false" ht="14.25" hidden="false" customHeight="false" outlineLevel="0" collapsed="false">
      <c r="B40" s="7"/>
      <c r="AF40" s="12"/>
    </row>
    <row r="41" customFormat="false" ht="14.25" hidden="false" customHeight="false" outlineLevel="0" collapsed="false">
      <c r="B41" s="7"/>
      <c r="C41" s="52" t="s">
        <v>153</v>
      </c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  <c r="AA41" s="52"/>
      <c r="AB41" s="52"/>
      <c r="AC41" s="52"/>
      <c r="AD41" s="52"/>
      <c r="AE41" s="52"/>
      <c r="AF41" s="12"/>
    </row>
    <row r="42" customFormat="false" ht="14.25" hidden="false" customHeight="false" outlineLevel="0" collapsed="false">
      <c r="B42" s="7"/>
      <c r="AF42" s="12"/>
    </row>
    <row r="43" customFormat="false" ht="14.25" hidden="false" customHeight="false" outlineLevel="0" collapsed="false">
      <c r="B43" s="7"/>
      <c r="AF43" s="12"/>
    </row>
    <row r="44" customFormat="false" ht="14.25" hidden="false" customHeight="false" outlineLevel="0" collapsed="false">
      <c r="B44" s="7"/>
      <c r="AF44" s="12"/>
    </row>
    <row r="45" customFormat="false" ht="14.25" hidden="false" customHeight="false" outlineLevel="0" collapsed="false">
      <c r="B45" s="7"/>
      <c r="AF45" s="12"/>
    </row>
    <row r="46" customFormat="false" ht="14.25" hidden="false" customHeight="false" outlineLevel="0" collapsed="false">
      <c r="B46" s="7"/>
      <c r="AF46" s="12"/>
    </row>
    <row r="47" customFormat="false" ht="14.25" hidden="false" customHeight="false" outlineLevel="0" collapsed="false">
      <c r="B47" s="7"/>
      <c r="AF47" s="12"/>
    </row>
    <row r="48" customFormat="false" ht="14.25" hidden="false" customHeight="false" outlineLevel="0" collapsed="false">
      <c r="B48" s="7"/>
      <c r="AF48" s="12"/>
    </row>
    <row r="49" customFormat="false" ht="14.25" hidden="false" customHeight="false" outlineLevel="0" collapsed="false">
      <c r="B49" s="7"/>
      <c r="AF49" s="12"/>
    </row>
    <row r="50" customFormat="false" ht="14.25" hidden="false" customHeight="false" outlineLevel="0" collapsed="false">
      <c r="B50" s="7"/>
      <c r="AF50" s="12"/>
    </row>
    <row r="51" customFormat="false" ht="14.25" hidden="false" customHeight="false" outlineLevel="0" collapsed="false">
      <c r="B51" s="7"/>
      <c r="AF51" s="12"/>
    </row>
    <row r="52" customFormat="false" ht="14.25" hidden="false" customHeight="false" outlineLevel="0" collapsed="false">
      <c r="B52" s="7"/>
      <c r="AF52" s="12"/>
    </row>
    <row r="53" customFormat="false" ht="14.25" hidden="false" customHeight="false" outlineLevel="0" collapsed="false">
      <c r="B53" s="7"/>
      <c r="AF53" s="12"/>
    </row>
    <row r="54" customFormat="false" ht="14.25" hidden="false" customHeight="false" outlineLevel="0" collapsed="false">
      <c r="B54" s="7"/>
      <c r="AF54" s="12"/>
    </row>
    <row r="55" customFormat="false" ht="14.25" hidden="false" customHeight="false" outlineLevel="0" collapsed="false">
      <c r="B55" s="7"/>
      <c r="AF55" s="12"/>
    </row>
    <row r="56" customFormat="false" ht="14.25" hidden="false" customHeight="false" outlineLevel="0" collapsed="false">
      <c r="B56" s="7"/>
      <c r="AF56" s="12"/>
    </row>
    <row r="57" customFormat="false" ht="14.25" hidden="false" customHeight="false" outlineLevel="0" collapsed="false">
      <c r="B57" s="7"/>
      <c r="AF57" s="12"/>
    </row>
    <row r="58" customFormat="false" ht="14.25" hidden="false" customHeight="false" outlineLevel="0" collapsed="false">
      <c r="B58" s="7"/>
      <c r="AF58" s="12"/>
    </row>
    <row r="59" customFormat="false" ht="14.25" hidden="false" customHeight="false" outlineLevel="0" collapsed="false">
      <c r="B59" s="7"/>
      <c r="AF59" s="12"/>
    </row>
    <row r="60" customFormat="false" ht="14.25" hidden="false" customHeight="false" outlineLevel="0" collapsed="false">
      <c r="B60" s="7"/>
      <c r="AF60" s="12"/>
    </row>
    <row r="61" customFormat="false" ht="14.25" hidden="false" customHeight="false" outlineLevel="0" collapsed="false">
      <c r="B61" s="7"/>
      <c r="AF61" s="12"/>
    </row>
    <row r="62" customFormat="false" ht="14.25" hidden="false" customHeight="false" outlineLevel="0" collapsed="false">
      <c r="B62" s="7"/>
      <c r="AF62" s="12"/>
    </row>
    <row r="63" customFormat="false" ht="14.25" hidden="false" customHeight="false" outlineLevel="0" collapsed="false">
      <c r="B63" s="7"/>
      <c r="AF63" s="12"/>
    </row>
    <row r="64" customFormat="false" ht="14.25" hidden="false" customHeight="false" outlineLevel="0" collapsed="false">
      <c r="B64" s="7"/>
      <c r="AF64" s="12"/>
    </row>
    <row r="65" customFormat="false" ht="14.25" hidden="false" customHeight="false" outlineLevel="0" collapsed="false">
      <c r="B65" s="7"/>
      <c r="AF65" s="12"/>
    </row>
    <row r="66" customFormat="false" ht="14.25" hidden="false" customHeight="false" outlineLevel="0" collapsed="false">
      <c r="B66" s="7"/>
      <c r="AF66" s="12"/>
    </row>
    <row r="67" customFormat="false" ht="14.25" hidden="false" customHeight="false" outlineLevel="0" collapsed="false">
      <c r="B67" s="7"/>
      <c r="AF67" s="12"/>
    </row>
    <row r="68" customFormat="false" ht="14.25" hidden="false" customHeight="false" outlineLevel="0" collapsed="false">
      <c r="B68" s="7"/>
      <c r="AF68" s="12"/>
    </row>
    <row r="69" customFormat="false" ht="14.25" hidden="false" customHeight="false" outlineLevel="0" collapsed="false">
      <c r="B69" s="7"/>
      <c r="AF69" s="12"/>
    </row>
    <row r="70" customFormat="false" ht="14.25" hidden="false" customHeight="false" outlineLevel="0" collapsed="false">
      <c r="B70" s="7"/>
      <c r="AF70" s="12"/>
    </row>
    <row r="71" customFormat="false" ht="14.25" hidden="false" customHeight="false" outlineLevel="0" collapsed="false">
      <c r="B71" s="7"/>
      <c r="AF71" s="12"/>
    </row>
    <row r="72" customFormat="false" ht="14.25" hidden="false" customHeight="false" outlineLevel="0" collapsed="false">
      <c r="B72" s="7"/>
      <c r="AF72" s="12"/>
    </row>
    <row r="73" customFormat="false" ht="14.25" hidden="false" customHeight="true" outlineLevel="0" collapsed="false">
      <c r="B73" s="36"/>
      <c r="C73" s="37"/>
      <c r="D73" s="37"/>
      <c r="E73" s="37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8" t="s">
        <v>93</v>
      </c>
      <c r="Y73" s="38"/>
      <c r="Z73" s="38"/>
      <c r="AA73" s="38"/>
      <c r="AB73" s="38" t="n">
        <v>1</v>
      </c>
      <c r="AC73" s="38"/>
      <c r="AD73" s="38"/>
      <c r="AE73" s="38"/>
      <c r="AF73" s="39"/>
    </row>
    <row r="74" customFormat="false" ht="14.25" hidden="false" customHeight="true" outlineLevel="0" collapsed="false">
      <c r="B74" s="1"/>
      <c r="C74" s="2" t="s">
        <v>0</v>
      </c>
      <c r="D74" s="2"/>
      <c r="E74" s="2"/>
      <c r="F74" s="2"/>
      <c r="G74" s="2"/>
      <c r="H74" s="3" t="s">
        <v>1</v>
      </c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4" t="s">
        <v>2</v>
      </c>
      <c r="Y74" s="4"/>
      <c r="Z74" s="4"/>
      <c r="AA74" s="4"/>
      <c r="AB74" s="5" t="s">
        <v>3</v>
      </c>
      <c r="AC74" s="5"/>
      <c r="AD74" s="5"/>
      <c r="AE74" s="5"/>
      <c r="AF74" s="6"/>
    </row>
    <row r="75" customFormat="false" ht="14.25" hidden="false" customHeight="true" outlineLevel="0" collapsed="false">
      <c r="B75" s="7"/>
      <c r="C75" s="8" t="s">
        <v>4</v>
      </c>
      <c r="D75" s="8"/>
      <c r="E75" s="8"/>
      <c r="F75" s="8"/>
      <c r="G75" s="8"/>
      <c r="H75" s="9" t="s">
        <v>5</v>
      </c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10" t="s">
        <v>6</v>
      </c>
      <c r="Y75" s="10"/>
      <c r="Z75" s="10"/>
      <c r="AA75" s="10"/>
      <c r="AB75" s="11" t="n">
        <v>46301</v>
      </c>
      <c r="AC75" s="11"/>
      <c r="AD75" s="11"/>
      <c r="AE75" s="11"/>
      <c r="AF75" s="12"/>
    </row>
    <row r="76" customFormat="false" ht="14.25" hidden="false" customHeight="true" outlineLevel="0" collapsed="false">
      <c r="B76" s="7"/>
      <c r="C76" s="8" t="s">
        <v>7</v>
      </c>
      <c r="D76" s="8"/>
      <c r="E76" s="8"/>
      <c r="F76" s="8"/>
      <c r="G76" s="8"/>
      <c r="H76" s="9" t="s">
        <v>333</v>
      </c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10" t="s">
        <v>9</v>
      </c>
      <c r="Y76" s="10"/>
      <c r="Z76" s="10"/>
      <c r="AA76" s="10"/>
      <c r="AB76" s="11" t="s">
        <v>3</v>
      </c>
      <c r="AC76" s="11"/>
      <c r="AD76" s="11"/>
      <c r="AE76" s="11"/>
      <c r="AF76" s="12"/>
    </row>
    <row r="77" customFormat="false" ht="14.25" hidden="false" customHeight="true" outlineLevel="0" collapsed="false">
      <c r="B77" s="13"/>
      <c r="C77" s="14" t="s">
        <v>10</v>
      </c>
      <c r="D77" s="14"/>
      <c r="E77" s="14"/>
      <c r="F77" s="14"/>
      <c r="G77" s="14"/>
      <c r="H77" s="15" t="s">
        <v>134</v>
      </c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6" t="s">
        <v>12</v>
      </c>
      <c r="Y77" s="16"/>
      <c r="Z77" s="16"/>
      <c r="AA77" s="16"/>
      <c r="AB77" s="17" t="n">
        <v>46301</v>
      </c>
      <c r="AC77" s="17"/>
      <c r="AD77" s="17"/>
      <c r="AE77" s="17"/>
      <c r="AF77" s="18"/>
    </row>
    <row r="78" customFormat="false" ht="14.25" hidden="false" customHeight="false" outlineLevel="0" collapsed="false">
      <c r="B78" s="7"/>
      <c r="AF78" s="12"/>
    </row>
    <row r="79" customFormat="false" ht="14.25" hidden="false" customHeight="false" outlineLevel="0" collapsed="false">
      <c r="B79" s="7"/>
      <c r="C79" s="9" t="s">
        <v>154</v>
      </c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12"/>
    </row>
    <row r="80" customFormat="false" ht="14.25" hidden="false" customHeight="false" outlineLevel="0" collapsed="false">
      <c r="B80" s="7"/>
      <c r="C80" s="20" t="s">
        <v>334</v>
      </c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12"/>
      <c r="AI80" s="53" t="s">
        <v>156</v>
      </c>
    </row>
    <row r="81" customFormat="false" ht="27" hidden="false" customHeight="true" outlineLevel="0" collapsed="false">
      <c r="B81" s="7"/>
      <c r="C81" s="28" t="s">
        <v>157</v>
      </c>
      <c r="D81" s="28"/>
      <c r="E81" s="28" t="s">
        <v>158</v>
      </c>
      <c r="F81" s="28"/>
      <c r="G81" s="28"/>
      <c r="H81" s="28" t="s">
        <v>159</v>
      </c>
      <c r="I81" s="28"/>
      <c r="J81" s="28"/>
      <c r="K81" s="28" t="s">
        <v>160</v>
      </c>
      <c r="L81" s="28"/>
      <c r="M81" s="28"/>
      <c r="N81" s="28" t="s">
        <v>161</v>
      </c>
      <c r="O81" s="28"/>
      <c r="P81" s="28"/>
      <c r="Q81" s="28" t="s">
        <v>162</v>
      </c>
      <c r="R81" s="28"/>
      <c r="S81" s="28"/>
      <c r="T81" s="28" t="s">
        <v>88</v>
      </c>
      <c r="U81" s="28"/>
      <c r="V81" s="28" t="s">
        <v>163</v>
      </c>
      <c r="W81" s="28"/>
      <c r="X81" s="28" t="s">
        <v>164</v>
      </c>
      <c r="Y81" s="28"/>
      <c r="Z81" s="28" t="s">
        <v>165</v>
      </c>
      <c r="AA81" s="28"/>
      <c r="AB81" s="28"/>
      <c r="AC81" s="28" t="s">
        <v>166</v>
      </c>
      <c r="AD81" s="28"/>
      <c r="AE81" s="28"/>
      <c r="AF81" s="12"/>
      <c r="AI81" s="54" t="s">
        <v>167</v>
      </c>
      <c r="AJ81" s="54" t="s">
        <v>168</v>
      </c>
      <c r="AK81" s="54" t="s">
        <v>169</v>
      </c>
      <c r="AL81" s="54" t="s">
        <v>170</v>
      </c>
      <c r="AM81" s="54" t="s">
        <v>171</v>
      </c>
      <c r="AN81" s="54" t="s">
        <v>172</v>
      </c>
      <c r="AO81" s="54" t="s">
        <v>173</v>
      </c>
      <c r="AP81" s="54" t="s">
        <v>174</v>
      </c>
      <c r="AQ81" s="54" t="s">
        <v>175</v>
      </c>
      <c r="AR81" s="54" t="s">
        <v>88</v>
      </c>
      <c r="AS81" s="54" t="s">
        <v>176</v>
      </c>
      <c r="AT81" s="54" t="s">
        <v>163</v>
      </c>
      <c r="AU81" s="54" t="s">
        <v>164</v>
      </c>
      <c r="AV81" s="54" t="s">
        <v>165</v>
      </c>
      <c r="AW81" s="54" t="s">
        <v>177</v>
      </c>
      <c r="AX81" s="54" t="s">
        <v>178</v>
      </c>
      <c r="AY81" s="54" t="s">
        <v>179</v>
      </c>
      <c r="AZ81" s="54" t="s">
        <v>19</v>
      </c>
      <c r="BA81" s="54" t="s">
        <v>180</v>
      </c>
      <c r="BB81" s="54" t="s">
        <v>181</v>
      </c>
      <c r="BC81" s="54" t="s">
        <v>182</v>
      </c>
      <c r="BD81" s="54" t="s">
        <v>183</v>
      </c>
      <c r="BE81" s="54" t="s">
        <v>184</v>
      </c>
      <c r="BF81" s="54" t="s">
        <v>185</v>
      </c>
      <c r="BG81" s="54" t="s">
        <v>186</v>
      </c>
      <c r="BH81" s="54" t="s">
        <v>187</v>
      </c>
      <c r="BI81" s="54" t="s">
        <v>188</v>
      </c>
      <c r="BJ81" s="54" t="s">
        <v>189</v>
      </c>
      <c r="BK81" s="54" t="s">
        <v>190</v>
      </c>
      <c r="BL81" s="54" t="s">
        <v>89</v>
      </c>
      <c r="BM81" s="54" t="s">
        <v>191</v>
      </c>
      <c r="BN81" s="54" t="s">
        <v>192</v>
      </c>
      <c r="BO81" s="54" t="s">
        <v>193</v>
      </c>
      <c r="BP81" s="54" t="s">
        <v>194</v>
      </c>
      <c r="BQ81" s="54" t="s">
        <v>195</v>
      </c>
    </row>
    <row r="82" customFormat="false" ht="14.25" hidden="false" customHeight="true" outlineLevel="0" collapsed="false">
      <c r="B82" s="7"/>
      <c r="C82" s="29"/>
      <c r="D82" s="29"/>
      <c r="E82" s="29" t="s">
        <v>19</v>
      </c>
      <c r="F82" s="29"/>
      <c r="G82" s="29"/>
      <c r="H82" s="29" t="s">
        <v>19</v>
      </c>
      <c r="I82" s="29"/>
      <c r="J82" s="29"/>
      <c r="K82" s="29"/>
      <c r="L82" s="29"/>
      <c r="M82" s="29"/>
      <c r="N82" s="29"/>
      <c r="O82" s="29"/>
      <c r="P82" s="29"/>
      <c r="Q82" s="29" t="s">
        <v>23</v>
      </c>
      <c r="R82" s="29"/>
      <c r="S82" s="29"/>
      <c r="T82" s="29" t="s">
        <v>91</v>
      </c>
      <c r="U82" s="29"/>
      <c r="V82" s="29" t="s">
        <v>91</v>
      </c>
      <c r="W82" s="29"/>
      <c r="X82" s="29" t="s">
        <v>38</v>
      </c>
      <c r="Y82" s="29"/>
      <c r="Z82" s="29" t="s">
        <v>26</v>
      </c>
      <c r="AA82" s="29"/>
      <c r="AB82" s="29"/>
      <c r="AC82" s="29" t="s">
        <v>60</v>
      </c>
      <c r="AD82" s="29"/>
      <c r="AE82" s="29"/>
      <c r="AF82" s="12"/>
    </row>
    <row r="83" customFormat="false" ht="14.25" hidden="false" customHeight="false" outlineLevel="0" collapsed="false">
      <c r="B83" s="7"/>
      <c r="C83" s="46" t="n">
        <v>1</v>
      </c>
      <c r="D83" s="46"/>
      <c r="E83" s="44" t="n">
        <f aca="false">AI83</f>
        <v>0</v>
      </c>
      <c r="F83" s="44"/>
      <c r="G83" s="44"/>
      <c r="H83" s="44" t="n">
        <f aca="false">AJ83</f>
        <v>1.5</v>
      </c>
      <c r="I83" s="44"/>
      <c r="J83" s="44"/>
      <c r="K83" s="41" t="str">
        <f aca="false">AM83</f>
        <v>Sand</v>
      </c>
      <c r="L83" s="41"/>
      <c r="M83" s="41"/>
      <c r="N83" s="46" t="n">
        <f aca="false">AN83</f>
        <v>10</v>
      </c>
      <c r="O83" s="46"/>
      <c r="P83" s="46"/>
      <c r="Q83" s="42" t="n">
        <f aca="false">AO83</f>
        <v>16.5</v>
      </c>
      <c r="R83" s="42"/>
      <c r="S83" s="42"/>
      <c r="T83" s="46" t="str">
        <f aca="false">IF(AR83="","-",AR83)</f>
        <v>-</v>
      </c>
      <c r="U83" s="46"/>
      <c r="V83" s="46" t="str">
        <f aca="false">IF(AT83="","-",AT83)</f>
        <v>-</v>
      </c>
      <c r="W83" s="46"/>
      <c r="X83" s="44" t="n">
        <f aca="false">AU83</f>
        <v>0.65</v>
      </c>
      <c r="Y83" s="44"/>
      <c r="Z83" s="55" t="n">
        <f aca="false">AV83</f>
        <v>0</v>
      </c>
      <c r="AA83" s="55"/>
      <c r="AB83" s="55"/>
      <c r="AC83" s="42" t="n">
        <f aca="false">AW83</f>
        <v>30.285663994</v>
      </c>
      <c r="AD83" s="42"/>
      <c r="AE83" s="42"/>
      <c r="AF83" s="12"/>
      <c r="AI83" s="56" t="n">
        <v>0</v>
      </c>
      <c r="AJ83" s="56" t="n">
        <v>1.5</v>
      </c>
      <c r="AK83" s="57" t="n">
        <f aca="false">AJ83-AI83</f>
        <v>1.5</v>
      </c>
      <c r="AL83" s="57" t="n">
        <f aca="false">(AI83+AJ83)/2</f>
        <v>0.75</v>
      </c>
      <c r="AM83" s="56" t="s">
        <v>199</v>
      </c>
      <c r="AN83" s="56" t="n">
        <v>10</v>
      </c>
      <c r="AO83" s="58" t="n">
        <f aca="false">IF(AL83&gt;$AA$20,$AA$22,$AA$21)</f>
        <v>16.5</v>
      </c>
      <c r="AP83" s="57" t="n">
        <f aca="false">AO83*AK83</f>
        <v>24.75</v>
      </c>
      <c r="AQ83" s="57" t="n">
        <f aca="false">AP83-AO83*AK83/2-10*MAX(AL83-$AA$20,0)</f>
        <v>12.375</v>
      </c>
      <c r="AR83" s="56"/>
      <c r="AS83" s="56"/>
      <c r="AT83" s="57" t="str">
        <f aca="false">IF(AR83="","",AR83-AS83)</f>
        <v/>
      </c>
      <c r="AU83" s="56" t="n">
        <v>0.65</v>
      </c>
      <c r="AV83" s="57" t="n">
        <f aca="false">IF(AM83="Sand",0,Input!$AA$34*AN83)</f>
        <v>0</v>
      </c>
      <c r="AW83" s="57" t="n">
        <f aca="false">IF(AM83="Sand",27.1+0.3*MIN(Input!$AA$35*AN83,60)-0.00054*MIN(Input!$AA$35*AN83,60)^2,MIN(MAX(DEGREES(ASIN(0.8-0.094*LN(MAX(IF(AT83="",10,AT83),5)))),20),30))</f>
        <v>30.285663994</v>
      </c>
      <c r="AX83" s="57" t="n">
        <f aca="false">IF(AM83="Sand",Input!$AA$36*Input!$AA$35*AN83,Input!$AA$37*AV83)</f>
        <v>10830</v>
      </c>
      <c r="AY83" s="59" t="n">
        <f aca="false">IF(AM83="Sand",Input!$AA$38,0.5)</f>
        <v>0.3</v>
      </c>
      <c r="AZ83" s="57" t="n">
        <f aca="false">Input!$AA$15/2/AL83</f>
        <v>49.3333333333333</v>
      </c>
      <c r="BA83" s="57" t="n">
        <f aca="false">Input!$AA$16/2/AL83</f>
        <v>134.666666666667</v>
      </c>
      <c r="BB83" s="57" t="n">
        <f aca="false">1/(4*PI())*(2*AZ83*BA83*SQRT(AZ83^2+BA83^2+1)/(AZ83^2+BA83^2+1+AZ83^2*BA83^2)*(AZ83^2+BA83^2+2)/(AZ83^2+BA83^2+1)+ATAN2(AZ83^2+BA83^2+1-AZ83^2*BA83^2,2*AZ83*BA83*SQRT(AZ83^2+BA83^2+1)))</f>
        <v>0.249999100034729</v>
      </c>
      <c r="BC83" s="57" t="n">
        <f aca="false">4*Input!$AA$14*BB83</f>
        <v>135.999510418892</v>
      </c>
      <c r="BD83" s="57" t="n">
        <f aca="false">((Input!$AA$16/Input!$AA$15)*LN((1+SQRT((Input!$AA$16/Input!$AA$15)^2+1))*SQRT((Input!$AA$16/Input!$AA$15)^2+(AJ83/(Input!$AA$15/2))^2)/((Input!$AA$16/Input!$AA$15)*(1+SQRT((Input!$AA$16/Input!$AA$15)^2+(AJ83/(Input!$AA$15/2))^2+1))))+LN(((Input!$AA$16/Input!$AA$15)+SQRT((Input!$AA$16/Input!$AA$15)^2+1))*SQRT(1+(AJ83/(Input!$AA$15/2))^2)/((Input!$AA$16/Input!$AA$15)+SQRT((Input!$AA$16/Input!$AA$15)^2+(AJ83/(Input!$AA$15/2))^2+1))))/PI()</f>
        <v>0.000278357738281407</v>
      </c>
      <c r="BE83" s="57" t="n">
        <f aca="false">(AJ83/(Input!$AA$15/2))/(2*PI())*ATAN((Input!$AA$16/Input!$AA$15)/((AJ83/(Input!$AA$15/2))*SQRT((Input!$AA$16/Input!$AA$15)^2+(AJ83/(Input!$AA$15/2))^2+1)))</f>
        <v>0.00985670448566872</v>
      </c>
      <c r="BF83" s="57" t="n">
        <f aca="false">MAX(0,AJ83-MAX(AI83,$AA$23))/AK83*IF(BC83&gt;=Input!$AA$21*AQ83,1,0)</f>
        <v>1</v>
      </c>
      <c r="BG83" s="57" t="n">
        <f aca="false">4*Input!$AA$14*(Input!$AA$15/2)*(1-AY83^2)/AX83*((BD83-0)+(1-2*AY83)/(1-AY83)*(BE83-0))*1000*BF83</f>
        <v>9.99670571076615</v>
      </c>
      <c r="BH83" s="57" t="n">
        <f aca="false">IF(AM83="Sand",0,0.009*(AR83-10))</f>
        <v>0</v>
      </c>
      <c r="BI83" s="57" t="n">
        <f aca="false">BH83*Input!$AA$39</f>
        <v>0</v>
      </c>
      <c r="BJ83" s="57" t="n">
        <f aca="false">IF(AM83="Sand",0,MAX(AV83/Input!$AA$40,AQ83))</f>
        <v>0</v>
      </c>
      <c r="BK83" s="57" t="n">
        <f aca="false">IF(AM83="Sand",0,1000*AK83/(1+AU83)*IF(AQ83+BC83&lt;=BJ83,BI83*LOG10((AQ83+BC83)/AQ83),BI83*LOG10(BJ83/AQ83)+BH83*LOG10((AQ83+BC83)/BJ83)))*BF83</f>
        <v>0</v>
      </c>
      <c r="BL83" s="57" t="n">
        <f aca="false">IF(AM83="Sand",0,10^(INDEX(Input!$Q$51:$Q$57,MIN(MATCH(MIN(MAX(AR83,30),120),Input!$C$51:$C$57,1),6))+(MIN(MAX(AR83,30),120)-INDEX(Input!$C$51:$C$57,MIN(MATCH(MIN(MAX(AR83,30),120),Input!$C$51:$C$57,1),6)))/(INDEX(Input!$C$51:$C$57,MIN(MATCH(MIN(MAX(AR83,30),120),Input!$C$51:$C$57,1),6)+1)-INDEX(Input!$C$51:$C$57,MIN(MATCH(MIN(MAX(AR83,30),120),Input!$C$51:$C$57,1),6)))*(INDEX(Input!$Q$51:$Q$57,MIN(MATCH(MIN(MAX(AR83,30),120),Input!$C$51:$C$57,1),6)+1)-INDEX(Input!$Q$51:$Q$57,MIN(MATCH(MIN(MAX(AR83,30),120),Input!$C$51:$C$57,1),6)))))</f>
        <v>0</v>
      </c>
      <c r="BM83" s="57" t="n">
        <f aca="false">IF(OR(AM83="Sand",BF83=0),0,Input!$AA$41*(AK83/2)^2/(BL83*0.0001*31536000))</f>
        <v>0</v>
      </c>
      <c r="BN83" s="57" t="n">
        <f aca="false">MAX(0,MIN(AJ83,Input!$AA$20)-AI83)</f>
        <v>1.5</v>
      </c>
      <c r="BO83" s="57" t="n">
        <f aca="false">MAX(0,MIN(AJ83,Input!$AA$20)-MAX(AI83,$AA$23))</f>
        <v>1.5</v>
      </c>
      <c r="BP83" s="57" t="n">
        <f aca="false">BG83+BK83</f>
        <v>9.99670571076615</v>
      </c>
      <c r="BQ83" s="57" t="s">
        <v>329</v>
      </c>
    </row>
    <row r="84" customFormat="false" ht="14.25" hidden="false" customHeight="false" outlineLevel="0" collapsed="false">
      <c r="B84" s="7"/>
      <c r="C84" s="46" t="n">
        <v>2</v>
      </c>
      <c r="D84" s="46"/>
      <c r="E84" s="44" t="n">
        <f aca="false">AI84</f>
        <v>1.5</v>
      </c>
      <c r="F84" s="44"/>
      <c r="G84" s="44"/>
      <c r="H84" s="44" t="n">
        <f aca="false">AJ84</f>
        <v>3</v>
      </c>
      <c r="I84" s="44"/>
      <c r="J84" s="44"/>
      <c r="K84" s="41" t="str">
        <f aca="false">AM84</f>
        <v>Sand</v>
      </c>
      <c r="L84" s="41"/>
      <c r="M84" s="41"/>
      <c r="N84" s="46" t="n">
        <f aca="false">AN84</f>
        <v>10</v>
      </c>
      <c r="O84" s="46"/>
      <c r="P84" s="46"/>
      <c r="Q84" s="42" t="n">
        <f aca="false">AO84</f>
        <v>16.5</v>
      </c>
      <c r="R84" s="42"/>
      <c r="S84" s="42"/>
      <c r="T84" s="46" t="str">
        <f aca="false">IF(AR84="","-",AR84)</f>
        <v>-</v>
      </c>
      <c r="U84" s="46"/>
      <c r="V84" s="46" t="str">
        <f aca="false">IF(AT84="","-",AT84)</f>
        <v>-</v>
      </c>
      <c r="W84" s="46"/>
      <c r="X84" s="44" t="n">
        <f aca="false">AU84</f>
        <v>0.643</v>
      </c>
      <c r="Y84" s="44"/>
      <c r="Z84" s="55" t="n">
        <f aca="false">AV84</f>
        <v>0</v>
      </c>
      <c r="AA84" s="55"/>
      <c r="AB84" s="55"/>
      <c r="AC84" s="42" t="n">
        <f aca="false">AW84</f>
        <v>30.285663994</v>
      </c>
      <c r="AD84" s="42"/>
      <c r="AE84" s="42"/>
      <c r="AF84" s="12"/>
      <c r="AI84" s="56" t="n">
        <v>1.5</v>
      </c>
      <c r="AJ84" s="56" t="n">
        <v>3</v>
      </c>
      <c r="AK84" s="57" t="n">
        <f aca="false">AJ84-AI84</f>
        <v>1.5</v>
      </c>
      <c r="AL84" s="57" t="n">
        <f aca="false">(AI84+AJ84)/2</f>
        <v>2.25</v>
      </c>
      <c r="AM84" s="56" t="s">
        <v>199</v>
      </c>
      <c r="AN84" s="56" t="n">
        <v>10</v>
      </c>
      <c r="AO84" s="58" t="n">
        <f aca="false">IF(AL84&gt;$AA$20,$AA$22,$AA$21)</f>
        <v>16.5</v>
      </c>
      <c r="AP84" s="57" t="n">
        <f aca="false">AP83+AO84*AK84</f>
        <v>49.5</v>
      </c>
      <c r="AQ84" s="57" t="n">
        <f aca="false">AP84-AO84*AK84/2-10*MAX(AL84-$AA$20,0)</f>
        <v>37.125</v>
      </c>
      <c r="AR84" s="56"/>
      <c r="AS84" s="56"/>
      <c r="AT84" s="57" t="str">
        <f aca="false">IF(AR84="","",AR84-AS84)</f>
        <v/>
      </c>
      <c r="AU84" s="56" t="n">
        <v>0.643</v>
      </c>
      <c r="AV84" s="57" t="n">
        <f aca="false">IF(AM84="Sand",0,Input!$AA$34*AN84)</f>
        <v>0</v>
      </c>
      <c r="AW84" s="57" t="n">
        <f aca="false">IF(AM84="Sand",27.1+0.3*MIN(Input!$AA$35*AN84,60)-0.00054*MIN(Input!$AA$35*AN84,60)^2,MIN(MAX(DEGREES(ASIN(0.8-0.094*LN(MAX(IF(AT84="",10,AT84),5)))),20),30))</f>
        <v>30.285663994</v>
      </c>
      <c r="AX84" s="57" t="n">
        <f aca="false">IF(AM84="Sand",Input!$AA$36*Input!$AA$35*AN84,Input!$AA$37*AV84)</f>
        <v>10830</v>
      </c>
      <c r="AY84" s="59" t="n">
        <f aca="false">IF(AM84="Sand",Input!$AA$38,0.5)</f>
        <v>0.3</v>
      </c>
      <c r="AZ84" s="57" t="n">
        <f aca="false">Input!$AA$15/2/AL84</f>
        <v>16.4444444444444</v>
      </c>
      <c r="BA84" s="57" t="n">
        <f aca="false">Input!$AA$16/2/AL84</f>
        <v>44.8888888888889</v>
      </c>
      <c r="BB84" s="57" t="n">
        <f aca="false">1/(4*PI())*(2*AZ84*BA84*SQRT(AZ84^2+BA84^2+1)/(AZ84^2+BA84^2+1+AZ84^2*BA84^2)*(AZ84^2+BA84^2+2)/(AZ84^2+BA84^2+1)+ATAN2(AZ84^2+BA84^2+1-AZ84^2*BA84^2,2*AZ84*BA84*SQRT(AZ84^2+BA84^2+1)))</f>
        <v>0.249975794959289</v>
      </c>
      <c r="BC84" s="57" t="n">
        <f aca="false">4*Input!$AA$14*BB84</f>
        <v>135.986832457853</v>
      </c>
      <c r="BD84" s="57" t="n">
        <f aca="false">((Input!$AA$16/Input!$AA$15)*LN((1+SQRT((Input!$AA$16/Input!$AA$15)^2+1))*SQRT((Input!$AA$16/Input!$AA$15)^2+(AJ84/(Input!$AA$15/2))^2)/((Input!$AA$16/Input!$AA$15)*(1+SQRT((Input!$AA$16/Input!$AA$15)^2+(AJ84/(Input!$AA$15/2))^2+1))))+LN(((Input!$AA$16/Input!$AA$15)+SQRT((Input!$AA$16/Input!$AA$15)^2+1))*SQRT(1+(AJ84/(Input!$AA$15/2))^2)/((Input!$AA$16/Input!$AA$15)+SQRT((Input!$AA$16/Input!$AA$15)^2+(AJ84/(Input!$AA$15/2))^2+1))))/PI()</f>
        <v>0.0011108168584366</v>
      </c>
      <c r="BE84" s="57" t="n">
        <f aca="false">(AJ84/(Input!$AA$15/2))/(2*PI())*ATAN((Input!$AA$16/Input!$AA$15)/((AJ84/(Input!$AA$15/2))*SQRT((Input!$AA$16/Input!$AA$15)^2+(AJ84/(Input!$AA$15/2))^2+1)))</f>
        <v>0.0191582913405592</v>
      </c>
      <c r="BF84" s="57" t="n">
        <f aca="false">MAX(0,AJ84-MAX(AI84,$AA$23))/AK84*IF(BC84&gt;=Input!$AA$21*AQ84,1,0)</f>
        <v>1</v>
      </c>
      <c r="BG84" s="57" t="n">
        <f aca="false">4*Input!$AA$14*(Input!$AA$15/2)*(1-AY84^2)/AX84*((BD84-BD83)+(1-2*AY84)/(1-AY84)*(BE84-BE83))*1000*BF84</f>
        <v>10.3973534383253</v>
      </c>
      <c r="BH84" s="57" t="n">
        <f aca="false">IF(AM84="Sand",0,0.009*(AR84-10))</f>
        <v>0</v>
      </c>
      <c r="BI84" s="57" t="n">
        <f aca="false">BH84*Input!$AA$39</f>
        <v>0</v>
      </c>
      <c r="BJ84" s="57" t="n">
        <f aca="false">IF(AM84="Sand",0,MAX(AV84/Input!$AA$40,AQ84))</f>
        <v>0</v>
      </c>
      <c r="BK84" s="57" t="n">
        <f aca="false">IF(AM84="Sand",0,1000*AK84/(1+AU84)*IF(AQ84+BC84&lt;=BJ84,BI84*LOG10((AQ84+BC84)/AQ84),BI84*LOG10(BJ84/AQ84)+BH84*LOG10((AQ84+BC84)/BJ84)))*BF84</f>
        <v>0</v>
      </c>
      <c r="BL84" s="57" t="n">
        <f aca="false">IF(AM84="Sand",0,10^(INDEX(Input!$Q$51:$Q$57,MIN(MATCH(MIN(MAX(AR84,30),120),Input!$C$51:$C$57,1),6))+(MIN(MAX(AR84,30),120)-INDEX(Input!$C$51:$C$57,MIN(MATCH(MIN(MAX(AR84,30),120),Input!$C$51:$C$57,1),6)))/(INDEX(Input!$C$51:$C$57,MIN(MATCH(MIN(MAX(AR84,30),120),Input!$C$51:$C$57,1),6)+1)-INDEX(Input!$C$51:$C$57,MIN(MATCH(MIN(MAX(AR84,30),120),Input!$C$51:$C$57,1),6)))*(INDEX(Input!$Q$51:$Q$57,MIN(MATCH(MIN(MAX(AR84,30),120),Input!$C$51:$C$57,1),6)+1)-INDEX(Input!$Q$51:$Q$57,MIN(MATCH(MIN(MAX(AR84,30),120),Input!$C$51:$C$57,1),6)))))</f>
        <v>0</v>
      </c>
      <c r="BM84" s="57" t="n">
        <f aca="false">IF(OR(AM84="Sand",BF84=0),0,Input!$AA$41*(AK84/2)^2/(BL84*0.0001*31536000))</f>
        <v>0</v>
      </c>
      <c r="BN84" s="57" t="n">
        <f aca="false">MAX(0,MIN(AJ84,Input!$AA$20)-AI84)</f>
        <v>1.5</v>
      </c>
      <c r="BO84" s="57" t="n">
        <f aca="false">MAX(0,MIN(AJ84,Input!$AA$20)-MAX(AI84,$AA$23))</f>
        <v>1.5</v>
      </c>
      <c r="BP84" s="57" t="n">
        <f aca="false">BG84+BK84</f>
        <v>10.3973534383253</v>
      </c>
      <c r="BQ84" s="57"/>
    </row>
    <row r="85" customFormat="false" ht="14.25" hidden="false" customHeight="false" outlineLevel="0" collapsed="false">
      <c r="B85" s="7"/>
      <c r="C85" s="46" t="n">
        <v>3</v>
      </c>
      <c r="D85" s="46"/>
      <c r="E85" s="44" t="n">
        <f aca="false">AI85</f>
        <v>3</v>
      </c>
      <c r="F85" s="44"/>
      <c r="G85" s="44"/>
      <c r="H85" s="44" t="n">
        <f aca="false">AJ85</f>
        <v>4.5</v>
      </c>
      <c r="I85" s="44"/>
      <c r="J85" s="44"/>
      <c r="K85" s="41" t="str">
        <f aca="false">AM85</f>
        <v>Sand</v>
      </c>
      <c r="L85" s="41"/>
      <c r="M85" s="41"/>
      <c r="N85" s="46" t="n">
        <f aca="false">AN85</f>
        <v>18</v>
      </c>
      <c r="O85" s="46"/>
      <c r="P85" s="46"/>
      <c r="Q85" s="42" t="n">
        <f aca="false">AO85</f>
        <v>16.5</v>
      </c>
      <c r="R85" s="42"/>
      <c r="S85" s="42"/>
      <c r="T85" s="46" t="str">
        <f aca="false">IF(AR85="","-",AR85)</f>
        <v>-</v>
      </c>
      <c r="U85" s="46"/>
      <c r="V85" s="46" t="str">
        <f aca="false">IF(AT85="","-",AT85)</f>
        <v>-</v>
      </c>
      <c r="W85" s="46"/>
      <c r="X85" s="44" t="n">
        <f aca="false">AU85</f>
        <v>0.881</v>
      </c>
      <c r="Y85" s="44"/>
      <c r="Z85" s="55" t="n">
        <f aca="false">AV85</f>
        <v>0</v>
      </c>
      <c r="AA85" s="55"/>
      <c r="AB85" s="55"/>
      <c r="AC85" s="42" t="n">
        <f aca="false">AW85</f>
        <v>32.74299134056</v>
      </c>
      <c r="AD85" s="42"/>
      <c r="AE85" s="42"/>
      <c r="AF85" s="12"/>
      <c r="AI85" s="56" t="n">
        <v>3</v>
      </c>
      <c r="AJ85" s="56" t="n">
        <v>4.5</v>
      </c>
      <c r="AK85" s="57" t="n">
        <f aca="false">AJ85-AI85</f>
        <v>1.5</v>
      </c>
      <c r="AL85" s="57" t="n">
        <f aca="false">(AI85+AJ85)/2</f>
        <v>3.75</v>
      </c>
      <c r="AM85" s="56" t="s">
        <v>199</v>
      </c>
      <c r="AN85" s="56" t="n">
        <v>18</v>
      </c>
      <c r="AO85" s="58" t="n">
        <f aca="false">IF(AL85&gt;$AA$20,$AA$22,$AA$21)</f>
        <v>16.5</v>
      </c>
      <c r="AP85" s="57" t="n">
        <f aca="false">AP84+AO85*AK85</f>
        <v>74.25</v>
      </c>
      <c r="AQ85" s="57" t="n">
        <f aca="false">AP85-AO85*AK85/2-10*MAX(AL85-$AA$20,0)</f>
        <v>61.875</v>
      </c>
      <c r="AR85" s="56"/>
      <c r="AS85" s="56"/>
      <c r="AT85" s="57" t="str">
        <f aca="false">IF(AR85="","",AR85-AS85)</f>
        <v/>
      </c>
      <c r="AU85" s="56" t="n">
        <v>0.881</v>
      </c>
      <c r="AV85" s="57" t="n">
        <f aca="false">IF(AM85="Sand",0,Input!$AA$34*AN85)</f>
        <v>0</v>
      </c>
      <c r="AW85" s="57" t="n">
        <f aca="false">IF(AM85="Sand",27.1+0.3*MIN(Input!$AA$35*AN85,60)-0.00054*MIN(Input!$AA$35*AN85,60)^2,MIN(MAX(DEGREES(ASIN(0.8-0.094*LN(MAX(IF(AT85="",10,AT85),5)))),20),30))</f>
        <v>32.74299134056</v>
      </c>
      <c r="AX85" s="57" t="n">
        <f aca="false">IF(AM85="Sand",Input!$AA$36*Input!$AA$35*AN85,Input!$AA$37*AV85)</f>
        <v>19494</v>
      </c>
      <c r="AY85" s="59" t="n">
        <f aca="false">IF(AM85="Sand",Input!$AA$38,0.5)</f>
        <v>0.3</v>
      </c>
      <c r="AZ85" s="57" t="n">
        <f aca="false">Input!$AA$15/2/AL85</f>
        <v>9.86666666666667</v>
      </c>
      <c r="BA85" s="57" t="n">
        <f aca="false">Input!$AA$16/2/AL85</f>
        <v>26.9333333333333</v>
      </c>
      <c r="BB85" s="57" t="n">
        <f aca="false">1/(4*PI())*(2*AZ85*BA85*SQRT(AZ85^2+BA85^2+1)/(AZ85^2+BA85^2+1+AZ85^2*BA85^2)*(AZ85^2+BA85^2+2)/(AZ85^2+BA85^2+1)+ATAN2(AZ85^2+BA85^2+1-AZ85^2*BA85^2,2*AZ85*BA85*SQRT(AZ85^2+BA85^2+1)))</f>
        <v>0.249888801120386</v>
      </c>
      <c r="BC85" s="57" t="n">
        <f aca="false">4*Input!$AA$14*BB85</f>
        <v>135.93950780949</v>
      </c>
      <c r="BD85" s="57" t="n">
        <f aca="false">((Input!$AA$16/Input!$AA$15)*LN((1+SQRT((Input!$AA$16/Input!$AA$15)^2+1))*SQRT((Input!$AA$16/Input!$AA$15)^2+(AJ85/(Input!$AA$15/2))^2)/((Input!$AA$16/Input!$AA$15)*(1+SQRT((Input!$AA$16/Input!$AA$15)^2+(AJ85/(Input!$AA$15/2))^2+1))))+LN(((Input!$AA$16/Input!$AA$15)+SQRT((Input!$AA$16/Input!$AA$15)^2+1))*SQRT(1+(AJ85/(Input!$AA$15/2))^2)/((Input!$AA$16/Input!$AA$15)+SQRT((Input!$AA$16/Input!$AA$15)^2+(AJ85/(Input!$AA$15/2))^2+1))))/PI()</f>
        <v>0.00248961870853131</v>
      </c>
      <c r="BE85" s="57" t="n">
        <f aca="false">(AJ85/(Input!$AA$15/2))/(2*PI())*ATAN((Input!$AA$16/Input!$AA$15)/((AJ85/(Input!$AA$15/2))*SQRT((Input!$AA$16/Input!$AA$15)^2+(AJ85/(Input!$AA$15/2))^2+1)))</f>
        <v>0.027909941348913</v>
      </c>
      <c r="BF85" s="57" t="n">
        <f aca="false">MAX(0,AJ85-MAX(AI85,$AA$23))/AK85*IF(BC85&gt;=Input!$AA$21*AQ85,1,0)</f>
        <v>1</v>
      </c>
      <c r="BG85" s="57" t="n">
        <f aca="false">4*Input!$AA$14*(Input!$AA$15/2)*(1-AY85^2)/AX85*((BD85-BD84)+(1-2*AY85)/(1-AY85)*(BE85-BE84))*1000*BF85</f>
        <v>5.99438116459719</v>
      </c>
      <c r="BH85" s="57" t="n">
        <f aca="false">IF(AM85="Sand",0,0.009*(AR85-10))</f>
        <v>0</v>
      </c>
      <c r="BI85" s="57" t="n">
        <f aca="false">BH85*Input!$AA$39</f>
        <v>0</v>
      </c>
      <c r="BJ85" s="57" t="n">
        <f aca="false">IF(AM85="Sand",0,MAX(AV85/Input!$AA$40,AQ85))</f>
        <v>0</v>
      </c>
      <c r="BK85" s="57" t="n">
        <f aca="false">IF(AM85="Sand",0,1000*AK85/(1+AU85)*IF(AQ85+BC85&lt;=BJ85,BI85*LOG10((AQ85+BC85)/AQ85),BI85*LOG10(BJ85/AQ85)+BH85*LOG10((AQ85+BC85)/BJ85)))*BF85</f>
        <v>0</v>
      </c>
      <c r="BL85" s="57" t="n">
        <f aca="false">IF(AM85="Sand",0,10^(INDEX(Input!$Q$51:$Q$57,MIN(MATCH(MIN(MAX(AR85,30),120),Input!$C$51:$C$57,1),6))+(MIN(MAX(AR85,30),120)-INDEX(Input!$C$51:$C$57,MIN(MATCH(MIN(MAX(AR85,30),120),Input!$C$51:$C$57,1),6)))/(INDEX(Input!$C$51:$C$57,MIN(MATCH(MIN(MAX(AR85,30),120),Input!$C$51:$C$57,1),6)+1)-INDEX(Input!$C$51:$C$57,MIN(MATCH(MIN(MAX(AR85,30),120),Input!$C$51:$C$57,1),6)))*(INDEX(Input!$Q$51:$Q$57,MIN(MATCH(MIN(MAX(AR85,30),120),Input!$C$51:$C$57,1),6)+1)-INDEX(Input!$Q$51:$Q$57,MIN(MATCH(MIN(MAX(AR85,30),120),Input!$C$51:$C$57,1),6)))))</f>
        <v>0</v>
      </c>
      <c r="BM85" s="57" t="n">
        <f aca="false">IF(OR(AM85="Sand",BF85=0),0,Input!$AA$41*(AK85/2)^2/(BL85*0.0001*31536000))</f>
        <v>0</v>
      </c>
      <c r="BN85" s="57" t="n">
        <f aca="false">MAX(0,MIN(AJ85,Input!$AA$20)-AI85)</f>
        <v>1.5</v>
      </c>
      <c r="BO85" s="57" t="n">
        <f aca="false">MAX(0,MIN(AJ85,Input!$AA$20)-MAX(AI85,$AA$23))</f>
        <v>1.5</v>
      </c>
      <c r="BP85" s="57" t="n">
        <f aca="false">BG85+BK85</f>
        <v>5.99438116459719</v>
      </c>
      <c r="BQ85" s="57"/>
    </row>
    <row r="86" customFormat="false" ht="14.25" hidden="false" customHeight="false" outlineLevel="0" collapsed="false">
      <c r="B86" s="7"/>
      <c r="C86" s="46" t="n">
        <v>4</v>
      </c>
      <c r="D86" s="46"/>
      <c r="E86" s="44" t="n">
        <f aca="false">AI86</f>
        <v>4.5</v>
      </c>
      <c r="F86" s="44"/>
      <c r="G86" s="44"/>
      <c r="H86" s="44" t="n">
        <f aca="false">AJ86</f>
        <v>6</v>
      </c>
      <c r="I86" s="44"/>
      <c r="J86" s="44"/>
      <c r="K86" s="41" t="str">
        <f aca="false">AM86</f>
        <v>Sand</v>
      </c>
      <c r="L86" s="41"/>
      <c r="M86" s="41"/>
      <c r="N86" s="46" t="n">
        <f aca="false">AN86</f>
        <v>13</v>
      </c>
      <c r="O86" s="46"/>
      <c r="P86" s="46"/>
      <c r="Q86" s="42" t="n">
        <f aca="false">AO86</f>
        <v>16.5</v>
      </c>
      <c r="R86" s="42"/>
      <c r="S86" s="42"/>
      <c r="T86" s="46" t="str">
        <f aca="false">IF(AR86="","-",AR86)</f>
        <v>-</v>
      </c>
      <c r="U86" s="46"/>
      <c r="V86" s="46" t="str">
        <f aca="false">IF(AT86="","-",AT86)</f>
        <v>-</v>
      </c>
      <c r="W86" s="46"/>
      <c r="X86" s="44" t="n">
        <f aca="false">AU86</f>
        <v>0.928</v>
      </c>
      <c r="Y86" s="44"/>
      <c r="Z86" s="55" t="n">
        <f aca="false">AV86</f>
        <v>0</v>
      </c>
      <c r="AA86" s="55"/>
      <c r="AB86" s="55"/>
      <c r="AC86" s="42" t="n">
        <f aca="false">AW86</f>
        <v>31.21666214986</v>
      </c>
      <c r="AD86" s="42"/>
      <c r="AE86" s="42"/>
      <c r="AF86" s="12"/>
      <c r="AI86" s="56" t="n">
        <v>4.5</v>
      </c>
      <c r="AJ86" s="56" t="n">
        <v>6</v>
      </c>
      <c r="AK86" s="57" t="n">
        <f aca="false">AJ86-AI86</f>
        <v>1.5</v>
      </c>
      <c r="AL86" s="57" t="n">
        <f aca="false">(AI86+AJ86)/2</f>
        <v>5.25</v>
      </c>
      <c r="AM86" s="56" t="s">
        <v>199</v>
      </c>
      <c r="AN86" s="56" t="n">
        <v>13</v>
      </c>
      <c r="AO86" s="58" t="n">
        <f aca="false">IF(AL86&gt;$AA$20,$AA$22,$AA$21)</f>
        <v>16.5</v>
      </c>
      <c r="AP86" s="57" t="n">
        <f aca="false">AP85+AO86*AK86</f>
        <v>99</v>
      </c>
      <c r="AQ86" s="57" t="n">
        <f aca="false">AP86-AO86*AK86/2-10*MAX(AL86-$AA$20,0)</f>
        <v>86.625</v>
      </c>
      <c r="AR86" s="56"/>
      <c r="AS86" s="56"/>
      <c r="AT86" s="57" t="str">
        <f aca="false">IF(AR86="","",AR86-AS86)</f>
        <v/>
      </c>
      <c r="AU86" s="56" t="n">
        <v>0.928</v>
      </c>
      <c r="AV86" s="57" t="n">
        <f aca="false">IF(AM86="Sand",0,Input!$AA$34*AN86)</f>
        <v>0</v>
      </c>
      <c r="AW86" s="57" t="n">
        <f aca="false">IF(AM86="Sand",27.1+0.3*MIN(Input!$AA$35*AN86,60)-0.00054*MIN(Input!$AA$35*AN86,60)^2,MIN(MAX(DEGREES(ASIN(0.8-0.094*LN(MAX(IF(AT86="",10,AT86),5)))),20),30))</f>
        <v>31.21666214986</v>
      </c>
      <c r="AX86" s="57" t="n">
        <f aca="false">IF(AM86="Sand",Input!$AA$36*Input!$AA$35*AN86,Input!$AA$37*AV86)</f>
        <v>14079</v>
      </c>
      <c r="AY86" s="59" t="n">
        <f aca="false">IF(AM86="Sand",Input!$AA$38,0.5)</f>
        <v>0.3</v>
      </c>
      <c r="AZ86" s="57" t="n">
        <f aca="false">Input!$AA$15/2/AL86</f>
        <v>7.04761904761905</v>
      </c>
      <c r="BA86" s="57" t="n">
        <f aca="false">Input!$AA$16/2/AL86</f>
        <v>19.2380952380952</v>
      </c>
      <c r="BB86" s="57" t="n">
        <f aca="false">1/(4*PI())*(2*AZ86*BA86*SQRT(AZ86^2+BA86^2+1)/(AZ86^2+BA86^2+1+AZ86^2*BA86^2)*(AZ86^2+BA86^2+2)/(AZ86^2+BA86^2+1)+ATAN2(AZ86^2+BA86^2+1-AZ86^2*BA86^2,2*AZ86*BA86*SQRT(AZ86^2+BA86^2+1)))</f>
        <v>0.249698355166716</v>
      </c>
      <c r="BC86" s="57" t="n">
        <f aca="false">4*Input!$AA$14*BB86</f>
        <v>135.835905210694</v>
      </c>
      <c r="BD86" s="57" t="n">
        <f aca="false">((Input!$AA$16/Input!$AA$15)*LN((1+SQRT((Input!$AA$16/Input!$AA$15)^2+1))*SQRT((Input!$AA$16/Input!$AA$15)^2+(AJ86/(Input!$AA$15/2))^2)/((Input!$AA$16/Input!$AA$15)*(1+SQRT((Input!$AA$16/Input!$AA$15)^2+(AJ86/(Input!$AA$15/2))^2+1))))+LN(((Input!$AA$16/Input!$AA$15)+SQRT((Input!$AA$16/Input!$AA$15)^2+1))*SQRT(1+(AJ86/(Input!$AA$15/2))^2)/((Input!$AA$16/Input!$AA$15)+SQRT((Input!$AA$16/Input!$AA$15)^2+(AJ86/(Input!$AA$15/2))^2+1))))/PI()</f>
        <v>0.00440210534422831</v>
      </c>
      <c r="BE86" s="57" t="n">
        <f aca="false">(AJ86/(Input!$AA$15/2))/(2*PI())*ATAN((Input!$AA$16/Input!$AA$15)/((AJ86/(Input!$AA$15/2))*SQRT((Input!$AA$16/Input!$AA$15)^2+(AJ86/(Input!$AA$15/2))^2+1)))</f>
        <v>0.0361201249719141</v>
      </c>
      <c r="BF86" s="57" t="n">
        <f aca="false">MAX(0,AJ86-MAX(AI86,$AA$23))/AK86*IF(BC86&gt;=Input!$AA$21*AQ86,1,0)</f>
        <v>1</v>
      </c>
      <c r="BG86" s="57" t="n">
        <f aca="false">4*Input!$AA$14*(Input!$AA$15/2)*(1-AY86^2)/AX86*((BD86-BD85)+(1-2*AY86)/(1-AY86)*(BE86-BE85))*1000*BF86</f>
        <v>8.59168994347396</v>
      </c>
      <c r="BH86" s="57" t="n">
        <f aca="false">IF(AM86="Sand",0,0.009*(AR86-10))</f>
        <v>0</v>
      </c>
      <c r="BI86" s="57" t="n">
        <f aca="false">BH86*Input!$AA$39</f>
        <v>0</v>
      </c>
      <c r="BJ86" s="57" t="n">
        <f aca="false">IF(AM86="Sand",0,MAX(AV86/Input!$AA$40,AQ86))</f>
        <v>0</v>
      </c>
      <c r="BK86" s="57" t="n">
        <f aca="false">IF(AM86="Sand",0,1000*AK86/(1+AU86)*IF(AQ86+BC86&lt;=BJ86,BI86*LOG10((AQ86+BC86)/AQ86),BI86*LOG10(BJ86/AQ86)+BH86*LOG10((AQ86+BC86)/BJ86)))*BF86</f>
        <v>0</v>
      </c>
      <c r="BL86" s="57" t="n">
        <f aca="false">IF(AM86="Sand",0,10^(INDEX(Input!$Q$51:$Q$57,MIN(MATCH(MIN(MAX(AR86,30),120),Input!$C$51:$C$57,1),6))+(MIN(MAX(AR86,30),120)-INDEX(Input!$C$51:$C$57,MIN(MATCH(MIN(MAX(AR86,30),120),Input!$C$51:$C$57,1),6)))/(INDEX(Input!$C$51:$C$57,MIN(MATCH(MIN(MAX(AR86,30),120),Input!$C$51:$C$57,1),6)+1)-INDEX(Input!$C$51:$C$57,MIN(MATCH(MIN(MAX(AR86,30),120),Input!$C$51:$C$57,1),6)))*(INDEX(Input!$Q$51:$Q$57,MIN(MATCH(MIN(MAX(AR86,30),120),Input!$C$51:$C$57,1),6)+1)-INDEX(Input!$Q$51:$Q$57,MIN(MATCH(MIN(MAX(AR86,30),120),Input!$C$51:$C$57,1),6)))))</f>
        <v>0</v>
      </c>
      <c r="BM86" s="57" t="n">
        <f aca="false">IF(OR(AM86="Sand",BF86=0),0,Input!$AA$41*(AK86/2)^2/(BL86*0.0001*31536000))</f>
        <v>0</v>
      </c>
      <c r="BN86" s="57" t="n">
        <f aca="false">MAX(0,MIN(AJ86,Input!$AA$20)-AI86)</f>
        <v>0.5</v>
      </c>
      <c r="BO86" s="57" t="n">
        <f aca="false">MAX(0,MIN(AJ86,Input!$AA$20)-MAX(AI86,$AA$23))</f>
        <v>0.5</v>
      </c>
      <c r="BP86" s="57" t="n">
        <f aca="false">BG86+BK86</f>
        <v>8.59168994347396</v>
      </c>
      <c r="BQ86" s="57"/>
    </row>
    <row r="87" customFormat="false" ht="14.25" hidden="false" customHeight="false" outlineLevel="0" collapsed="false">
      <c r="B87" s="7"/>
      <c r="C87" s="46" t="n">
        <v>5</v>
      </c>
      <c r="D87" s="46"/>
      <c r="E87" s="44" t="n">
        <f aca="false">AI87</f>
        <v>6</v>
      </c>
      <c r="F87" s="44"/>
      <c r="G87" s="44"/>
      <c r="H87" s="44" t="n">
        <f aca="false">AJ87</f>
        <v>7.5</v>
      </c>
      <c r="I87" s="44"/>
      <c r="J87" s="44"/>
      <c r="K87" s="41" t="str">
        <f aca="false">AM87</f>
        <v>Clay</v>
      </c>
      <c r="L87" s="41"/>
      <c r="M87" s="41"/>
      <c r="N87" s="46" t="n">
        <f aca="false">AN87</f>
        <v>8</v>
      </c>
      <c r="O87" s="46"/>
      <c r="P87" s="46"/>
      <c r="Q87" s="42" t="n">
        <f aca="false">AO87</f>
        <v>16.5</v>
      </c>
      <c r="R87" s="42"/>
      <c r="S87" s="42"/>
      <c r="T87" s="46" t="n">
        <f aca="false">IF(AR87="","-",AR87)</f>
        <v>29.57</v>
      </c>
      <c r="U87" s="46"/>
      <c r="V87" s="46" t="n">
        <f aca="false">IF(AT87="","-",AT87)</f>
        <v>8.93</v>
      </c>
      <c r="W87" s="46"/>
      <c r="X87" s="44" t="n">
        <f aca="false">AU87</f>
        <v>0.9</v>
      </c>
      <c r="Y87" s="44"/>
      <c r="Z87" s="55" t="n">
        <f aca="false">AV87</f>
        <v>40</v>
      </c>
      <c r="AA87" s="55"/>
      <c r="AB87" s="55"/>
      <c r="AC87" s="42" t="n">
        <f aca="false">AW87</f>
        <v>30</v>
      </c>
      <c r="AD87" s="42"/>
      <c r="AE87" s="42"/>
      <c r="AF87" s="12"/>
      <c r="AI87" s="56" t="n">
        <v>6</v>
      </c>
      <c r="AJ87" s="56" t="n">
        <v>7.5</v>
      </c>
      <c r="AK87" s="57" t="n">
        <f aca="false">AJ87-AI87</f>
        <v>1.5</v>
      </c>
      <c r="AL87" s="57" t="n">
        <f aca="false">(AI87+AJ87)/2</f>
        <v>6.75</v>
      </c>
      <c r="AM87" s="56" t="s">
        <v>196</v>
      </c>
      <c r="AN87" s="56" t="n">
        <v>8</v>
      </c>
      <c r="AO87" s="58" t="n">
        <f aca="false">IF(AL87&gt;$AA$20,$AA$22,$AA$21)</f>
        <v>16.5</v>
      </c>
      <c r="AP87" s="57" t="n">
        <f aca="false">AP86+AO87*AK87</f>
        <v>123.75</v>
      </c>
      <c r="AQ87" s="57" t="n">
        <f aca="false">AP87-AO87*AK87/2-10*MAX(AL87-$AA$20,0)</f>
        <v>111.375</v>
      </c>
      <c r="AR87" s="56" t="n">
        <v>29.57</v>
      </c>
      <c r="AS87" s="56" t="n">
        <v>20.64</v>
      </c>
      <c r="AT87" s="57" t="n">
        <f aca="false">IF(AR87="","",AR87-AS87)</f>
        <v>8.93</v>
      </c>
      <c r="AU87" s="56" t="n">
        <v>0.9</v>
      </c>
      <c r="AV87" s="57" t="n">
        <f aca="false">IF(AM87="Sand",0,Input!$AA$34*AN87)</f>
        <v>40</v>
      </c>
      <c r="AW87" s="57" t="n">
        <f aca="false">IF(AM87="Sand",27.1+0.3*MIN(Input!$AA$35*AN87,60)-0.00054*MIN(Input!$AA$35*AN87,60)^2,MIN(MAX(DEGREES(ASIN(0.8-0.094*LN(MAX(IF(AT87="",10,AT87),5)))),20),30))</f>
        <v>30</v>
      </c>
      <c r="AX87" s="57" t="n">
        <f aca="false">IF(AM87="Sand",Input!$AA$36*Input!$AA$35*AN87,Input!$AA$37*AV87)</f>
        <v>20000</v>
      </c>
      <c r="AY87" s="57" t="n">
        <f aca="false">IF(AM87="Sand",Input!$AA$38,0.5)</f>
        <v>0.5</v>
      </c>
      <c r="AZ87" s="57" t="n">
        <f aca="false">Input!$AA$15/2/AL87</f>
        <v>5.48148148148148</v>
      </c>
      <c r="BA87" s="57" t="n">
        <f aca="false">Input!$AA$16/2/AL87</f>
        <v>14.962962962963</v>
      </c>
      <c r="BB87" s="57" t="n">
        <f aca="false">1/(4*PI())*(2*AZ87*BA87*SQRT(AZ87^2+BA87^2+1)/(AZ87^2+BA87^2+1+AZ87^2*BA87^2)*(AZ87^2+BA87^2+2)/(AZ87^2+BA87^2+1)+ATAN2(AZ87^2+BA87^2+1-AZ87^2*BA87^2,2*AZ87*BA87*SQRT(AZ87^2+BA87^2+1)))</f>
        <v>0.249368535461671</v>
      </c>
      <c r="BC87" s="57" t="n">
        <f aca="false">4*Input!$AA$14*BB87</f>
        <v>135.656483291149</v>
      </c>
      <c r="BD87" s="57" t="n">
        <f aca="false">((Input!$AA$16/Input!$AA$15)*LN((1+SQRT((Input!$AA$16/Input!$AA$15)^2+1))*SQRT((Input!$AA$16/Input!$AA$15)^2+(AJ87/(Input!$AA$15/2))^2)/((Input!$AA$16/Input!$AA$15)*(1+SQRT((Input!$AA$16/Input!$AA$15)^2+(AJ87/(Input!$AA$15/2))^2+1))))+LN(((Input!$AA$16/Input!$AA$15)+SQRT((Input!$AA$16/Input!$AA$15)^2+1))*SQRT(1+(AJ87/(Input!$AA$15/2))^2)/((Input!$AA$16/Input!$AA$15)+SQRT((Input!$AA$16/Input!$AA$15)^2+(AJ87/(Input!$AA$15/2))^2+1))))/PI()</f>
        <v>0.00683111017475556</v>
      </c>
      <c r="BE87" s="57" t="n">
        <f aca="false">(AJ87/(Input!$AA$15/2))/(2*PI())*ATAN((Input!$AA$16/Input!$AA$15)/((AJ87/(Input!$AA$15/2))*SQRT((Input!$AA$16/Input!$AA$15)^2+(AJ87/(Input!$AA$15/2))^2+1)))</f>
        <v>0.0438003669964678</v>
      </c>
      <c r="BF87" s="57" t="n">
        <f aca="false">MAX(0,AJ87-MAX(AI87,$AA$23))/AK87*IF(BC87&gt;=Input!$AA$21*AQ87,1,0)</f>
        <v>1</v>
      </c>
      <c r="BG87" s="57" t="n">
        <f aca="false">4*Input!$AA$14*(Input!$AA$15/2)*(1-AY87^2)/AX87*((BD87-BD86)+(1-2*AY87)/(1-AY87)*(BE87-BE86))*1000*BF87</f>
        <v>1.83341284608197</v>
      </c>
      <c r="BH87" s="57" t="n">
        <f aca="false">IF(AM87="Sand",0,0.009*(AR87-10))</f>
        <v>0.17613</v>
      </c>
      <c r="BI87" s="57" t="n">
        <f aca="false">BH87*Input!$AA$39</f>
        <v>0.035226</v>
      </c>
      <c r="BJ87" s="57" t="n">
        <f aca="false">IF(AM87="Sand",0,MAX(AV87/Input!$AA$40,AQ87))</f>
        <v>181.818181818182</v>
      </c>
      <c r="BK87" s="57" t="n">
        <f aca="false">IF(AM87="Sand",0,1000*AK87/(1+AU87)*IF(AQ87+BC87&lt;=BJ87,BI87*LOG10((AQ87+BC87)/AQ87),BI87*LOG10(BJ87/AQ87)+BH87*LOG10((AQ87+BC87)/BJ87)))*BF87</f>
        <v>24.428987329684</v>
      </c>
      <c r="BL87" s="57" t="n">
        <f aca="false">IF(AM87="Sand",0,10^(INDEX(Input!$Q$51:$Q$57,MIN(MATCH(MIN(MAX(AR87,30),120),Input!$C$51:$C$57,1),6))+(MIN(MAX(AR87,30),120)-INDEX(Input!$C$51:$C$57,MIN(MATCH(MIN(MAX(AR87,30),120),Input!$C$51:$C$57,1),6)))/(INDEX(Input!$C$51:$C$57,MIN(MATCH(MIN(MAX(AR87,30),120),Input!$C$51:$C$57,1),6)+1)-INDEX(Input!$C$51:$C$57,MIN(MATCH(MIN(MAX(AR87,30),120),Input!$C$51:$C$57,1),6)))*(INDEX(Input!$Q$51:$Q$57,MIN(MATCH(MIN(MAX(AR87,30),120),Input!$C$51:$C$57,1),6)+1)-INDEX(Input!$Q$51:$Q$57,MIN(MATCH(MIN(MAX(AR87,30),120),Input!$C$51:$C$57,1),6)))))</f>
        <v>0.003</v>
      </c>
      <c r="BM87" s="57" t="n">
        <f aca="false">IF(OR(AM87="Sand",BF87=0),0,Input!$AA$41*(AK87/2)^2/(BL87*0.0001*31536000))</f>
        <v>0.0504185692541857</v>
      </c>
      <c r="BN87" s="57" t="n">
        <f aca="false">MAX(0,MIN(AJ87,Input!$AA$20)-AI87)</f>
        <v>0</v>
      </c>
      <c r="BO87" s="57" t="n">
        <f aca="false">MAX(0,MIN(AJ87,Input!$AA$20)-MAX(AI87,$AA$23))</f>
        <v>0</v>
      </c>
      <c r="BP87" s="57" t="n">
        <f aca="false">BG87+BK87</f>
        <v>26.2624001757659</v>
      </c>
      <c r="BQ87" s="57"/>
    </row>
    <row r="88" customFormat="false" ht="14.25" hidden="false" customHeight="false" outlineLevel="0" collapsed="false">
      <c r="B88" s="7"/>
      <c r="C88" s="46" t="n">
        <v>6</v>
      </c>
      <c r="D88" s="46"/>
      <c r="E88" s="44" t="n">
        <f aca="false">AI88</f>
        <v>7.5</v>
      </c>
      <c r="F88" s="44"/>
      <c r="G88" s="44"/>
      <c r="H88" s="44" t="n">
        <f aca="false">AJ88</f>
        <v>9</v>
      </c>
      <c r="I88" s="44"/>
      <c r="J88" s="44"/>
      <c r="K88" s="41" t="str">
        <f aca="false">AM88</f>
        <v>Sand</v>
      </c>
      <c r="L88" s="41"/>
      <c r="M88" s="41"/>
      <c r="N88" s="46" t="n">
        <f aca="false">AN88</f>
        <v>10</v>
      </c>
      <c r="O88" s="46"/>
      <c r="P88" s="46"/>
      <c r="Q88" s="42" t="n">
        <f aca="false">AO88</f>
        <v>19</v>
      </c>
      <c r="R88" s="42"/>
      <c r="S88" s="42"/>
      <c r="T88" s="46" t="str">
        <f aca="false">IF(AR88="","-",AR88)</f>
        <v>-</v>
      </c>
      <c r="U88" s="46"/>
      <c r="V88" s="46" t="str">
        <f aca="false">IF(AT88="","-",AT88)</f>
        <v>-</v>
      </c>
      <c r="W88" s="46"/>
      <c r="X88" s="44" t="n">
        <f aca="false">AU88</f>
        <v>0.716</v>
      </c>
      <c r="Y88" s="44"/>
      <c r="Z88" s="55" t="n">
        <f aca="false">AV88</f>
        <v>0</v>
      </c>
      <c r="AA88" s="55"/>
      <c r="AB88" s="55"/>
      <c r="AC88" s="42" t="n">
        <f aca="false">AW88</f>
        <v>30.285663994</v>
      </c>
      <c r="AD88" s="42"/>
      <c r="AE88" s="42"/>
      <c r="AF88" s="12"/>
      <c r="AI88" s="56" t="n">
        <v>7.5</v>
      </c>
      <c r="AJ88" s="56" t="n">
        <v>9</v>
      </c>
      <c r="AK88" s="57" t="n">
        <f aca="false">AJ88-AI88</f>
        <v>1.5</v>
      </c>
      <c r="AL88" s="57" t="n">
        <f aca="false">(AI88+AJ88)/2</f>
        <v>8.25</v>
      </c>
      <c r="AM88" s="56" t="s">
        <v>199</v>
      </c>
      <c r="AN88" s="56" t="n">
        <v>10</v>
      </c>
      <c r="AO88" s="58" t="n">
        <f aca="false">IF(AL88&gt;$AA$20,$AA$22,$AA$21)</f>
        <v>19</v>
      </c>
      <c r="AP88" s="57" t="n">
        <f aca="false">AP87+AO88*AK88</f>
        <v>152.25</v>
      </c>
      <c r="AQ88" s="57" t="n">
        <f aca="false">AP88-AO88*AK88/2-10*MAX(AL88-$AA$20,0)</f>
        <v>135.5</v>
      </c>
      <c r="AR88" s="56"/>
      <c r="AS88" s="56"/>
      <c r="AT88" s="57" t="str">
        <f aca="false">IF(AR88="","",AR88-AS88)</f>
        <v/>
      </c>
      <c r="AU88" s="56" t="n">
        <v>0.716</v>
      </c>
      <c r="AV88" s="57" t="n">
        <f aca="false">IF(AM88="Sand",0,Input!$AA$34*AN88)</f>
        <v>0</v>
      </c>
      <c r="AW88" s="57" t="n">
        <f aca="false">IF(AM88="Sand",27.1+0.3*MIN(Input!$AA$35*AN88,60)-0.00054*MIN(Input!$AA$35*AN88,60)^2,MIN(MAX(DEGREES(ASIN(0.8-0.094*LN(MAX(IF(AT88="",10,AT88),5)))),20),30))</f>
        <v>30.285663994</v>
      </c>
      <c r="AX88" s="57" t="n">
        <f aca="false">IF(AM88="Sand",Input!$AA$36*Input!$AA$35*AN88,Input!$AA$37*AV88)</f>
        <v>10830</v>
      </c>
      <c r="AY88" s="59" t="n">
        <f aca="false">IF(AM88="Sand",Input!$AA$38,0.5)</f>
        <v>0.3</v>
      </c>
      <c r="AZ88" s="57" t="n">
        <f aca="false">Input!$AA$15/2/AL88</f>
        <v>4.48484848484848</v>
      </c>
      <c r="BA88" s="57" t="n">
        <f aca="false">Input!$AA$16/2/AL88</f>
        <v>12.2424242424242</v>
      </c>
      <c r="BB88" s="57" t="n">
        <f aca="false">1/(4*PI())*(2*AZ88*BA88*SQRT(AZ88^2+BA88^2+1)/(AZ88^2+BA88^2+1+AZ88^2*BA88^2)*(AZ88^2+BA88^2+2)/(AZ88^2+BA88^2+1)+ATAN2(AZ88^2+BA88^2+1-AZ88^2*BA88^2,2*AZ88*BA88*SQRT(AZ88^2+BA88^2+1)))</f>
        <v>0.248868419003298</v>
      </c>
      <c r="BC88" s="57" t="n">
        <f aca="false">4*Input!$AA$14*BB88</f>
        <v>135.384419937794</v>
      </c>
      <c r="BD88" s="57" t="n">
        <f aca="false">((Input!$AA$16/Input!$AA$15)*LN((1+SQRT((Input!$AA$16/Input!$AA$15)^2+1))*SQRT((Input!$AA$16/Input!$AA$15)^2+(AJ88/(Input!$AA$15/2))^2)/((Input!$AA$16/Input!$AA$15)*(1+SQRT((Input!$AA$16/Input!$AA$15)^2+(AJ88/(Input!$AA$15/2))^2+1))))+LN(((Input!$AA$16/Input!$AA$15)+SQRT((Input!$AA$16/Input!$AA$15)^2+1))*SQRT(1+(AJ88/(Input!$AA$15/2))^2)/((Input!$AA$16/Input!$AA$15)+SQRT((Input!$AA$16/Input!$AA$15)^2+(AJ88/(Input!$AA$15/2))^2+1))))/PI()</f>
        <v>0.00975546893705105</v>
      </c>
      <c r="BE88" s="57" t="n">
        <f aca="false">(AJ88/(Input!$AA$15/2))/(2*PI())*ATAN((Input!$AA$16/Input!$AA$15)/((AJ88/(Input!$AA$15/2))*SQRT((Input!$AA$16/Input!$AA$15)^2+(AJ88/(Input!$AA$15/2))^2+1)))</f>
        <v>0.0509649376512068</v>
      </c>
      <c r="BF88" s="57" t="n">
        <f aca="false">MAX(0,AJ88-MAX(AI88,$AA$23))/AK88*IF(BC88&gt;=Input!$AA$21*AQ88,1,0)</f>
        <v>1</v>
      </c>
      <c r="BG88" s="57" t="n">
        <f aca="false">4*Input!$AA$14*(Input!$AA$15/2)*(1-AY88^2)/AX88*((BD88-BD87)+(1-2*AY88)/(1-AY88)*(BE88-BE87))*1000*BF88</f>
        <v>11.8700246920105</v>
      </c>
      <c r="BH88" s="57" t="n">
        <f aca="false">IF(AM88="Sand",0,0.009*(AR88-10))</f>
        <v>0</v>
      </c>
      <c r="BI88" s="57" t="n">
        <f aca="false">BH88*Input!$AA$39</f>
        <v>0</v>
      </c>
      <c r="BJ88" s="57" t="n">
        <f aca="false">IF(AM88="Sand",0,MAX(AV88/Input!$AA$40,AQ88))</f>
        <v>0</v>
      </c>
      <c r="BK88" s="57" t="n">
        <f aca="false">IF(AM88="Sand",0,1000*AK88/(1+AU88)*IF(AQ88+BC88&lt;=BJ88,BI88*LOG10((AQ88+BC88)/AQ88),BI88*LOG10(BJ88/AQ88)+BH88*LOG10((AQ88+BC88)/BJ88)))*BF88</f>
        <v>0</v>
      </c>
      <c r="BL88" s="57" t="n">
        <f aca="false">IF(AM88="Sand",0,10^(INDEX(Input!$Q$51:$Q$57,MIN(MATCH(MIN(MAX(AR88,30),120),Input!$C$51:$C$57,1),6))+(MIN(MAX(AR88,30),120)-INDEX(Input!$C$51:$C$57,MIN(MATCH(MIN(MAX(AR88,30),120),Input!$C$51:$C$57,1),6)))/(INDEX(Input!$C$51:$C$57,MIN(MATCH(MIN(MAX(AR88,30),120),Input!$C$51:$C$57,1),6)+1)-INDEX(Input!$C$51:$C$57,MIN(MATCH(MIN(MAX(AR88,30),120),Input!$C$51:$C$57,1),6)))*(INDEX(Input!$Q$51:$Q$57,MIN(MATCH(MIN(MAX(AR88,30),120),Input!$C$51:$C$57,1),6)+1)-INDEX(Input!$Q$51:$Q$57,MIN(MATCH(MIN(MAX(AR88,30),120),Input!$C$51:$C$57,1),6)))))</f>
        <v>0</v>
      </c>
      <c r="BM88" s="57" t="n">
        <f aca="false">IF(OR(AM88="Sand",BF88=0),0,Input!$AA$41*(AK88/2)^2/(BL88*0.0001*31536000))</f>
        <v>0</v>
      </c>
      <c r="BN88" s="57" t="n">
        <f aca="false">MAX(0,MIN(AJ88,Input!$AA$20)-AI88)</f>
        <v>0</v>
      </c>
      <c r="BO88" s="57" t="n">
        <f aca="false">MAX(0,MIN(AJ88,Input!$AA$20)-MAX(AI88,$AA$23))</f>
        <v>0</v>
      </c>
      <c r="BP88" s="57" t="n">
        <f aca="false">BG88+BK88</f>
        <v>11.8700246920105</v>
      </c>
      <c r="BQ88" s="57"/>
    </row>
    <row r="89" customFormat="false" ht="14.25" hidden="false" customHeight="false" outlineLevel="0" collapsed="false">
      <c r="B89" s="7"/>
      <c r="C89" s="46" t="n">
        <v>7</v>
      </c>
      <c r="D89" s="46"/>
      <c r="E89" s="44" t="n">
        <f aca="false">AI89</f>
        <v>9</v>
      </c>
      <c r="F89" s="44"/>
      <c r="G89" s="44"/>
      <c r="H89" s="44" t="n">
        <f aca="false">AJ89</f>
        <v>10.5</v>
      </c>
      <c r="I89" s="44"/>
      <c r="J89" s="44"/>
      <c r="K89" s="41" t="str">
        <f aca="false">AM89</f>
        <v>Sand</v>
      </c>
      <c r="L89" s="41"/>
      <c r="M89" s="41"/>
      <c r="N89" s="46" t="n">
        <f aca="false">AN89</f>
        <v>29</v>
      </c>
      <c r="O89" s="46"/>
      <c r="P89" s="46"/>
      <c r="Q89" s="42" t="n">
        <f aca="false">AO89</f>
        <v>19</v>
      </c>
      <c r="R89" s="42"/>
      <c r="S89" s="42"/>
      <c r="T89" s="46" t="str">
        <f aca="false">IF(AR89="","-",AR89)</f>
        <v>-</v>
      </c>
      <c r="U89" s="46"/>
      <c r="V89" s="46" t="str">
        <f aca="false">IF(AT89="","-",AT89)</f>
        <v>-</v>
      </c>
      <c r="W89" s="46"/>
      <c r="X89" s="44" t="n">
        <f aca="false">AU89</f>
        <v>0.65</v>
      </c>
      <c r="Y89" s="44"/>
      <c r="Z89" s="55" t="n">
        <f aca="false">AV89</f>
        <v>0</v>
      </c>
      <c r="AA89" s="55"/>
      <c r="AB89" s="55"/>
      <c r="AC89" s="42" t="n">
        <f aca="false">AW89</f>
        <v>35.98944418954</v>
      </c>
      <c r="AD89" s="42"/>
      <c r="AE89" s="42"/>
      <c r="AF89" s="12"/>
      <c r="AI89" s="56" t="n">
        <v>9</v>
      </c>
      <c r="AJ89" s="56" t="n">
        <v>10.5</v>
      </c>
      <c r="AK89" s="57" t="n">
        <f aca="false">AJ89-AI89</f>
        <v>1.5</v>
      </c>
      <c r="AL89" s="57" t="n">
        <f aca="false">(AI89+AJ89)/2</f>
        <v>9.75</v>
      </c>
      <c r="AM89" s="56" t="s">
        <v>199</v>
      </c>
      <c r="AN89" s="56" t="n">
        <v>29</v>
      </c>
      <c r="AO89" s="58" t="n">
        <f aca="false">IF(AL89&gt;$AA$20,$AA$22,$AA$21)</f>
        <v>19</v>
      </c>
      <c r="AP89" s="57" t="n">
        <f aca="false">AP88+AO89*AK89</f>
        <v>180.75</v>
      </c>
      <c r="AQ89" s="57" t="n">
        <f aca="false">AP89-AO89*AK89/2-10*MAX(AL89-$AA$20,0)</f>
        <v>149</v>
      </c>
      <c r="AR89" s="56"/>
      <c r="AS89" s="56"/>
      <c r="AT89" s="57" t="str">
        <f aca="false">IF(AR89="","",AR89-AS89)</f>
        <v/>
      </c>
      <c r="AU89" s="56" t="n">
        <v>0.65</v>
      </c>
      <c r="AV89" s="57" t="n">
        <f aca="false">IF(AM89="Sand",0,Input!$AA$34*AN89)</f>
        <v>0</v>
      </c>
      <c r="AW89" s="57" t="n">
        <f aca="false">IF(AM89="Sand",27.1+0.3*MIN(Input!$AA$35*AN89,60)-0.00054*MIN(Input!$AA$35*AN89,60)^2,MIN(MAX(DEGREES(ASIN(0.8-0.094*LN(MAX(IF(AT89="",10,AT89),5)))),20),30))</f>
        <v>35.98944418954</v>
      </c>
      <c r="AX89" s="57" t="n">
        <f aca="false">IF(AM89="Sand",Input!$AA$36*Input!$AA$35*AN89,Input!$AA$37*AV89)</f>
        <v>31407</v>
      </c>
      <c r="AY89" s="59" t="n">
        <f aca="false">IF(AM89="Sand",Input!$AA$38,0.5)</f>
        <v>0.3</v>
      </c>
      <c r="AZ89" s="57" t="n">
        <f aca="false">Input!$AA$15/2/AL89</f>
        <v>3.79487179487179</v>
      </c>
      <c r="BA89" s="57" t="n">
        <f aca="false">Input!$AA$16/2/AL89</f>
        <v>10.3589743589744</v>
      </c>
      <c r="BB89" s="57" t="n">
        <f aca="false">1/(4*PI())*(2*AZ89*BA89*SQRT(AZ89^2+BA89^2+1)/(AZ89^2+BA89^2+1+AZ89^2*BA89^2)*(AZ89^2+BA89^2+2)/(AZ89^2+BA89^2+1)+ATAN2(AZ89^2+BA89^2+1-AZ89^2*BA89^2,2*AZ89*BA89*SQRT(AZ89^2+BA89^2+1)))</f>
        <v>0.248172910952305</v>
      </c>
      <c r="BC89" s="57" t="n">
        <f aca="false">4*Input!$AA$14*BB89</f>
        <v>135.006063558054</v>
      </c>
      <c r="BD89" s="57" t="n">
        <f aca="false">((Input!$AA$16/Input!$AA$15)*LN((1+SQRT((Input!$AA$16/Input!$AA$15)^2+1))*SQRT((Input!$AA$16/Input!$AA$15)^2+(AJ89/(Input!$AA$15/2))^2)/((Input!$AA$16/Input!$AA$15)*(1+SQRT((Input!$AA$16/Input!$AA$15)^2+(AJ89/(Input!$AA$15/2))^2+1))))+LN(((Input!$AA$16/Input!$AA$15)+SQRT((Input!$AA$16/Input!$AA$15)^2+1))*SQRT(1+(AJ89/(Input!$AA$15/2))^2)/((Input!$AA$16/Input!$AA$15)+SQRT((Input!$AA$16/Input!$AA$15)^2+(AJ89/(Input!$AA$15/2))^2+1))))/PI()</f>
        <v>0.0131506198333031</v>
      </c>
      <c r="BE89" s="57" t="n">
        <f aca="false">(AJ89/(Input!$AA$15/2))/(2*PI())*ATAN((Input!$AA$16/Input!$AA$15)/((AJ89/(Input!$AA$15/2))*SQRT((Input!$AA$16/Input!$AA$15)^2+(AJ89/(Input!$AA$15/2))^2+1)))</f>
        <v>0.0576304881402393</v>
      </c>
      <c r="BF89" s="57" t="n">
        <f aca="false">MAX(0,AJ89-MAX(AI89,$AA$23))/AK89*IF(BC89&gt;=Input!$AA$21*AQ89,1,0)</f>
        <v>1</v>
      </c>
      <c r="BG89" s="57" t="n">
        <f aca="false">4*Input!$AA$14*(Input!$AA$15/2)*(1-AY89^2)/AX89*((BD89-BD88)+(1-2*AY89)/(1-AY89)*(BE89-BE88))*1000*BF89</f>
        <v>4.20137541359157</v>
      </c>
      <c r="BH89" s="57" t="n">
        <f aca="false">IF(AM89="Sand",0,0.009*(AR89-10))</f>
        <v>0</v>
      </c>
      <c r="BI89" s="57" t="n">
        <f aca="false">BH89*Input!$AA$39</f>
        <v>0</v>
      </c>
      <c r="BJ89" s="57" t="n">
        <f aca="false">IF(AM89="Sand",0,MAX(AV89/Input!$AA$40,AQ89))</f>
        <v>0</v>
      </c>
      <c r="BK89" s="57" t="n">
        <f aca="false">IF(AM89="Sand",0,1000*AK89/(1+AU89)*IF(AQ89+BC89&lt;=BJ89,BI89*LOG10((AQ89+BC89)/AQ89),BI89*LOG10(BJ89/AQ89)+BH89*LOG10((AQ89+BC89)/BJ89)))*BF89</f>
        <v>0</v>
      </c>
      <c r="BL89" s="57" t="n">
        <f aca="false">IF(AM89="Sand",0,10^(INDEX(Input!$Q$51:$Q$57,MIN(MATCH(MIN(MAX(AR89,30),120),Input!$C$51:$C$57,1),6))+(MIN(MAX(AR89,30),120)-INDEX(Input!$C$51:$C$57,MIN(MATCH(MIN(MAX(AR89,30),120),Input!$C$51:$C$57,1),6)))/(INDEX(Input!$C$51:$C$57,MIN(MATCH(MIN(MAX(AR89,30),120),Input!$C$51:$C$57,1),6)+1)-INDEX(Input!$C$51:$C$57,MIN(MATCH(MIN(MAX(AR89,30),120),Input!$C$51:$C$57,1),6)))*(INDEX(Input!$Q$51:$Q$57,MIN(MATCH(MIN(MAX(AR89,30),120),Input!$C$51:$C$57,1),6)+1)-INDEX(Input!$Q$51:$Q$57,MIN(MATCH(MIN(MAX(AR89,30),120),Input!$C$51:$C$57,1),6)))))</f>
        <v>0</v>
      </c>
      <c r="BM89" s="57" t="n">
        <f aca="false">IF(OR(AM89="Sand",BF89=0),0,Input!$AA$41*(AK89/2)^2/(BL89*0.0001*31536000))</f>
        <v>0</v>
      </c>
      <c r="BN89" s="57" t="n">
        <f aca="false">MAX(0,MIN(AJ89,Input!$AA$20)-AI89)</f>
        <v>0</v>
      </c>
      <c r="BO89" s="57" t="n">
        <f aca="false">MAX(0,MIN(AJ89,Input!$AA$20)-MAX(AI89,$AA$23))</f>
        <v>0</v>
      </c>
      <c r="BP89" s="57" t="n">
        <f aca="false">BG89+BK89</f>
        <v>4.20137541359157</v>
      </c>
      <c r="BQ89" s="57"/>
    </row>
    <row r="90" customFormat="false" ht="14.25" hidden="false" customHeight="false" outlineLevel="0" collapsed="false">
      <c r="B90" s="7"/>
      <c r="C90" s="46" t="n">
        <v>8</v>
      </c>
      <c r="D90" s="46"/>
      <c r="E90" s="44" t="n">
        <f aca="false">AI90</f>
        <v>10.5</v>
      </c>
      <c r="F90" s="44"/>
      <c r="G90" s="44"/>
      <c r="H90" s="44" t="n">
        <f aca="false">AJ90</f>
        <v>12</v>
      </c>
      <c r="I90" s="44"/>
      <c r="J90" s="44"/>
      <c r="K90" s="41" t="str">
        <f aca="false">AM90</f>
        <v>Silt</v>
      </c>
      <c r="L90" s="41"/>
      <c r="M90" s="41"/>
      <c r="N90" s="46" t="n">
        <f aca="false">AN90</f>
        <v>24</v>
      </c>
      <c r="O90" s="46"/>
      <c r="P90" s="46"/>
      <c r="Q90" s="42" t="n">
        <f aca="false">AO90</f>
        <v>19</v>
      </c>
      <c r="R90" s="42"/>
      <c r="S90" s="42"/>
      <c r="T90" s="46" t="n">
        <f aca="false">IF(AR90="","-",AR90)</f>
        <v>36.39</v>
      </c>
      <c r="U90" s="46"/>
      <c r="V90" s="46" t="n">
        <f aca="false">IF(AT90="","-",AT90)</f>
        <v>11.57</v>
      </c>
      <c r="W90" s="46"/>
      <c r="X90" s="44" t="n">
        <f aca="false">AU90</f>
        <v>1.053</v>
      </c>
      <c r="Y90" s="44"/>
      <c r="Z90" s="55" t="n">
        <f aca="false">AV90</f>
        <v>120</v>
      </c>
      <c r="AA90" s="55"/>
      <c r="AB90" s="55"/>
      <c r="AC90" s="42" t="n">
        <f aca="false">AW90</f>
        <v>30</v>
      </c>
      <c r="AD90" s="42"/>
      <c r="AE90" s="42"/>
      <c r="AF90" s="12"/>
      <c r="AI90" s="56" t="n">
        <v>10.5</v>
      </c>
      <c r="AJ90" s="56" t="n">
        <v>12</v>
      </c>
      <c r="AK90" s="57" t="n">
        <f aca="false">AJ90-AI90</f>
        <v>1.5</v>
      </c>
      <c r="AL90" s="57" t="n">
        <f aca="false">(AI90+AJ90)/2</f>
        <v>11.25</v>
      </c>
      <c r="AM90" s="56" t="s">
        <v>200</v>
      </c>
      <c r="AN90" s="56" t="n">
        <v>24</v>
      </c>
      <c r="AO90" s="58" t="n">
        <f aca="false">IF(AL90&gt;$AA$20,$AA$22,$AA$21)</f>
        <v>19</v>
      </c>
      <c r="AP90" s="57" t="n">
        <f aca="false">AP89+AO90*AK90</f>
        <v>209.25</v>
      </c>
      <c r="AQ90" s="57" t="n">
        <f aca="false">AP90-AO90*AK90/2-10*MAX(AL90-$AA$20,0)</f>
        <v>162.5</v>
      </c>
      <c r="AR90" s="56" t="n">
        <v>36.39</v>
      </c>
      <c r="AS90" s="56" t="n">
        <v>24.82</v>
      </c>
      <c r="AT90" s="57" t="n">
        <f aca="false">IF(AR90="","",AR90-AS90)</f>
        <v>11.57</v>
      </c>
      <c r="AU90" s="56" t="n">
        <v>1.053</v>
      </c>
      <c r="AV90" s="57" t="n">
        <f aca="false">IF(AM90="Sand",0,Input!$AA$34*AN90)</f>
        <v>120</v>
      </c>
      <c r="AW90" s="57" t="n">
        <f aca="false">IF(AM90="Sand",27.1+0.3*MIN(Input!$AA$35*AN90,60)-0.00054*MIN(Input!$AA$35*AN90,60)^2,MIN(MAX(DEGREES(ASIN(0.8-0.094*LN(MAX(IF(AT90="",10,AT90),5)))),20),30))</f>
        <v>30</v>
      </c>
      <c r="AX90" s="57" t="n">
        <f aca="false">IF(AM90="Sand",Input!$AA$36*Input!$AA$35*AN90,Input!$AA$37*AV90)</f>
        <v>60000</v>
      </c>
      <c r="AY90" s="57" t="n">
        <f aca="false">IF(AM90="Sand",Input!$AA$38,0.5)</f>
        <v>0.5</v>
      </c>
      <c r="AZ90" s="57" t="n">
        <f aca="false">Input!$AA$15/2/AL90</f>
        <v>3.28888888888889</v>
      </c>
      <c r="BA90" s="57" t="n">
        <f aca="false">Input!$AA$16/2/AL90</f>
        <v>8.97777777777778</v>
      </c>
      <c r="BB90" s="57" t="n">
        <f aca="false">1/(4*PI())*(2*AZ90*BA90*SQRT(AZ90^2+BA90^2+1)/(AZ90^2+BA90^2+1+AZ90^2*BA90^2)*(AZ90^2+BA90^2+2)/(AZ90^2+BA90^2+1)+ATAN2(AZ90^2+BA90^2+1-AZ90^2*BA90^2,2*AZ90*BA90*SQRT(AZ90^2+BA90^2+1)))</f>
        <v>0.247263218088384</v>
      </c>
      <c r="BC90" s="57" t="n">
        <f aca="false">4*Input!$AA$14*BB90</f>
        <v>134.511190640081</v>
      </c>
      <c r="BD90" s="57" t="n">
        <f aca="false">((Input!$AA$16/Input!$AA$15)*LN((1+SQRT((Input!$AA$16/Input!$AA$15)^2+1))*SQRT((Input!$AA$16/Input!$AA$15)^2+(AJ90/(Input!$AA$15/2))^2)/((Input!$AA$16/Input!$AA$15)*(1+SQRT((Input!$AA$16/Input!$AA$15)^2+(AJ90/(Input!$AA$15/2))^2+1))))+LN(((Input!$AA$16/Input!$AA$15)+SQRT((Input!$AA$16/Input!$AA$15)^2+1))*SQRT(1+(AJ90/(Input!$AA$15/2))^2)/((Input!$AA$16/Input!$AA$15)+SQRT((Input!$AA$16/Input!$AA$15)^2+(AJ90/(Input!$AA$15/2))^2+1))))/PI()</f>
        <v>0.0169892586870808</v>
      </c>
      <c r="BE90" s="57" t="n">
        <f aca="false">(AJ90/(Input!$AA$15/2))/(2*PI())*ATAN((Input!$AA$16/Input!$AA$15)/((AJ90/(Input!$AA$15/2))*SQRT((Input!$AA$16/Input!$AA$15)^2+(AJ90/(Input!$AA$15/2))^2+1)))</f>
        <v>0.063815650361614</v>
      </c>
      <c r="BF90" s="57" t="n">
        <f aca="false">MAX(0,AJ90-MAX(AI90,$AA$23))/AK90*IF(BC90&gt;=Input!$AA$21*AQ90,1,0)</f>
        <v>1</v>
      </c>
      <c r="BG90" s="57" t="n">
        <f aca="false">4*Input!$AA$14*(Input!$AA$15/2)*(1-AY90^2)/AX90*((BD90-BD89)+(1-2*AY90)/(1-AY90)*(BE90-BE89))*1000*BF90</f>
        <v>0.965801535610476</v>
      </c>
      <c r="BH90" s="57" t="n">
        <f aca="false">IF(AM90="Sand",0,0.009*(AR90-10))</f>
        <v>0.23751</v>
      </c>
      <c r="BI90" s="57" t="n">
        <f aca="false">BH90*Input!$AA$39</f>
        <v>0.047502</v>
      </c>
      <c r="BJ90" s="57" t="n">
        <f aca="false">IF(AM90="Sand",0,MAX(AV90/Input!$AA$40,AQ90))</f>
        <v>545.454545454546</v>
      </c>
      <c r="BK90" s="57" t="n">
        <f aca="false">IF(AM90="Sand",0,1000*AK90/(1+AU90)*IF(AQ90+BC90&lt;=BJ90,BI90*LOG10((AQ90+BC90)/AQ90),BI90*LOG10(BJ90/AQ90)+BH90*LOG10((AQ90+BC90)/BJ90)))*BF90</f>
        <v>9.0903781727263</v>
      </c>
      <c r="BL90" s="57" t="n">
        <f aca="false">IF(AM90="Sand",0,10^(INDEX(Input!$Q$51:$Q$57,MIN(MATCH(MIN(MAX(AR90,30),120),Input!$C$51:$C$57,1),6))+(MIN(MAX(AR90,30),120)-INDEX(Input!$C$51:$C$57,MIN(MATCH(MIN(MAX(AR90,30),120),Input!$C$51:$C$57,1),6)))/(INDEX(Input!$C$51:$C$57,MIN(MATCH(MIN(MAX(AR90,30),120),Input!$C$51:$C$57,1),6)+1)-INDEX(Input!$C$51:$C$57,MIN(MATCH(MIN(MAX(AR90,30),120),Input!$C$51:$C$57,1),6)))*(INDEX(Input!$Q$51:$Q$57,MIN(MATCH(MIN(MAX(AR90,30),120),Input!$C$51:$C$57,1),6)+1)-INDEX(Input!$Q$51:$Q$57,MIN(MATCH(MIN(MAX(AR90,30),120),Input!$C$51:$C$57,1),6)))))</f>
        <v>0.00192647371348414</v>
      </c>
      <c r="BM90" s="57" t="n">
        <f aca="false">IF(OR(AM90="Sand",BF90=0),0,Input!$AA$41*(AK90/2)^2/(BL90*0.0001*31536000))</f>
        <v>0.0785142858186227</v>
      </c>
      <c r="BN90" s="57" t="n">
        <f aca="false">MAX(0,MIN(AJ90,Input!$AA$20)-AI90)</f>
        <v>0</v>
      </c>
      <c r="BO90" s="57" t="n">
        <f aca="false">MAX(0,MIN(AJ90,Input!$AA$20)-MAX(AI90,$AA$23))</f>
        <v>0</v>
      </c>
      <c r="BP90" s="57" t="n">
        <f aca="false">BG90+BK90</f>
        <v>10.0561797083368</v>
      </c>
      <c r="BQ90" s="57"/>
    </row>
    <row r="91" customFormat="false" ht="14.25" hidden="false" customHeight="false" outlineLevel="0" collapsed="false">
      <c r="B91" s="7"/>
      <c r="C91" s="46" t="n">
        <v>9</v>
      </c>
      <c r="D91" s="46"/>
      <c r="E91" s="44" t="n">
        <f aca="false">AI91</f>
        <v>12</v>
      </c>
      <c r="F91" s="44"/>
      <c r="G91" s="44"/>
      <c r="H91" s="44" t="n">
        <f aca="false">AJ91</f>
        <v>13.5</v>
      </c>
      <c r="I91" s="44"/>
      <c r="J91" s="44"/>
      <c r="K91" s="41" t="str">
        <f aca="false">AM91</f>
        <v>Silt</v>
      </c>
      <c r="L91" s="41"/>
      <c r="M91" s="41"/>
      <c r="N91" s="46" t="n">
        <f aca="false">AN91</f>
        <v>10</v>
      </c>
      <c r="O91" s="46"/>
      <c r="P91" s="46"/>
      <c r="Q91" s="42" t="n">
        <f aca="false">AO91</f>
        <v>19</v>
      </c>
      <c r="R91" s="42"/>
      <c r="S91" s="42"/>
      <c r="T91" s="46" t="n">
        <f aca="false">IF(AR91="","-",AR91)</f>
        <v>35.7</v>
      </c>
      <c r="U91" s="46"/>
      <c r="V91" s="46" t="n">
        <f aca="false">IF(AT91="","-",AT91)</f>
        <v>11.45</v>
      </c>
      <c r="W91" s="46"/>
      <c r="X91" s="44" t="n">
        <f aca="false">AU91</f>
        <v>0.974</v>
      </c>
      <c r="Y91" s="44"/>
      <c r="Z91" s="55" t="n">
        <f aca="false">AV91</f>
        <v>50</v>
      </c>
      <c r="AA91" s="55"/>
      <c r="AB91" s="55"/>
      <c r="AC91" s="42" t="n">
        <f aca="false">AW91</f>
        <v>30</v>
      </c>
      <c r="AD91" s="42"/>
      <c r="AE91" s="42"/>
      <c r="AF91" s="12"/>
      <c r="AI91" s="56" t="n">
        <v>12</v>
      </c>
      <c r="AJ91" s="56" t="n">
        <v>13.5</v>
      </c>
      <c r="AK91" s="57" t="n">
        <f aca="false">AJ91-AI91</f>
        <v>1.5</v>
      </c>
      <c r="AL91" s="57" t="n">
        <f aca="false">(AI91+AJ91)/2</f>
        <v>12.75</v>
      </c>
      <c r="AM91" s="56" t="s">
        <v>200</v>
      </c>
      <c r="AN91" s="56" t="n">
        <v>10</v>
      </c>
      <c r="AO91" s="58" t="n">
        <f aca="false">IF(AL91&gt;$AA$20,$AA$22,$AA$21)</f>
        <v>19</v>
      </c>
      <c r="AP91" s="57" t="n">
        <f aca="false">AP90+AO91*AK91</f>
        <v>237.75</v>
      </c>
      <c r="AQ91" s="57" t="n">
        <f aca="false">AP91-AO91*AK91/2-10*MAX(AL91-$AA$20,0)</f>
        <v>176</v>
      </c>
      <c r="AR91" s="56" t="n">
        <v>35.7</v>
      </c>
      <c r="AS91" s="56" t="n">
        <v>24.25</v>
      </c>
      <c r="AT91" s="57" t="n">
        <f aca="false">IF(AR91="","",AR91-AS91)</f>
        <v>11.45</v>
      </c>
      <c r="AU91" s="56" t="n">
        <v>0.974</v>
      </c>
      <c r="AV91" s="57" t="n">
        <f aca="false">IF(AM91="Sand",0,Input!$AA$34*AN91)</f>
        <v>50</v>
      </c>
      <c r="AW91" s="57" t="n">
        <f aca="false">IF(AM91="Sand",27.1+0.3*MIN(Input!$AA$35*AN91,60)-0.00054*MIN(Input!$AA$35*AN91,60)^2,MIN(MAX(DEGREES(ASIN(0.8-0.094*LN(MAX(IF(AT91="",10,AT91),5)))),20),30))</f>
        <v>30</v>
      </c>
      <c r="AX91" s="57" t="n">
        <f aca="false">IF(AM91="Sand",Input!$AA$36*Input!$AA$35*AN91,Input!$AA$37*AV91)</f>
        <v>25000</v>
      </c>
      <c r="AY91" s="57" t="n">
        <f aca="false">IF(AM91="Sand",Input!$AA$38,0.5)</f>
        <v>0.5</v>
      </c>
      <c r="AZ91" s="57" t="n">
        <f aca="false">Input!$AA$15/2/AL91</f>
        <v>2.90196078431373</v>
      </c>
      <c r="BA91" s="57" t="n">
        <f aca="false">Input!$AA$16/2/AL91</f>
        <v>7.92156862745098</v>
      </c>
      <c r="BB91" s="57" t="n">
        <f aca="false">1/(4*PI())*(2*AZ91*BA91*SQRT(AZ91^2+BA91^2+1)/(AZ91^2+BA91^2+1+AZ91^2*BA91^2)*(AZ91^2+BA91^2+2)/(AZ91^2+BA91^2+1)+ATAN2(AZ91^2+BA91^2+1-AZ91^2*BA91^2,2*AZ91*BA91*SQRT(AZ91^2+BA91^2+1)))</f>
        <v>0.246126971244543</v>
      </c>
      <c r="BC91" s="57" t="n">
        <f aca="false">4*Input!$AA$14*BB91</f>
        <v>133.893072357031</v>
      </c>
      <c r="BD91" s="57" t="n">
        <f aca="false">((Input!$AA$16/Input!$AA$15)*LN((1+SQRT((Input!$AA$16/Input!$AA$15)^2+1))*SQRT((Input!$AA$16/Input!$AA$15)^2+(AJ91/(Input!$AA$15/2))^2)/((Input!$AA$16/Input!$AA$15)*(1+SQRT((Input!$AA$16/Input!$AA$15)^2+(AJ91/(Input!$AA$15/2))^2+1))))+LN(((Input!$AA$16/Input!$AA$15)+SQRT((Input!$AA$16/Input!$AA$15)^2+1))*SQRT(1+(AJ91/(Input!$AA$15/2))^2)/((Input!$AA$16/Input!$AA$15)+SQRT((Input!$AA$16/Input!$AA$15)^2+(AJ91/(Input!$AA$15/2))^2+1))))/PI()</f>
        <v>0.0212420151090567</v>
      </c>
      <c r="BE91" s="57" t="n">
        <f aca="false">(AJ91/(Input!$AA$15/2))/(2*PI())*ATAN((Input!$AA$16/Input!$AA$15)/((AJ91/(Input!$AA$15/2))*SQRT((Input!$AA$16/Input!$AA$15)^2+(AJ91/(Input!$AA$15/2))^2+1)))</f>
        <v>0.0695406206380035</v>
      </c>
      <c r="BF91" s="57" t="n">
        <f aca="false">MAX(0,AJ91-MAX(AI91,$AA$23))/AK91*IF(BC91&gt;=Input!$AA$21*AQ91,1,0)</f>
        <v>1</v>
      </c>
      <c r="BG91" s="57" t="n">
        <f aca="false">4*Input!$AA$14*(Input!$AA$15/2)*(1-AY91^2)/AX91*((BD91-BD90)+(1-2*AY91)/(1-AY91)*(BE91-BE90))*1000*BF91</f>
        <v>2.56798443784594</v>
      </c>
      <c r="BH91" s="57" t="n">
        <f aca="false">IF(AM91="Sand",0,0.009*(AR91-10))</f>
        <v>0.2313</v>
      </c>
      <c r="BI91" s="57" t="n">
        <f aca="false">BH91*Input!$AA$39</f>
        <v>0.04626</v>
      </c>
      <c r="BJ91" s="57" t="n">
        <f aca="false">IF(AM91="Sand",0,MAX(AV91/Input!$AA$40,AQ91))</f>
        <v>227.272727272727</v>
      </c>
      <c r="BK91" s="57" t="n">
        <f aca="false">IF(AM91="Sand",0,1000*AK91/(1+AU91)*IF(AQ91+BC91&lt;=BJ91,BI91*LOG10((AQ91+BC91)/AQ91),BI91*LOG10(BJ91/AQ91)+BH91*LOG10((AQ91+BC91)/BJ91)))*BF91</f>
        <v>27.5717114339645</v>
      </c>
      <c r="BL91" s="57" t="n">
        <f aca="false">IF(AM91="Sand",0,10^(INDEX(Input!$Q$51:$Q$57,MIN(MATCH(MIN(MAX(AR91,30),120),Input!$C$51:$C$57,1),6))+(MIN(MAX(AR91,30),120)-INDEX(Input!$C$51:$C$57,MIN(MATCH(MIN(MAX(AR91,30),120),Input!$C$51:$C$57,1),6)))/(INDEX(Input!$C$51:$C$57,MIN(MATCH(MIN(MAX(AR91,30),120),Input!$C$51:$C$57,1),6)+1)-INDEX(Input!$C$51:$C$57,MIN(MATCH(MIN(MAX(AR91,30),120),Input!$C$51:$C$57,1),6)))*(INDEX(Input!$Q$51:$Q$57,MIN(MATCH(MIN(MAX(AR91,30),120),Input!$C$51:$C$57,1),6)+1)-INDEX(Input!$Q$51:$Q$57,MIN(MATCH(MIN(MAX(AR91,30),120),Input!$C$51:$C$57,1),6)))))</f>
        <v>0.00202085036529854</v>
      </c>
      <c r="BM91" s="57" t="n">
        <f aca="false">IF(OR(AM91="Sand",BF91=0),0,Input!$AA$41*(AK91/2)^2/(BL91*0.0001*31536000))</f>
        <v>0.0748475544552317</v>
      </c>
      <c r="BN91" s="57" t="n">
        <f aca="false">MAX(0,MIN(AJ91,Input!$AA$20)-AI91)</f>
        <v>0</v>
      </c>
      <c r="BO91" s="57" t="n">
        <f aca="false">MAX(0,MIN(AJ91,Input!$AA$20)-MAX(AI91,$AA$23))</f>
        <v>0</v>
      </c>
      <c r="BP91" s="57" t="n">
        <f aca="false">BG91+BK91</f>
        <v>30.1396958718104</v>
      </c>
      <c r="BQ91" s="57"/>
    </row>
    <row r="92" customFormat="false" ht="14.25" hidden="false" customHeight="false" outlineLevel="0" collapsed="false">
      <c r="B92" s="7"/>
      <c r="C92" s="46" t="n">
        <v>10</v>
      </c>
      <c r="D92" s="46"/>
      <c r="E92" s="44" t="n">
        <f aca="false">AI92</f>
        <v>13.5</v>
      </c>
      <c r="F92" s="44"/>
      <c r="G92" s="44"/>
      <c r="H92" s="44" t="n">
        <f aca="false">AJ92</f>
        <v>15</v>
      </c>
      <c r="I92" s="44"/>
      <c r="J92" s="44"/>
      <c r="K92" s="41" t="str">
        <f aca="false">AM92</f>
        <v>Sand</v>
      </c>
      <c r="L92" s="41"/>
      <c r="M92" s="41"/>
      <c r="N92" s="46" t="n">
        <f aca="false">AN92</f>
        <v>35</v>
      </c>
      <c r="O92" s="46"/>
      <c r="P92" s="46"/>
      <c r="Q92" s="42" t="n">
        <f aca="false">AO92</f>
        <v>19</v>
      </c>
      <c r="R92" s="42"/>
      <c r="S92" s="42"/>
      <c r="T92" s="46" t="str">
        <f aca="false">IF(AR92="","-",AR92)</f>
        <v>-</v>
      </c>
      <c r="U92" s="46"/>
      <c r="V92" s="46" t="str">
        <f aca="false">IF(AT92="","-",AT92)</f>
        <v>-</v>
      </c>
      <c r="W92" s="46"/>
      <c r="X92" s="44" t="n">
        <f aca="false">AU92</f>
        <v>0.557</v>
      </c>
      <c r="Y92" s="44"/>
      <c r="Z92" s="55" t="n">
        <f aca="false">AV92</f>
        <v>0</v>
      </c>
      <c r="AA92" s="55"/>
      <c r="AB92" s="55"/>
      <c r="AC92" s="42" t="n">
        <f aca="false">AW92</f>
        <v>37.6956339265</v>
      </c>
      <c r="AD92" s="42"/>
      <c r="AE92" s="42"/>
      <c r="AF92" s="12"/>
      <c r="AI92" s="56" t="n">
        <v>13.5</v>
      </c>
      <c r="AJ92" s="56" t="n">
        <v>15</v>
      </c>
      <c r="AK92" s="57" t="n">
        <f aca="false">AJ92-AI92</f>
        <v>1.5</v>
      </c>
      <c r="AL92" s="57" t="n">
        <f aca="false">(AI92+AJ92)/2</f>
        <v>14.25</v>
      </c>
      <c r="AM92" s="56" t="s">
        <v>199</v>
      </c>
      <c r="AN92" s="56" t="n">
        <v>35</v>
      </c>
      <c r="AO92" s="58" t="n">
        <f aca="false">IF(AL92&gt;$AA$20,$AA$22,$AA$21)</f>
        <v>19</v>
      </c>
      <c r="AP92" s="57" t="n">
        <f aca="false">AP91+AO92*AK92</f>
        <v>266.25</v>
      </c>
      <c r="AQ92" s="57" t="n">
        <f aca="false">AP92-AO92*AK92/2-10*MAX(AL92-$AA$20,0)</f>
        <v>189.5</v>
      </c>
      <c r="AR92" s="56"/>
      <c r="AS92" s="56"/>
      <c r="AT92" s="57" t="str">
        <f aca="false">IF(AR92="","",AR92-AS92)</f>
        <v/>
      </c>
      <c r="AU92" s="56" t="n">
        <v>0.557</v>
      </c>
      <c r="AV92" s="57" t="n">
        <f aca="false">IF(AM92="Sand",0,Input!$AA$34*AN92)</f>
        <v>0</v>
      </c>
      <c r="AW92" s="57" t="n">
        <f aca="false">IF(AM92="Sand",27.1+0.3*MIN(Input!$AA$35*AN92,60)-0.00054*MIN(Input!$AA$35*AN92,60)^2,MIN(MAX(DEGREES(ASIN(0.8-0.094*LN(MAX(IF(AT92="",10,AT92),5)))),20),30))</f>
        <v>37.6956339265</v>
      </c>
      <c r="AX92" s="57" t="n">
        <f aca="false">IF(AM92="Sand",Input!$AA$36*Input!$AA$35*AN92,Input!$AA$37*AV92)</f>
        <v>37905</v>
      </c>
      <c r="AY92" s="59" t="n">
        <f aca="false">IF(AM92="Sand",Input!$AA$38,0.5)</f>
        <v>0.3</v>
      </c>
      <c r="AZ92" s="57" t="n">
        <f aca="false">Input!$AA$15/2/AL92</f>
        <v>2.59649122807018</v>
      </c>
      <c r="BA92" s="57" t="n">
        <f aca="false">Input!$AA$16/2/AL92</f>
        <v>7.08771929824561</v>
      </c>
      <c r="BB92" s="57" t="n">
        <f aca="false">1/(4*PI())*(2*AZ92*BA92*SQRT(AZ92^2+BA92^2+1)/(AZ92^2+BA92^2+1+AZ92^2*BA92^2)*(AZ92^2+BA92^2+2)/(AZ92^2+BA92^2+1)+ATAN2(AZ92^2+BA92^2+1-AZ92^2*BA92^2,2*AZ92*BA92*SQRT(AZ92^2+BA92^2+1)))</f>
        <v>0.244758030634215</v>
      </c>
      <c r="BC92" s="57" t="n">
        <f aca="false">4*Input!$AA$14*BB92</f>
        <v>133.148368665013</v>
      </c>
      <c r="BD92" s="57" t="n">
        <f aca="false">((Input!$AA$16/Input!$AA$15)*LN((1+SQRT((Input!$AA$16/Input!$AA$15)^2+1))*SQRT((Input!$AA$16/Input!$AA$15)^2+(AJ92/(Input!$AA$15/2))^2)/((Input!$AA$16/Input!$AA$15)*(1+SQRT((Input!$AA$16/Input!$AA$15)^2+(AJ92/(Input!$AA$15/2))^2+1))))+LN(((Input!$AA$16/Input!$AA$15)+SQRT((Input!$AA$16/Input!$AA$15)^2+1))*SQRT(1+(AJ92/(Input!$AA$15/2))^2)/((Input!$AA$16/Input!$AA$15)+SQRT((Input!$AA$16/Input!$AA$15)^2+(AJ92/(Input!$AA$15/2))^2+1))))/PI()</f>
        <v>0.0258781185005073</v>
      </c>
      <c r="BE92" s="57" t="n">
        <f aca="false">(AJ92/(Input!$AA$15/2))/(2*PI())*ATAN((Input!$AA$16/Input!$AA$15)/((AJ92/(Input!$AA$15/2))*SQRT((Input!$AA$16/Input!$AA$15)^2+(AJ92/(Input!$AA$15/2))^2+1)))</f>
        <v>0.0748267458113844</v>
      </c>
      <c r="BF92" s="57" t="n">
        <f aca="false">MAX(0,AJ92-MAX(AI92,$AA$23))/AK92*IF(BC92&gt;=Input!$AA$21*AQ92,1,0)</f>
        <v>1</v>
      </c>
      <c r="BG92" s="57" t="n">
        <f aca="false">4*Input!$AA$14*(Input!$AA$15/2)*(1-AY92^2)/AX92*((BD92-BD91)+(1-2*AY92)/(1-AY92)*(BE92-BE91))*1000*BF92</f>
        <v>3.69989820187675</v>
      </c>
      <c r="BH92" s="57" t="n">
        <f aca="false">IF(AM92="Sand",0,0.009*(AR92-10))</f>
        <v>0</v>
      </c>
      <c r="BI92" s="57" t="n">
        <f aca="false">BH92*Input!$AA$39</f>
        <v>0</v>
      </c>
      <c r="BJ92" s="57" t="n">
        <f aca="false">IF(AM92="Sand",0,MAX(AV92/Input!$AA$40,AQ92))</f>
        <v>0</v>
      </c>
      <c r="BK92" s="57" t="n">
        <f aca="false">IF(AM92="Sand",0,1000*AK92/(1+AU92)*IF(AQ92+BC92&lt;=BJ92,BI92*LOG10((AQ92+BC92)/AQ92),BI92*LOG10(BJ92/AQ92)+BH92*LOG10((AQ92+BC92)/BJ92)))*BF92</f>
        <v>0</v>
      </c>
      <c r="BL92" s="57" t="n">
        <f aca="false">IF(AM92="Sand",0,10^(INDEX(Input!$Q$51:$Q$57,MIN(MATCH(MIN(MAX(AR92,30),120),Input!$C$51:$C$57,1),6))+(MIN(MAX(AR92,30),120)-INDEX(Input!$C$51:$C$57,MIN(MATCH(MIN(MAX(AR92,30),120),Input!$C$51:$C$57,1),6)))/(INDEX(Input!$C$51:$C$57,MIN(MATCH(MIN(MAX(AR92,30),120),Input!$C$51:$C$57,1),6)+1)-INDEX(Input!$C$51:$C$57,MIN(MATCH(MIN(MAX(AR92,30),120),Input!$C$51:$C$57,1),6)))*(INDEX(Input!$Q$51:$Q$57,MIN(MATCH(MIN(MAX(AR92,30),120),Input!$C$51:$C$57,1),6)+1)-INDEX(Input!$Q$51:$Q$57,MIN(MATCH(MIN(MAX(AR92,30),120),Input!$C$51:$C$57,1),6)))))</f>
        <v>0</v>
      </c>
      <c r="BM92" s="57" t="n">
        <f aca="false">IF(OR(AM92="Sand",BF92=0),0,Input!$AA$41*(AK92/2)^2/(BL92*0.0001*31536000))</f>
        <v>0</v>
      </c>
      <c r="BN92" s="57" t="n">
        <f aca="false">MAX(0,MIN(AJ92,Input!$AA$20)-AI92)</f>
        <v>0</v>
      </c>
      <c r="BO92" s="57" t="n">
        <f aca="false">MAX(0,MIN(AJ92,Input!$AA$20)-MAX(AI92,$AA$23))</f>
        <v>0</v>
      </c>
      <c r="BP92" s="57" t="n">
        <f aca="false">BG92+BK92</f>
        <v>3.69989820187675</v>
      </c>
      <c r="BQ92" s="57"/>
    </row>
    <row r="93" customFormat="false" ht="14.25" hidden="false" customHeight="false" outlineLevel="0" collapsed="false">
      <c r="B93" s="7"/>
      <c r="C93" s="46" t="n">
        <v>11</v>
      </c>
      <c r="D93" s="46"/>
      <c r="E93" s="44" t="n">
        <f aca="false">AI93</f>
        <v>15</v>
      </c>
      <c r="F93" s="44"/>
      <c r="G93" s="44"/>
      <c r="H93" s="44" t="n">
        <f aca="false">AJ93</f>
        <v>16.5</v>
      </c>
      <c r="I93" s="44"/>
      <c r="J93" s="44"/>
      <c r="K93" s="41" t="str">
        <f aca="false">AM93</f>
        <v>Sand</v>
      </c>
      <c r="L93" s="41"/>
      <c r="M93" s="41"/>
      <c r="N93" s="46" t="n">
        <f aca="false">AN93</f>
        <v>39</v>
      </c>
      <c r="O93" s="46"/>
      <c r="P93" s="46"/>
      <c r="Q93" s="42" t="n">
        <f aca="false">AO93</f>
        <v>19</v>
      </c>
      <c r="R93" s="42"/>
      <c r="S93" s="42"/>
      <c r="T93" s="46" t="str">
        <f aca="false">IF(AR93="","-",AR93)</f>
        <v>-</v>
      </c>
      <c r="U93" s="46"/>
      <c r="V93" s="46" t="str">
        <f aca="false">IF(AT93="","-",AT93)</f>
        <v>-</v>
      </c>
      <c r="W93" s="46"/>
      <c r="X93" s="44" t="n">
        <f aca="false">AU93</f>
        <v>0.458</v>
      </c>
      <c r="Y93" s="44"/>
      <c r="Z93" s="55" t="n">
        <f aca="false">AV93</f>
        <v>0</v>
      </c>
      <c r="AA93" s="55"/>
      <c r="AB93" s="55"/>
      <c r="AC93" s="42" t="n">
        <f aca="false">AW93</f>
        <v>38.80775934874</v>
      </c>
      <c r="AD93" s="42"/>
      <c r="AE93" s="42"/>
      <c r="AF93" s="12"/>
      <c r="AI93" s="56" t="n">
        <v>15</v>
      </c>
      <c r="AJ93" s="56" t="n">
        <v>16.5</v>
      </c>
      <c r="AK93" s="57" t="n">
        <f aca="false">AJ93-AI93</f>
        <v>1.5</v>
      </c>
      <c r="AL93" s="57" t="n">
        <f aca="false">(AI93+AJ93)/2</f>
        <v>15.75</v>
      </c>
      <c r="AM93" s="56" t="s">
        <v>199</v>
      </c>
      <c r="AN93" s="56" t="n">
        <v>39</v>
      </c>
      <c r="AO93" s="58" t="n">
        <f aca="false">IF(AL93&gt;$AA$20,$AA$22,$AA$21)</f>
        <v>19</v>
      </c>
      <c r="AP93" s="57" t="n">
        <f aca="false">AP92+AO93*AK93</f>
        <v>294.75</v>
      </c>
      <c r="AQ93" s="57" t="n">
        <f aca="false">AP93-AO93*AK93/2-10*MAX(AL93-$AA$20,0)</f>
        <v>203</v>
      </c>
      <c r="AR93" s="56"/>
      <c r="AS93" s="56"/>
      <c r="AT93" s="57" t="str">
        <f aca="false">IF(AR93="","",AR93-AS93)</f>
        <v/>
      </c>
      <c r="AU93" s="56" t="n">
        <v>0.458</v>
      </c>
      <c r="AV93" s="57" t="n">
        <f aca="false">IF(AM93="Sand",0,Input!$AA$34*AN93)</f>
        <v>0</v>
      </c>
      <c r="AW93" s="57" t="n">
        <f aca="false">IF(AM93="Sand",27.1+0.3*MIN(Input!$AA$35*AN93,60)-0.00054*MIN(Input!$AA$35*AN93,60)^2,MIN(MAX(DEGREES(ASIN(0.8-0.094*LN(MAX(IF(AT93="",10,AT93),5)))),20),30))</f>
        <v>38.80775934874</v>
      </c>
      <c r="AX93" s="57" t="n">
        <f aca="false">IF(AM93="Sand",Input!$AA$36*Input!$AA$35*AN93,Input!$AA$37*AV93)</f>
        <v>42237</v>
      </c>
      <c r="AY93" s="59" t="n">
        <f aca="false">IF(AM93="Sand",Input!$AA$38,0.5)</f>
        <v>0.3</v>
      </c>
      <c r="AZ93" s="57" t="n">
        <f aca="false">Input!$AA$15/2/AL93</f>
        <v>2.34920634920635</v>
      </c>
      <c r="BA93" s="57" t="n">
        <f aca="false">Input!$AA$16/2/AL93</f>
        <v>6.41269841269841</v>
      </c>
      <c r="BB93" s="57" t="n">
        <f aca="false">1/(4*PI())*(2*AZ93*BA93*SQRT(AZ93^2+BA93^2+1)/(AZ93^2+BA93^2+1+AZ93^2*BA93^2)*(AZ93^2+BA93^2+2)/(AZ93^2+BA93^2+1)+ATAN2(AZ93^2+BA93^2+1-AZ93^2*BA93^2,2*AZ93*BA93*SQRT(AZ93^2+BA93^2+1)))</f>
        <v>0.243156029012353</v>
      </c>
      <c r="BC93" s="57" t="n">
        <f aca="false">4*Input!$AA$14*BB93</f>
        <v>132.27687978272</v>
      </c>
      <c r="BD93" s="57" t="n">
        <f aca="false">((Input!$AA$16/Input!$AA$15)*LN((1+SQRT((Input!$AA$16/Input!$AA$15)^2+1))*SQRT((Input!$AA$16/Input!$AA$15)^2+(AJ93/(Input!$AA$15/2))^2)/((Input!$AA$16/Input!$AA$15)*(1+SQRT((Input!$AA$16/Input!$AA$15)^2+(AJ93/(Input!$AA$15/2))^2+1))))+LN(((Input!$AA$16/Input!$AA$15)+SQRT((Input!$AA$16/Input!$AA$15)^2+1))*SQRT(1+(AJ93/(Input!$AA$15/2))^2)/((Input!$AA$16/Input!$AA$15)+SQRT((Input!$AA$16/Input!$AA$15)^2+(AJ93/(Input!$AA$15/2))^2+1))))/PI()</f>
        <v>0.0308660275726865</v>
      </c>
      <c r="BE93" s="57" t="n">
        <f aca="false">(AJ93/(Input!$AA$15/2))/(2*PI())*ATAN((Input!$AA$16/Input!$AA$15)/((AJ93/(Input!$AA$15/2))*SQRT((Input!$AA$16/Input!$AA$15)^2+(AJ93/(Input!$AA$15/2))^2+1)))</f>
        <v>0.0796961274153755</v>
      </c>
      <c r="BF93" s="57" t="n">
        <f aca="false">MAX(0,AJ93-MAX(AI93,$AA$23))/AK93*IF(BC93&gt;=Input!$AA$21*AQ93,1,0)</f>
        <v>1</v>
      </c>
      <c r="BG93" s="57" t="n">
        <f aca="false">4*Input!$AA$14*(Input!$AA$15/2)*(1-AY93^2)/AX93*((BD93-BD92)+(1-2*AY93)/(1-AY93)*(BE93-BE92))*1000*BF93</f>
        <v>3.36971402996089</v>
      </c>
      <c r="BH93" s="57" t="n">
        <f aca="false">IF(AM93="Sand",0,0.009*(AR93-10))</f>
        <v>0</v>
      </c>
      <c r="BI93" s="57" t="n">
        <f aca="false">BH93*Input!$AA$39</f>
        <v>0</v>
      </c>
      <c r="BJ93" s="57" t="n">
        <f aca="false">IF(AM93="Sand",0,MAX(AV93/Input!$AA$40,AQ93))</f>
        <v>0</v>
      </c>
      <c r="BK93" s="57" t="n">
        <f aca="false">IF(AM93="Sand",0,1000*AK93/(1+AU93)*IF(AQ93+BC93&lt;=BJ93,BI93*LOG10((AQ93+BC93)/AQ93),BI93*LOG10(BJ93/AQ93)+BH93*LOG10((AQ93+BC93)/BJ93)))*BF93</f>
        <v>0</v>
      </c>
      <c r="BL93" s="57" t="n">
        <f aca="false">IF(AM93="Sand",0,10^(INDEX(Input!$Q$51:$Q$57,MIN(MATCH(MIN(MAX(AR93,30),120),Input!$C$51:$C$57,1),6))+(MIN(MAX(AR93,30),120)-INDEX(Input!$C$51:$C$57,MIN(MATCH(MIN(MAX(AR93,30),120),Input!$C$51:$C$57,1),6)))/(INDEX(Input!$C$51:$C$57,MIN(MATCH(MIN(MAX(AR93,30),120),Input!$C$51:$C$57,1),6)+1)-INDEX(Input!$C$51:$C$57,MIN(MATCH(MIN(MAX(AR93,30),120),Input!$C$51:$C$57,1),6)))*(INDEX(Input!$Q$51:$Q$57,MIN(MATCH(MIN(MAX(AR93,30),120),Input!$C$51:$C$57,1),6)+1)-INDEX(Input!$Q$51:$Q$57,MIN(MATCH(MIN(MAX(AR93,30),120),Input!$C$51:$C$57,1),6)))))</f>
        <v>0</v>
      </c>
      <c r="BM93" s="57" t="n">
        <f aca="false">IF(OR(AM93="Sand",BF93=0),0,Input!$AA$41*(AK93/2)^2/(BL93*0.0001*31536000))</f>
        <v>0</v>
      </c>
      <c r="BN93" s="57" t="n">
        <f aca="false">MAX(0,MIN(AJ93,Input!$AA$20)-AI93)</f>
        <v>0</v>
      </c>
      <c r="BO93" s="57" t="n">
        <f aca="false">MAX(0,MIN(AJ93,Input!$AA$20)-MAX(AI93,$AA$23))</f>
        <v>0</v>
      </c>
      <c r="BP93" s="57" t="n">
        <f aca="false">BG93+BK93</f>
        <v>3.36971402996089</v>
      </c>
      <c r="BQ93" s="57"/>
    </row>
    <row r="94" customFormat="false" ht="14.25" hidden="false" customHeight="false" outlineLevel="0" collapsed="false">
      <c r="B94" s="7"/>
      <c r="C94" s="46" t="n">
        <v>12</v>
      </c>
      <c r="D94" s="46"/>
      <c r="E94" s="44" t="n">
        <f aca="false">AI94</f>
        <v>16.5</v>
      </c>
      <c r="F94" s="44"/>
      <c r="G94" s="44"/>
      <c r="H94" s="44" t="n">
        <f aca="false">AJ94</f>
        <v>18</v>
      </c>
      <c r="I94" s="44"/>
      <c r="J94" s="44"/>
      <c r="K94" s="41" t="str">
        <f aca="false">AM94</f>
        <v>Sand</v>
      </c>
      <c r="L94" s="41"/>
      <c r="M94" s="41"/>
      <c r="N94" s="46" t="n">
        <f aca="false">AN94</f>
        <v>26</v>
      </c>
      <c r="O94" s="46"/>
      <c r="P94" s="46"/>
      <c r="Q94" s="42" t="n">
        <f aca="false">AO94</f>
        <v>19</v>
      </c>
      <c r="R94" s="42"/>
      <c r="S94" s="42"/>
      <c r="T94" s="46" t="str">
        <f aca="false">IF(AR94="","-",AR94)</f>
        <v>-</v>
      </c>
      <c r="U94" s="46"/>
      <c r="V94" s="46" t="str">
        <f aca="false">IF(AT94="","-",AT94)</f>
        <v>-</v>
      </c>
      <c r="W94" s="46"/>
      <c r="X94" s="44" t="n">
        <f aca="false">AU94</f>
        <v>0.556</v>
      </c>
      <c r="Y94" s="44"/>
      <c r="Z94" s="55" t="n">
        <f aca="false">AV94</f>
        <v>0</v>
      </c>
      <c r="AA94" s="55"/>
      <c r="AB94" s="55"/>
      <c r="AC94" s="42" t="n">
        <f aca="false">AW94</f>
        <v>35.11924859944</v>
      </c>
      <c r="AD94" s="42"/>
      <c r="AE94" s="42"/>
      <c r="AF94" s="12"/>
      <c r="AI94" s="56" t="n">
        <v>16.5</v>
      </c>
      <c r="AJ94" s="56" t="n">
        <v>18</v>
      </c>
      <c r="AK94" s="57" t="n">
        <f aca="false">AJ94-AI94</f>
        <v>1.5</v>
      </c>
      <c r="AL94" s="57" t="n">
        <f aca="false">(AI94+AJ94)/2</f>
        <v>17.25</v>
      </c>
      <c r="AM94" s="56" t="s">
        <v>199</v>
      </c>
      <c r="AN94" s="56" t="n">
        <v>26</v>
      </c>
      <c r="AO94" s="58" t="n">
        <f aca="false">IF(AL94&gt;$AA$20,$AA$22,$AA$21)</f>
        <v>19</v>
      </c>
      <c r="AP94" s="57" t="n">
        <f aca="false">AP93+AO94*AK94</f>
        <v>323.25</v>
      </c>
      <c r="AQ94" s="57" t="n">
        <f aca="false">AP94-AO94*AK94/2-10*MAX(AL94-$AA$20,0)</f>
        <v>216.5</v>
      </c>
      <c r="AR94" s="56"/>
      <c r="AS94" s="56"/>
      <c r="AT94" s="57" t="str">
        <f aca="false">IF(AR94="","",AR94-AS94)</f>
        <v/>
      </c>
      <c r="AU94" s="56" t="n">
        <v>0.556</v>
      </c>
      <c r="AV94" s="57" t="n">
        <f aca="false">IF(AM94="Sand",0,Input!$AA$34*AN94)</f>
        <v>0</v>
      </c>
      <c r="AW94" s="57" t="n">
        <f aca="false">IF(AM94="Sand",27.1+0.3*MIN(Input!$AA$35*AN94,60)-0.00054*MIN(Input!$AA$35*AN94,60)^2,MIN(MAX(DEGREES(ASIN(0.8-0.094*LN(MAX(IF(AT94="",10,AT94),5)))),20),30))</f>
        <v>35.11924859944</v>
      </c>
      <c r="AX94" s="57" t="n">
        <f aca="false">IF(AM94="Sand",Input!$AA$36*Input!$AA$35*AN94,Input!$AA$37*AV94)</f>
        <v>28158</v>
      </c>
      <c r="AY94" s="59" t="n">
        <f aca="false">IF(AM94="Sand",Input!$AA$38,0.5)</f>
        <v>0.3</v>
      </c>
      <c r="AZ94" s="57" t="n">
        <f aca="false">Input!$AA$15/2/AL94</f>
        <v>2.14492753623188</v>
      </c>
      <c r="BA94" s="57" t="n">
        <f aca="false">Input!$AA$16/2/AL94</f>
        <v>5.85507246376812</v>
      </c>
      <c r="BB94" s="57" t="n">
        <f aca="false">1/(4*PI())*(2*AZ94*BA94*SQRT(AZ94^2+BA94^2+1)/(AZ94^2+BA94^2+1+AZ94^2*BA94^2)*(AZ94^2+BA94^2+2)/(AZ94^2+BA94^2+1)+ATAN2(AZ94^2+BA94^2+1-AZ94^2*BA94^2,2*AZ94*BA94*SQRT(AZ94^2+BA94^2+1)))</f>
        <v>0.2413257195439</v>
      </c>
      <c r="BC94" s="57" t="n">
        <f aca="false">4*Input!$AA$14*BB94</f>
        <v>131.281191431882</v>
      </c>
      <c r="BD94" s="57" t="n">
        <f aca="false">((Input!$AA$16/Input!$AA$15)*LN((1+SQRT((Input!$AA$16/Input!$AA$15)^2+1))*SQRT((Input!$AA$16/Input!$AA$15)^2+(AJ94/(Input!$AA$15/2))^2)/((Input!$AA$16/Input!$AA$15)*(1+SQRT((Input!$AA$16/Input!$AA$15)^2+(AJ94/(Input!$AA$15/2))^2+1))))+LN(((Input!$AA$16/Input!$AA$15)+SQRT((Input!$AA$16/Input!$AA$15)^2+1))*SQRT(1+(AJ94/(Input!$AA$15/2))^2)/((Input!$AA$16/Input!$AA$15)+SQRT((Input!$AA$16/Input!$AA$15)^2+(AJ94/(Input!$AA$15/2))^2+1))))/PI()</f>
        <v>0.0361740031105239</v>
      </c>
      <c r="BE94" s="57" t="n">
        <f aca="false">(AJ94/(Input!$AA$15/2))/(2*PI())*ATAN((Input!$AA$16/Input!$AA$15)/((AJ94/(Input!$AA$15/2))*SQRT((Input!$AA$16/Input!$AA$15)^2+(AJ94/(Input!$AA$15/2))^2+1)))</f>
        <v>0.0841712562846844</v>
      </c>
      <c r="BF94" s="57" t="n">
        <f aca="false">MAX(0,AJ94-MAX(AI94,$AA$23))/AK94*IF(BC94&gt;=Input!$AA$21*AQ94,1,0)</f>
        <v>1</v>
      </c>
      <c r="BG94" s="57" t="n">
        <f aca="false">4*Input!$AA$14*(Input!$AA$15/2)*(1-AY94^2)/AX94*((BD94-BD93)+(1-2*AY94)/(1-AY94)*(BE94-BE93))*1000*BF94</f>
        <v>5.11622390076147</v>
      </c>
      <c r="BH94" s="57" t="n">
        <f aca="false">IF(AM94="Sand",0,0.009*(AR94-10))</f>
        <v>0</v>
      </c>
      <c r="BI94" s="57" t="n">
        <f aca="false">BH94*Input!$AA$39</f>
        <v>0</v>
      </c>
      <c r="BJ94" s="57" t="n">
        <f aca="false">IF(AM94="Sand",0,MAX(AV94/Input!$AA$40,AQ94))</f>
        <v>0</v>
      </c>
      <c r="BK94" s="57" t="n">
        <f aca="false">IF(AM94="Sand",0,1000*AK94/(1+AU94)*IF(AQ94+BC94&lt;=BJ94,BI94*LOG10((AQ94+BC94)/AQ94),BI94*LOG10(BJ94/AQ94)+BH94*LOG10((AQ94+BC94)/BJ94)))*BF94</f>
        <v>0</v>
      </c>
      <c r="BL94" s="57" t="n">
        <f aca="false">IF(AM94="Sand",0,10^(INDEX(Input!$Q$51:$Q$57,MIN(MATCH(MIN(MAX(AR94,30),120),Input!$C$51:$C$57,1),6))+(MIN(MAX(AR94,30),120)-INDEX(Input!$C$51:$C$57,MIN(MATCH(MIN(MAX(AR94,30),120),Input!$C$51:$C$57,1),6)))/(INDEX(Input!$C$51:$C$57,MIN(MATCH(MIN(MAX(AR94,30),120),Input!$C$51:$C$57,1),6)+1)-INDEX(Input!$C$51:$C$57,MIN(MATCH(MIN(MAX(AR94,30),120),Input!$C$51:$C$57,1),6)))*(INDEX(Input!$Q$51:$Q$57,MIN(MATCH(MIN(MAX(AR94,30),120),Input!$C$51:$C$57,1),6)+1)-INDEX(Input!$Q$51:$Q$57,MIN(MATCH(MIN(MAX(AR94,30),120),Input!$C$51:$C$57,1),6)))))</f>
        <v>0</v>
      </c>
      <c r="BM94" s="57" t="n">
        <f aca="false">IF(OR(AM94="Sand",BF94=0),0,Input!$AA$41*(AK94/2)^2/(BL94*0.0001*31536000))</f>
        <v>0</v>
      </c>
      <c r="BN94" s="57" t="n">
        <f aca="false">MAX(0,MIN(AJ94,Input!$AA$20)-AI94)</f>
        <v>0</v>
      </c>
      <c r="BO94" s="57" t="n">
        <f aca="false">MAX(0,MIN(AJ94,Input!$AA$20)-MAX(AI94,$AA$23))</f>
        <v>0</v>
      </c>
      <c r="BP94" s="57" t="n">
        <f aca="false">BG94+BK94</f>
        <v>5.11622390076147</v>
      </c>
      <c r="BQ94" s="57"/>
    </row>
    <row r="95" customFormat="false" ht="14.25" hidden="false" customHeight="false" outlineLevel="0" collapsed="false">
      <c r="B95" s="7"/>
      <c r="C95" s="46" t="n">
        <v>13</v>
      </c>
      <c r="D95" s="46"/>
      <c r="E95" s="44" t="n">
        <f aca="false">AI95</f>
        <v>18</v>
      </c>
      <c r="F95" s="44"/>
      <c r="G95" s="44"/>
      <c r="H95" s="44" t="n">
        <f aca="false">AJ95</f>
        <v>19.5</v>
      </c>
      <c r="I95" s="44"/>
      <c r="J95" s="44"/>
      <c r="K95" s="41" t="str">
        <f aca="false">AM95</f>
        <v>Sand</v>
      </c>
      <c r="L95" s="41"/>
      <c r="M95" s="41"/>
      <c r="N95" s="46" t="n">
        <f aca="false">AN95</f>
        <v>22</v>
      </c>
      <c r="O95" s="46"/>
      <c r="P95" s="46"/>
      <c r="Q95" s="42" t="n">
        <f aca="false">AO95</f>
        <v>19</v>
      </c>
      <c r="R95" s="42"/>
      <c r="S95" s="42"/>
      <c r="T95" s="46" t="str">
        <f aca="false">IF(AR95="","-",AR95)</f>
        <v>-</v>
      </c>
      <c r="U95" s="46"/>
      <c r="V95" s="46" t="str">
        <f aca="false">IF(AT95="","-",AT95)</f>
        <v>-</v>
      </c>
      <c r="W95" s="46"/>
      <c r="X95" s="44" t="n">
        <f aca="false">AU95</f>
        <v>0.351</v>
      </c>
      <c r="Y95" s="44"/>
      <c r="Z95" s="55" t="n">
        <f aca="false">AV95</f>
        <v>0</v>
      </c>
      <c r="AA95" s="55"/>
      <c r="AB95" s="55"/>
      <c r="AC95" s="42" t="n">
        <f aca="false">AW95</f>
        <v>33.94125373096</v>
      </c>
      <c r="AD95" s="42"/>
      <c r="AE95" s="42"/>
      <c r="AF95" s="12"/>
      <c r="AI95" s="56" t="n">
        <v>18</v>
      </c>
      <c r="AJ95" s="56" t="n">
        <v>19.5</v>
      </c>
      <c r="AK95" s="57" t="n">
        <f aca="false">AJ95-AI95</f>
        <v>1.5</v>
      </c>
      <c r="AL95" s="57" t="n">
        <f aca="false">(AI95+AJ95)/2</f>
        <v>18.75</v>
      </c>
      <c r="AM95" s="56" t="s">
        <v>199</v>
      </c>
      <c r="AN95" s="56" t="n">
        <v>22</v>
      </c>
      <c r="AO95" s="58" t="n">
        <f aca="false">IF(AL95&gt;$AA$20,$AA$22,$AA$21)</f>
        <v>19</v>
      </c>
      <c r="AP95" s="57" t="n">
        <f aca="false">AP94+AO95*AK95</f>
        <v>351.75</v>
      </c>
      <c r="AQ95" s="57" t="n">
        <f aca="false">AP95-AO95*AK95/2-10*MAX(AL95-$AA$20,0)</f>
        <v>230</v>
      </c>
      <c r="AR95" s="56"/>
      <c r="AS95" s="56"/>
      <c r="AT95" s="57" t="str">
        <f aca="false">IF(AR95="","",AR95-AS95)</f>
        <v/>
      </c>
      <c r="AU95" s="56" t="n">
        <v>0.351</v>
      </c>
      <c r="AV95" s="57" t="n">
        <f aca="false">IF(AM95="Sand",0,Input!$AA$34*AN95)</f>
        <v>0</v>
      </c>
      <c r="AW95" s="57" t="n">
        <f aca="false">IF(AM95="Sand",27.1+0.3*MIN(Input!$AA$35*AN95,60)-0.00054*MIN(Input!$AA$35*AN95,60)^2,MIN(MAX(DEGREES(ASIN(0.8-0.094*LN(MAX(IF(AT95="",10,AT95),5)))),20),30))</f>
        <v>33.94125373096</v>
      </c>
      <c r="AX95" s="57" t="n">
        <f aca="false">IF(AM95="Sand",Input!$AA$36*Input!$AA$35*AN95,Input!$AA$37*AV95)</f>
        <v>23826</v>
      </c>
      <c r="AY95" s="59" t="n">
        <f aca="false">IF(AM95="Sand",Input!$AA$38,0.5)</f>
        <v>0.3</v>
      </c>
      <c r="AZ95" s="57" t="n">
        <f aca="false">Input!$AA$15/2/AL95</f>
        <v>1.97333333333333</v>
      </c>
      <c r="BA95" s="57" t="n">
        <f aca="false">Input!$AA$16/2/AL95</f>
        <v>5.38666666666667</v>
      </c>
      <c r="BB95" s="57" t="n">
        <f aca="false">1/(4*PI())*(2*AZ95*BA95*SQRT(AZ95^2+BA95^2+1)/(AZ95^2+BA95^2+1+AZ95^2*BA95^2)*(AZ95^2+BA95^2+2)/(AZ95^2+BA95^2+1)+ATAN2(AZ95^2+BA95^2+1-AZ95^2*BA95^2,2*AZ95*BA95*SQRT(AZ95^2+BA95^2+1)))</f>
        <v>0.239276198425064</v>
      </c>
      <c r="BC95" s="57" t="n">
        <f aca="false">4*Input!$AA$14*BB95</f>
        <v>130.166251943235</v>
      </c>
      <c r="BD95" s="57" t="n">
        <f aca="false">((Input!$AA$16/Input!$AA$15)*LN((1+SQRT((Input!$AA$16/Input!$AA$15)^2+1))*SQRT((Input!$AA$16/Input!$AA$15)^2+(AJ95/(Input!$AA$15/2))^2)/((Input!$AA$16/Input!$AA$15)*(1+SQRT((Input!$AA$16/Input!$AA$15)^2+(AJ95/(Input!$AA$15/2))^2+1))))+LN(((Input!$AA$16/Input!$AA$15)+SQRT((Input!$AA$16/Input!$AA$15)^2+1))*SQRT(1+(AJ95/(Input!$AA$15/2))^2)/((Input!$AA$16/Input!$AA$15)+SQRT((Input!$AA$16/Input!$AA$15)^2+(AJ95/(Input!$AA$15/2))^2+1))))/PI()</f>
        <v>0.0417706101655238</v>
      </c>
      <c r="BE95" s="57" t="n">
        <f aca="false">(AJ95/(Input!$AA$15/2))/(2*PI())*ATAN((Input!$AA$16/Input!$AA$15)/((AJ95/(Input!$AA$15/2))*SQRT((Input!$AA$16/Input!$AA$15)^2+(AJ95/(Input!$AA$15/2))^2+1)))</f>
        <v>0.0882746863320375</v>
      </c>
      <c r="BF95" s="57" t="n">
        <f aca="false">MAX(0,AJ95-MAX(AI95,$AA$23))/AK95*IF(BC95&gt;=Input!$AA$21*AQ95,1,0)</f>
        <v>1</v>
      </c>
      <c r="BG95" s="57" t="n">
        <f aca="false">4*Input!$AA$14*(Input!$AA$15/2)*(1-AY95^2)/AX95*((BD95-BD94)+(1-2*AY95)/(1-AY95)*(BE95-BE94))*1000*BF95</f>
        <v>6.10505070037734</v>
      </c>
      <c r="BH95" s="57" t="n">
        <f aca="false">IF(AM95="Sand",0,0.009*(AR95-10))</f>
        <v>0</v>
      </c>
      <c r="BI95" s="57" t="n">
        <f aca="false">BH95*Input!$AA$39</f>
        <v>0</v>
      </c>
      <c r="BJ95" s="57" t="n">
        <f aca="false">IF(AM95="Sand",0,MAX(AV95/Input!$AA$40,AQ95))</f>
        <v>0</v>
      </c>
      <c r="BK95" s="57" t="n">
        <f aca="false">IF(AM95="Sand",0,1000*AK95/(1+AU95)*IF(AQ95+BC95&lt;=BJ95,BI95*LOG10((AQ95+BC95)/AQ95),BI95*LOG10(BJ95/AQ95)+BH95*LOG10((AQ95+BC95)/BJ95)))*BF95</f>
        <v>0</v>
      </c>
      <c r="BL95" s="57" t="n">
        <f aca="false">IF(AM95="Sand",0,10^(INDEX(Input!$Q$51:$Q$57,MIN(MATCH(MIN(MAX(AR95,30),120),Input!$C$51:$C$57,1),6))+(MIN(MAX(AR95,30),120)-INDEX(Input!$C$51:$C$57,MIN(MATCH(MIN(MAX(AR95,30),120),Input!$C$51:$C$57,1),6)))/(INDEX(Input!$C$51:$C$57,MIN(MATCH(MIN(MAX(AR95,30),120),Input!$C$51:$C$57,1),6)+1)-INDEX(Input!$C$51:$C$57,MIN(MATCH(MIN(MAX(AR95,30),120),Input!$C$51:$C$57,1),6)))*(INDEX(Input!$Q$51:$Q$57,MIN(MATCH(MIN(MAX(AR95,30),120),Input!$C$51:$C$57,1),6)+1)-INDEX(Input!$Q$51:$Q$57,MIN(MATCH(MIN(MAX(AR95,30),120),Input!$C$51:$C$57,1),6)))))</f>
        <v>0</v>
      </c>
      <c r="BM95" s="57" t="n">
        <f aca="false">IF(OR(AM95="Sand",BF95=0),0,Input!$AA$41*(AK95/2)^2/(BL95*0.0001*31536000))</f>
        <v>0</v>
      </c>
      <c r="BN95" s="57" t="n">
        <f aca="false">MAX(0,MIN(AJ95,Input!$AA$20)-AI95)</f>
        <v>0</v>
      </c>
      <c r="BO95" s="57" t="n">
        <f aca="false">MAX(0,MIN(AJ95,Input!$AA$20)-MAX(AI95,$AA$23))</f>
        <v>0</v>
      </c>
      <c r="BP95" s="57" t="n">
        <f aca="false">BG95+BK95</f>
        <v>6.10505070037734</v>
      </c>
      <c r="BQ95" s="57"/>
    </row>
    <row r="96" customFormat="false" ht="14.25" hidden="false" customHeight="false" outlineLevel="0" collapsed="false">
      <c r="B96" s="7"/>
      <c r="C96" s="46" t="n">
        <v>14</v>
      </c>
      <c r="D96" s="46"/>
      <c r="E96" s="44" t="n">
        <f aca="false">AI96</f>
        <v>19.5</v>
      </c>
      <c r="F96" s="44"/>
      <c r="G96" s="44"/>
      <c r="H96" s="44" t="n">
        <f aca="false">AJ96</f>
        <v>21</v>
      </c>
      <c r="I96" s="44"/>
      <c r="J96" s="44"/>
      <c r="K96" s="41" t="str">
        <f aca="false">AM96</f>
        <v>Sand</v>
      </c>
      <c r="L96" s="41"/>
      <c r="M96" s="41"/>
      <c r="N96" s="46" t="n">
        <f aca="false">AN96</f>
        <v>24</v>
      </c>
      <c r="O96" s="46"/>
      <c r="P96" s="46"/>
      <c r="Q96" s="42" t="n">
        <f aca="false">AO96</f>
        <v>19</v>
      </c>
      <c r="R96" s="42"/>
      <c r="S96" s="42"/>
      <c r="T96" s="46" t="str">
        <f aca="false">IF(AR96="","-",AR96)</f>
        <v>-</v>
      </c>
      <c r="U96" s="46"/>
      <c r="V96" s="46" t="str">
        <f aca="false">IF(AT96="","-",AT96)</f>
        <v>-</v>
      </c>
      <c r="W96" s="46"/>
      <c r="X96" s="44" t="n">
        <f aca="false">AU96</f>
        <v>0.786</v>
      </c>
      <c r="Y96" s="44"/>
      <c r="Z96" s="55" t="n">
        <f aca="false">AV96</f>
        <v>0</v>
      </c>
      <c r="AA96" s="55"/>
      <c r="AB96" s="55"/>
      <c r="AC96" s="42" t="n">
        <f aca="false">AW96</f>
        <v>34.53278460544</v>
      </c>
      <c r="AD96" s="42"/>
      <c r="AE96" s="42"/>
      <c r="AF96" s="12"/>
      <c r="AI96" s="56" t="n">
        <v>19.5</v>
      </c>
      <c r="AJ96" s="56" t="n">
        <v>21</v>
      </c>
      <c r="AK96" s="57" t="n">
        <f aca="false">AJ96-AI96</f>
        <v>1.5</v>
      </c>
      <c r="AL96" s="57" t="n">
        <f aca="false">(AI96+AJ96)/2</f>
        <v>20.25</v>
      </c>
      <c r="AM96" s="56" t="s">
        <v>199</v>
      </c>
      <c r="AN96" s="56" t="n">
        <v>24</v>
      </c>
      <c r="AO96" s="58" t="n">
        <f aca="false">IF(AL96&gt;$AA$20,$AA$22,$AA$21)</f>
        <v>19</v>
      </c>
      <c r="AP96" s="57" t="n">
        <f aca="false">AP95+AO96*AK96</f>
        <v>380.25</v>
      </c>
      <c r="AQ96" s="57" t="n">
        <f aca="false">AP96-AO96*AK96/2-10*MAX(AL96-$AA$20,0)</f>
        <v>243.5</v>
      </c>
      <c r="AR96" s="56"/>
      <c r="AS96" s="56"/>
      <c r="AT96" s="57" t="str">
        <f aca="false">IF(AR96="","",AR96-AS96)</f>
        <v/>
      </c>
      <c r="AU96" s="56" t="n">
        <v>0.786</v>
      </c>
      <c r="AV96" s="57" t="n">
        <f aca="false">IF(AM96="Sand",0,Input!$AA$34*AN96)</f>
        <v>0</v>
      </c>
      <c r="AW96" s="57" t="n">
        <f aca="false">IF(AM96="Sand",27.1+0.3*MIN(Input!$AA$35*AN96,60)-0.00054*MIN(Input!$AA$35*AN96,60)^2,MIN(MAX(DEGREES(ASIN(0.8-0.094*LN(MAX(IF(AT96="",10,AT96),5)))),20),30))</f>
        <v>34.53278460544</v>
      </c>
      <c r="AX96" s="57" t="n">
        <f aca="false">IF(AM96="Sand",Input!$AA$36*Input!$AA$35*AN96,Input!$AA$37*AV96)</f>
        <v>25992</v>
      </c>
      <c r="AY96" s="59" t="n">
        <f aca="false">IF(AM96="Sand",Input!$AA$38,0.5)</f>
        <v>0.3</v>
      </c>
      <c r="AZ96" s="57" t="n">
        <f aca="false">Input!$AA$15/2/AL96</f>
        <v>1.82716049382716</v>
      </c>
      <c r="BA96" s="57" t="n">
        <f aca="false">Input!$AA$16/2/AL96</f>
        <v>4.98765432098765</v>
      </c>
      <c r="BB96" s="57" t="n">
        <f aca="false">1/(4*PI())*(2*AZ96*BA96*SQRT(AZ96^2+BA96^2+1)/(AZ96^2+BA96^2+1+AZ96^2*BA96^2)*(AZ96^2+BA96^2+2)/(AZ96^2+BA96^2+1)+ATAN2(AZ96^2+BA96^2+1-AZ96^2*BA96^2,2*AZ96*BA96*SQRT(AZ96^2+BA96^2+1)))</f>
        <v>0.237020068220603</v>
      </c>
      <c r="BC96" s="57" t="n">
        <f aca="false">4*Input!$AA$14*BB96</f>
        <v>128.938917112008</v>
      </c>
      <c r="BD96" s="57" t="n">
        <f aca="false">((Input!$AA$16/Input!$AA$15)*LN((1+SQRT((Input!$AA$16/Input!$AA$15)^2+1))*SQRT((Input!$AA$16/Input!$AA$15)^2+(AJ96/(Input!$AA$15/2))^2)/((Input!$AA$16/Input!$AA$15)*(1+SQRT((Input!$AA$16/Input!$AA$15)^2+(AJ96/(Input!$AA$15/2))^2+1))))+LN(((Input!$AA$16/Input!$AA$15)+SQRT((Input!$AA$16/Input!$AA$15)^2+1))*SQRT(1+(AJ96/(Input!$AA$15/2))^2)/((Input!$AA$16/Input!$AA$15)+SQRT((Input!$AA$16/Input!$AA$15)^2+(AJ96/(Input!$AA$15/2))^2+1))))/PI()</f>
        <v>0.0476251420550853</v>
      </c>
      <c r="BE96" s="57" t="n">
        <f aca="false">(AJ96/(Input!$AA$15/2))/(2*PI())*ATAN((Input!$AA$16/Input!$AA$15)/((AJ96/(Input!$AA$15/2))*SQRT((Input!$AA$16/Input!$AA$15)^2+(AJ96/(Input!$AA$15/2))^2+1)))</f>
        <v>0.0920287526961581</v>
      </c>
      <c r="BF96" s="57" t="n">
        <f aca="false">MAX(0,AJ96-MAX(AI96,$AA$23))/AK96*IF(BC96&gt;=Input!$AA$21*AQ96,1,0)</f>
        <v>1</v>
      </c>
      <c r="BG96" s="57" t="n">
        <f aca="false">4*Input!$AA$14*(Input!$AA$15/2)*(1-AY96^2)/AX96*((BD96-BD95)+(1-2*AY96)/(1-AY96)*(BE96-BE95))*1000*BF96</f>
        <v>5.63737215714696</v>
      </c>
      <c r="BH96" s="57" t="n">
        <f aca="false">IF(AM96="Sand",0,0.009*(AR96-10))</f>
        <v>0</v>
      </c>
      <c r="BI96" s="57" t="n">
        <f aca="false">BH96*Input!$AA$39</f>
        <v>0</v>
      </c>
      <c r="BJ96" s="57" t="n">
        <f aca="false">IF(AM96="Sand",0,MAX(AV96/Input!$AA$40,AQ96))</f>
        <v>0</v>
      </c>
      <c r="BK96" s="57" t="n">
        <f aca="false">IF(AM96="Sand",0,1000*AK96/(1+AU96)*IF(AQ96+BC96&lt;=BJ96,BI96*LOG10((AQ96+BC96)/AQ96),BI96*LOG10(BJ96/AQ96)+BH96*LOG10((AQ96+BC96)/BJ96)))*BF96</f>
        <v>0</v>
      </c>
      <c r="BL96" s="57" t="n">
        <f aca="false">IF(AM96="Sand",0,10^(INDEX(Input!$Q$51:$Q$57,MIN(MATCH(MIN(MAX(AR96,30),120),Input!$C$51:$C$57,1),6))+(MIN(MAX(AR96,30),120)-INDEX(Input!$C$51:$C$57,MIN(MATCH(MIN(MAX(AR96,30),120),Input!$C$51:$C$57,1),6)))/(INDEX(Input!$C$51:$C$57,MIN(MATCH(MIN(MAX(AR96,30),120),Input!$C$51:$C$57,1),6)+1)-INDEX(Input!$C$51:$C$57,MIN(MATCH(MIN(MAX(AR96,30),120),Input!$C$51:$C$57,1),6)))*(INDEX(Input!$Q$51:$Q$57,MIN(MATCH(MIN(MAX(AR96,30),120),Input!$C$51:$C$57,1),6)+1)-INDEX(Input!$Q$51:$Q$57,MIN(MATCH(MIN(MAX(AR96,30),120),Input!$C$51:$C$57,1),6)))))</f>
        <v>0</v>
      </c>
      <c r="BM96" s="57" t="n">
        <f aca="false">IF(OR(AM96="Sand",BF96=0),0,Input!$AA$41*(AK96/2)^2/(BL96*0.0001*31536000))</f>
        <v>0</v>
      </c>
      <c r="BN96" s="57" t="n">
        <f aca="false">MAX(0,MIN(AJ96,Input!$AA$20)-AI96)</f>
        <v>0</v>
      </c>
      <c r="BO96" s="57" t="n">
        <f aca="false">MAX(0,MIN(AJ96,Input!$AA$20)-MAX(AI96,$AA$23))</f>
        <v>0</v>
      </c>
      <c r="BP96" s="57" t="n">
        <f aca="false">BG96+BK96</f>
        <v>5.63737215714696</v>
      </c>
      <c r="BQ96" s="57"/>
    </row>
    <row r="97" customFormat="false" ht="14.25" hidden="false" customHeight="false" outlineLevel="0" collapsed="false">
      <c r="B97" s="7"/>
      <c r="C97" s="46" t="n">
        <v>15</v>
      </c>
      <c r="D97" s="46"/>
      <c r="E97" s="44" t="n">
        <f aca="false">AI97</f>
        <v>21</v>
      </c>
      <c r="F97" s="44"/>
      <c r="G97" s="44"/>
      <c r="H97" s="44" t="n">
        <f aca="false">AJ97</f>
        <v>22.5</v>
      </c>
      <c r="I97" s="44"/>
      <c r="J97" s="44"/>
      <c r="K97" s="41" t="str">
        <f aca="false">AM97</f>
        <v>Clay</v>
      </c>
      <c r="L97" s="41"/>
      <c r="M97" s="41"/>
      <c r="N97" s="46" t="n">
        <f aca="false">AN97</f>
        <v>38</v>
      </c>
      <c r="O97" s="46"/>
      <c r="P97" s="46"/>
      <c r="Q97" s="42" t="n">
        <f aca="false">AO97</f>
        <v>19</v>
      </c>
      <c r="R97" s="42"/>
      <c r="S97" s="42"/>
      <c r="T97" s="46" t="n">
        <f aca="false">IF(AR97="","-",AR97)</f>
        <v>32.8</v>
      </c>
      <c r="U97" s="46"/>
      <c r="V97" s="46" t="n">
        <f aca="false">IF(AT97="","-",AT97)</f>
        <v>12.768</v>
      </c>
      <c r="W97" s="46"/>
      <c r="X97" s="44" t="n">
        <f aca="false">AU97</f>
        <v>0.801</v>
      </c>
      <c r="Y97" s="44"/>
      <c r="Z97" s="55" t="n">
        <f aca="false">AV97</f>
        <v>190</v>
      </c>
      <c r="AA97" s="55"/>
      <c r="AB97" s="55"/>
      <c r="AC97" s="42" t="n">
        <f aca="false">AW97</f>
        <v>30</v>
      </c>
      <c r="AD97" s="42"/>
      <c r="AE97" s="42"/>
      <c r="AF97" s="12"/>
      <c r="AI97" s="56" t="n">
        <v>21</v>
      </c>
      <c r="AJ97" s="56" t="n">
        <v>22.5</v>
      </c>
      <c r="AK97" s="57" t="n">
        <f aca="false">AJ97-AI97</f>
        <v>1.5</v>
      </c>
      <c r="AL97" s="57" t="n">
        <f aca="false">(AI97+AJ97)/2</f>
        <v>21.75</v>
      </c>
      <c r="AM97" s="56" t="s">
        <v>196</v>
      </c>
      <c r="AN97" s="56" t="n">
        <v>38</v>
      </c>
      <c r="AO97" s="58" t="n">
        <f aca="false">IF(AL97&gt;$AA$20,$AA$22,$AA$21)</f>
        <v>19</v>
      </c>
      <c r="AP97" s="57" t="n">
        <f aca="false">AP96+AO97*AK97</f>
        <v>408.75</v>
      </c>
      <c r="AQ97" s="57" t="n">
        <f aca="false">AP97-AO97*AK97/2-10*MAX(AL97-$AA$20,0)</f>
        <v>257</v>
      </c>
      <c r="AR97" s="56" t="n">
        <v>32.8</v>
      </c>
      <c r="AS97" s="56" t="n">
        <v>20.032</v>
      </c>
      <c r="AT97" s="57" t="n">
        <f aca="false">IF(AR97="","",AR97-AS97)</f>
        <v>12.768</v>
      </c>
      <c r="AU97" s="56" t="n">
        <v>0.801</v>
      </c>
      <c r="AV97" s="57" t="n">
        <f aca="false">IF(AM97="Sand",0,Input!$AA$34*AN97)</f>
        <v>190</v>
      </c>
      <c r="AW97" s="57" t="n">
        <f aca="false">IF(AM97="Sand",27.1+0.3*MIN(Input!$AA$35*AN97,60)-0.00054*MIN(Input!$AA$35*AN97,60)^2,MIN(MAX(DEGREES(ASIN(0.8-0.094*LN(MAX(IF(AT97="",10,AT97),5)))),20),30))</f>
        <v>30</v>
      </c>
      <c r="AX97" s="57" t="n">
        <f aca="false">IF(AM97="Sand",Input!$AA$36*Input!$AA$35*AN97,Input!$AA$37*AV97)</f>
        <v>95000</v>
      </c>
      <c r="AY97" s="57" t="n">
        <f aca="false">IF(AM97="Sand",Input!$AA$38,0.5)</f>
        <v>0.5</v>
      </c>
      <c r="AZ97" s="57" t="n">
        <f aca="false">Input!$AA$15/2/AL97</f>
        <v>1.70114942528736</v>
      </c>
      <c r="BA97" s="57" t="n">
        <f aca="false">Input!$AA$16/2/AL97</f>
        <v>4.64367816091954</v>
      </c>
      <c r="BB97" s="57" t="n">
        <f aca="false">1/(4*PI())*(2*AZ97*BA97*SQRT(AZ97^2+BA97^2+1)/(AZ97^2+BA97^2+1+AZ97^2*BA97^2)*(AZ97^2+BA97^2+2)/(AZ97^2+BA97^2+1)+ATAN2(AZ97^2+BA97^2+1-AZ97^2*BA97^2,2*AZ97*BA97*SQRT(AZ97^2+BA97^2+1)))</f>
        <v>0.234572598682726</v>
      </c>
      <c r="BC97" s="57" t="n">
        <f aca="false">4*Input!$AA$14*BB97</f>
        <v>127.607493683403</v>
      </c>
      <c r="BD97" s="57" t="n">
        <f aca="false">((Input!$AA$16/Input!$AA$15)*LN((1+SQRT((Input!$AA$16/Input!$AA$15)^2+1))*SQRT((Input!$AA$16/Input!$AA$15)^2+(AJ97/(Input!$AA$15/2))^2)/((Input!$AA$16/Input!$AA$15)*(1+SQRT((Input!$AA$16/Input!$AA$15)^2+(AJ97/(Input!$AA$15/2))^2+1))))+LN(((Input!$AA$16/Input!$AA$15)+SQRT((Input!$AA$16/Input!$AA$15)^2+1))*SQRT(1+(AJ97/(Input!$AA$15/2))^2)/((Input!$AA$16/Input!$AA$15)+SQRT((Input!$AA$16/Input!$AA$15)^2+(AJ97/(Input!$AA$15/2))^2+1))))/PI()</f>
        <v>0.0537079639877145</v>
      </c>
      <c r="BE97" s="57" t="n">
        <f aca="false">(AJ97/(Input!$AA$15/2))/(2*PI())*ATAN((Input!$AA$16/Input!$AA$15)/((AJ97/(Input!$AA$15/2))*SQRT((Input!$AA$16/Input!$AA$15)^2+(AJ97/(Input!$AA$15/2))^2+1)))</f>
        <v>0.0954553363186186</v>
      </c>
      <c r="BF97" s="57" t="n">
        <f aca="false">MAX(0,AJ97-MAX(AI97,$AA$23))/AK97*IF(BC97&gt;=Input!$AA$21*AQ97,1,0)</f>
        <v>1</v>
      </c>
      <c r="BG97" s="57" t="n">
        <f aca="false">4*Input!$AA$14*(Input!$AA$15/2)*(1-AY97^2)/AX97*((BD97-BD96)+(1-2*AY97)/(1-AY97)*(BE97-BE96))*1000*BF97</f>
        <v>0.966592419947068</v>
      </c>
      <c r="BH97" s="57" t="n">
        <f aca="false">IF(AM97="Sand",0,0.009*(AR97-10))</f>
        <v>0.2052</v>
      </c>
      <c r="BI97" s="57" t="n">
        <f aca="false">BH97*Input!$AA$39</f>
        <v>0.04104</v>
      </c>
      <c r="BJ97" s="57" t="n">
        <f aca="false">IF(AM97="Sand",0,MAX(AV97/Input!$AA$40,AQ97))</f>
        <v>863.636363636364</v>
      </c>
      <c r="BK97" s="57" t="n">
        <f aca="false">IF(AM97="Sand",0,1000*AK97/(1+AU97)*IF(AQ97+BC97&lt;=BJ97,BI97*LOG10((AQ97+BC97)/AQ97),BI97*LOG10(BJ97/AQ97)+BH97*LOG10((AQ97+BC97)/BJ97)))*BF97</f>
        <v>5.98456918988846</v>
      </c>
      <c r="BL97" s="57" t="n">
        <f aca="false">IF(AM97="Sand",0,10^(INDEX(Input!$Q$51:$Q$57,MIN(MATCH(MIN(MAX(AR97,30),120),Input!$C$51:$C$57,1),6))+(MIN(MAX(AR97,30),120)-INDEX(Input!$C$51:$C$57,MIN(MATCH(MIN(MAX(AR97,30),120),Input!$C$51:$C$57,1),6)))/(INDEX(Input!$C$51:$C$57,MIN(MATCH(MIN(MAX(AR97,30),120),Input!$C$51:$C$57,1),6)+1)-INDEX(Input!$C$51:$C$57,MIN(MATCH(MIN(MAX(AR97,30),120),Input!$C$51:$C$57,1),6)))*(INDEX(Input!$Q$51:$Q$57,MIN(MATCH(MIN(MAX(AR97,30),120),Input!$C$51:$C$57,1),6)+1)-INDEX(Input!$Q$51:$Q$57,MIN(MATCH(MIN(MAX(AR97,30),120),Input!$C$51:$C$57,1),6)))))</f>
        <v>0.00247077305180272</v>
      </c>
      <c r="BM97" s="57" t="n">
        <f aca="false">IF(OR(AM97="Sand",BF97=0),0,Input!$AA$41*(AK97/2)^2/(BL97*0.0001*31536000))</f>
        <v>0.0612179688669496</v>
      </c>
      <c r="BN97" s="57" t="n">
        <f aca="false">MAX(0,MIN(AJ97,Input!$AA$20)-AI97)</f>
        <v>0</v>
      </c>
      <c r="BO97" s="57" t="n">
        <f aca="false">MAX(0,MIN(AJ97,Input!$AA$20)-MAX(AI97,$AA$23))</f>
        <v>0</v>
      </c>
      <c r="BP97" s="57" t="n">
        <f aca="false">BG97+BK97</f>
        <v>6.95116160983553</v>
      </c>
      <c r="BQ97" s="57" t="s">
        <v>198</v>
      </c>
    </row>
    <row r="98" customFormat="false" ht="14.25" hidden="false" customHeight="false" outlineLevel="0" collapsed="false">
      <c r="B98" s="7"/>
      <c r="C98" s="46" t="n">
        <v>16</v>
      </c>
      <c r="D98" s="46"/>
      <c r="E98" s="44" t="n">
        <f aca="false">AI98</f>
        <v>22.5</v>
      </c>
      <c r="F98" s="44"/>
      <c r="G98" s="44"/>
      <c r="H98" s="44" t="n">
        <f aca="false">AJ98</f>
        <v>24</v>
      </c>
      <c r="I98" s="44"/>
      <c r="J98" s="44"/>
      <c r="K98" s="41" t="str">
        <f aca="false">AM98</f>
        <v>Sand</v>
      </c>
      <c r="L98" s="41"/>
      <c r="M98" s="41"/>
      <c r="N98" s="46" t="n">
        <f aca="false">AN98</f>
        <v>24</v>
      </c>
      <c r="O98" s="46"/>
      <c r="P98" s="46"/>
      <c r="Q98" s="42" t="n">
        <f aca="false">AO98</f>
        <v>19</v>
      </c>
      <c r="R98" s="42"/>
      <c r="S98" s="42"/>
      <c r="T98" s="46" t="str">
        <f aca="false">IF(AR98="","-",AR98)</f>
        <v>-</v>
      </c>
      <c r="U98" s="46"/>
      <c r="V98" s="46" t="str">
        <f aca="false">IF(AT98="","-",AT98)</f>
        <v>-</v>
      </c>
      <c r="W98" s="46"/>
      <c r="X98" s="44" t="n">
        <f aca="false">AU98</f>
        <v>0.767</v>
      </c>
      <c r="Y98" s="44"/>
      <c r="Z98" s="55" t="n">
        <f aca="false">AV98</f>
        <v>0</v>
      </c>
      <c r="AA98" s="55"/>
      <c r="AB98" s="55"/>
      <c r="AC98" s="42" t="n">
        <f aca="false">AW98</f>
        <v>34.53278460544</v>
      </c>
      <c r="AD98" s="42"/>
      <c r="AE98" s="42"/>
      <c r="AF98" s="12"/>
      <c r="AI98" s="56" t="n">
        <v>22.5</v>
      </c>
      <c r="AJ98" s="56" t="n">
        <v>24</v>
      </c>
      <c r="AK98" s="57" t="n">
        <f aca="false">AJ98-AI98</f>
        <v>1.5</v>
      </c>
      <c r="AL98" s="57" t="n">
        <f aca="false">(AI98+AJ98)/2</f>
        <v>23.25</v>
      </c>
      <c r="AM98" s="56" t="s">
        <v>199</v>
      </c>
      <c r="AN98" s="56" t="n">
        <v>24</v>
      </c>
      <c r="AO98" s="58" t="n">
        <f aca="false">IF(AL98&gt;$AA$20,$AA$22,$AA$21)</f>
        <v>19</v>
      </c>
      <c r="AP98" s="57" t="n">
        <f aca="false">AP97+AO98*AK98</f>
        <v>437.25</v>
      </c>
      <c r="AQ98" s="57" t="n">
        <f aca="false">AP98-AO98*AK98/2-10*MAX(AL98-$AA$20,0)</f>
        <v>270.5</v>
      </c>
      <c r="AR98" s="56"/>
      <c r="AS98" s="56"/>
      <c r="AT98" s="57" t="str">
        <f aca="false">IF(AR98="","",AR98-AS98)</f>
        <v/>
      </c>
      <c r="AU98" s="56" t="n">
        <v>0.767</v>
      </c>
      <c r="AV98" s="57" t="n">
        <f aca="false">IF(AM98="Sand",0,Input!$AA$34*AN98)</f>
        <v>0</v>
      </c>
      <c r="AW98" s="57" t="n">
        <f aca="false">IF(AM98="Sand",27.1+0.3*MIN(Input!$AA$35*AN98,60)-0.00054*MIN(Input!$AA$35*AN98,60)^2,MIN(MAX(DEGREES(ASIN(0.8-0.094*LN(MAX(IF(AT98="",10,AT98),5)))),20),30))</f>
        <v>34.53278460544</v>
      </c>
      <c r="AX98" s="57" t="n">
        <f aca="false">IF(AM98="Sand",Input!$AA$36*Input!$AA$35*AN98,Input!$AA$37*AV98)</f>
        <v>25992</v>
      </c>
      <c r="AY98" s="59" t="n">
        <f aca="false">IF(AM98="Sand",Input!$AA$38,0.5)</f>
        <v>0.3</v>
      </c>
      <c r="AZ98" s="57" t="n">
        <f aca="false">Input!$AA$15/2/AL98</f>
        <v>1.59139784946237</v>
      </c>
      <c r="BA98" s="57" t="n">
        <f aca="false">Input!$AA$16/2/AL98</f>
        <v>4.34408602150538</v>
      </c>
      <c r="BB98" s="57" t="n">
        <f aca="false">1/(4*PI())*(2*AZ98*BA98*SQRT(AZ98^2+BA98^2+1)/(AZ98^2+BA98^2+1+AZ98^2*BA98^2)*(AZ98^2+BA98^2+2)/(AZ98^2+BA98^2+1)+ATAN2(AZ98^2+BA98^2+1-AZ98^2*BA98^2,2*AZ98*BA98*SQRT(AZ98^2+BA98^2+1)))</f>
        <v>0.231950929767946</v>
      </c>
      <c r="BC98" s="57" t="n">
        <f aca="false">4*Input!$AA$14*BB98</f>
        <v>126.181305793762</v>
      </c>
      <c r="BD98" s="57" t="n">
        <f aca="false">((Input!$AA$16/Input!$AA$15)*LN((1+SQRT((Input!$AA$16/Input!$AA$15)^2+1))*SQRT((Input!$AA$16/Input!$AA$15)^2+(AJ98/(Input!$AA$15/2))^2)/((Input!$AA$16/Input!$AA$15)*(1+SQRT((Input!$AA$16/Input!$AA$15)^2+(AJ98/(Input!$AA$15/2))^2+1))))+LN(((Input!$AA$16/Input!$AA$15)+SQRT((Input!$AA$16/Input!$AA$15)^2+1))*SQRT(1+(AJ98/(Input!$AA$15/2))^2)/((Input!$AA$16/Input!$AA$15)+SQRT((Input!$AA$16/Input!$AA$15)^2+(AJ98/(Input!$AA$15/2))^2+1))))/PI()</f>
        <v>0.0599907785392672</v>
      </c>
      <c r="BE98" s="57" t="n">
        <f aca="false">(AJ98/(Input!$AA$15/2))/(2*PI())*ATAN((Input!$AA$16/Input!$AA$15)/((AJ98/(Input!$AA$15/2))*SQRT((Input!$AA$16/Input!$AA$15)^2+(AJ98/(Input!$AA$15/2))^2+1)))</f>
        <v>0.0985756744132035</v>
      </c>
      <c r="BF98" s="57" t="n">
        <f aca="false">MAX(0,AJ98-MAX(AI98,$AA$23))/AK98*IF(BC98&gt;=Input!$AA$21*AQ98,1,0)</f>
        <v>1</v>
      </c>
      <c r="BG98" s="57" t="n">
        <f aca="false">4*Input!$AA$14*(Input!$AA$15/2)*(1-AY98^2)/AX98*((BD98-BD97)+(1-2*AY98)/(1-AY98)*(BE98-BE97))*1000*BF98</f>
        <v>5.68398941845496</v>
      </c>
      <c r="BH98" s="57" t="n">
        <f aca="false">IF(AM98="Sand",0,0.009*(AR98-10))</f>
        <v>0</v>
      </c>
      <c r="BI98" s="57" t="n">
        <f aca="false">BH98*Input!$AA$39</f>
        <v>0</v>
      </c>
      <c r="BJ98" s="57" t="n">
        <f aca="false">IF(AM98="Sand",0,MAX(AV98/Input!$AA$40,AQ98))</f>
        <v>0</v>
      </c>
      <c r="BK98" s="57" t="n">
        <f aca="false">IF(AM98="Sand",0,1000*AK98/(1+AU98)*IF(AQ98+BC98&lt;=BJ98,BI98*LOG10((AQ98+BC98)/AQ98),BI98*LOG10(BJ98/AQ98)+BH98*LOG10((AQ98+BC98)/BJ98)))*BF98</f>
        <v>0</v>
      </c>
      <c r="BL98" s="57" t="n">
        <f aca="false">IF(AM98="Sand",0,10^(INDEX(Input!$Q$51:$Q$57,MIN(MATCH(MIN(MAX(AR98,30),120),Input!$C$51:$C$57,1),6))+(MIN(MAX(AR98,30),120)-INDEX(Input!$C$51:$C$57,MIN(MATCH(MIN(MAX(AR98,30),120),Input!$C$51:$C$57,1),6)))/(INDEX(Input!$C$51:$C$57,MIN(MATCH(MIN(MAX(AR98,30),120),Input!$C$51:$C$57,1),6)+1)-INDEX(Input!$C$51:$C$57,MIN(MATCH(MIN(MAX(AR98,30),120),Input!$C$51:$C$57,1),6)))*(INDEX(Input!$Q$51:$Q$57,MIN(MATCH(MIN(MAX(AR98,30),120),Input!$C$51:$C$57,1),6)+1)-INDEX(Input!$Q$51:$Q$57,MIN(MATCH(MIN(MAX(AR98,30),120),Input!$C$51:$C$57,1),6)))))</f>
        <v>0</v>
      </c>
      <c r="BM98" s="57" t="n">
        <f aca="false">IF(OR(AM98="Sand",BF98=0),0,Input!$AA$41*(AK98/2)^2/(BL98*0.0001*31536000))</f>
        <v>0</v>
      </c>
      <c r="BN98" s="57" t="n">
        <f aca="false">MAX(0,MIN(AJ98,Input!$AA$20)-AI98)</f>
        <v>0</v>
      </c>
      <c r="BO98" s="57" t="n">
        <f aca="false">MAX(0,MIN(AJ98,Input!$AA$20)-MAX(AI98,$AA$23))</f>
        <v>0</v>
      </c>
      <c r="BP98" s="57" t="n">
        <f aca="false">BG98+BK98</f>
        <v>5.68398941845496</v>
      </c>
      <c r="BQ98" s="57" t="s">
        <v>335</v>
      </c>
    </row>
    <row r="99" customFormat="false" ht="14.25" hidden="false" customHeight="false" outlineLevel="0" collapsed="false">
      <c r="B99" s="7"/>
      <c r="C99" s="46" t="n">
        <v>17</v>
      </c>
      <c r="D99" s="46"/>
      <c r="E99" s="44" t="n">
        <f aca="false">AI99</f>
        <v>24</v>
      </c>
      <c r="F99" s="44"/>
      <c r="G99" s="44"/>
      <c r="H99" s="44" t="n">
        <f aca="false">AJ99</f>
        <v>25.5</v>
      </c>
      <c r="I99" s="44"/>
      <c r="J99" s="44"/>
      <c r="K99" s="41" t="str">
        <f aca="false">AM99</f>
        <v>Sand</v>
      </c>
      <c r="L99" s="41"/>
      <c r="M99" s="41"/>
      <c r="N99" s="46" t="n">
        <f aca="false">AN99</f>
        <v>44</v>
      </c>
      <c r="O99" s="46"/>
      <c r="P99" s="46"/>
      <c r="Q99" s="42" t="n">
        <f aca="false">AO99</f>
        <v>19</v>
      </c>
      <c r="R99" s="42"/>
      <c r="S99" s="42"/>
      <c r="T99" s="46" t="str">
        <f aca="false">IF(AR99="","-",AR99)</f>
        <v>-</v>
      </c>
      <c r="U99" s="46"/>
      <c r="V99" s="46" t="str">
        <f aca="false">IF(AT99="","-",AT99)</f>
        <v>-</v>
      </c>
      <c r="W99" s="46"/>
      <c r="X99" s="44" t="n">
        <f aca="false">AU99</f>
        <v>0.65</v>
      </c>
      <c r="Y99" s="44"/>
      <c r="Z99" s="55" t="n">
        <f aca="false">AV99</f>
        <v>0</v>
      </c>
      <c r="AA99" s="55"/>
      <c r="AB99" s="55"/>
      <c r="AC99" s="42" t="n">
        <f aca="false">AW99</f>
        <v>40.16941492384</v>
      </c>
      <c r="AD99" s="42"/>
      <c r="AE99" s="42"/>
      <c r="AF99" s="12"/>
      <c r="AI99" s="56" t="n">
        <v>24</v>
      </c>
      <c r="AJ99" s="56" t="n">
        <v>25.5</v>
      </c>
      <c r="AK99" s="57" t="n">
        <f aca="false">AJ99-AI99</f>
        <v>1.5</v>
      </c>
      <c r="AL99" s="57" t="n">
        <f aca="false">(AI99+AJ99)/2</f>
        <v>24.75</v>
      </c>
      <c r="AM99" s="56" t="s">
        <v>199</v>
      </c>
      <c r="AN99" s="56" t="n">
        <v>44</v>
      </c>
      <c r="AO99" s="58" t="n">
        <f aca="false">IF(AL99&gt;$AA$20,$AA$22,$AA$21)</f>
        <v>19</v>
      </c>
      <c r="AP99" s="57" t="n">
        <f aca="false">AP98+AO99*AK99</f>
        <v>465.75</v>
      </c>
      <c r="AQ99" s="57" t="n">
        <f aca="false">AP99-AO99*AK99/2-10*MAX(AL99-$AA$20,0)</f>
        <v>284</v>
      </c>
      <c r="AR99" s="56"/>
      <c r="AS99" s="56"/>
      <c r="AT99" s="57" t="str">
        <f aca="false">IF(AR99="","",AR99-AS99)</f>
        <v/>
      </c>
      <c r="AU99" s="56" t="n">
        <v>0.65</v>
      </c>
      <c r="AV99" s="57" t="n">
        <f aca="false">IF(AM99="Sand",0,Input!$AA$34*AN99)</f>
        <v>0</v>
      </c>
      <c r="AW99" s="57" t="n">
        <f aca="false">IF(AM99="Sand",27.1+0.3*MIN(Input!$AA$35*AN99,60)-0.00054*MIN(Input!$AA$35*AN99,60)^2,MIN(MAX(DEGREES(ASIN(0.8-0.094*LN(MAX(IF(AT99="",10,AT99),5)))),20),30))</f>
        <v>40.16941492384</v>
      </c>
      <c r="AX99" s="57" t="n">
        <f aca="false">IF(AM99="Sand",Input!$AA$36*Input!$AA$35*AN99,Input!$AA$37*AV99)</f>
        <v>47652</v>
      </c>
      <c r="AY99" s="59" t="n">
        <f aca="false">IF(AM99="Sand",Input!$AA$38,0.5)</f>
        <v>0.3</v>
      </c>
      <c r="AZ99" s="57" t="n">
        <f aca="false">Input!$AA$15/2/AL99</f>
        <v>1.4949494949495</v>
      </c>
      <c r="BA99" s="57" t="n">
        <f aca="false">Input!$AA$16/2/AL99</f>
        <v>4.08080808080808</v>
      </c>
      <c r="BB99" s="57" t="n">
        <f aca="false">1/(4*PI())*(2*AZ99*BA99*SQRT(AZ99^2+BA99^2+1)/(AZ99^2+BA99^2+1+AZ99^2*BA99^2)*(AZ99^2+BA99^2+2)/(AZ99^2+BA99^2+1)+ATAN2(AZ99^2+BA99^2+1-AZ99^2*BA99^2,2*AZ99*BA99*SQRT(AZ99^2+BA99^2+1)))</f>
        <v>0.229173348674597</v>
      </c>
      <c r="BC99" s="57" t="n">
        <f aca="false">4*Input!$AA$14*BB99</f>
        <v>124.670301678981</v>
      </c>
      <c r="BD99" s="57" t="n">
        <f aca="false">((Input!$AA$16/Input!$AA$15)*LN((1+SQRT((Input!$AA$16/Input!$AA$15)^2+1))*SQRT((Input!$AA$16/Input!$AA$15)^2+(AJ99/(Input!$AA$15/2))^2)/((Input!$AA$16/Input!$AA$15)*(1+SQRT((Input!$AA$16/Input!$AA$15)^2+(AJ99/(Input!$AA$15/2))^2+1))))+LN(((Input!$AA$16/Input!$AA$15)+SQRT((Input!$AA$16/Input!$AA$15)^2+1))*SQRT(1+(AJ99/(Input!$AA$15/2))^2)/((Input!$AA$16/Input!$AA$15)+SQRT((Input!$AA$16/Input!$AA$15)^2+(AJ99/(Input!$AA$15/2))^2+1))))/PI()</f>
        <v>0.0664468184683822</v>
      </c>
      <c r="BE99" s="57" t="n">
        <f aca="false">(AJ99/(Input!$AA$15/2))/(2*PI())*ATAN((Input!$AA$16/Input!$AA$15)/((AJ99/(Input!$AA$15/2))*SQRT((Input!$AA$16/Input!$AA$15)^2+(AJ99/(Input!$AA$15/2))^2+1)))</f>
        <v>0.101410214319719</v>
      </c>
      <c r="BF99" s="57" t="n">
        <f aca="false">MAX(0,AJ99-MAX(AI99,$AA$23))/AK99*IF(BC99&gt;=Input!$AA$21*AQ99,1,0)</f>
        <v>1</v>
      </c>
      <c r="BG99" s="57" t="n">
        <f aca="false">4*Input!$AA$14*(Input!$AA$15/2)*(1-AY99^2)/AX99*((BD99-BD98)+(1-2*AY99)/(1-AY99)*(BE99-BE98))*1000*BF99</f>
        <v>3.10416788896103</v>
      </c>
      <c r="BH99" s="57" t="n">
        <f aca="false">IF(AM99="Sand",0,0.009*(AR99-10))</f>
        <v>0</v>
      </c>
      <c r="BI99" s="57" t="n">
        <f aca="false">BH99*Input!$AA$39</f>
        <v>0</v>
      </c>
      <c r="BJ99" s="57" t="n">
        <f aca="false">IF(AM99="Sand",0,MAX(AV99/Input!$AA$40,AQ99))</f>
        <v>0</v>
      </c>
      <c r="BK99" s="57" t="n">
        <f aca="false">IF(AM99="Sand",0,1000*AK99/(1+AU99)*IF(AQ99+BC99&lt;=BJ99,BI99*LOG10((AQ99+BC99)/AQ99),BI99*LOG10(BJ99/AQ99)+BH99*LOG10((AQ99+BC99)/BJ99)))*BF99</f>
        <v>0</v>
      </c>
      <c r="BL99" s="57" t="n">
        <f aca="false">IF(AM99="Sand",0,10^(INDEX(Input!$Q$51:$Q$57,MIN(MATCH(MIN(MAX(AR99,30),120),Input!$C$51:$C$57,1),6))+(MIN(MAX(AR99,30),120)-INDEX(Input!$C$51:$C$57,MIN(MATCH(MIN(MAX(AR99,30),120),Input!$C$51:$C$57,1),6)))/(INDEX(Input!$C$51:$C$57,MIN(MATCH(MIN(MAX(AR99,30),120),Input!$C$51:$C$57,1),6)+1)-INDEX(Input!$C$51:$C$57,MIN(MATCH(MIN(MAX(AR99,30),120),Input!$C$51:$C$57,1),6)))*(INDEX(Input!$Q$51:$Q$57,MIN(MATCH(MIN(MAX(AR99,30),120),Input!$C$51:$C$57,1),6)+1)-INDEX(Input!$Q$51:$Q$57,MIN(MATCH(MIN(MAX(AR99,30),120),Input!$C$51:$C$57,1),6)))))</f>
        <v>0</v>
      </c>
      <c r="BM99" s="57" t="n">
        <f aca="false">IF(OR(AM99="Sand",BF99=0),0,Input!$AA$41*(AK99/2)^2/(BL99*0.0001*31536000))</f>
        <v>0</v>
      </c>
      <c r="BN99" s="57" t="n">
        <f aca="false">MAX(0,MIN(AJ99,Input!$AA$20)-AI99)</f>
        <v>0</v>
      </c>
      <c r="BO99" s="57" t="n">
        <f aca="false">MAX(0,MIN(AJ99,Input!$AA$20)-MAX(AI99,$AA$23))</f>
        <v>0</v>
      </c>
      <c r="BP99" s="57" t="n">
        <f aca="false">BG99+BK99</f>
        <v>3.10416788896103</v>
      </c>
      <c r="BQ99" s="57" t="s">
        <v>335</v>
      </c>
    </row>
    <row r="100" customFormat="false" ht="14.25" hidden="false" customHeight="false" outlineLevel="0" collapsed="false">
      <c r="B100" s="7"/>
      <c r="C100" s="46" t="n">
        <v>18</v>
      </c>
      <c r="D100" s="46"/>
      <c r="E100" s="44" t="n">
        <f aca="false">AI100</f>
        <v>25.5</v>
      </c>
      <c r="F100" s="44"/>
      <c r="G100" s="44"/>
      <c r="H100" s="44" t="n">
        <f aca="false">AJ100</f>
        <v>27</v>
      </c>
      <c r="I100" s="44"/>
      <c r="J100" s="44"/>
      <c r="K100" s="41" t="str">
        <f aca="false">AM100</f>
        <v>Sand</v>
      </c>
      <c r="L100" s="41"/>
      <c r="M100" s="41"/>
      <c r="N100" s="46" t="n">
        <f aca="false">AN100</f>
        <v>21</v>
      </c>
      <c r="O100" s="46"/>
      <c r="P100" s="46"/>
      <c r="Q100" s="42" t="n">
        <f aca="false">AO100</f>
        <v>19</v>
      </c>
      <c r="R100" s="42"/>
      <c r="S100" s="42"/>
      <c r="T100" s="46" t="str">
        <f aca="false">IF(AR100="","-",AR100)</f>
        <v>-</v>
      </c>
      <c r="U100" s="46"/>
      <c r="V100" s="46" t="str">
        <f aca="false">IF(AT100="","-",AT100)</f>
        <v>-</v>
      </c>
      <c r="W100" s="46"/>
      <c r="X100" s="44" t="n">
        <f aca="false">AU100</f>
        <v>0.73</v>
      </c>
      <c r="Y100" s="44"/>
      <c r="Z100" s="55" t="n">
        <f aca="false">AV100</f>
        <v>0</v>
      </c>
      <c r="AA100" s="55"/>
      <c r="AB100" s="55"/>
      <c r="AC100" s="42" t="n">
        <f aca="false">AW100</f>
        <v>33.64358821354</v>
      </c>
      <c r="AD100" s="42"/>
      <c r="AE100" s="42"/>
      <c r="AF100" s="12"/>
      <c r="AI100" s="56" t="n">
        <v>25.5</v>
      </c>
      <c r="AJ100" s="56" t="n">
        <v>27</v>
      </c>
      <c r="AK100" s="57" t="n">
        <f aca="false">AJ100-AI100</f>
        <v>1.5</v>
      </c>
      <c r="AL100" s="57" t="n">
        <f aca="false">(AI100+AJ100)/2</f>
        <v>26.25</v>
      </c>
      <c r="AM100" s="56" t="s">
        <v>199</v>
      </c>
      <c r="AN100" s="56" t="n">
        <v>21</v>
      </c>
      <c r="AO100" s="58" t="n">
        <f aca="false">IF(AL100&gt;$AA$20,$AA$22,$AA$21)</f>
        <v>19</v>
      </c>
      <c r="AP100" s="57" t="n">
        <f aca="false">AP99+AO100*AK100</f>
        <v>494.25</v>
      </c>
      <c r="AQ100" s="57" t="n">
        <f aca="false">AP100-AO100*AK100/2-10*MAX(AL100-$AA$20,0)</f>
        <v>297.5</v>
      </c>
      <c r="AR100" s="56"/>
      <c r="AS100" s="56"/>
      <c r="AT100" s="57" t="str">
        <f aca="false">IF(AR100="","",AR100-AS100)</f>
        <v/>
      </c>
      <c r="AU100" s="56" t="n">
        <v>0.73</v>
      </c>
      <c r="AV100" s="57" t="n">
        <f aca="false">IF(AM100="Sand",0,Input!$AA$34*AN100)</f>
        <v>0</v>
      </c>
      <c r="AW100" s="57" t="n">
        <f aca="false">IF(AM100="Sand",27.1+0.3*MIN(Input!$AA$35*AN100,60)-0.00054*MIN(Input!$AA$35*AN100,60)^2,MIN(MAX(DEGREES(ASIN(0.8-0.094*LN(MAX(IF(AT100="",10,AT100),5)))),20),30))</f>
        <v>33.64358821354</v>
      </c>
      <c r="AX100" s="57" t="n">
        <f aca="false">IF(AM100="Sand",Input!$AA$36*Input!$AA$35*AN100,Input!$AA$37*AV100)</f>
        <v>22743</v>
      </c>
      <c r="AY100" s="59" t="n">
        <f aca="false">IF(AM100="Sand",Input!$AA$38,0.5)</f>
        <v>0.3</v>
      </c>
      <c r="AZ100" s="57" t="n">
        <f aca="false">Input!$AA$15/2/AL100</f>
        <v>1.40952380952381</v>
      </c>
      <c r="BA100" s="57" t="n">
        <f aca="false">Input!$AA$16/2/AL100</f>
        <v>3.84761904761905</v>
      </c>
      <c r="BB100" s="57" t="n">
        <f aca="false">1/(4*PI())*(2*AZ100*BA100*SQRT(AZ100^2+BA100^2+1)/(AZ100^2+BA100^2+1+AZ100^2*BA100^2)*(AZ100^2+BA100^2+2)/(AZ100^2+BA100^2+1)+ATAN2(AZ100^2+BA100^2+1-AZ100^2*BA100^2,2*AZ100*BA100*SQRT(AZ100^2+BA100^2+1)))</f>
        <v>0.226258660519071</v>
      </c>
      <c r="BC100" s="57" t="n">
        <f aca="false">4*Input!$AA$14*BB100</f>
        <v>123.084711322374</v>
      </c>
      <c r="BD100" s="57" t="n">
        <f aca="false">((Input!$AA$16/Input!$AA$15)*LN((1+SQRT((Input!$AA$16/Input!$AA$15)^2+1))*SQRT((Input!$AA$16/Input!$AA$15)^2+(AJ100/(Input!$AA$15/2))^2)/((Input!$AA$16/Input!$AA$15)*(1+SQRT((Input!$AA$16/Input!$AA$15)^2+(AJ100/(Input!$AA$15/2))^2+1))))+LN(((Input!$AA$16/Input!$AA$15)+SQRT((Input!$AA$16/Input!$AA$15)^2+1))*SQRT(1+(AJ100/(Input!$AA$15/2))^2)/((Input!$AA$16/Input!$AA$15)+SQRT((Input!$AA$16/Input!$AA$15)^2+(AJ100/(Input!$AA$15/2))^2+1))))/PI()</f>
        <v>0.0730509745149719</v>
      </c>
      <c r="BE100" s="57" t="n">
        <f aca="false">(AJ100/(Input!$AA$15/2))/(2*PI())*ATAN((Input!$AA$16/Input!$AA$15)/((AJ100/(Input!$AA$15/2))*SQRT((Input!$AA$16/Input!$AA$15)^2+(AJ100/(Input!$AA$15/2))^2+1)))</f>
        <v>0.103978506876715</v>
      </c>
      <c r="BF100" s="57" t="n">
        <f aca="false">MAX(0,AJ100-MAX(AI100,$AA$23))/AK100*IF(BC100&gt;=Input!$AA$21*AQ100,1,0)</f>
        <v>1</v>
      </c>
      <c r="BG100" s="57" t="n">
        <f aca="false">4*Input!$AA$14*(Input!$AA$15/2)*(1-AY100^2)/AX100*((BD100-BD99)+(1-2*AY100)/(1-AY100)*(BE100-BE99))*1000*BF100</f>
        <v>6.50072902825465</v>
      </c>
      <c r="BH100" s="57" t="n">
        <f aca="false">IF(AM100="Sand",0,0.009*(AR100-10))</f>
        <v>0</v>
      </c>
      <c r="BI100" s="57" t="n">
        <f aca="false">BH100*Input!$AA$39</f>
        <v>0</v>
      </c>
      <c r="BJ100" s="57" t="n">
        <f aca="false">IF(AM100="Sand",0,MAX(AV100/Input!$AA$40,AQ100))</f>
        <v>0</v>
      </c>
      <c r="BK100" s="57" t="n">
        <f aca="false">IF(AM100="Sand",0,1000*AK100/(1+AU100)*IF(AQ100+BC100&lt;=BJ100,BI100*LOG10((AQ100+BC100)/AQ100),BI100*LOG10(BJ100/AQ100)+BH100*LOG10((AQ100+BC100)/BJ100)))*BF100</f>
        <v>0</v>
      </c>
      <c r="BL100" s="57" t="n">
        <f aca="false">IF(AM100="Sand",0,10^(INDEX(Input!$Q$51:$Q$57,MIN(MATCH(MIN(MAX(AR100,30),120),Input!$C$51:$C$57,1),6))+(MIN(MAX(AR100,30),120)-INDEX(Input!$C$51:$C$57,MIN(MATCH(MIN(MAX(AR100,30),120),Input!$C$51:$C$57,1),6)))/(INDEX(Input!$C$51:$C$57,MIN(MATCH(MIN(MAX(AR100,30),120),Input!$C$51:$C$57,1),6)+1)-INDEX(Input!$C$51:$C$57,MIN(MATCH(MIN(MAX(AR100,30),120),Input!$C$51:$C$57,1),6)))*(INDEX(Input!$Q$51:$Q$57,MIN(MATCH(MIN(MAX(AR100,30),120),Input!$C$51:$C$57,1),6)+1)-INDEX(Input!$Q$51:$Q$57,MIN(MATCH(MIN(MAX(AR100,30),120),Input!$C$51:$C$57,1),6)))))</f>
        <v>0</v>
      </c>
      <c r="BM100" s="57" t="n">
        <f aca="false">IF(OR(AM100="Sand",BF100=0),0,Input!$AA$41*(AK100/2)^2/(BL100*0.0001*31536000))</f>
        <v>0</v>
      </c>
      <c r="BN100" s="57" t="n">
        <f aca="false">MAX(0,MIN(AJ100,Input!$AA$20)-AI100)</f>
        <v>0</v>
      </c>
      <c r="BO100" s="57" t="n">
        <f aca="false">MAX(0,MIN(AJ100,Input!$AA$20)-MAX(AI100,$AA$23))</f>
        <v>0</v>
      </c>
      <c r="BP100" s="57" t="n">
        <f aca="false">BG100+BK100</f>
        <v>6.50072902825465</v>
      </c>
      <c r="BQ100" s="57" t="s">
        <v>335</v>
      </c>
    </row>
    <row r="101" customFormat="false" ht="14.25" hidden="false" customHeight="false" outlineLevel="0" collapsed="false">
      <c r="B101" s="7"/>
      <c r="C101" s="46" t="n">
        <v>19</v>
      </c>
      <c r="D101" s="46"/>
      <c r="E101" s="44" t="n">
        <f aca="false">AI101</f>
        <v>27</v>
      </c>
      <c r="F101" s="44"/>
      <c r="G101" s="44"/>
      <c r="H101" s="44" t="n">
        <f aca="false">AJ101</f>
        <v>28.5</v>
      </c>
      <c r="I101" s="44"/>
      <c r="J101" s="44"/>
      <c r="K101" s="41" t="str">
        <f aca="false">AM101</f>
        <v>Sand</v>
      </c>
      <c r="L101" s="41"/>
      <c r="M101" s="41"/>
      <c r="N101" s="46" t="n">
        <f aca="false">AN101</f>
        <v>31</v>
      </c>
      <c r="O101" s="46"/>
      <c r="P101" s="46"/>
      <c r="Q101" s="42" t="n">
        <f aca="false">AO101</f>
        <v>19</v>
      </c>
      <c r="R101" s="42"/>
      <c r="S101" s="42"/>
      <c r="T101" s="46" t="str">
        <f aca="false">IF(AR101="","-",AR101)</f>
        <v>-</v>
      </c>
      <c r="U101" s="46"/>
      <c r="V101" s="46" t="str">
        <f aca="false">IF(AT101="","-",AT101)</f>
        <v>-</v>
      </c>
      <c r="W101" s="46"/>
      <c r="X101" s="44" t="n">
        <f aca="false">AU101</f>
        <v>0.65</v>
      </c>
      <c r="Y101" s="44"/>
      <c r="Z101" s="55" t="n">
        <f aca="false">AV101</f>
        <v>0</v>
      </c>
      <c r="AA101" s="55"/>
      <c r="AB101" s="55"/>
      <c r="AC101" s="42" t="n">
        <f aca="false">AW101</f>
        <v>36.56324098234</v>
      </c>
      <c r="AD101" s="42"/>
      <c r="AE101" s="42"/>
      <c r="AF101" s="12"/>
      <c r="AI101" s="56" t="n">
        <v>27</v>
      </c>
      <c r="AJ101" s="56" t="n">
        <v>28.5</v>
      </c>
      <c r="AK101" s="57" t="n">
        <f aca="false">AJ101-AI101</f>
        <v>1.5</v>
      </c>
      <c r="AL101" s="57" t="n">
        <f aca="false">(AI101+AJ101)/2</f>
        <v>27.75</v>
      </c>
      <c r="AM101" s="56" t="s">
        <v>199</v>
      </c>
      <c r="AN101" s="56" t="n">
        <v>31</v>
      </c>
      <c r="AO101" s="58" t="n">
        <f aca="false">IF(AL101&gt;$AA$20,$AA$22,$AA$21)</f>
        <v>19</v>
      </c>
      <c r="AP101" s="57" t="n">
        <f aca="false">AP100+AO101*AK101</f>
        <v>522.75</v>
      </c>
      <c r="AQ101" s="57" t="n">
        <f aca="false">AP101-AO101*AK101/2-10*MAX(AL101-$AA$20,0)</f>
        <v>311</v>
      </c>
      <c r="AR101" s="56"/>
      <c r="AS101" s="56"/>
      <c r="AT101" s="57" t="str">
        <f aca="false">IF(AR101="","",AR101-AS101)</f>
        <v/>
      </c>
      <c r="AU101" s="56" t="n">
        <v>0.65</v>
      </c>
      <c r="AV101" s="57" t="n">
        <f aca="false">IF(AM101="Sand",0,Input!$AA$34*AN101)</f>
        <v>0</v>
      </c>
      <c r="AW101" s="57" t="n">
        <f aca="false">IF(AM101="Sand",27.1+0.3*MIN(Input!$AA$35*AN101,60)-0.00054*MIN(Input!$AA$35*AN101,60)^2,MIN(MAX(DEGREES(ASIN(0.8-0.094*LN(MAX(IF(AT101="",10,AT101),5)))),20),30))</f>
        <v>36.56324098234</v>
      </c>
      <c r="AX101" s="57" t="n">
        <f aca="false">IF(AM101="Sand",Input!$AA$36*Input!$AA$35*AN101,Input!$AA$37*AV101)</f>
        <v>33573</v>
      </c>
      <c r="AY101" s="59" t="n">
        <f aca="false">IF(AM101="Sand",Input!$AA$38,0.5)</f>
        <v>0.3</v>
      </c>
      <c r="AZ101" s="57" t="n">
        <f aca="false">Input!$AA$15/2/AL101</f>
        <v>1.33333333333333</v>
      </c>
      <c r="BA101" s="57" t="n">
        <f aca="false">Input!$AA$16/2/AL101</f>
        <v>3.63963963963964</v>
      </c>
      <c r="BB101" s="57" t="n">
        <f aca="false">1/(4*PI())*(2*AZ101*BA101*SQRT(AZ101^2+BA101^2+1)/(AZ101^2+BA101^2+1+AZ101^2*BA101^2)*(AZ101^2+BA101^2+2)/(AZ101^2+BA101^2+1)+ATAN2(AZ101^2+BA101^2+1-AZ101^2*BA101^2,2*AZ101*BA101*SQRT(AZ101^2+BA101^2+1)))</f>
        <v>0.223225661745017</v>
      </c>
      <c r="BC101" s="57" t="n">
        <f aca="false">4*Input!$AA$14*BB101</f>
        <v>121.434759989289</v>
      </c>
      <c r="BD101" s="57" t="n">
        <f aca="false">((Input!$AA$16/Input!$AA$15)*LN((1+SQRT((Input!$AA$16/Input!$AA$15)^2+1))*SQRT((Input!$AA$16/Input!$AA$15)^2+(AJ101/(Input!$AA$15/2))^2)/((Input!$AA$16/Input!$AA$15)*(1+SQRT((Input!$AA$16/Input!$AA$15)^2+(AJ101/(Input!$AA$15/2))^2+1))))+LN(((Input!$AA$16/Input!$AA$15)+SQRT((Input!$AA$16/Input!$AA$15)^2+1))*SQRT(1+(AJ101/(Input!$AA$15/2))^2)/((Input!$AA$16/Input!$AA$15)+SQRT((Input!$AA$16/Input!$AA$15)^2+(AJ101/(Input!$AA$15/2))^2+1))))/PI()</f>
        <v>0.0797798670040491</v>
      </c>
      <c r="BE101" s="57" t="n">
        <f aca="false">(AJ101/(Input!$AA$15/2))/(2*PI())*ATAN((Input!$AA$16/Input!$AA$15)/((AJ101/(Input!$AA$15/2))*SQRT((Input!$AA$16/Input!$AA$15)^2+(AJ101/(Input!$AA$15/2))^2+1)))</f>
        <v>0.106299134641581</v>
      </c>
      <c r="BF101" s="57" t="n">
        <f aca="false">MAX(0,AJ101-MAX(AI101,$AA$23))/AK101*IF(BC101&gt;=Input!$AA$21*AQ101,1,0)</f>
        <v>1</v>
      </c>
      <c r="BG101" s="57" t="n">
        <f aca="false">4*Input!$AA$14*(Input!$AA$15/2)*(1-AY101^2)/AX101*((BD101-BD100)+(1-2*AY101)/(1-AY101)*(BE101-BE100))*1000*BF101</f>
        <v>4.39456153566757</v>
      </c>
      <c r="BH101" s="57" t="n">
        <f aca="false">IF(AM101="Sand",0,0.009*(AR101-10))</f>
        <v>0</v>
      </c>
      <c r="BI101" s="57" t="n">
        <f aca="false">BH101*Input!$AA$39</f>
        <v>0</v>
      </c>
      <c r="BJ101" s="57" t="n">
        <f aca="false">IF(AM101="Sand",0,MAX(AV101/Input!$AA$40,AQ101))</f>
        <v>0</v>
      </c>
      <c r="BK101" s="57" t="n">
        <f aca="false">IF(AM101="Sand",0,1000*AK101/(1+AU101)*IF(AQ101+BC101&lt;=BJ101,BI101*LOG10((AQ101+BC101)/AQ101),BI101*LOG10(BJ101/AQ101)+BH101*LOG10((AQ101+BC101)/BJ101)))*BF101</f>
        <v>0</v>
      </c>
      <c r="BL101" s="57" t="n">
        <f aca="false">IF(AM101="Sand",0,10^(INDEX(Input!$Q$51:$Q$57,MIN(MATCH(MIN(MAX(AR101,30),120),Input!$C$51:$C$57,1),6))+(MIN(MAX(AR101,30),120)-INDEX(Input!$C$51:$C$57,MIN(MATCH(MIN(MAX(AR101,30),120),Input!$C$51:$C$57,1),6)))/(INDEX(Input!$C$51:$C$57,MIN(MATCH(MIN(MAX(AR101,30),120),Input!$C$51:$C$57,1),6)+1)-INDEX(Input!$C$51:$C$57,MIN(MATCH(MIN(MAX(AR101,30),120),Input!$C$51:$C$57,1),6)))*(INDEX(Input!$Q$51:$Q$57,MIN(MATCH(MIN(MAX(AR101,30),120),Input!$C$51:$C$57,1),6)+1)-INDEX(Input!$Q$51:$Q$57,MIN(MATCH(MIN(MAX(AR101,30),120),Input!$C$51:$C$57,1),6)))))</f>
        <v>0</v>
      </c>
      <c r="BM101" s="57" t="n">
        <f aca="false">IF(OR(AM101="Sand",BF101=0),0,Input!$AA$41*(AK101/2)^2/(BL101*0.0001*31536000))</f>
        <v>0</v>
      </c>
      <c r="BN101" s="57" t="n">
        <f aca="false">MAX(0,MIN(AJ101,Input!$AA$20)-AI101)</f>
        <v>0</v>
      </c>
      <c r="BO101" s="57" t="n">
        <f aca="false">MAX(0,MIN(AJ101,Input!$AA$20)-MAX(AI101,$AA$23))</f>
        <v>0</v>
      </c>
      <c r="BP101" s="57" t="n">
        <f aca="false">BG101+BK101</f>
        <v>4.39456153566757</v>
      </c>
      <c r="BQ101" s="57" t="s">
        <v>335</v>
      </c>
    </row>
    <row r="102" customFormat="false" ht="14.25" hidden="false" customHeight="false" outlineLevel="0" collapsed="false">
      <c r="B102" s="7"/>
      <c r="C102" s="46" t="n">
        <v>20</v>
      </c>
      <c r="D102" s="46"/>
      <c r="E102" s="44" t="n">
        <f aca="false">AI102</f>
        <v>28.5</v>
      </c>
      <c r="F102" s="44"/>
      <c r="G102" s="44"/>
      <c r="H102" s="44" t="n">
        <f aca="false">AJ102</f>
        <v>30</v>
      </c>
      <c r="I102" s="44"/>
      <c r="J102" s="44"/>
      <c r="K102" s="41" t="str">
        <f aca="false">AM102</f>
        <v>Sand</v>
      </c>
      <c r="L102" s="41"/>
      <c r="M102" s="41"/>
      <c r="N102" s="46" t="n">
        <f aca="false">AN102</f>
        <v>50</v>
      </c>
      <c r="O102" s="46"/>
      <c r="P102" s="46"/>
      <c r="Q102" s="42" t="n">
        <f aca="false">AO102</f>
        <v>19</v>
      </c>
      <c r="R102" s="42"/>
      <c r="S102" s="42"/>
      <c r="T102" s="46" t="str">
        <f aca="false">IF(AR102="","-",AR102)</f>
        <v>-</v>
      </c>
      <c r="U102" s="46"/>
      <c r="V102" s="46" t="str">
        <f aca="false">IF(AT102="","-",AT102)</f>
        <v>-</v>
      </c>
      <c r="W102" s="46"/>
      <c r="X102" s="44" t="n">
        <f aca="false">AU102</f>
        <v>0.65</v>
      </c>
      <c r="Y102" s="44"/>
      <c r="Z102" s="55" t="n">
        <f aca="false">AV102</f>
        <v>0</v>
      </c>
      <c r="AA102" s="55"/>
      <c r="AB102" s="55"/>
      <c r="AC102" s="42" t="n">
        <f aca="false">AW102</f>
        <v>41.76159985</v>
      </c>
      <c r="AD102" s="42"/>
      <c r="AE102" s="42"/>
      <c r="AF102" s="12"/>
      <c r="AI102" s="56" t="n">
        <v>28.5</v>
      </c>
      <c r="AJ102" s="56" t="n">
        <v>30</v>
      </c>
      <c r="AK102" s="57" t="n">
        <f aca="false">AJ102-AI102</f>
        <v>1.5</v>
      </c>
      <c r="AL102" s="57" t="n">
        <f aca="false">(AI102+AJ102)/2</f>
        <v>29.25</v>
      </c>
      <c r="AM102" s="56" t="s">
        <v>199</v>
      </c>
      <c r="AN102" s="56" t="n">
        <v>50</v>
      </c>
      <c r="AO102" s="58" t="n">
        <f aca="false">IF(AL102&gt;$AA$20,$AA$22,$AA$21)</f>
        <v>19</v>
      </c>
      <c r="AP102" s="57" t="n">
        <f aca="false">AP101+AO102*AK102</f>
        <v>551.25</v>
      </c>
      <c r="AQ102" s="57" t="n">
        <f aca="false">AP102-AO102*AK102/2-10*MAX(AL102-$AA$20,0)</f>
        <v>324.5</v>
      </c>
      <c r="AR102" s="56"/>
      <c r="AS102" s="56"/>
      <c r="AT102" s="57" t="str">
        <f aca="false">IF(AR102="","",AR102-AS102)</f>
        <v/>
      </c>
      <c r="AU102" s="56" t="n">
        <v>0.65</v>
      </c>
      <c r="AV102" s="57" t="n">
        <f aca="false">IF(AM102="Sand",0,Input!$AA$34*AN102)</f>
        <v>0</v>
      </c>
      <c r="AW102" s="57" t="n">
        <f aca="false">IF(AM102="Sand",27.1+0.3*MIN(Input!$AA$35*AN102,60)-0.00054*MIN(Input!$AA$35*AN102,60)^2,MIN(MAX(DEGREES(ASIN(0.8-0.094*LN(MAX(IF(AT102="",10,AT102),5)))),20),30))</f>
        <v>41.76159985</v>
      </c>
      <c r="AX102" s="57" t="n">
        <f aca="false">IF(AM102="Sand",Input!$AA$36*Input!$AA$35*AN102,Input!$AA$37*AV102)</f>
        <v>54150</v>
      </c>
      <c r="AY102" s="59" t="n">
        <f aca="false">IF(AM102="Sand",Input!$AA$38,0.5)</f>
        <v>0.3</v>
      </c>
      <c r="AZ102" s="57" t="n">
        <f aca="false">Input!$AA$15/2/AL102</f>
        <v>1.26495726495727</v>
      </c>
      <c r="BA102" s="57" t="n">
        <f aca="false">Input!$AA$16/2/AL102</f>
        <v>3.45299145299145</v>
      </c>
      <c r="BB102" s="57" t="n">
        <f aca="false">1/(4*PI())*(2*AZ102*BA102*SQRT(AZ102^2+BA102^2+1)/(AZ102^2+BA102^2+1+AZ102^2*BA102^2)*(AZ102^2+BA102^2+2)/(AZ102^2+BA102^2+1)+ATAN2(AZ102^2+BA102^2+1-AZ102^2*BA102^2,2*AZ102*BA102*SQRT(AZ102^2+BA102^2+1)))</f>
        <v>0.220092717009578</v>
      </c>
      <c r="BC102" s="57" t="n">
        <f aca="false">4*Input!$AA$14*BB102</f>
        <v>119.73043805321</v>
      </c>
      <c r="BD102" s="57" t="n">
        <f aca="false">((Input!$AA$16/Input!$AA$15)*LN((1+SQRT((Input!$AA$16/Input!$AA$15)^2+1))*SQRT((Input!$AA$16/Input!$AA$15)^2+(AJ102/(Input!$AA$15/2))^2)/((Input!$AA$16/Input!$AA$15)*(1+SQRT((Input!$AA$16/Input!$AA$15)^2+(AJ102/(Input!$AA$15/2))^2+1))))+LN(((Input!$AA$16/Input!$AA$15)+SQRT((Input!$AA$16/Input!$AA$15)^2+1))*SQRT(1+(AJ102/(Input!$AA$15/2))^2)/((Input!$AA$16/Input!$AA$15)+SQRT((Input!$AA$16/Input!$AA$15)^2+(AJ102/(Input!$AA$15/2))^2+1))))/PI()</f>
        <v>0.0866118704592208</v>
      </c>
      <c r="BE102" s="57" t="n">
        <f aca="false">(AJ102/(Input!$AA$15/2))/(2*PI())*ATAN((Input!$AA$16/Input!$AA$15)/((AJ102/(Input!$AA$15/2))*SQRT((Input!$AA$16/Input!$AA$15)^2+(AJ102/(Input!$AA$15/2))^2+1)))</f>
        <v>0.108389669938441</v>
      </c>
      <c r="BF102" s="57" t="n">
        <f aca="false">MAX(0,AJ102-MAX(AI102,$AA$23))/AK102*IF(BC102&gt;=Input!$AA$21*AQ102,1,0)</f>
        <v>1</v>
      </c>
      <c r="BG102" s="57" t="n">
        <f aca="false">4*Input!$AA$14*(Input!$AA$15/2)*(1-AY102^2)/AX102*((BD102-BD101)+(1-2*AY102)/(1-AY102)*(BE102-BE101))*1000*BF102</f>
        <v>2.71503172231372</v>
      </c>
      <c r="BH102" s="57" t="n">
        <f aca="false">IF(AM102="Sand",0,0.009*(AR102-10))</f>
        <v>0</v>
      </c>
      <c r="BI102" s="57" t="n">
        <f aca="false">BH102*Input!$AA$39</f>
        <v>0</v>
      </c>
      <c r="BJ102" s="57" t="n">
        <f aca="false">IF(AM102="Sand",0,MAX(AV102/Input!$AA$40,AQ102))</f>
        <v>0</v>
      </c>
      <c r="BK102" s="57" t="n">
        <f aca="false">IF(AM102="Sand",0,1000*AK102/(1+AU102)*IF(AQ102+BC102&lt;=BJ102,BI102*LOG10((AQ102+BC102)/AQ102),BI102*LOG10(BJ102/AQ102)+BH102*LOG10((AQ102+BC102)/BJ102)))*BF102</f>
        <v>0</v>
      </c>
      <c r="BL102" s="57" t="n">
        <f aca="false">IF(AM102="Sand",0,10^(INDEX(Input!$Q$51:$Q$57,MIN(MATCH(MIN(MAX(AR102,30),120),Input!$C$51:$C$57,1),6))+(MIN(MAX(AR102,30),120)-INDEX(Input!$C$51:$C$57,MIN(MATCH(MIN(MAX(AR102,30),120),Input!$C$51:$C$57,1),6)))/(INDEX(Input!$C$51:$C$57,MIN(MATCH(MIN(MAX(AR102,30),120),Input!$C$51:$C$57,1),6)+1)-INDEX(Input!$C$51:$C$57,MIN(MATCH(MIN(MAX(AR102,30),120),Input!$C$51:$C$57,1),6)))*(INDEX(Input!$Q$51:$Q$57,MIN(MATCH(MIN(MAX(AR102,30),120),Input!$C$51:$C$57,1),6)+1)-INDEX(Input!$Q$51:$Q$57,MIN(MATCH(MIN(MAX(AR102,30),120),Input!$C$51:$C$57,1),6)))))</f>
        <v>0</v>
      </c>
      <c r="BM102" s="57" t="n">
        <f aca="false">IF(OR(AM102="Sand",BF102=0),0,Input!$AA$41*(AK102/2)^2/(BL102*0.0001*31536000))</f>
        <v>0</v>
      </c>
      <c r="BN102" s="57" t="n">
        <f aca="false">MAX(0,MIN(AJ102,Input!$AA$20)-AI102)</f>
        <v>0</v>
      </c>
      <c r="BO102" s="57" t="n">
        <f aca="false">MAX(0,MIN(AJ102,Input!$AA$20)-MAX(AI102,$AA$23))</f>
        <v>0</v>
      </c>
      <c r="BP102" s="57" t="n">
        <f aca="false">BG102+BK102</f>
        <v>2.71503172231372</v>
      </c>
      <c r="BQ102" s="57" t="s">
        <v>335</v>
      </c>
    </row>
    <row r="103" customFormat="false" ht="14.25" hidden="false" customHeight="false" outlineLevel="0" collapsed="false">
      <c r="B103" s="7"/>
      <c r="C103" s="46" t="n">
        <v>21</v>
      </c>
      <c r="D103" s="46"/>
      <c r="E103" s="44" t="n">
        <f aca="false">AI103</f>
        <v>30</v>
      </c>
      <c r="F103" s="44"/>
      <c r="G103" s="44"/>
      <c r="H103" s="44" t="n">
        <f aca="false">AJ103</f>
        <v>31.5</v>
      </c>
      <c r="I103" s="44"/>
      <c r="J103" s="44"/>
      <c r="K103" s="41" t="str">
        <f aca="false">AM103</f>
        <v>Sand</v>
      </c>
      <c r="L103" s="41"/>
      <c r="M103" s="41"/>
      <c r="N103" s="46" t="n">
        <f aca="false">AN103</f>
        <v>40</v>
      </c>
      <c r="O103" s="46"/>
      <c r="P103" s="46"/>
      <c r="Q103" s="42" t="n">
        <f aca="false">AO103</f>
        <v>19</v>
      </c>
      <c r="R103" s="42"/>
      <c r="S103" s="42"/>
      <c r="T103" s="46" t="str">
        <f aca="false">IF(AR103="","-",AR103)</f>
        <v>-</v>
      </c>
      <c r="U103" s="46"/>
      <c r="V103" s="46" t="str">
        <f aca="false">IF(AT103="","-",AT103)</f>
        <v>-</v>
      </c>
      <c r="W103" s="46"/>
      <c r="X103" s="44" t="n">
        <f aca="false">AU103</f>
        <v>0.65</v>
      </c>
      <c r="Y103" s="44"/>
      <c r="Z103" s="55" t="n">
        <f aca="false">AV103</f>
        <v>0</v>
      </c>
      <c r="AA103" s="55"/>
      <c r="AB103" s="55"/>
      <c r="AC103" s="42" t="n">
        <f aca="false">AW103</f>
        <v>39.082623904</v>
      </c>
      <c r="AD103" s="42"/>
      <c r="AE103" s="42"/>
      <c r="AF103" s="12"/>
      <c r="AI103" s="56" t="n">
        <v>30</v>
      </c>
      <c r="AJ103" s="56" t="n">
        <v>31.5</v>
      </c>
      <c r="AK103" s="57" t="n">
        <f aca="false">AJ103-AI103</f>
        <v>1.5</v>
      </c>
      <c r="AL103" s="57" t="n">
        <f aca="false">(AI103+AJ103)/2</f>
        <v>30.75</v>
      </c>
      <c r="AM103" s="56" t="s">
        <v>199</v>
      </c>
      <c r="AN103" s="56" t="n">
        <v>40</v>
      </c>
      <c r="AO103" s="58" t="n">
        <f aca="false">IF(AL103&gt;$AA$20,$AA$22,$AA$21)</f>
        <v>19</v>
      </c>
      <c r="AP103" s="57" t="n">
        <f aca="false">AP102+AO103*AK103</f>
        <v>579.75</v>
      </c>
      <c r="AQ103" s="57" t="n">
        <f aca="false">AP103-AO103*AK103/2-10*MAX(AL103-$AA$20,0)</f>
        <v>338</v>
      </c>
      <c r="AR103" s="56"/>
      <c r="AS103" s="56"/>
      <c r="AT103" s="57" t="str">
        <f aca="false">IF(AR103="","",AR103-AS103)</f>
        <v/>
      </c>
      <c r="AU103" s="56" t="n">
        <v>0.65</v>
      </c>
      <c r="AV103" s="57" t="n">
        <f aca="false">IF(AM103="Sand",0,Input!$AA$34*AN103)</f>
        <v>0</v>
      </c>
      <c r="AW103" s="57" t="n">
        <f aca="false">IF(AM103="Sand",27.1+0.3*MIN(Input!$AA$35*AN103,60)-0.00054*MIN(Input!$AA$35*AN103,60)^2,MIN(MAX(DEGREES(ASIN(0.8-0.094*LN(MAX(IF(AT103="",10,AT103),5)))),20),30))</f>
        <v>39.082623904</v>
      </c>
      <c r="AX103" s="57" t="n">
        <f aca="false">IF(AM103="Sand",Input!$AA$36*Input!$AA$35*AN103,Input!$AA$37*AV103)</f>
        <v>43320</v>
      </c>
      <c r="AY103" s="59" t="n">
        <f aca="false">IF(AM103="Sand",Input!$AA$38,0.5)</f>
        <v>0.3</v>
      </c>
      <c r="AZ103" s="57" t="n">
        <f aca="false">Input!$AA$15/2/AL103</f>
        <v>1.20325203252033</v>
      </c>
      <c r="BA103" s="57" t="n">
        <f aca="false">Input!$AA$16/2/AL103</f>
        <v>3.28455284552846</v>
      </c>
      <c r="BB103" s="57" t="n">
        <f aca="false">1/(4*PI())*(2*AZ103*BA103*SQRT(AZ103^2+BA103^2+1)/(AZ103^2+BA103^2+1+AZ103^2*BA103^2)*(AZ103^2+BA103^2+2)/(AZ103^2+BA103^2+1)+ATAN2(AZ103^2+BA103^2+1-AZ103^2*BA103^2,2*AZ103*BA103*SQRT(AZ103^2+BA103^2+1)))</f>
        <v>0.216877434211778</v>
      </c>
      <c r="BC103" s="57" t="n">
        <f aca="false">4*Input!$AA$14*BB103</f>
        <v>117.981324211207</v>
      </c>
      <c r="BD103" s="57" t="n">
        <f aca="false">((Input!$AA$16/Input!$AA$15)*LN((1+SQRT((Input!$AA$16/Input!$AA$15)^2+1))*SQRT((Input!$AA$16/Input!$AA$15)^2+(AJ103/(Input!$AA$15/2))^2)/((Input!$AA$16/Input!$AA$15)*(1+SQRT((Input!$AA$16/Input!$AA$15)^2+(AJ103/(Input!$AA$15/2))^2+1))))+LN(((Input!$AA$16/Input!$AA$15)+SQRT((Input!$AA$16/Input!$AA$15)^2+1))*SQRT(1+(AJ103/(Input!$AA$15/2))^2)/((Input!$AA$16/Input!$AA$15)+SQRT((Input!$AA$16/Input!$AA$15)^2+(AJ103/(Input!$AA$15/2))^2+1))))/PI()</f>
        <v>0.0935271002119951</v>
      </c>
      <c r="BE103" s="57" t="n">
        <f aca="false">(AJ103/(Input!$AA$15/2))/(2*PI())*ATAN((Input!$AA$16/Input!$AA$15)/((AJ103/(Input!$AA$15/2))*SQRT((Input!$AA$16/Input!$AA$15)^2+(AJ103/(Input!$AA$15/2))^2+1)))</f>
        <v>0.11026665771977</v>
      </c>
      <c r="BF103" s="57" t="n">
        <f aca="false">MAX(0,AJ103-MAX(AI103,$AA$23))/AK103*IF(BC103&gt;=Input!$AA$21*AQ103,1,0)</f>
        <v>1</v>
      </c>
      <c r="BG103" s="57" t="n">
        <f aca="false">4*Input!$AA$14*(Input!$AA$15/2)*(1-AY103^2)/AX103*((BD103-BD102)+(1-2*AY103)/(1-AY103)*(BE103-BE102))*1000*BF103</f>
        <v>3.37738394955323</v>
      </c>
      <c r="BH103" s="57" t="n">
        <f aca="false">IF(AM103="Sand",0,0.009*(AR103-10))</f>
        <v>0</v>
      </c>
      <c r="BI103" s="57" t="n">
        <f aca="false">BH103*Input!$AA$39</f>
        <v>0</v>
      </c>
      <c r="BJ103" s="57" t="n">
        <f aca="false">IF(AM103="Sand",0,MAX(AV103/Input!$AA$40,AQ103))</f>
        <v>0</v>
      </c>
      <c r="BK103" s="57" t="n">
        <f aca="false">IF(AM103="Sand",0,1000*AK103/(1+AU103)*IF(AQ103+BC103&lt;=BJ103,BI103*LOG10((AQ103+BC103)/AQ103),BI103*LOG10(BJ103/AQ103)+BH103*LOG10((AQ103+BC103)/BJ103)))*BF103</f>
        <v>0</v>
      </c>
      <c r="BL103" s="57" t="n">
        <f aca="false">IF(AM103="Sand",0,10^(INDEX(Input!$Q$51:$Q$57,MIN(MATCH(MIN(MAX(AR103,30),120),Input!$C$51:$C$57,1),6))+(MIN(MAX(AR103,30),120)-INDEX(Input!$C$51:$C$57,MIN(MATCH(MIN(MAX(AR103,30),120),Input!$C$51:$C$57,1),6)))/(INDEX(Input!$C$51:$C$57,MIN(MATCH(MIN(MAX(AR103,30),120),Input!$C$51:$C$57,1),6)+1)-INDEX(Input!$C$51:$C$57,MIN(MATCH(MIN(MAX(AR103,30),120),Input!$C$51:$C$57,1),6)))*(INDEX(Input!$Q$51:$Q$57,MIN(MATCH(MIN(MAX(AR103,30),120),Input!$C$51:$C$57,1),6)+1)-INDEX(Input!$Q$51:$Q$57,MIN(MATCH(MIN(MAX(AR103,30),120),Input!$C$51:$C$57,1),6)))))</f>
        <v>0</v>
      </c>
      <c r="BM103" s="57" t="n">
        <f aca="false">IF(OR(AM103="Sand",BF103=0),0,Input!$AA$41*(AK103/2)^2/(BL103*0.0001*31536000))</f>
        <v>0</v>
      </c>
      <c r="BN103" s="57" t="n">
        <f aca="false">MAX(0,MIN(AJ103,Input!$AA$20)-AI103)</f>
        <v>0</v>
      </c>
      <c r="BO103" s="57" t="n">
        <f aca="false">MAX(0,MIN(AJ103,Input!$AA$20)-MAX(AI103,$AA$23))</f>
        <v>0</v>
      </c>
      <c r="BP103" s="57" t="n">
        <f aca="false">BG103+BK103</f>
        <v>3.37738394955323</v>
      </c>
      <c r="BQ103" s="57" t="s">
        <v>335</v>
      </c>
    </row>
    <row r="104" customFormat="false" ht="14.25" hidden="false" customHeight="false" outlineLevel="0" collapsed="false">
      <c r="B104" s="7"/>
      <c r="C104" s="46" t="n">
        <v>22</v>
      </c>
      <c r="D104" s="46"/>
      <c r="E104" s="44" t="n">
        <f aca="false">AI104</f>
        <v>31.5</v>
      </c>
      <c r="F104" s="44"/>
      <c r="G104" s="44"/>
      <c r="H104" s="44" t="n">
        <f aca="false">AJ104</f>
        <v>33</v>
      </c>
      <c r="I104" s="44"/>
      <c r="J104" s="44"/>
      <c r="K104" s="41" t="str">
        <f aca="false">AM104</f>
        <v>Sand</v>
      </c>
      <c r="L104" s="41"/>
      <c r="M104" s="41"/>
      <c r="N104" s="46" t="n">
        <f aca="false">AN104</f>
        <v>43</v>
      </c>
      <c r="O104" s="46"/>
      <c r="P104" s="46"/>
      <c r="Q104" s="42" t="n">
        <f aca="false">AO104</f>
        <v>19</v>
      </c>
      <c r="R104" s="42"/>
      <c r="S104" s="42"/>
      <c r="T104" s="46" t="str">
        <f aca="false">IF(AR104="","-",AR104)</f>
        <v>-</v>
      </c>
      <c r="U104" s="46"/>
      <c r="V104" s="46" t="str">
        <f aca="false">IF(AT104="","-",AT104)</f>
        <v>-</v>
      </c>
      <c r="W104" s="46"/>
      <c r="X104" s="44" t="n">
        <f aca="false">AU104</f>
        <v>0.65</v>
      </c>
      <c r="Y104" s="44"/>
      <c r="Z104" s="55" t="n">
        <f aca="false">AV104</f>
        <v>0</v>
      </c>
      <c r="AA104" s="55"/>
      <c r="AB104" s="55"/>
      <c r="AC104" s="42" t="n">
        <f aca="false">AW104</f>
        <v>39.89961724906</v>
      </c>
      <c r="AD104" s="42"/>
      <c r="AE104" s="42"/>
      <c r="AF104" s="12"/>
      <c r="AI104" s="56" t="n">
        <v>31.5</v>
      </c>
      <c r="AJ104" s="56" t="n">
        <v>33</v>
      </c>
      <c r="AK104" s="57" t="n">
        <f aca="false">AJ104-AI104</f>
        <v>1.5</v>
      </c>
      <c r="AL104" s="57" t="n">
        <f aca="false">(AI104+AJ104)/2</f>
        <v>32.25</v>
      </c>
      <c r="AM104" s="56" t="s">
        <v>199</v>
      </c>
      <c r="AN104" s="56" t="n">
        <v>43</v>
      </c>
      <c r="AO104" s="58" t="n">
        <f aca="false">IF(AL104&gt;$AA$20,$AA$22,$AA$21)</f>
        <v>19</v>
      </c>
      <c r="AP104" s="57" t="n">
        <f aca="false">AP103+AO104*AK104</f>
        <v>608.25</v>
      </c>
      <c r="AQ104" s="57" t="n">
        <f aca="false">AP104-AO104*AK104/2-10*MAX(AL104-$AA$20,0)</f>
        <v>351.5</v>
      </c>
      <c r="AR104" s="56"/>
      <c r="AS104" s="56"/>
      <c r="AT104" s="57" t="str">
        <f aca="false">IF(AR104="","",AR104-AS104)</f>
        <v/>
      </c>
      <c r="AU104" s="56" t="n">
        <v>0.65</v>
      </c>
      <c r="AV104" s="57" t="n">
        <f aca="false">IF(AM104="Sand",0,Input!$AA$34*AN104)</f>
        <v>0</v>
      </c>
      <c r="AW104" s="57" t="n">
        <f aca="false">IF(AM104="Sand",27.1+0.3*MIN(Input!$AA$35*AN104,60)-0.00054*MIN(Input!$AA$35*AN104,60)^2,MIN(MAX(DEGREES(ASIN(0.8-0.094*LN(MAX(IF(AT104="",10,AT104),5)))),20),30))</f>
        <v>39.89961724906</v>
      </c>
      <c r="AX104" s="57" t="n">
        <f aca="false">IF(AM104="Sand",Input!$AA$36*Input!$AA$35*AN104,Input!$AA$37*AV104)</f>
        <v>46569</v>
      </c>
      <c r="AY104" s="59" t="n">
        <f aca="false">IF(AM104="Sand",Input!$AA$38,0.5)</f>
        <v>0.3</v>
      </c>
      <c r="AZ104" s="57" t="n">
        <f aca="false">Input!$AA$15/2/AL104</f>
        <v>1.14728682170543</v>
      </c>
      <c r="BA104" s="57" t="n">
        <f aca="false">Input!$AA$16/2/AL104</f>
        <v>3.13178294573643</v>
      </c>
      <c r="BB104" s="57" t="n">
        <f aca="false">1/(4*PI())*(2*AZ104*BA104*SQRT(AZ104^2+BA104^2+1)/(AZ104^2+BA104^2+1+AZ104^2*BA104^2)*(AZ104^2+BA104^2+2)/(AZ104^2+BA104^2+1)+ATAN2(AZ104^2+BA104^2+1-AZ104^2*BA104^2,2*AZ104*BA104*SQRT(AZ104^2+BA104^2+1)))</f>
        <v>0.213596428347991</v>
      </c>
      <c r="BC104" s="57" t="n">
        <f aca="false">4*Input!$AA$14*BB104</f>
        <v>116.196457021307</v>
      </c>
      <c r="BD104" s="57" t="n">
        <f aca="false">((Input!$AA$16/Input!$AA$15)*LN((1+SQRT((Input!$AA$16/Input!$AA$15)^2+1))*SQRT((Input!$AA$16/Input!$AA$15)^2+(AJ104/(Input!$AA$15/2))^2)/((Input!$AA$16/Input!$AA$15)*(1+SQRT((Input!$AA$16/Input!$AA$15)^2+(AJ104/(Input!$AA$15/2))^2+1))))+LN(((Input!$AA$16/Input!$AA$15)+SQRT((Input!$AA$16/Input!$AA$15)^2+1))*SQRT(1+(AJ104/(Input!$AA$15/2))^2)/((Input!$AA$16/Input!$AA$15)+SQRT((Input!$AA$16/Input!$AA$15)^2+(AJ104/(Input!$AA$15/2))^2+1))))/PI()</f>
        <v>0.100507369360851</v>
      </c>
      <c r="BE104" s="57" t="n">
        <f aca="false">(AJ104/(Input!$AA$15/2))/(2*PI())*ATAN((Input!$AA$16/Input!$AA$15)/((AJ104/(Input!$AA$15/2))*SQRT((Input!$AA$16/Input!$AA$15)^2+(AJ104/(Input!$AA$15/2))^2+1)))</f>
        <v>0.111945618485189</v>
      </c>
      <c r="BF104" s="57" t="n">
        <f aca="false">MAX(0,AJ104-MAX(AI104,$AA$23))/AK104*IF(BC104&gt;=Input!$AA$21*AQ104,1,0)</f>
        <v>1</v>
      </c>
      <c r="BG104" s="57" t="n">
        <f aca="false">4*Input!$AA$14*(Input!$AA$15/2)*(1-AY104^2)/AX104*((BD104-BD103)+(1-2*AY104)/(1-AY104)*(BE104-BE103))*1000*BF104</f>
        <v>3.12282642634641</v>
      </c>
      <c r="BH104" s="57" t="n">
        <f aca="false">IF(AM104="Sand",0,0.009*(AR104-10))</f>
        <v>0</v>
      </c>
      <c r="BI104" s="57" t="n">
        <f aca="false">BH104*Input!$AA$39</f>
        <v>0</v>
      </c>
      <c r="BJ104" s="57" t="n">
        <f aca="false">IF(AM104="Sand",0,MAX(AV104/Input!$AA$40,AQ104))</f>
        <v>0</v>
      </c>
      <c r="BK104" s="57" t="n">
        <f aca="false">IF(AM104="Sand",0,1000*AK104/(1+AU104)*IF(AQ104+BC104&lt;=BJ104,BI104*LOG10((AQ104+BC104)/AQ104),BI104*LOG10(BJ104/AQ104)+BH104*LOG10((AQ104+BC104)/BJ104)))*BF104</f>
        <v>0</v>
      </c>
      <c r="BL104" s="57" t="n">
        <f aca="false">IF(AM104="Sand",0,10^(INDEX(Input!$Q$51:$Q$57,MIN(MATCH(MIN(MAX(AR104,30),120),Input!$C$51:$C$57,1),6))+(MIN(MAX(AR104,30),120)-INDEX(Input!$C$51:$C$57,MIN(MATCH(MIN(MAX(AR104,30),120),Input!$C$51:$C$57,1),6)))/(INDEX(Input!$C$51:$C$57,MIN(MATCH(MIN(MAX(AR104,30),120),Input!$C$51:$C$57,1),6)+1)-INDEX(Input!$C$51:$C$57,MIN(MATCH(MIN(MAX(AR104,30),120),Input!$C$51:$C$57,1),6)))*(INDEX(Input!$Q$51:$Q$57,MIN(MATCH(MIN(MAX(AR104,30),120),Input!$C$51:$C$57,1),6)+1)-INDEX(Input!$Q$51:$Q$57,MIN(MATCH(MIN(MAX(AR104,30),120),Input!$C$51:$C$57,1),6)))))</f>
        <v>0</v>
      </c>
      <c r="BM104" s="57" t="n">
        <f aca="false">IF(OR(AM104="Sand",BF104=0),0,Input!$AA$41*(AK104/2)^2/(BL104*0.0001*31536000))</f>
        <v>0</v>
      </c>
      <c r="BN104" s="57" t="n">
        <f aca="false">MAX(0,MIN(AJ104,Input!$AA$20)-AI104)</f>
        <v>0</v>
      </c>
      <c r="BO104" s="57" t="n">
        <f aca="false">MAX(0,MIN(AJ104,Input!$AA$20)-MAX(AI104,$AA$23))</f>
        <v>0</v>
      </c>
      <c r="BP104" s="57" t="n">
        <f aca="false">BG104+BK104</f>
        <v>3.12282642634641</v>
      </c>
      <c r="BQ104" s="57" t="s">
        <v>335</v>
      </c>
    </row>
    <row r="105" customFormat="false" ht="14.25" hidden="false" customHeight="false" outlineLevel="0" collapsed="false">
      <c r="B105" s="7"/>
      <c r="C105" s="46" t="n">
        <v>23</v>
      </c>
      <c r="D105" s="46"/>
      <c r="E105" s="44" t="n">
        <f aca="false">AI105</f>
        <v>33</v>
      </c>
      <c r="F105" s="44"/>
      <c r="G105" s="44"/>
      <c r="H105" s="44" t="n">
        <f aca="false">AJ105</f>
        <v>34.5</v>
      </c>
      <c r="I105" s="44"/>
      <c r="J105" s="44"/>
      <c r="K105" s="41" t="str">
        <f aca="false">AM105</f>
        <v>Sand</v>
      </c>
      <c r="L105" s="41"/>
      <c r="M105" s="41"/>
      <c r="N105" s="46" t="n">
        <f aca="false">AN105</f>
        <v>26</v>
      </c>
      <c r="O105" s="46"/>
      <c r="P105" s="46"/>
      <c r="Q105" s="42" t="n">
        <f aca="false">AO105</f>
        <v>19</v>
      </c>
      <c r="R105" s="42"/>
      <c r="S105" s="42"/>
      <c r="T105" s="46" t="str">
        <f aca="false">IF(AR105="","-",AR105)</f>
        <v>-</v>
      </c>
      <c r="U105" s="46"/>
      <c r="V105" s="46" t="str">
        <f aca="false">IF(AT105="","-",AT105)</f>
        <v>-</v>
      </c>
      <c r="W105" s="46"/>
      <c r="X105" s="44" t="n">
        <f aca="false">AU105</f>
        <v>0.65</v>
      </c>
      <c r="Y105" s="44"/>
      <c r="Z105" s="55" t="n">
        <f aca="false">AV105</f>
        <v>0</v>
      </c>
      <c r="AA105" s="55"/>
      <c r="AB105" s="55"/>
      <c r="AC105" s="42" t="n">
        <f aca="false">AW105</f>
        <v>35.11924859944</v>
      </c>
      <c r="AD105" s="42"/>
      <c r="AE105" s="42"/>
      <c r="AF105" s="12"/>
      <c r="AI105" s="56" t="n">
        <v>33</v>
      </c>
      <c r="AJ105" s="56" t="n">
        <v>34.5</v>
      </c>
      <c r="AK105" s="57" t="n">
        <f aca="false">AJ105-AI105</f>
        <v>1.5</v>
      </c>
      <c r="AL105" s="57" t="n">
        <f aca="false">(AI105+AJ105)/2</f>
        <v>33.75</v>
      </c>
      <c r="AM105" s="56" t="s">
        <v>199</v>
      </c>
      <c r="AN105" s="56" t="n">
        <v>26</v>
      </c>
      <c r="AO105" s="58" t="n">
        <f aca="false">IF(AL105&gt;$AA$20,$AA$22,$AA$21)</f>
        <v>19</v>
      </c>
      <c r="AP105" s="57" t="n">
        <f aca="false">AP104+AO105*AK105</f>
        <v>636.75</v>
      </c>
      <c r="AQ105" s="57" t="n">
        <f aca="false">AP105-AO105*AK105/2-10*MAX(AL105-$AA$20,0)</f>
        <v>365</v>
      </c>
      <c r="AR105" s="56"/>
      <c r="AS105" s="56"/>
      <c r="AT105" s="57" t="str">
        <f aca="false">IF(AR105="","",AR105-AS105)</f>
        <v/>
      </c>
      <c r="AU105" s="56" t="n">
        <v>0.65</v>
      </c>
      <c r="AV105" s="57" t="n">
        <f aca="false">IF(AM105="Sand",0,Input!$AA$34*AN105)</f>
        <v>0</v>
      </c>
      <c r="AW105" s="57" t="n">
        <f aca="false">IF(AM105="Sand",27.1+0.3*MIN(Input!$AA$35*AN105,60)-0.00054*MIN(Input!$AA$35*AN105,60)^2,MIN(MAX(DEGREES(ASIN(0.8-0.094*LN(MAX(IF(AT105="",10,AT105),5)))),20),30))</f>
        <v>35.11924859944</v>
      </c>
      <c r="AX105" s="57" t="n">
        <f aca="false">IF(AM105="Sand",Input!$AA$36*Input!$AA$35*AN105,Input!$AA$37*AV105)</f>
        <v>28158</v>
      </c>
      <c r="AY105" s="59" t="n">
        <f aca="false">IF(AM105="Sand",Input!$AA$38,0.5)</f>
        <v>0.3</v>
      </c>
      <c r="AZ105" s="57" t="n">
        <f aca="false">Input!$AA$15/2/AL105</f>
        <v>1.0962962962963</v>
      </c>
      <c r="BA105" s="57" t="n">
        <f aca="false">Input!$AA$16/2/AL105</f>
        <v>2.99259259259259</v>
      </c>
      <c r="BB105" s="57" t="n">
        <f aca="false">1/(4*PI())*(2*AZ105*BA105*SQRT(AZ105^2+BA105^2+1)/(AZ105^2+BA105^2+1+AZ105^2*BA105^2)*(AZ105^2+BA105^2+2)/(AZ105^2+BA105^2+1)+ATAN2(AZ105^2+BA105^2+1-AZ105^2*BA105^2,2*AZ105*BA105*SQRT(AZ105^2+BA105^2+1)))</f>
        <v>0.210265162671487</v>
      </c>
      <c r="BC105" s="57" t="n">
        <f aca="false">4*Input!$AA$14*BB105</f>
        <v>114.384248493289</v>
      </c>
      <c r="BD105" s="57" t="n">
        <f aca="false">((Input!$AA$16/Input!$AA$15)*LN((1+SQRT((Input!$AA$16/Input!$AA$15)^2+1))*SQRT((Input!$AA$16/Input!$AA$15)^2+(AJ105/(Input!$AA$15/2))^2)/((Input!$AA$16/Input!$AA$15)*(1+SQRT((Input!$AA$16/Input!$AA$15)^2+(AJ105/(Input!$AA$15/2))^2+1))))+LN(((Input!$AA$16/Input!$AA$15)+SQRT((Input!$AA$16/Input!$AA$15)^2+1))*SQRT(1+(AJ105/(Input!$AA$15/2))^2)/((Input!$AA$16/Input!$AA$15)+SQRT((Input!$AA$16/Input!$AA$15)^2+(AJ105/(Input!$AA$15/2))^2+1))))/PI()</f>
        <v>0.107536123549061</v>
      </c>
      <c r="BE105" s="57" t="n">
        <f aca="false">(AJ105/(Input!$AA$15/2))/(2*PI())*ATAN((Input!$AA$16/Input!$AA$15)/((AJ105/(Input!$AA$15/2))*SQRT((Input!$AA$16/Input!$AA$15)^2+(AJ105/(Input!$AA$15/2))^2+1)))</f>
        <v>0.113441066921048</v>
      </c>
      <c r="BF105" s="57" t="n">
        <f aca="false">MAX(0,AJ105-MAX(AI105,$AA$23))/AK105*IF(BC105&gt;=Input!$AA$21*AQ105,1,0)</f>
        <v>1</v>
      </c>
      <c r="BG105" s="57" t="n">
        <f aca="false">4*Input!$AA$14*(Input!$AA$15/2)*(1-AY105^2)/AX105*((BD105-BD104)+(1-2*AY105)/(1-AY105)*(BE105-BE104))*1000*BF105</f>
        <v>5.12800043661121</v>
      </c>
      <c r="BH105" s="57" t="n">
        <f aca="false">IF(AM105="Sand",0,0.009*(AR105-10))</f>
        <v>0</v>
      </c>
      <c r="BI105" s="57" t="n">
        <f aca="false">BH105*Input!$AA$39</f>
        <v>0</v>
      </c>
      <c r="BJ105" s="57" t="n">
        <f aca="false">IF(AM105="Sand",0,MAX(AV105/Input!$AA$40,AQ105))</f>
        <v>0</v>
      </c>
      <c r="BK105" s="57" t="n">
        <f aca="false">IF(AM105="Sand",0,1000*AK105/(1+AU105)*IF(AQ105+BC105&lt;=BJ105,BI105*LOG10((AQ105+BC105)/AQ105),BI105*LOG10(BJ105/AQ105)+BH105*LOG10((AQ105+BC105)/BJ105)))*BF105</f>
        <v>0</v>
      </c>
      <c r="BL105" s="57" t="n">
        <f aca="false">IF(AM105="Sand",0,10^(INDEX(Input!$Q$51:$Q$57,MIN(MATCH(MIN(MAX(AR105,30),120),Input!$C$51:$C$57,1),6))+(MIN(MAX(AR105,30),120)-INDEX(Input!$C$51:$C$57,MIN(MATCH(MIN(MAX(AR105,30),120),Input!$C$51:$C$57,1),6)))/(INDEX(Input!$C$51:$C$57,MIN(MATCH(MIN(MAX(AR105,30),120),Input!$C$51:$C$57,1),6)+1)-INDEX(Input!$C$51:$C$57,MIN(MATCH(MIN(MAX(AR105,30),120),Input!$C$51:$C$57,1),6)))*(INDEX(Input!$Q$51:$Q$57,MIN(MATCH(MIN(MAX(AR105,30),120),Input!$C$51:$C$57,1),6)+1)-INDEX(Input!$Q$51:$Q$57,MIN(MATCH(MIN(MAX(AR105,30),120),Input!$C$51:$C$57,1),6)))))</f>
        <v>0</v>
      </c>
      <c r="BM105" s="57" t="n">
        <f aca="false">IF(OR(AM105="Sand",BF105=0),0,Input!$AA$41*(AK105/2)^2/(BL105*0.0001*31536000))</f>
        <v>0</v>
      </c>
      <c r="BN105" s="57" t="n">
        <f aca="false">MAX(0,MIN(AJ105,Input!$AA$20)-AI105)</f>
        <v>0</v>
      </c>
      <c r="BO105" s="57" t="n">
        <f aca="false">MAX(0,MIN(AJ105,Input!$AA$20)-MAX(AI105,$AA$23))</f>
        <v>0</v>
      </c>
      <c r="BP105" s="57" t="n">
        <f aca="false">BG105+BK105</f>
        <v>5.12800043661121</v>
      </c>
      <c r="BQ105" s="57" t="s">
        <v>335</v>
      </c>
    </row>
    <row r="106" customFormat="false" ht="14.25" hidden="false" customHeight="false" outlineLevel="0" collapsed="false">
      <c r="B106" s="7"/>
      <c r="C106" s="46" t="n">
        <v>24</v>
      </c>
      <c r="D106" s="46"/>
      <c r="E106" s="44" t="n">
        <f aca="false">AI106</f>
        <v>34.5</v>
      </c>
      <c r="F106" s="44"/>
      <c r="G106" s="44"/>
      <c r="H106" s="44" t="n">
        <f aca="false">AJ106</f>
        <v>36</v>
      </c>
      <c r="I106" s="44"/>
      <c r="J106" s="44"/>
      <c r="K106" s="41" t="str">
        <f aca="false">AM106</f>
        <v>Sand</v>
      </c>
      <c r="L106" s="41"/>
      <c r="M106" s="41"/>
      <c r="N106" s="46" t="n">
        <f aca="false">AN106</f>
        <v>53</v>
      </c>
      <c r="O106" s="46"/>
      <c r="P106" s="46"/>
      <c r="Q106" s="42" t="n">
        <f aca="false">AO106</f>
        <v>19</v>
      </c>
      <c r="R106" s="42"/>
      <c r="S106" s="42"/>
      <c r="T106" s="46" t="str">
        <f aca="false">IF(AR106="","-",AR106)</f>
        <v>-</v>
      </c>
      <c r="U106" s="46"/>
      <c r="V106" s="46" t="str">
        <f aca="false">IF(AT106="","-",AT106)</f>
        <v>-</v>
      </c>
      <c r="W106" s="46"/>
      <c r="X106" s="44" t="n">
        <f aca="false">AU106</f>
        <v>0.65</v>
      </c>
      <c r="Y106" s="44"/>
      <c r="Z106" s="55" t="n">
        <f aca="false">AV106</f>
        <v>0</v>
      </c>
      <c r="AA106" s="55"/>
      <c r="AB106" s="55"/>
      <c r="AC106" s="42" t="n">
        <f aca="false">AW106</f>
        <v>42.54059159146</v>
      </c>
      <c r="AD106" s="42"/>
      <c r="AE106" s="42"/>
      <c r="AF106" s="12"/>
      <c r="AI106" s="56" t="n">
        <v>34.5</v>
      </c>
      <c r="AJ106" s="56" t="n">
        <v>36</v>
      </c>
      <c r="AK106" s="57" t="n">
        <f aca="false">AJ106-AI106</f>
        <v>1.5</v>
      </c>
      <c r="AL106" s="57" t="n">
        <f aca="false">(AI106+AJ106)/2</f>
        <v>35.25</v>
      </c>
      <c r="AM106" s="56" t="s">
        <v>199</v>
      </c>
      <c r="AN106" s="56" t="n">
        <v>53</v>
      </c>
      <c r="AO106" s="58" t="n">
        <f aca="false">IF(AL106&gt;$AA$20,$AA$22,$AA$21)</f>
        <v>19</v>
      </c>
      <c r="AP106" s="57" t="n">
        <f aca="false">AP105+AO106*AK106</f>
        <v>665.25</v>
      </c>
      <c r="AQ106" s="57" t="n">
        <f aca="false">AP106-AO106*AK106/2-10*MAX(AL106-$AA$20,0)</f>
        <v>378.5</v>
      </c>
      <c r="AR106" s="56"/>
      <c r="AS106" s="56"/>
      <c r="AT106" s="57" t="str">
        <f aca="false">IF(AR106="","",AR106-AS106)</f>
        <v/>
      </c>
      <c r="AU106" s="56" t="n">
        <v>0.65</v>
      </c>
      <c r="AV106" s="57" t="n">
        <f aca="false">IF(AM106="Sand",0,Input!$AA$34*AN106)</f>
        <v>0</v>
      </c>
      <c r="AW106" s="57" t="n">
        <f aca="false">IF(AM106="Sand",27.1+0.3*MIN(Input!$AA$35*AN106,60)-0.00054*MIN(Input!$AA$35*AN106,60)^2,MIN(MAX(DEGREES(ASIN(0.8-0.094*LN(MAX(IF(AT106="",10,AT106),5)))),20),30))</f>
        <v>42.54059159146</v>
      </c>
      <c r="AX106" s="57" t="n">
        <f aca="false">IF(AM106="Sand",Input!$AA$36*Input!$AA$35*AN106,Input!$AA$37*AV106)</f>
        <v>57399</v>
      </c>
      <c r="AY106" s="59" t="n">
        <f aca="false">IF(AM106="Sand",Input!$AA$38,0.5)</f>
        <v>0.3</v>
      </c>
      <c r="AZ106" s="57" t="n">
        <f aca="false">Input!$AA$15/2/AL106</f>
        <v>1.04964539007092</v>
      </c>
      <c r="BA106" s="57" t="n">
        <f aca="false">Input!$AA$16/2/AL106</f>
        <v>2.86524822695035</v>
      </c>
      <c r="BB106" s="57" t="n">
        <f aca="false">1/(4*PI())*(2*AZ106*BA106*SQRT(AZ106^2+BA106^2+1)/(AZ106^2+BA106^2+1+AZ106^2*BA106^2)*(AZ106^2+BA106^2+2)/(AZ106^2+BA106^2+1)+ATAN2(AZ106^2+BA106^2+1-AZ106^2*BA106^2,2*AZ106*BA106*SQRT(AZ106^2+BA106^2+1)))</f>
        <v>0.206897854810704</v>
      </c>
      <c r="BC106" s="57" t="n">
        <f aca="false">4*Input!$AA$14*BB106</f>
        <v>112.552433017023</v>
      </c>
      <c r="BD106" s="57" t="n">
        <f aca="false">((Input!$AA$16/Input!$AA$15)*LN((1+SQRT((Input!$AA$16/Input!$AA$15)^2+1))*SQRT((Input!$AA$16/Input!$AA$15)^2+(AJ106/(Input!$AA$15/2))^2)/((Input!$AA$16/Input!$AA$15)*(1+SQRT((Input!$AA$16/Input!$AA$15)^2+(AJ106/(Input!$AA$15/2))^2+1))))+LN(((Input!$AA$16/Input!$AA$15)+SQRT((Input!$AA$16/Input!$AA$15)^2+1))*SQRT(1+(AJ106/(Input!$AA$15/2))^2)/((Input!$AA$16/Input!$AA$15)+SQRT((Input!$AA$16/Input!$AA$15)^2+(AJ106/(Input!$AA$15/2))^2+1))))/PI()</f>
        <v>0.114598360022051</v>
      </c>
      <c r="BE106" s="57" t="n">
        <f aca="false">(AJ106/(Input!$AA$15/2))/(2*PI())*ATAN((Input!$AA$16/Input!$AA$15)/((AJ106/(Input!$AA$15/2))*SQRT((Input!$AA$16/Input!$AA$15)^2+(AJ106/(Input!$AA$15/2))^2+1)))</f>
        <v>0.114766542433847</v>
      </c>
      <c r="BF106" s="57" t="n">
        <f aca="false">MAX(0,AJ106-MAX(AI106,$AA$23))/AK106*IF(BC106&gt;=Input!$AA$21*AQ106,1,0)</f>
        <v>1</v>
      </c>
      <c r="BG106" s="57" t="n">
        <f aca="false">4*Input!$AA$14*(Input!$AA$15/2)*(1-AY106^2)/AX106*((BD106-BD105)+(1-2*AY106)/(1-AY106)*(BE106-BE105))*1000*BF106</f>
        <v>2.49531319528265</v>
      </c>
      <c r="BH106" s="57" t="n">
        <f aca="false">IF(AM106="Sand",0,0.009*(AR106-10))</f>
        <v>0</v>
      </c>
      <c r="BI106" s="57" t="n">
        <f aca="false">BH106*Input!$AA$39</f>
        <v>0</v>
      </c>
      <c r="BJ106" s="57" t="n">
        <f aca="false">IF(AM106="Sand",0,MAX(AV106/Input!$AA$40,AQ106))</f>
        <v>0</v>
      </c>
      <c r="BK106" s="57" t="n">
        <f aca="false">IF(AM106="Sand",0,1000*AK106/(1+AU106)*IF(AQ106+BC106&lt;=BJ106,BI106*LOG10((AQ106+BC106)/AQ106),BI106*LOG10(BJ106/AQ106)+BH106*LOG10((AQ106+BC106)/BJ106)))*BF106</f>
        <v>0</v>
      </c>
      <c r="BL106" s="57" t="n">
        <f aca="false">IF(AM106="Sand",0,10^(INDEX(Input!$Q$51:$Q$57,MIN(MATCH(MIN(MAX(AR106,30),120),Input!$C$51:$C$57,1),6))+(MIN(MAX(AR106,30),120)-INDEX(Input!$C$51:$C$57,MIN(MATCH(MIN(MAX(AR106,30),120),Input!$C$51:$C$57,1),6)))/(INDEX(Input!$C$51:$C$57,MIN(MATCH(MIN(MAX(AR106,30),120),Input!$C$51:$C$57,1),6)+1)-INDEX(Input!$C$51:$C$57,MIN(MATCH(MIN(MAX(AR106,30),120),Input!$C$51:$C$57,1),6)))*(INDEX(Input!$Q$51:$Q$57,MIN(MATCH(MIN(MAX(AR106,30),120),Input!$C$51:$C$57,1),6)+1)-INDEX(Input!$Q$51:$Q$57,MIN(MATCH(MIN(MAX(AR106,30),120),Input!$C$51:$C$57,1),6)))))</f>
        <v>0</v>
      </c>
      <c r="BM106" s="57" t="n">
        <f aca="false">IF(OR(AM106="Sand",BF106=0),0,Input!$AA$41*(AK106/2)^2/(BL106*0.0001*31536000))</f>
        <v>0</v>
      </c>
      <c r="BN106" s="57" t="n">
        <f aca="false">MAX(0,MIN(AJ106,Input!$AA$20)-AI106)</f>
        <v>0</v>
      </c>
      <c r="BO106" s="57" t="n">
        <f aca="false">MAX(0,MIN(AJ106,Input!$AA$20)-MAX(AI106,$AA$23))</f>
        <v>0</v>
      </c>
      <c r="BP106" s="57" t="n">
        <f aca="false">BG106+BK106</f>
        <v>2.49531319528265</v>
      </c>
      <c r="BQ106" s="57" t="s">
        <v>335</v>
      </c>
    </row>
    <row r="107" customFormat="false" ht="14.25" hidden="false" customHeight="false" outlineLevel="0" collapsed="false">
      <c r="B107" s="7"/>
      <c r="C107" s="46" t="n">
        <v>25</v>
      </c>
      <c r="D107" s="46"/>
      <c r="E107" s="44" t="n">
        <f aca="false">AI107</f>
        <v>36</v>
      </c>
      <c r="F107" s="44"/>
      <c r="G107" s="44"/>
      <c r="H107" s="44" t="n">
        <f aca="false">AJ107</f>
        <v>37.5</v>
      </c>
      <c r="I107" s="44"/>
      <c r="J107" s="44"/>
      <c r="K107" s="41" t="str">
        <f aca="false">AM107</f>
        <v>Sand</v>
      </c>
      <c r="L107" s="41"/>
      <c r="M107" s="41"/>
      <c r="N107" s="46" t="n">
        <f aca="false">AN107</f>
        <v>54</v>
      </c>
      <c r="O107" s="46"/>
      <c r="P107" s="46"/>
      <c r="Q107" s="42" t="n">
        <f aca="false">AO107</f>
        <v>19</v>
      </c>
      <c r="R107" s="42"/>
      <c r="S107" s="42"/>
      <c r="T107" s="46" t="str">
        <f aca="false">IF(AR107="","-",AR107)</f>
        <v>-</v>
      </c>
      <c r="U107" s="46"/>
      <c r="V107" s="46" t="str">
        <f aca="false">IF(AT107="","-",AT107)</f>
        <v>-</v>
      </c>
      <c r="W107" s="46"/>
      <c r="X107" s="44" t="n">
        <f aca="false">AU107</f>
        <v>0.65</v>
      </c>
      <c r="Y107" s="44"/>
      <c r="Z107" s="55" t="n">
        <f aca="false">AV107</f>
        <v>0</v>
      </c>
      <c r="AA107" s="55"/>
      <c r="AB107" s="55"/>
      <c r="AC107" s="42" t="n">
        <f aca="false">AW107</f>
        <v>42.79772206504</v>
      </c>
      <c r="AD107" s="42"/>
      <c r="AE107" s="42"/>
      <c r="AF107" s="12"/>
      <c r="AI107" s="56" t="n">
        <v>36</v>
      </c>
      <c r="AJ107" s="56" t="n">
        <v>37.5</v>
      </c>
      <c r="AK107" s="57" t="n">
        <f aca="false">AJ107-AI107</f>
        <v>1.5</v>
      </c>
      <c r="AL107" s="57" t="n">
        <f aca="false">(AI107+AJ107)/2</f>
        <v>36.75</v>
      </c>
      <c r="AM107" s="56" t="s">
        <v>199</v>
      </c>
      <c r="AN107" s="56" t="n">
        <v>54</v>
      </c>
      <c r="AO107" s="58" t="n">
        <f aca="false">IF(AL107&gt;$AA$20,$AA$22,$AA$21)</f>
        <v>19</v>
      </c>
      <c r="AP107" s="57" t="n">
        <f aca="false">AP106+AO107*AK107</f>
        <v>693.75</v>
      </c>
      <c r="AQ107" s="57" t="n">
        <f aca="false">AP107-AO107*AK107/2-10*MAX(AL107-$AA$20,0)</f>
        <v>392</v>
      </c>
      <c r="AR107" s="56"/>
      <c r="AS107" s="56"/>
      <c r="AT107" s="57" t="str">
        <f aca="false">IF(AR107="","",AR107-AS107)</f>
        <v/>
      </c>
      <c r="AU107" s="56" t="n">
        <v>0.65</v>
      </c>
      <c r="AV107" s="57" t="n">
        <f aca="false">IF(AM107="Sand",0,Input!$AA$34*AN107)</f>
        <v>0</v>
      </c>
      <c r="AW107" s="57" t="n">
        <f aca="false">IF(AM107="Sand",27.1+0.3*MIN(Input!$AA$35*AN107,60)-0.00054*MIN(Input!$AA$35*AN107,60)^2,MIN(MAX(DEGREES(ASIN(0.8-0.094*LN(MAX(IF(AT107="",10,AT107),5)))),20),30))</f>
        <v>42.79772206504</v>
      </c>
      <c r="AX107" s="57" t="n">
        <f aca="false">IF(AM107="Sand",Input!$AA$36*Input!$AA$35*AN107,Input!$AA$37*AV107)</f>
        <v>58482</v>
      </c>
      <c r="AY107" s="59" t="n">
        <f aca="false">IF(AM107="Sand",Input!$AA$38,0.5)</f>
        <v>0.3</v>
      </c>
      <c r="AZ107" s="57" t="n">
        <f aca="false">Input!$AA$15/2/AL107</f>
        <v>1.00680272108844</v>
      </c>
      <c r="BA107" s="57" t="n">
        <f aca="false">Input!$AA$16/2/AL107</f>
        <v>2.74829931972789</v>
      </c>
      <c r="BB107" s="57" t="n">
        <f aca="false">1/(4*PI())*(2*AZ107*BA107*SQRT(AZ107^2+BA107^2+1)/(AZ107^2+BA107^2+1+AZ107^2*BA107^2)*(AZ107^2+BA107^2+2)/(AZ107^2+BA107^2+1)+ATAN2(AZ107^2+BA107^2+1-AZ107^2*BA107^2,2*AZ107*BA107*SQRT(AZ107^2+BA107^2+1)))</f>
        <v>0.203507435681733</v>
      </c>
      <c r="BC107" s="57" t="n">
        <f aca="false">4*Input!$AA$14*BB107</f>
        <v>110.708045010863</v>
      </c>
      <c r="BD107" s="57" t="n">
        <f aca="false">((Input!$AA$16/Input!$AA$15)*LN((1+SQRT((Input!$AA$16/Input!$AA$15)^2+1))*SQRT((Input!$AA$16/Input!$AA$15)^2+(AJ107/(Input!$AA$15/2))^2)/((Input!$AA$16/Input!$AA$15)*(1+SQRT((Input!$AA$16/Input!$AA$15)^2+(AJ107/(Input!$AA$15/2))^2+1))))+LN(((Input!$AA$16/Input!$AA$15)+SQRT((Input!$AA$16/Input!$AA$15)^2+1))*SQRT(1+(AJ107/(Input!$AA$15/2))^2)/((Input!$AA$16/Input!$AA$15)+SQRT((Input!$AA$16/Input!$AA$15)^2+(AJ107/(Input!$AA$15/2))^2+1))))/PI()</f>
        <v>0.121680536390531</v>
      </c>
      <c r="BE107" s="57" t="n">
        <f aca="false">(AJ107/(Input!$AA$15/2))/(2*PI())*ATAN((Input!$AA$16/Input!$AA$15)/((AJ107/(Input!$AA$15/2))*SQRT((Input!$AA$16/Input!$AA$15)^2+(AJ107/(Input!$AA$15/2))^2+1)))</f>
        <v>0.115934648292991</v>
      </c>
      <c r="BF107" s="57" t="n">
        <f aca="false">MAX(0,AJ107-MAX(AI107,$AA$23))/AK107*IF(BC107&gt;=Input!$AA$21*AQ107,1,0)</f>
        <v>1</v>
      </c>
      <c r="BG107" s="57" t="n">
        <f aca="false">4*Input!$AA$14*(Input!$AA$15/2)*(1-AY107^2)/AX107*((BD107-BD106)+(1-2*AY107)/(1-AY107)*(BE107-BE106))*1000*BF107</f>
        <v>2.42718429381396</v>
      </c>
      <c r="BH107" s="57" t="n">
        <f aca="false">IF(AM107="Sand",0,0.009*(AR107-10))</f>
        <v>0</v>
      </c>
      <c r="BI107" s="57" t="n">
        <f aca="false">BH107*Input!$AA$39</f>
        <v>0</v>
      </c>
      <c r="BJ107" s="57" t="n">
        <f aca="false">IF(AM107="Sand",0,MAX(AV107/Input!$AA$40,AQ107))</f>
        <v>0</v>
      </c>
      <c r="BK107" s="57" t="n">
        <f aca="false">IF(AM107="Sand",0,1000*AK107/(1+AU107)*IF(AQ107+BC107&lt;=BJ107,BI107*LOG10((AQ107+BC107)/AQ107),BI107*LOG10(BJ107/AQ107)+BH107*LOG10((AQ107+BC107)/BJ107)))*BF107</f>
        <v>0</v>
      </c>
      <c r="BL107" s="57" t="n">
        <f aca="false">IF(AM107="Sand",0,10^(INDEX(Input!$Q$51:$Q$57,MIN(MATCH(MIN(MAX(AR107,30),120),Input!$C$51:$C$57,1),6))+(MIN(MAX(AR107,30),120)-INDEX(Input!$C$51:$C$57,MIN(MATCH(MIN(MAX(AR107,30),120),Input!$C$51:$C$57,1),6)))/(INDEX(Input!$C$51:$C$57,MIN(MATCH(MIN(MAX(AR107,30),120),Input!$C$51:$C$57,1),6)+1)-INDEX(Input!$C$51:$C$57,MIN(MATCH(MIN(MAX(AR107,30),120),Input!$C$51:$C$57,1),6)))*(INDEX(Input!$Q$51:$Q$57,MIN(MATCH(MIN(MAX(AR107,30),120),Input!$C$51:$C$57,1),6)+1)-INDEX(Input!$Q$51:$Q$57,MIN(MATCH(MIN(MAX(AR107,30),120),Input!$C$51:$C$57,1),6)))))</f>
        <v>0</v>
      </c>
      <c r="BM107" s="57" t="n">
        <f aca="false">IF(OR(AM107="Sand",BF107=0),0,Input!$AA$41*(AK107/2)^2/(BL107*0.0001*31536000))</f>
        <v>0</v>
      </c>
      <c r="BN107" s="57" t="n">
        <f aca="false">MAX(0,MIN(AJ107,Input!$AA$20)-AI107)</f>
        <v>0</v>
      </c>
      <c r="BO107" s="57" t="n">
        <f aca="false">MAX(0,MIN(AJ107,Input!$AA$20)-MAX(AI107,$AA$23))</f>
        <v>0</v>
      </c>
      <c r="BP107" s="57" t="n">
        <f aca="false">BG107+BK107</f>
        <v>2.42718429381396</v>
      </c>
      <c r="BQ107" s="57" t="s">
        <v>335</v>
      </c>
    </row>
    <row r="108" customFormat="false" ht="14.25" hidden="false" customHeight="false" outlineLevel="0" collapsed="false">
      <c r="B108" s="7"/>
      <c r="C108" s="46" t="n">
        <v>26</v>
      </c>
      <c r="D108" s="46"/>
      <c r="E108" s="44" t="n">
        <f aca="false">AI108</f>
        <v>37.5</v>
      </c>
      <c r="F108" s="44"/>
      <c r="G108" s="44"/>
      <c r="H108" s="44" t="n">
        <f aca="false">AJ108</f>
        <v>39</v>
      </c>
      <c r="I108" s="44"/>
      <c r="J108" s="44"/>
      <c r="K108" s="41" t="str">
        <f aca="false">AM108</f>
        <v>Sand</v>
      </c>
      <c r="L108" s="41"/>
      <c r="M108" s="41"/>
      <c r="N108" s="46" t="n">
        <f aca="false">AN108</f>
        <v>50</v>
      </c>
      <c r="O108" s="46"/>
      <c r="P108" s="46"/>
      <c r="Q108" s="42" t="n">
        <f aca="false">AO108</f>
        <v>19</v>
      </c>
      <c r="R108" s="42"/>
      <c r="S108" s="42"/>
      <c r="T108" s="46" t="str">
        <f aca="false">IF(AR108="","-",AR108)</f>
        <v>-</v>
      </c>
      <c r="U108" s="46"/>
      <c r="V108" s="46" t="str">
        <f aca="false">IF(AT108="","-",AT108)</f>
        <v>-</v>
      </c>
      <c r="W108" s="46"/>
      <c r="X108" s="44" t="n">
        <f aca="false">AU108</f>
        <v>0.746</v>
      </c>
      <c r="Y108" s="44"/>
      <c r="Z108" s="55" t="n">
        <f aca="false">AV108</f>
        <v>0</v>
      </c>
      <c r="AA108" s="55"/>
      <c r="AB108" s="55"/>
      <c r="AC108" s="42" t="n">
        <f aca="false">AW108</f>
        <v>41.76159985</v>
      </c>
      <c r="AD108" s="42"/>
      <c r="AE108" s="42"/>
      <c r="AF108" s="12"/>
      <c r="AI108" s="56" t="n">
        <v>37.5</v>
      </c>
      <c r="AJ108" s="56" t="n">
        <v>39</v>
      </c>
      <c r="AK108" s="57" t="n">
        <f aca="false">AJ108-AI108</f>
        <v>1.5</v>
      </c>
      <c r="AL108" s="57" t="n">
        <f aca="false">(AI108+AJ108)/2</f>
        <v>38.25</v>
      </c>
      <c r="AM108" s="56" t="s">
        <v>199</v>
      </c>
      <c r="AN108" s="56" t="n">
        <v>50</v>
      </c>
      <c r="AO108" s="58" t="n">
        <f aca="false">IF(AL108&gt;$AA$20,$AA$22,$AA$21)</f>
        <v>19</v>
      </c>
      <c r="AP108" s="57" t="n">
        <f aca="false">AP107+AO108*AK108</f>
        <v>722.25</v>
      </c>
      <c r="AQ108" s="57" t="n">
        <f aca="false">AP108-AO108*AK108/2-10*MAX(AL108-$AA$20,0)</f>
        <v>405.5</v>
      </c>
      <c r="AR108" s="56"/>
      <c r="AS108" s="56"/>
      <c r="AT108" s="57" t="str">
        <f aca="false">IF(AR108="","",AR108-AS108)</f>
        <v/>
      </c>
      <c r="AU108" s="56" t="n">
        <v>0.746</v>
      </c>
      <c r="AV108" s="57" t="n">
        <f aca="false">IF(AM108="Sand",0,Input!$AA$34*AN108)</f>
        <v>0</v>
      </c>
      <c r="AW108" s="57" t="n">
        <f aca="false">IF(AM108="Sand",27.1+0.3*MIN(Input!$AA$35*AN108,60)-0.00054*MIN(Input!$AA$35*AN108,60)^2,MIN(MAX(DEGREES(ASIN(0.8-0.094*LN(MAX(IF(AT108="",10,AT108),5)))),20),30))</f>
        <v>41.76159985</v>
      </c>
      <c r="AX108" s="57" t="n">
        <f aca="false">IF(AM108="Sand",Input!$AA$36*Input!$AA$35*AN108,Input!$AA$37*AV108)</f>
        <v>54150</v>
      </c>
      <c r="AY108" s="59" t="n">
        <f aca="false">IF(AM108="Sand",Input!$AA$38,0.5)</f>
        <v>0.3</v>
      </c>
      <c r="AZ108" s="57" t="n">
        <f aca="false">Input!$AA$15/2/AL108</f>
        <v>0.967320261437909</v>
      </c>
      <c r="BA108" s="57" t="n">
        <f aca="false">Input!$AA$16/2/AL108</f>
        <v>2.64052287581699</v>
      </c>
      <c r="BB108" s="57" t="n">
        <f aca="false">1/(4*PI())*(2*AZ108*BA108*SQRT(AZ108^2+BA108^2+1)/(AZ108^2+BA108^2+1+AZ108^2*BA108^2)*(AZ108^2+BA108^2+2)/(AZ108^2+BA108^2+1)+ATAN2(AZ108^2+BA108^2+1-AZ108^2*BA108^2,2*AZ108*BA108*SQRT(AZ108^2+BA108^2+1)))</f>
        <v>0.200105549876271</v>
      </c>
      <c r="BC108" s="57" t="n">
        <f aca="false">4*Input!$AA$14*BB108</f>
        <v>108.857419132691</v>
      </c>
      <c r="BD108" s="57" t="n">
        <f aca="false">((Input!$AA$16/Input!$AA$15)*LN((1+SQRT((Input!$AA$16/Input!$AA$15)^2+1))*SQRT((Input!$AA$16/Input!$AA$15)^2+(AJ108/(Input!$AA$15/2))^2)/((Input!$AA$16/Input!$AA$15)*(1+SQRT((Input!$AA$16/Input!$AA$15)^2+(AJ108/(Input!$AA$15/2))^2+1))))+LN(((Input!$AA$16/Input!$AA$15)+SQRT((Input!$AA$16/Input!$AA$15)^2+1))*SQRT(1+(AJ108/(Input!$AA$15/2))^2)/((Input!$AA$16/Input!$AA$15)+SQRT((Input!$AA$16/Input!$AA$15)^2+(AJ108/(Input!$AA$15/2))^2+1))))/PI()</f>
        <v>0.128770473532044</v>
      </c>
      <c r="BE108" s="57" t="n">
        <f aca="false">(AJ108/(Input!$AA$15/2))/(2*PI())*ATAN((Input!$AA$16/Input!$AA$15)/((AJ108/(Input!$AA$15/2))*SQRT((Input!$AA$16/Input!$AA$15)^2+(AJ108/(Input!$AA$15/2))^2+1)))</f>
        <v>0.116957096633813</v>
      </c>
      <c r="BF108" s="57" t="n">
        <f aca="false">MAX(0,AJ108-MAX(AI108,$AA$23))/AK108*IF(BC108&gt;=Input!$AA$21*AQ108,1,0)</f>
        <v>1</v>
      </c>
      <c r="BG108" s="57" t="n">
        <f aca="false">4*Input!$AA$14*(Input!$AA$15/2)*(1-AY108^2)/AX108*((BD108-BD107)+(1-2*AY108)/(1-AY108)*(BE108-BE107))*1000*BF108</f>
        <v>2.59583026334049</v>
      </c>
      <c r="BH108" s="57" t="n">
        <f aca="false">IF(AM108="Sand",0,0.009*(AR108-10))</f>
        <v>0</v>
      </c>
      <c r="BI108" s="57" t="n">
        <f aca="false">BH108*Input!$AA$39</f>
        <v>0</v>
      </c>
      <c r="BJ108" s="57" t="n">
        <f aca="false">IF(AM108="Sand",0,MAX(AV108/Input!$AA$40,AQ108))</f>
        <v>0</v>
      </c>
      <c r="BK108" s="57" t="n">
        <f aca="false">IF(AM108="Sand",0,1000*AK108/(1+AU108)*IF(AQ108+BC108&lt;=BJ108,BI108*LOG10((AQ108+BC108)/AQ108),BI108*LOG10(BJ108/AQ108)+BH108*LOG10((AQ108+BC108)/BJ108)))*BF108</f>
        <v>0</v>
      </c>
      <c r="BL108" s="57" t="n">
        <f aca="false">IF(AM108="Sand",0,10^(INDEX(Input!$Q$51:$Q$57,MIN(MATCH(MIN(MAX(AR108,30),120),Input!$C$51:$C$57,1),6))+(MIN(MAX(AR108,30),120)-INDEX(Input!$C$51:$C$57,MIN(MATCH(MIN(MAX(AR108,30),120),Input!$C$51:$C$57,1),6)))/(INDEX(Input!$C$51:$C$57,MIN(MATCH(MIN(MAX(AR108,30),120),Input!$C$51:$C$57,1),6)+1)-INDEX(Input!$C$51:$C$57,MIN(MATCH(MIN(MAX(AR108,30),120),Input!$C$51:$C$57,1),6)))*(INDEX(Input!$Q$51:$Q$57,MIN(MATCH(MIN(MAX(AR108,30),120),Input!$C$51:$C$57,1),6)+1)-INDEX(Input!$Q$51:$Q$57,MIN(MATCH(MIN(MAX(AR108,30),120),Input!$C$51:$C$57,1),6)))))</f>
        <v>0</v>
      </c>
      <c r="BM108" s="57" t="n">
        <f aca="false">IF(OR(AM108="Sand",BF108=0),0,Input!$AA$41*(AK108/2)^2/(BL108*0.0001*31536000))</f>
        <v>0</v>
      </c>
      <c r="BN108" s="57" t="n">
        <f aca="false">MAX(0,MIN(AJ108,Input!$AA$20)-AI108)</f>
        <v>0</v>
      </c>
      <c r="BO108" s="57" t="n">
        <f aca="false">MAX(0,MIN(AJ108,Input!$AA$20)-MAX(AI108,$AA$23))</f>
        <v>0</v>
      </c>
      <c r="BP108" s="57" t="n">
        <f aca="false">BG108+BK108</f>
        <v>2.59583026334049</v>
      </c>
      <c r="BQ108" s="57" t="s">
        <v>335</v>
      </c>
    </row>
    <row r="109" customFormat="false" ht="14.25" hidden="false" customHeight="false" outlineLevel="0" collapsed="false">
      <c r="B109" s="7"/>
      <c r="C109" s="46" t="n">
        <v>27</v>
      </c>
      <c r="D109" s="46"/>
      <c r="E109" s="44" t="n">
        <f aca="false">AI109</f>
        <v>39</v>
      </c>
      <c r="F109" s="44"/>
      <c r="G109" s="44"/>
      <c r="H109" s="44" t="n">
        <f aca="false">AJ109</f>
        <v>40.5</v>
      </c>
      <c r="I109" s="44"/>
      <c r="J109" s="44"/>
      <c r="K109" s="41" t="str">
        <f aca="false">AM109</f>
        <v>Sand</v>
      </c>
      <c r="L109" s="41"/>
      <c r="M109" s="41"/>
      <c r="N109" s="46" t="n">
        <f aca="false">AN109</f>
        <v>50</v>
      </c>
      <c r="O109" s="46"/>
      <c r="P109" s="46"/>
      <c r="Q109" s="42" t="n">
        <f aca="false">AO109</f>
        <v>19</v>
      </c>
      <c r="R109" s="42"/>
      <c r="S109" s="42"/>
      <c r="T109" s="46" t="str">
        <f aca="false">IF(AR109="","-",AR109)</f>
        <v>-</v>
      </c>
      <c r="U109" s="46"/>
      <c r="V109" s="46" t="str">
        <f aca="false">IF(AT109="","-",AT109)</f>
        <v>-</v>
      </c>
      <c r="W109" s="46"/>
      <c r="X109" s="44" t="n">
        <f aca="false">AU109</f>
        <v>0.65</v>
      </c>
      <c r="Y109" s="44"/>
      <c r="Z109" s="55" t="n">
        <f aca="false">AV109</f>
        <v>0</v>
      </c>
      <c r="AA109" s="55"/>
      <c r="AB109" s="55"/>
      <c r="AC109" s="42" t="n">
        <f aca="false">AW109</f>
        <v>41.76159985</v>
      </c>
      <c r="AD109" s="42"/>
      <c r="AE109" s="42"/>
      <c r="AF109" s="12"/>
      <c r="AI109" s="56" t="n">
        <v>39</v>
      </c>
      <c r="AJ109" s="56" t="n">
        <v>40.5</v>
      </c>
      <c r="AK109" s="57" t="n">
        <f aca="false">AJ109-AI109</f>
        <v>1.5</v>
      </c>
      <c r="AL109" s="57" t="n">
        <f aca="false">(AI109+AJ109)/2</f>
        <v>39.75</v>
      </c>
      <c r="AM109" s="56" t="s">
        <v>199</v>
      </c>
      <c r="AN109" s="56" t="n">
        <v>50</v>
      </c>
      <c r="AO109" s="58" t="n">
        <f aca="false">IF(AL109&gt;$AA$20,$AA$22,$AA$21)</f>
        <v>19</v>
      </c>
      <c r="AP109" s="57" t="n">
        <f aca="false">AP108+AO109*AK109</f>
        <v>750.75</v>
      </c>
      <c r="AQ109" s="57" t="n">
        <f aca="false">AP109-AO109*AK109/2-10*MAX(AL109-$AA$20,0)</f>
        <v>419</v>
      </c>
      <c r="AR109" s="56"/>
      <c r="AS109" s="56"/>
      <c r="AT109" s="57" t="str">
        <f aca="false">IF(AR109="","",AR109-AS109)</f>
        <v/>
      </c>
      <c r="AU109" s="56" t="n">
        <v>0.65</v>
      </c>
      <c r="AV109" s="57" t="n">
        <f aca="false">IF(AM109="Sand",0,Input!$AA$34*AN109)</f>
        <v>0</v>
      </c>
      <c r="AW109" s="57" t="n">
        <f aca="false">IF(AM109="Sand",27.1+0.3*MIN(Input!$AA$35*AN109,60)-0.00054*MIN(Input!$AA$35*AN109,60)^2,MIN(MAX(DEGREES(ASIN(0.8-0.094*LN(MAX(IF(AT109="",10,AT109),5)))),20),30))</f>
        <v>41.76159985</v>
      </c>
      <c r="AX109" s="57" t="n">
        <f aca="false">IF(AM109="Sand",Input!$AA$36*Input!$AA$35*AN109,Input!$AA$37*AV109)</f>
        <v>54150</v>
      </c>
      <c r="AY109" s="59" t="n">
        <f aca="false">IF(AM109="Sand",Input!$AA$38,0.5)</f>
        <v>0.3</v>
      </c>
      <c r="AZ109" s="57" t="n">
        <f aca="false">Input!$AA$15/2/AL109</f>
        <v>0.930817610062893</v>
      </c>
      <c r="BA109" s="57" t="n">
        <f aca="false">Input!$AA$16/2/AL109</f>
        <v>2.54088050314465</v>
      </c>
      <c r="BB109" s="57" t="n">
        <f aca="false">1/(4*PI())*(2*AZ109*BA109*SQRT(AZ109^2+BA109^2+1)/(AZ109^2+BA109^2+1+AZ109^2*BA109^2)*(AZ109^2+BA109^2+2)/(AZ109^2+BA109^2+1)+ATAN2(AZ109^2+BA109^2+1-AZ109^2*BA109^2,2*AZ109*BA109*SQRT(AZ109^2+BA109^2+1)))</f>
        <v>0.196702587440146</v>
      </c>
      <c r="BC109" s="57" t="n">
        <f aca="false">4*Input!$AA$14*BB109</f>
        <v>107.006207567439</v>
      </c>
      <c r="BD109" s="57" t="n">
        <f aca="false">((Input!$AA$16/Input!$AA$15)*LN((1+SQRT((Input!$AA$16/Input!$AA$15)^2+1))*SQRT((Input!$AA$16/Input!$AA$15)^2+(AJ109/(Input!$AA$15/2))^2)/((Input!$AA$16/Input!$AA$15)*(1+SQRT((Input!$AA$16/Input!$AA$15)^2+(AJ109/(Input!$AA$15/2))^2+1))))+LN(((Input!$AA$16/Input!$AA$15)+SQRT((Input!$AA$16/Input!$AA$15)^2+1))*SQRT(1+(AJ109/(Input!$AA$15/2))^2)/((Input!$AA$16/Input!$AA$15)+SQRT((Input!$AA$16/Input!$AA$15)^2+(AJ109/(Input!$AA$15/2))^2+1))))/PI()</f>
        <v>0.135857256153312</v>
      </c>
      <c r="BE109" s="57" t="n">
        <f aca="false">(AJ109/(Input!$AA$15/2))/(2*PI())*ATAN((Input!$AA$16/Input!$AA$15)/((AJ109/(Input!$AA$15/2))*SQRT((Input!$AA$16/Input!$AA$15)^2+(AJ109/(Input!$AA$15/2))^2+1)))</f>
        <v>0.117844757073459</v>
      </c>
      <c r="BF109" s="57" t="n">
        <f aca="false">MAX(0,AJ109-MAX(AI109,$AA$23))/AK109*IF(BC109&gt;=Input!$AA$21*AQ109,1,0)</f>
        <v>1</v>
      </c>
      <c r="BG109" s="57" t="n">
        <f aca="false">4*Input!$AA$14*(Input!$AA$15/2)*(1-AY109^2)/AX109*((BD109-BD108)+(1-2*AY109)/(1-AY109)*(BE109-BE108))*1000*BF109</f>
        <v>2.56871031205885</v>
      </c>
      <c r="BH109" s="57" t="n">
        <f aca="false">IF(AM109="Sand",0,0.009*(AR109-10))</f>
        <v>0</v>
      </c>
      <c r="BI109" s="57" t="n">
        <f aca="false">BH109*Input!$AA$39</f>
        <v>0</v>
      </c>
      <c r="BJ109" s="57" t="n">
        <f aca="false">IF(AM109="Sand",0,MAX(AV109/Input!$AA$40,AQ109))</f>
        <v>0</v>
      </c>
      <c r="BK109" s="57" t="n">
        <f aca="false">IF(AM109="Sand",0,1000*AK109/(1+AU109)*IF(AQ109+BC109&lt;=BJ109,BI109*LOG10((AQ109+BC109)/AQ109),BI109*LOG10(BJ109/AQ109)+BH109*LOG10((AQ109+BC109)/BJ109)))*BF109</f>
        <v>0</v>
      </c>
      <c r="BL109" s="57" t="n">
        <f aca="false">IF(AM109="Sand",0,10^(INDEX(Input!$Q$51:$Q$57,MIN(MATCH(MIN(MAX(AR109,30),120),Input!$C$51:$C$57,1),6))+(MIN(MAX(AR109,30),120)-INDEX(Input!$C$51:$C$57,MIN(MATCH(MIN(MAX(AR109,30),120),Input!$C$51:$C$57,1),6)))/(INDEX(Input!$C$51:$C$57,MIN(MATCH(MIN(MAX(AR109,30),120),Input!$C$51:$C$57,1),6)+1)-INDEX(Input!$C$51:$C$57,MIN(MATCH(MIN(MAX(AR109,30),120),Input!$C$51:$C$57,1),6)))*(INDEX(Input!$Q$51:$Q$57,MIN(MATCH(MIN(MAX(AR109,30),120),Input!$C$51:$C$57,1),6)+1)-INDEX(Input!$Q$51:$Q$57,MIN(MATCH(MIN(MAX(AR109,30),120),Input!$C$51:$C$57,1),6)))))</f>
        <v>0</v>
      </c>
      <c r="BM109" s="57" t="n">
        <f aca="false">IF(OR(AM109="Sand",BF109=0),0,Input!$AA$41*(AK109/2)^2/(BL109*0.0001*31536000))</f>
        <v>0</v>
      </c>
      <c r="BN109" s="57" t="n">
        <f aca="false">MAX(0,MIN(AJ109,Input!$AA$20)-AI109)</f>
        <v>0</v>
      </c>
      <c r="BO109" s="57" t="n">
        <f aca="false">MAX(0,MIN(AJ109,Input!$AA$20)-MAX(AI109,$AA$23))</f>
        <v>0</v>
      </c>
      <c r="BP109" s="57" t="n">
        <f aca="false">BG109+BK109</f>
        <v>2.56871031205885</v>
      </c>
      <c r="BQ109" s="57" t="s">
        <v>335</v>
      </c>
    </row>
    <row r="110" customFormat="false" ht="14.25" hidden="false" customHeight="false" outlineLevel="0" collapsed="false">
      <c r="B110" s="7"/>
      <c r="C110" s="46" t="n">
        <v>28</v>
      </c>
      <c r="D110" s="46"/>
      <c r="E110" s="44" t="n">
        <f aca="false">AI110</f>
        <v>40.5</v>
      </c>
      <c r="F110" s="44"/>
      <c r="G110" s="44"/>
      <c r="H110" s="44" t="n">
        <f aca="false">AJ110</f>
        <v>42</v>
      </c>
      <c r="I110" s="44"/>
      <c r="J110" s="44"/>
      <c r="K110" s="41" t="str">
        <f aca="false">AM110</f>
        <v>Sand</v>
      </c>
      <c r="L110" s="41"/>
      <c r="M110" s="41"/>
      <c r="N110" s="46" t="n">
        <f aca="false">AN110</f>
        <v>37</v>
      </c>
      <c r="O110" s="46"/>
      <c r="P110" s="46"/>
      <c r="Q110" s="42" t="n">
        <f aca="false">AO110</f>
        <v>19</v>
      </c>
      <c r="R110" s="42"/>
      <c r="S110" s="42"/>
      <c r="T110" s="46" t="str">
        <f aca="false">IF(AR110="","-",AR110)</f>
        <v>-</v>
      </c>
      <c r="U110" s="46"/>
      <c r="V110" s="46" t="str">
        <f aca="false">IF(AT110="","-",AT110)</f>
        <v>-</v>
      </c>
      <c r="W110" s="46"/>
      <c r="X110" s="44" t="n">
        <f aca="false">AU110</f>
        <v>0.793</v>
      </c>
      <c r="Y110" s="44"/>
      <c r="Z110" s="55" t="n">
        <f aca="false">AV110</f>
        <v>0</v>
      </c>
      <c r="AA110" s="55"/>
      <c r="AB110" s="55"/>
      <c r="AC110" s="42" t="n">
        <f aca="false">AW110</f>
        <v>38.25423007786</v>
      </c>
      <c r="AD110" s="42"/>
      <c r="AE110" s="42"/>
      <c r="AF110" s="12"/>
      <c r="AI110" s="56" t="n">
        <v>40.5</v>
      </c>
      <c r="AJ110" s="56" t="n">
        <v>42</v>
      </c>
      <c r="AK110" s="57" t="n">
        <f aca="false">AJ110-AI110</f>
        <v>1.5</v>
      </c>
      <c r="AL110" s="57" t="n">
        <f aca="false">(AI110+AJ110)/2</f>
        <v>41.25</v>
      </c>
      <c r="AM110" s="56" t="s">
        <v>199</v>
      </c>
      <c r="AN110" s="56" t="n">
        <v>37</v>
      </c>
      <c r="AO110" s="58" t="n">
        <f aca="false">IF(AL110&gt;$AA$20,$AA$22,$AA$21)</f>
        <v>19</v>
      </c>
      <c r="AP110" s="57" t="n">
        <f aca="false">AP109+AO110*AK110</f>
        <v>779.25</v>
      </c>
      <c r="AQ110" s="57" t="n">
        <f aca="false">AP110-AO110*AK110/2-10*MAX(AL110-$AA$20,0)</f>
        <v>432.5</v>
      </c>
      <c r="AR110" s="56"/>
      <c r="AS110" s="56"/>
      <c r="AT110" s="57" t="str">
        <f aca="false">IF(AR110="","",AR110-AS110)</f>
        <v/>
      </c>
      <c r="AU110" s="56" t="n">
        <v>0.793</v>
      </c>
      <c r="AV110" s="57" t="n">
        <f aca="false">IF(AM110="Sand",0,Input!$AA$34*AN110)</f>
        <v>0</v>
      </c>
      <c r="AW110" s="57" t="n">
        <f aca="false">IF(AM110="Sand",27.1+0.3*MIN(Input!$AA$35*AN110,60)-0.00054*MIN(Input!$AA$35*AN110,60)^2,MIN(MAX(DEGREES(ASIN(0.8-0.094*LN(MAX(IF(AT110="",10,AT110),5)))),20),30))</f>
        <v>38.25423007786</v>
      </c>
      <c r="AX110" s="57" t="n">
        <f aca="false">IF(AM110="Sand",Input!$AA$36*Input!$AA$35*AN110,Input!$AA$37*AV110)</f>
        <v>40071</v>
      </c>
      <c r="AY110" s="59" t="n">
        <f aca="false">IF(AM110="Sand",Input!$AA$38,0.5)</f>
        <v>0.3</v>
      </c>
      <c r="AZ110" s="57" t="n">
        <f aca="false">Input!$AA$15/2/AL110</f>
        <v>0.896969696969697</v>
      </c>
      <c r="BA110" s="57" t="n">
        <f aca="false">Input!$AA$16/2/AL110</f>
        <v>2.44848484848485</v>
      </c>
      <c r="BB110" s="57" t="n">
        <f aca="false">1/(4*PI())*(2*AZ110*BA110*SQRT(AZ110^2+BA110^2+1)/(AZ110^2+BA110^2+1+AZ110^2*BA110^2)*(AZ110^2+BA110^2+2)/(AZ110^2+BA110^2+1)+ATAN2(AZ110^2+BA110^2+1-AZ110^2*BA110^2,2*AZ110*BA110*SQRT(AZ110^2+BA110^2+1)))</f>
        <v>0.193307738368962</v>
      </c>
      <c r="BC110" s="57" t="n">
        <f aca="false">4*Input!$AA$14*BB110</f>
        <v>105.159409672716</v>
      </c>
      <c r="BD110" s="57" t="n">
        <f aca="false">((Input!$AA$16/Input!$AA$15)*LN((1+SQRT((Input!$AA$16/Input!$AA$15)^2+1))*SQRT((Input!$AA$16/Input!$AA$15)^2+(AJ110/(Input!$AA$15/2))^2)/((Input!$AA$16/Input!$AA$15)*(1+SQRT((Input!$AA$16/Input!$AA$15)^2+(AJ110/(Input!$AA$15/2))^2+1))))+LN(((Input!$AA$16/Input!$AA$15)+SQRT((Input!$AA$16/Input!$AA$15)^2+1))*SQRT(1+(AJ110/(Input!$AA$15/2))^2)/((Input!$AA$16/Input!$AA$15)+SQRT((Input!$AA$16/Input!$AA$15)^2+(AJ110/(Input!$AA$15/2))^2+1))))/PI()</f>
        <v>0.142931133731755</v>
      </c>
      <c r="BE110" s="57" t="n">
        <f aca="false">(AJ110/(Input!$AA$15/2))/(2*PI())*ATAN((Input!$AA$16/Input!$AA$15)/((AJ110/(Input!$AA$15/2))*SQRT((Input!$AA$16/Input!$AA$15)^2+(AJ110/(Input!$AA$15/2))^2+1)))</f>
        <v>0.118607707144671</v>
      </c>
      <c r="BF110" s="57" t="n">
        <f aca="false">MAX(0,AJ110-MAX(AI110,$AA$23))/AK110*IF(BC110&gt;=Input!$AA$21*AQ110,1,0)</f>
        <v>1</v>
      </c>
      <c r="BG110" s="57" t="n">
        <f aca="false">4*Input!$AA$14*(Input!$AA$15/2)*(1-AY110^2)/AX110*((BD110-BD109)+(1-2*AY110)/(1-AY110)*(BE110-BE109))*1000*BF110</f>
        <v>3.43275685371848</v>
      </c>
      <c r="BH110" s="57" t="n">
        <f aca="false">IF(AM110="Sand",0,0.009*(AR110-10))</f>
        <v>0</v>
      </c>
      <c r="BI110" s="57" t="n">
        <f aca="false">BH110*Input!$AA$39</f>
        <v>0</v>
      </c>
      <c r="BJ110" s="57" t="n">
        <f aca="false">IF(AM110="Sand",0,MAX(AV110/Input!$AA$40,AQ110))</f>
        <v>0</v>
      </c>
      <c r="BK110" s="57" t="n">
        <f aca="false">IF(AM110="Sand",0,1000*AK110/(1+AU110)*IF(AQ110+BC110&lt;=BJ110,BI110*LOG10((AQ110+BC110)/AQ110),BI110*LOG10(BJ110/AQ110)+BH110*LOG10((AQ110+BC110)/BJ110)))*BF110</f>
        <v>0</v>
      </c>
      <c r="BL110" s="57" t="n">
        <f aca="false">IF(AM110="Sand",0,10^(INDEX(Input!$Q$51:$Q$57,MIN(MATCH(MIN(MAX(AR110,30),120),Input!$C$51:$C$57,1),6))+(MIN(MAX(AR110,30),120)-INDEX(Input!$C$51:$C$57,MIN(MATCH(MIN(MAX(AR110,30),120),Input!$C$51:$C$57,1),6)))/(INDEX(Input!$C$51:$C$57,MIN(MATCH(MIN(MAX(AR110,30),120),Input!$C$51:$C$57,1),6)+1)-INDEX(Input!$C$51:$C$57,MIN(MATCH(MIN(MAX(AR110,30),120),Input!$C$51:$C$57,1),6)))*(INDEX(Input!$Q$51:$Q$57,MIN(MATCH(MIN(MAX(AR110,30),120),Input!$C$51:$C$57,1),6)+1)-INDEX(Input!$Q$51:$Q$57,MIN(MATCH(MIN(MAX(AR110,30),120),Input!$C$51:$C$57,1),6)))))</f>
        <v>0</v>
      </c>
      <c r="BM110" s="57" t="n">
        <f aca="false">IF(OR(AM110="Sand",BF110=0),0,Input!$AA$41*(AK110/2)^2/(BL110*0.0001*31536000))</f>
        <v>0</v>
      </c>
      <c r="BN110" s="57" t="n">
        <f aca="false">MAX(0,MIN(AJ110,Input!$AA$20)-AI110)</f>
        <v>0</v>
      </c>
      <c r="BO110" s="57" t="n">
        <f aca="false">MAX(0,MIN(AJ110,Input!$AA$20)-MAX(AI110,$AA$23))</f>
        <v>0</v>
      </c>
      <c r="BP110" s="57" t="n">
        <f aca="false">BG110+BK110</f>
        <v>3.43275685371848</v>
      </c>
      <c r="BQ110" s="57" t="s">
        <v>335</v>
      </c>
    </row>
    <row r="111" customFormat="false" ht="14.25" hidden="false" customHeight="false" outlineLevel="0" collapsed="false">
      <c r="B111" s="7"/>
      <c r="C111" s="46" t="n">
        <v>29</v>
      </c>
      <c r="D111" s="46"/>
      <c r="E111" s="44" t="n">
        <f aca="false">AI111</f>
        <v>42</v>
      </c>
      <c r="F111" s="44"/>
      <c r="G111" s="44"/>
      <c r="H111" s="44" t="n">
        <f aca="false">AJ111</f>
        <v>43.5</v>
      </c>
      <c r="I111" s="44"/>
      <c r="J111" s="44"/>
      <c r="K111" s="41" t="str">
        <f aca="false">AM111</f>
        <v>Sand</v>
      </c>
      <c r="L111" s="41"/>
      <c r="M111" s="41"/>
      <c r="N111" s="46" t="n">
        <f aca="false">AN111</f>
        <v>50</v>
      </c>
      <c r="O111" s="46"/>
      <c r="P111" s="46"/>
      <c r="Q111" s="42" t="n">
        <f aca="false">AO111</f>
        <v>19</v>
      </c>
      <c r="R111" s="42"/>
      <c r="S111" s="42"/>
      <c r="T111" s="46" t="str">
        <f aca="false">IF(AR111="","-",AR111)</f>
        <v>-</v>
      </c>
      <c r="U111" s="46"/>
      <c r="V111" s="46" t="str">
        <f aca="false">IF(AT111="","-",AT111)</f>
        <v>-</v>
      </c>
      <c r="W111" s="46"/>
      <c r="X111" s="44" t="n">
        <f aca="false">AU111</f>
        <v>0.65</v>
      </c>
      <c r="Y111" s="44"/>
      <c r="Z111" s="55" t="n">
        <f aca="false">AV111</f>
        <v>0</v>
      </c>
      <c r="AA111" s="55"/>
      <c r="AB111" s="55"/>
      <c r="AC111" s="42" t="n">
        <f aca="false">AW111</f>
        <v>41.76159985</v>
      </c>
      <c r="AD111" s="42"/>
      <c r="AE111" s="42"/>
      <c r="AF111" s="12"/>
      <c r="AI111" s="56" t="n">
        <v>42</v>
      </c>
      <c r="AJ111" s="56" t="n">
        <v>43.5</v>
      </c>
      <c r="AK111" s="57" t="n">
        <f aca="false">AJ111-AI111</f>
        <v>1.5</v>
      </c>
      <c r="AL111" s="57" t="n">
        <f aca="false">(AI111+AJ111)/2</f>
        <v>42.75</v>
      </c>
      <c r="AM111" s="56" t="s">
        <v>199</v>
      </c>
      <c r="AN111" s="56" t="n">
        <v>50</v>
      </c>
      <c r="AO111" s="58" t="n">
        <f aca="false">IF(AL111&gt;$AA$20,$AA$22,$AA$21)</f>
        <v>19</v>
      </c>
      <c r="AP111" s="57" t="n">
        <f aca="false">AP110+AO111*AK111</f>
        <v>807.75</v>
      </c>
      <c r="AQ111" s="57" t="n">
        <f aca="false">AP111-AO111*AK111/2-10*MAX(AL111-$AA$20,0)</f>
        <v>446</v>
      </c>
      <c r="AR111" s="56"/>
      <c r="AS111" s="56"/>
      <c r="AT111" s="57" t="str">
        <f aca="false">IF(AR111="","",AR111-AS111)</f>
        <v/>
      </c>
      <c r="AU111" s="56" t="n">
        <v>0.65</v>
      </c>
      <c r="AV111" s="57" t="n">
        <f aca="false">IF(AM111="Sand",0,Input!$AA$34*AN111)</f>
        <v>0</v>
      </c>
      <c r="AW111" s="57" t="n">
        <f aca="false">IF(AM111="Sand",27.1+0.3*MIN(Input!$AA$35*AN111,60)-0.00054*MIN(Input!$AA$35*AN111,60)^2,MIN(MAX(DEGREES(ASIN(0.8-0.094*LN(MAX(IF(AT111="",10,AT111),5)))),20),30))</f>
        <v>41.76159985</v>
      </c>
      <c r="AX111" s="57" t="n">
        <f aca="false">IF(AM111="Sand",Input!$AA$36*Input!$AA$35*AN111,Input!$AA$37*AV111)</f>
        <v>54150</v>
      </c>
      <c r="AY111" s="59" t="n">
        <f aca="false">IF(AM111="Sand",Input!$AA$38,0.5)</f>
        <v>0.3</v>
      </c>
      <c r="AZ111" s="57" t="n">
        <f aca="false">Input!$AA$15/2/AL111</f>
        <v>0.865497076023392</v>
      </c>
      <c r="BA111" s="57" t="n">
        <f aca="false">Input!$AA$16/2/AL111</f>
        <v>2.3625730994152</v>
      </c>
      <c r="BB111" s="57" t="n">
        <f aca="false">1/(4*PI())*(2*AZ111*BA111*SQRT(AZ111^2+BA111^2+1)/(AZ111^2+BA111^2+1+AZ111^2*BA111^2)*(AZ111^2+BA111^2+2)/(AZ111^2+BA111^2+1)+ATAN2(AZ111^2+BA111^2+1-AZ111^2*BA111^2,2*AZ111*BA111*SQRT(AZ111^2+BA111^2+1)))</f>
        <v>0.189929062586271</v>
      </c>
      <c r="BC111" s="57" t="n">
        <f aca="false">4*Input!$AA$14*BB111</f>
        <v>103.321410046931</v>
      </c>
      <c r="BD111" s="57" t="n">
        <f aca="false">((Input!$AA$16/Input!$AA$15)*LN((1+SQRT((Input!$AA$16/Input!$AA$15)^2+1))*SQRT((Input!$AA$16/Input!$AA$15)^2+(AJ111/(Input!$AA$15/2))^2)/((Input!$AA$16/Input!$AA$15)*(1+SQRT((Input!$AA$16/Input!$AA$15)^2+(AJ111/(Input!$AA$15/2))^2+1))))+LN(((Input!$AA$16/Input!$AA$15)+SQRT((Input!$AA$16/Input!$AA$15)^2+1))*SQRT(1+(AJ111/(Input!$AA$15/2))^2)/((Input!$AA$16/Input!$AA$15)+SQRT((Input!$AA$16/Input!$AA$15)^2+(AJ111/(Input!$AA$15/2))^2+1))))/PI()</f>
        <v>0.149983423865366</v>
      </c>
      <c r="BE111" s="57" t="n">
        <f aca="false">(AJ111/(Input!$AA$15/2))/(2*PI())*ATAN((Input!$AA$16/Input!$AA$15)/((AJ111/(Input!$AA$15/2))*SQRT((Input!$AA$16/Input!$AA$15)^2+(AJ111/(Input!$AA$15/2))^2+1)))</f>
        <v>0.11925528314828</v>
      </c>
      <c r="BF111" s="57" t="n">
        <f aca="false">MAX(0,AJ111-MAX(AI111,$AA$23))/AK111*IF(BC111&gt;=Input!$AA$21*AQ111,1,0)</f>
        <v>1</v>
      </c>
      <c r="BG111" s="57" t="n">
        <f aca="false">4*Input!$AA$14*(Input!$AA$15/2)*(1-AY111^2)/AX111*((BD111-BD110)+(1-2*AY111)/(1-AY111)*(BE111-BE110))*1000*BF111</f>
        <v>2.51063756754944</v>
      </c>
      <c r="BH111" s="57" t="n">
        <f aca="false">IF(AM111="Sand",0,0.009*(AR111-10))</f>
        <v>0</v>
      </c>
      <c r="BI111" s="57" t="n">
        <f aca="false">BH111*Input!$AA$39</f>
        <v>0</v>
      </c>
      <c r="BJ111" s="57" t="n">
        <f aca="false">IF(AM111="Sand",0,MAX(AV111/Input!$AA$40,AQ111))</f>
        <v>0</v>
      </c>
      <c r="BK111" s="57" t="n">
        <f aca="false">IF(AM111="Sand",0,1000*AK111/(1+AU111)*IF(AQ111+BC111&lt;=BJ111,BI111*LOG10((AQ111+BC111)/AQ111),BI111*LOG10(BJ111/AQ111)+BH111*LOG10((AQ111+BC111)/BJ111)))*BF111</f>
        <v>0</v>
      </c>
      <c r="BL111" s="57" t="n">
        <f aca="false">IF(AM111="Sand",0,10^(INDEX(Input!$Q$51:$Q$57,MIN(MATCH(MIN(MAX(AR111,30),120),Input!$C$51:$C$57,1),6))+(MIN(MAX(AR111,30),120)-INDEX(Input!$C$51:$C$57,MIN(MATCH(MIN(MAX(AR111,30),120),Input!$C$51:$C$57,1),6)))/(INDEX(Input!$C$51:$C$57,MIN(MATCH(MIN(MAX(AR111,30),120),Input!$C$51:$C$57,1),6)+1)-INDEX(Input!$C$51:$C$57,MIN(MATCH(MIN(MAX(AR111,30),120),Input!$C$51:$C$57,1),6)))*(INDEX(Input!$Q$51:$Q$57,MIN(MATCH(MIN(MAX(AR111,30),120),Input!$C$51:$C$57,1),6)+1)-INDEX(Input!$Q$51:$Q$57,MIN(MATCH(MIN(MAX(AR111,30),120),Input!$C$51:$C$57,1),6)))))</f>
        <v>0</v>
      </c>
      <c r="BM111" s="57" t="n">
        <f aca="false">IF(OR(AM111="Sand",BF111=0),0,Input!$AA$41*(AK111/2)^2/(BL111*0.0001*31536000))</f>
        <v>0</v>
      </c>
      <c r="BN111" s="57" t="n">
        <f aca="false">MAX(0,MIN(AJ111,Input!$AA$20)-AI111)</f>
        <v>0</v>
      </c>
      <c r="BO111" s="57" t="n">
        <f aca="false">MAX(0,MIN(AJ111,Input!$AA$20)-MAX(AI111,$AA$23))</f>
        <v>0</v>
      </c>
      <c r="BP111" s="57" t="n">
        <f aca="false">BG111+BK111</f>
        <v>2.51063756754944</v>
      </c>
      <c r="BQ111" s="57" t="s">
        <v>335</v>
      </c>
    </row>
    <row r="112" customFormat="false" ht="14.25" hidden="false" customHeight="false" outlineLevel="0" collapsed="false">
      <c r="B112" s="7"/>
      <c r="C112" s="46" t="n">
        <v>30</v>
      </c>
      <c r="D112" s="46"/>
      <c r="E112" s="44" t="n">
        <f aca="false">AI112</f>
        <v>43.5</v>
      </c>
      <c r="F112" s="44"/>
      <c r="G112" s="44"/>
      <c r="H112" s="44" t="n">
        <f aca="false">AJ112</f>
        <v>45</v>
      </c>
      <c r="I112" s="44"/>
      <c r="J112" s="44"/>
      <c r="K112" s="41" t="str">
        <f aca="false">AM112</f>
        <v>Sand</v>
      </c>
      <c r="L112" s="41"/>
      <c r="M112" s="41"/>
      <c r="N112" s="46" t="n">
        <f aca="false">AN112</f>
        <v>50</v>
      </c>
      <c r="O112" s="46"/>
      <c r="P112" s="46"/>
      <c r="Q112" s="42" t="n">
        <f aca="false">AO112</f>
        <v>19</v>
      </c>
      <c r="R112" s="42"/>
      <c r="S112" s="42"/>
      <c r="T112" s="46" t="str">
        <f aca="false">IF(AR112="","-",AR112)</f>
        <v>-</v>
      </c>
      <c r="U112" s="46"/>
      <c r="V112" s="46" t="str">
        <f aca="false">IF(AT112="","-",AT112)</f>
        <v>-</v>
      </c>
      <c r="W112" s="46"/>
      <c r="X112" s="44" t="n">
        <f aca="false">AU112</f>
        <v>0.67</v>
      </c>
      <c r="Y112" s="44"/>
      <c r="Z112" s="55" t="n">
        <f aca="false">AV112</f>
        <v>0</v>
      </c>
      <c r="AA112" s="55"/>
      <c r="AB112" s="55"/>
      <c r="AC112" s="42" t="n">
        <f aca="false">AW112</f>
        <v>41.76159985</v>
      </c>
      <c r="AD112" s="42"/>
      <c r="AE112" s="42"/>
      <c r="AF112" s="12"/>
      <c r="AI112" s="56" t="n">
        <v>43.5</v>
      </c>
      <c r="AJ112" s="56" t="n">
        <v>45</v>
      </c>
      <c r="AK112" s="57" t="n">
        <f aca="false">AJ112-AI112</f>
        <v>1.5</v>
      </c>
      <c r="AL112" s="57" t="n">
        <f aca="false">(AI112+AJ112)/2</f>
        <v>44.25</v>
      </c>
      <c r="AM112" s="56" t="s">
        <v>199</v>
      </c>
      <c r="AN112" s="56" t="n">
        <v>50</v>
      </c>
      <c r="AO112" s="58" t="n">
        <f aca="false">IF(AL112&gt;$AA$20,$AA$22,$AA$21)</f>
        <v>19</v>
      </c>
      <c r="AP112" s="57" t="n">
        <f aca="false">AP111+AO112*AK112</f>
        <v>836.25</v>
      </c>
      <c r="AQ112" s="57" t="n">
        <f aca="false">AP112-AO112*AK112/2-10*MAX(AL112-$AA$20,0)</f>
        <v>459.5</v>
      </c>
      <c r="AR112" s="56"/>
      <c r="AS112" s="56"/>
      <c r="AT112" s="57" t="str">
        <f aca="false">IF(AR112="","",AR112-AS112)</f>
        <v/>
      </c>
      <c r="AU112" s="56" t="n">
        <v>0.67</v>
      </c>
      <c r="AV112" s="57" t="n">
        <f aca="false">IF(AM112="Sand",0,Input!$AA$34*AN112)</f>
        <v>0</v>
      </c>
      <c r="AW112" s="57" t="n">
        <f aca="false">IF(AM112="Sand",27.1+0.3*MIN(Input!$AA$35*AN112,60)-0.00054*MIN(Input!$AA$35*AN112,60)^2,MIN(MAX(DEGREES(ASIN(0.8-0.094*LN(MAX(IF(AT112="",10,AT112),5)))),20),30))</f>
        <v>41.76159985</v>
      </c>
      <c r="AX112" s="57" t="n">
        <f aca="false">IF(AM112="Sand",Input!$AA$36*Input!$AA$35*AN112,Input!$AA$37*AV112)</f>
        <v>54150</v>
      </c>
      <c r="AY112" s="59" t="n">
        <f aca="false">IF(AM112="Sand",Input!$AA$38,0.5)</f>
        <v>0.3</v>
      </c>
      <c r="AZ112" s="57" t="n">
        <f aca="false">Input!$AA$15/2/AL112</f>
        <v>0.836158192090395</v>
      </c>
      <c r="BA112" s="57" t="n">
        <f aca="false">Input!$AA$16/2/AL112</f>
        <v>2.28248587570621</v>
      </c>
      <c r="BB112" s="57" t="n">
        <f aca="false">1/(4*PI())*(2*AZ112*BA112*SQRT(AZ112^2+BA112^2+1)/(AZ112^2+BA112^2+1+AZ112^2*BA112^2)*(AZ112^2+BA112^2+2)/(AZ112^2+BA112^2+1)+ATAN2(AZ112^2+BA112^2+1-AZ112^2*BA112^2,2*AZ112*BA112*SQRT(AZ112^2+BA112^2+1)))</f>
        <v>0.186573569537252</v>
      </c>
      <c r="BC112" s="57" t="n">
        <f aca="false">4*Input!$AA$14*BB112</f>
        <v>101.496021828265</v>
      </c>
      <c r="BD112" s="57" t="n">
        <f aca="false">((Input!$AA$16/Input!$AA$15)*LN((1+SQRT((Input!$AA$16/Input!$AA$15)^2+1))*SQRT((Input!$AA$16/Input!$AA$15)^2+(AJ112/(Input!$AA$15/2))^2)/((Input!$AA$16/Input!$AA$15)*(1+SQRT((Input!$AA$16/Input!$AA$15)^2+(AJ112/(Input!$AA$15/2))^2+1))))+LN(((Input!$AA$16/Input!$AA$15)+SQRT((Input!$AA$16/Input!$AA$15)^2+1))*SQRT(1+(AJ112/(Input!$AA$15/2))^2)/((Input!$AA$16/Input!$AA$15)+SQRT((Input!$AA$16/Input!$AA$15)^2+(AJ112/(Input!$AA$15/2))^2+1))))/PI()</f>
        <v>0.157006419484548</v>
      </c>
      <c r="BE112" s="57" t="n">
        <f aca="false">(AJ112/(Input!$AA$15/2))/(2*PI())*ATAN((Input!$AA$16/Input!$AA$15)/((AJ112/(Input!$AA$15/2))*SQRT((Input!$AA$16/Input!$AA$15)^2+(AJ112/(Input!$AA$15/2))^2+1)))</f>
        <v>0.119796130362691</v>
      </c>
      <c r="BF112" s="57" t="n">
        <f aca="false">MAX(0,AJ112-MAX(AI112,$AA$23))/AK112*IF(BC112&gt;=Input!$AA$21*AQ112,1,0)</f>
        <v>1</v>
      </c>
      <c r="BG112" s="57" t="n">
        <f aca="false">4*Input!$AA$14*(Input!$AA$15/2)*(1-AY112^2)/AX112*((BD112-BD111)+(1-2*AY112)/(1-AY112)*(BE112-BE111))*1000*BF112</f>
        <v>2.48009914347766</v>
      </c>
      <c r="BH112" s="57" t="n">
        <f aca="false">IF(AM112="Sand",0,0.009*(AR112-10))</f>
        <v>0</v>
      </c>
      <c r="BI112" s="57" t="n">
        <f aca="false">BH112*Input!$AA$39</f>
        <v>0</v>
      </c>
      <c r="BJ112" s="57" t="n">
        <f aca="false">IF(AM112="Sand",0,MAX(AV112/Input!$AA$40,AQ112))</f>
        <v>0</v>
      </c>
      <c r="BK112" s="57" t="n">
        <f aca="false">IF(AM112="Sand",0,1000*AK112/(1+AU112)*IF(AQ112+BC112&lt;=BJ112,BI112*LOG10((AQ112+BC112)/AQ112),BI112*LOG10(BJ112/AQ112)+BH112*LOG10((AQ112+BC112)/BJ112)))*BF112</f>
        <v>0</v>
      </c>
      <c r="BL112" s="57" t="n">
        <f aca="false">IF(AM112="Sand",0,10^(INDEX(Input!$Q$51:$Q$57,MIN(MATCH(MIN(MAX(AR112,30),120),Input!$C$51:$C$57,1),6))+(MIN(MAX(AR112,30),120)-INDEX(Input!$C$51:$C$57,MIN(MATCH(MIN(MAX(AR112,30),120),Input!$C$51:$C$57,1),6)))/(INDEX(Input!$C$51:$C$57,MIN(MATCH(MIN(MAX(AR112,30),120),Input!$C$51:$C$57,1),6)+1)-INDEX(Input!$C$51:$C$57,MIN(MATCH(MIN(MAX(AR112,30),120),Input!$C$51:$C$57,1),6)))*(INDEX(Input!$Q$51:$Q$57,MIN(MATCH(MIN(MAX(AR112,30),120),Input!$C$51:$C$57,1),6)+1)-INDEX(Input!$Q$51:$Q$57,MIN(MATCH(MIN(MAX(AR112,30),120),Input!$C$51:$C$57,1),6)))))</f>
        <v>0</v>
      </c>
      <c r="BM112" s="57" t="n">
        <f aca="false">IF(OR(AM112="Sand",BF112=0),0,Input!$AA$41*(AK112/2)^2/(BL112*0.0001*31536000))</f>
        <v>0</v>
      </c>
      <c r="BN112" s="57" t="n">
        <f aca="false">MAX(0,MIN(AJ112,Input!$AA$20)-AI112)</f>
        <v>0</v>
      </c>
      <c r="BO112" s="57" t="n">
        <f aca="false">MAX(0,MIN(AJ112,Input!$AA$20)-MAX(AI112,$AA$23))</f>
        <v>0</v>
      </c>
      <c r="BP112" s="57" t="n">
        <f aca="false">BG112+BK112</f>
        <v>2.48009914347766</v>
      </c>
      <c r="BQ112" s="57" t="s">
        <v>335</v>
      </c>
    </row>
    <row r="113" customFormat="false" ht="14.25" hidden="false" customHeight="false" outlineLevel="0" collapsed="false">
      <c r="B113" s="7"/>
      <c r="C113" s="46" t="n">
        <v>31</v>
      </c>
      <c r="D113" s="46"/>
      <c r="E113" s="44" t="n">
        <f aca="false">AI113</f>
        <v>45</v>
      </c>
      <c r="F113" s="44"/>
      <c r="G113" s="44"/>
      <c r="H113" s="44" t="n">
        <f aca="false">AJ113</f>
        <v>46.5</v>
      </c>
      <c r="I113" s="44"/>
      <c r="J113" s="44"/>
      <c r="K113" s="41" t="str">
        <f aca="false">AM113</f>
        <v>Sand</v>
      </c>
      <c r="L113" s="41"/>
      <c r="M113" s="41"/>
      <c r="N113" s="46" t="n">
        <f aca="false">AN113</f>
        <v>50</v>
      </c>
      <c r="O113" s="46"/>
      <c r="P113" s="46"/>
      <c r="Q113" s="42" t="n">
        <f aca="false">AO113</f>
        <v>19</v>
      </c>
      <c r="R113" s="42"/>
      <c r="S113" s="42"/>
      <c r="T113" s="46" t="str">
        <f aca="false">IF(AR113="","-",AR113)</f>
        <v>-</v>
      </c>
      <c r="U113" s="46"/>
      <c r="V113" s="46" t="str">
        <f aca="false">IF(AT113="","-",AT113)</f>
        <v>-</v>
      </c>
      <c r="W113" s="46"/>
      <c r="X113" s="44" t="n">
        <f aca="false">AU113</f>
        <v>0.65</v>
      </c>
      <c r="Y113" s="44"/>
      <c r="Z113" s="55" t="n">
        <f aca="false">AV113</f>
        <v>0</v>
      </c>
      <c r="AA113" s="55"/>
      <c r="AB113" s="55"/>
      <c r="AC113" s="42" t="n">
        <f aca="false">AW113</f>
        <v>41.76159985</v>
      </c>
      <c r="AD113" s="42"/>
      <c r="AE113" s="42"/>
      <c r="AF113" s="12"/>
      <c r="AI113" s="56" t="n">
        <v>45</v>
      </c>
      <c r="AJ113" s="56" t="n">
        <v>46.5</v>
      </c>
      <c r="AK113" s="57" t="n">
        <f aca="false">AJ113-AI113</f>
        <v>1.5</v>
      </c>
      <c r="AL113" s="57" t="n">
        <f aca="false">(AI113+AJ113)/2</f>
        <v>45.75</v>
      </c>
      <c r="AM113" s="56" t="s">
        <v>199</v>
      </c>
      <c r="AN113" s="56" t="n">
        <v>50</v>
      </c>
      <c r="AO113" s="58" t="n">
        <f aca="false">IF(AL113&gt;$AA$20,$AA$22,$AA$21)</f>
        <v>19</v>
      </c>
      <c r="AP113" s="57" t="n">
        <f aca="false">AP112+AO113*AK113</f>
        <v>864.75</v>
      </c>
      <c r="AQ113" s="57" t="n">
        <f aca="false">AP113-AO113*AK113/2-10*MAX(AL113-$AA$20,0)</f>
        <v>473</v>
      </c>
      <c r="AR113" s="56"/>
      <c r="AS113" s="56"/>
      <c r="AT113" s="57" t="str">
        <f aca="false">IF(AR113="","",AR113-AS113)</f>
        <v/>
      </c>
      <c r="AU113" s="56" t="n">
        <v>0.65</v>
      </c>
      <c r="AV113" s="57" t="n">
        <f aca="false">IF(AM113="Sand",0,Input!$AA$34*AN113)</f>
        <v>0</v>
      </c>
      <c r="AW113" s="57" t="n">
        <f aca="false">IF(AM113="Sand",27.1+0.3*MIN(Input!$AA$35*AN113,60)-0.00054*MIN(Input!$AA$35*AN113,60)^2,MIN(MAX(DEGREES(ASIN(0.8-0.094*LN(MAX(IF(AT113="",10,AT113),5)))),20),30))</f>
        <v>41.76159985</v>
      </c>
      <c r="AX113" s="57" t="n">
        <f aca="false">IF(AM113="Sand",Input!$AA$36*Input!$AA$35*AN113,Input!$AA$37*AV113)</f>
        <v>54150</v>
      </c>
      <c r="AY113" s="59" t="n">
        <f aca="false">IF(AM113="Sand",Input!$AA$38,0.5)</f>
        <v>0.3</v>
      </c>
      <c r="AZ113" s="57" t="n">
        <f aca="false">Input!$AA$15/2/AL113</f>
        <v>0.808743169398907</v>
      </c>
      <c r="BA113" s="57" t="n">
        <f aca="false">Input!$AA$16/2/AL113</f>
        <v>2.20765027322404</v>
      </c>
      <c r="BB113" s="57" t="n">
        <f aca="false">1/(4*PI())*(2*AZ113*BA113*SQRT(AZ113^2+BA113^2+1)/(AZ113^2+BA113^2+1+AZ113^2*BA113^2)*(AZ113^2+BA113^2+2)/(AZ113^2+BA113^2+1)+ATAN2(AZ113^2+BA113^2+1-AZ113^2*BA113^2,2*AZ113*BA113*SQRT(AZ113^2+BA113^2+1)))</f>
        <v>0.183247302768845</v>
      </c>
      <c r="BC113" s="57" t="n">
        <f aca="false">4*Input!$AA$14*BB113</f>
        <v>99.6865327062518</v>
      </c>
      <c r="BD113" s="57" t="n">
        <f aca="false">((Input!$AA$16/Input!$AA$15)*LN((1+SQRT((Input!$AA$16/Input!$AA$15)^2+1))*SQRT((Input!$AA$16/Input!$AA$15)^2+(AJ113/(Input!$AA$15/2))^2)/((Input!$AA$16/Input!$AA$15)*(1+SQRT((Input!$AA$16/Input!$AA$15)^2+(AJ113/(Input!$AA$15/2))^2+1))))+LN(((Input!$AA$16/Input!$AA$15)+SQRT((Input!$AA$16/Input!$AA$15)^2+1))*SQRT(1+(AJ113/(Input!$AA$15/2))^2)/((Input!$AA$16/Input!$AA$15)+SQRT((Input!$AA$16/Input!$AA$15)^2+(AJ113/(Input!$AA$15/2))^2+1))))/PI()</f>
        <v>0.163993300910008</v>
      </c>
      <c r="BE113" s="57" t="n">
        <f aca="false">(AJ113/(Input!$AA$15/2))/(2*PI())*ATAN((Input!$AA$16/Input!$AA$15)/((AJ113/(Input!$AA$15/2))*SQRT((Input!$AA$16/Input!$AA$15)^2+(AJ113/(Input!$AA$15/2))^2+1)))</f>
        <v>0.120238251830284</v>
      </c>
      <c r="BF113" s="57" t="n">
        <f aca="false">MAX(0,AJ113-MAX(AI113,$AA$23))/AK113*IF(BC113&gt;=Input!$AA$21*AQ113,1,0)</f>
        <v>1</v>
      </c>
      <c r="BG113" s="57" t="n">
        <f aca="false">4*Input!$AA$14*(Input!$AA$15/2)*(1-AY113^2)/AX113*((BD113-BD112)+(1-2*AY113)/(1-AY113)*(BE113-BE112))*1000*BF113</f>
        <v>2.44880082658623</v>
      </c>
      <c r="BH113" s="57" t="n">
        <f aca="false">IF(AM113="Sand",0,0.009*(AR113-10))</f>
        <v>0</v>
      </c>
      <c r="BI113" s="57" t="n">
        <f aca="false">BH113*Input!$AA$39</f>
        <v>0</v>
      </c>
      <c r="BJ113" s="57" t="n">
        <f aca="false">IF(AM113="Sand",0,MAX(AV113/Input!$AA$40,AQ113))</f>
        <v>0</v>
      </c>
      <c r="BK113" s="57" t="n">
        <f aca="false">IF(AM113="Sand",0,1000*AK113/(1+AU113)*IF(AQ113+BC113&lt;=BJ113,BI113*LOG10((AQ113+BC113)/AQ113),BI113*LOG10(BJ113/AQ113)+BH113*LOG10((AQ113+BC113)/BJ113)))*BF113</f>
        <v>0</v>
      </c>
      <c r="BL113" s="57" t="n">
        <f aca="false">IF(AM113="Sand",0,10^(INDEX(Input!$Q$51:$Q$57,MIN(MATCH(MIN(MAX(AR113,30),120),Input!$C$51:$C$57,1),6))+(MIN(MAX(AR113,30),120)-INDEX(Input!$C$51:$C$57,MIN(MATCH(MIN(MAX(AR113,30),120),Input!$C$51:$C$57,1),6)))/(INDEX(Input!$C$51:$C$57,MIN(MATCH(MIN(MAX(AR113,30),120),Input!$C$51:$C$57,1),6)+1)-INDEX(Input!$C$51:$C$57,MIN(MATCH(MIN(MAX(AR113,30),120),Input!$C$51:$C$57,1),6)))*(INDEX(Input!$Q$51:$Q$57,MIN(MATCH(MIN(MAX(AR113,30),120),Input!$C$51:$C$57,1),6)+1)-INDEX(Input!$Q$51:$Q$57,MIN(MATCH(MIN(MAX(AR113,30),120),Input!$C$51:$C$57,1),6)))))</f>
        <v>0</v>
      </c>
      <c r="BM113" s="57" t="n">
        <f aca="false">IF(OR(AM113="Sand",BF113=0),0,Input!$AA$41*(AK113/2)^2/(BL113*0.0001*31536000))</f>
        <v>0</v>
      </c>
      <c r="BN113" s="57" t="n">
        <f aca="false">MAX(0,MIN(AJ113,Input!$AA$20)-AI113)</f>
        <v>0</v>
      </c>
      <c r="BO113" s="57" t="n">
        <f aca="false">MAX(0,MIN(AJ113,Input!$AA$20)-MAX(AI113,$AA$23))</f>
        <v>0</v>
      </c>
      <c r="BP113" s="57" t="n">
        <f aca="false">BG113+BK113</f>
        <v>2.44880082658623</v>
      </c>
      <c r="BQ113" s="57" t="s">
        <v>335</v>
      </c>
    </row>
    <row r="114" customFormat="false" ht="14.25" hidden="false" customHeight="false" outlineLevel="0" collapsed="false">
      <c r="B114" s="7"/>
      <c r="C114" s="46" t="n">
        <v>32</v>
      </c>
      <c r="D114" s="46"/>
      <c r="E114" s="44" t="n">
        <f aca="false">AI114</f>
        <v>46.5</v>
      </c>
      <c r="F114" s="44"/>
      <c r="G114" s="44"/>
      <c r="H114" s="44" t="n">
        <f aca="false">AJ114</f>
        <v>48</v>
      </c>
      <c r="I114" s="44"/>
      <c r="J114" s="44"/>
      <c r="K114" s="41" t="str">
        <f aca="false">AM114</f>
        <v>Sand</v>
      </c>
      <c r="L114" s="41"/>
      <c r="M114" s="41"/>
      <c r="N114" s="46" t="n">
        <f aca="false">AN114</f>
        <v>50</v>
      </c>
      <c r="O114" s="46"/>
      <c r="P114" s="46"/>
      <c r="Q114" s="42" t="n">
        <f aca="false">AO114</f>
        <v>19</v>
      </c>
      <c r="R114" s="42"/>
      <c r="S114" s="42"/>
      <c r="T114" s="46" t="str">
        <f aca="false">IF(AR114="","-",AR114)</f>
        <v>-</v>
      </c>
      <c r="U114" s="46"/>
      <c r="V114" s="46" t="str">
        <f aca="false">IF(AT114="","-",AT114)</f>
        <v>-</v>
      </c>
      <c r="W114" s="46"/>
      <c r="X114" s="44" t="n">
        <f aca="false">AU114</f>
        <v>0.65</v>
      </c>
      <c r="Y114" s="44"/>
      <c r="Z114" s="55" t="n">
        <f aca="false">AV114</f>
        <v>0</v>
      </c>
      <c r="AA114" s="55"/>
      <c r="AB114" s="55"/>
      <c r="AC114" s="42" t="n">
        <f aca="false">AW114</f>
        <v>41.76159985</v>
      </c>
      <c r="AD114" s="42"/>
      <c r="AE114" s="42"/>
      <c r="AF114" s="12"/>
      <c r="AI114" s="56" t="n">
        <v>46.5</v>
      </c>
      <c r="AJ114" s="56" t="n">
        <v>48</v>
      </c>
      <c r="AK114" s="57" t="n">
        <f aca="false">AJ114-AI114</f>
        <v>1.5</v>
      </c>
      <c r="AL114" s="57" t="n">
        <f aca="false">(AI114+AJ114)/2</f>
        <v>47.25</v>
      </c>
      <c r="AM114" s="56" t="s">
        <v>199</v>
      </c>
      <c r="AN114" s="56" t="n">
        <v>50</v>
      </c>
      <c r="AO114" s="58" t="n">
        <f aca="false">IF(AL114&gt;$AA$20,$AA$22,$AA$21)</f>
        <v>19</v>
      </c>
      <c r="AP114" s="57" t="n">
        <f aca="false">AP113+AO114*AK114</f>
        <v>893.25</v>
      </c>
      <c r="AQ114" s="57" t="n">
        <f aca="false">AP114-AO114*AK114/2-10*MAX(AL114-$AA$20,0)</f>
        <v>486.5</v>
      </c>
      <c r="AR114" s="56"/>
      <c r="AS114" s="56"/>
      <c r="AT114" s="57" t="str">
        <f aca="false">IF(AR114="","",AR114-AS114)</f>
        <v/>
      </c>
      <c r="AU114" s="56" t="n">
        <v>0.65</v>
      </c>
      <c r="AV114" s="57" t="n">
        <f aca="false">IF(AM114="Sand",0,Input!$AA$34*AN114)</f>
        <v>0</v>
      </c>
      <c r="AW114" s="57" t="n">
        <f aca="false">IF(AM114="Sand",27.1+0.3*MIN(Input!$AA$35*AN114,60)-0.00054*MIN(Input!$AA$35*AN114,60)^2,MIN(MAX(DEGREES(ASIN(0.8-0.094*LN(MAX(IF(AT114="",10,AT114),5)))),20),30))</f>
        <v>41.76159985</v>
      </c>
      <c r="AX114" s="57" t="n">
        <f aca="false">IF(AM114="Sand",Input!$AA$36*Input!$AA$35*AN114,Input!$AA$37*AV114)</f>
        <v>54150</v>
      </c>
      <c r="AY114" s="59" t="n">
        <f aca="false">IF(AM114="Sand",Input!$AA$38,0.5)</f>
        <v>0.3</v>
      </c>
      <c r="AZ114" s="57" t="n">
        <f aca="false">Input!$AA$15/2/AL114</f>
        <v>0.783068783068783</v>
      </c>
      <c r="BA114" s="57" t="n">
        <f aca="false">Input!$AA$16/2/AL114</f>
        <v>2.13756613756614</v>
      </c>
      <c r="BB114" s="57" t="n">
        <f aca="false">1/(4*PI())*(2*AZ114*BA114*SQRT(AZ114^2+BA114^2+1)/(AZ114^2+BA114^2+1+AZ114^2*BA114^2)*(AZ114^2+BA114^2+2)/(AZ114^2+BA114^2+1)+ATAN2(AZ114^2+BA114^2+1-AZ114^2*BA114^2,2*AZ114*BA114*SQRT(AZ114^2+BA114^2+1)))</f>
        <v>0.179955425946873</v>
      </c>
      <c r="BC114" s="57" t="n">
        <f aca="false">4*Input!$AA$14*BB114</f>
        <v>97.8957517150986</v>
      </c>
      <c r="BD114" s="57" t="n">
        <f aca="false">((Input!$AA$16/Input!$AA$15)*LN((1+SQRT((Input!$AA$16/Input!$AA$15)^2+1))*SQRT((Input!$AA$16/Input!$AA$15)^2+(AJ114/(Input!$AA$15/2))^2)/((Input!$AA$16/Input!$AA$15)*(1+SQRT((Input!$AA$16/Input!$AA$15)^2+(AJ114/(Input!$AA$15/2))^2+1))))+LN(((Input!$AA$16/Input!$AA$15)+SQRT((Input!$AA$16/Input!$AA$15)^2+1))*SQRT(1+(AJ114/(Input!$AA$15/2))^2)/((Input!$AA$16/Input!$AA$15)+SQRT((Input!$AA$16/Input!$AA$15)^2+(AJ114/(Input!$AA$15/2))^2+1))))/PI()</f>
        <v>0.170938053366324</v>
      </c>
      <c r="BE114" s="57" t="n">
        <f aca="false">(AJ114/(Input!$AA$15/2))/(2*PI())*ATAN((Input!$AA$16/Input!$AA$15)/((AJ114/(Input!$AA$15/2))*SQRT((Input!$AA$16/Input!$AA$15)^2+(AJ114/(Input!$AA$15/2))^2+1)))</f>
        <v>0.120589055170862</v>
      </c>
      <c r="BF114" s="57" t="n">
        <f aca="false">MAX(0,AJ114-MAX(AI114,$AA$23))/AK114*IF(BC114&gt;=Input!$AA$21*AQ114,1,0)</f>
        <v>1</v>
      </c>
      <c r="BG114" s="57" t="n">
        <f aca="false">4*Input!$AA$14*(Input!$AA$15/2)*(1-AY114^2)/AX114*((BD114-BD113)+(1-2*AY114)/(1-AY114)*(BE114-BE113))*1000*BF114</f>
        <v>2.41689979101431</v>
      </c>
      <c r="BH114" s="57" t="n">
        <f aca="false">IF(AM114="Sand",0,0.009*(AR114-10))</f>
        <v>0</v>
      </c>
      <c r="BI114" s="57" t="n">
        <f aca="false">BH114*Input!$AA$39</f>
        <v>0</v>
      </c>
      <c r="BJ114" s="57" t="n">
        <f aca="false">IF(AM114="Sand",0,MAX(AV114/Input!$AA$40,AQ114))</f>
        <v>0</v>
      </c>
      <c r="BK114" s="57" t="n">
        <f aca="false">IF(AM114="Sand",0,1000*AK114/(1+AU114)*IF(AQ114+BC114&lt;=BJ114,BI114*LOG10((AQ114+BC114)/AQ114),BI114*LOG10(BJ114/AQ114)+BH114*LOG10((AQ114+BC114)/BJ114)))*BF114</f>
        <v>0</v>
      </c>
      <c r="BL114" s="57" t="n">
        <f aca="false">IF(AM114="Sand",0,10^(INDEX(Input!$Q$51:$Q$57,MIN(MATCH(MIN(MAX(AR114,30),120),Input!$C$51:$C$57,1),6))+(MIN(MAX(AR114,30),120)-INDEX(Input!$C$51:$C$57,MIN(MATCH(MIN(MAX(AR114,30),120),Input!$C$51:$C$57,1),6)))/(INDEX(Input!$C$51:$C$57,MIN(MATCH(MIN(MAX(AR114,30),120),Input!$C$51:$C$57,1),6)+1)-INDEX(Input!$C$51:$C$57,MIN(MATCH(MIN(MAX(AR114,30),120),Input!$C$51:$C$57,1),6)))*(INDEX(Input!$Q$51:$Q$57,MIN(MATCH(MIN(MAX(AR114,30),120),Input!$C$51:$C$57,1),6)+1)-INDEX(Input!$Q$51:$Q$57,MIN(MATCH(MIN(MAX(AR114,30),120),Input!$C$51:$C$57,1),6)))))</f>
        <v>0</v>
      </c>
      <c r="BM114" s="57" t="n">
        <f aca="false">IF(OR(AM114="Sand",BF114=0),0,Input!$AA$41*(AK114/2)^2/(BL114*0.0001*31536000))</f>
        <v>0</v>
      </c>
      <c r="BN114" s="57" t="n">
        <f aca="false">MAX(0,MIN(AJ114,Input!$AA$20)-AI114)</f>
        <v>0</v>
      </c>
      <c r="BO114" s="57" t="n">
        <f aca="false">MAX(0,MIN(AJ114,Input!$AA$20)-MAX(AI114,$AA$23))</f>
        <v>0</v>
      </c>
      <c r="BP114" s="57" t="n">
        <f aca="false">BG114+BK114</f>
        <v>2.41689979101431</v>
      </c>
      <c r="BQ114" s="57" t="s">
        <v>335</v>
      </c>
    </row>
    <row r="115" customFormat="false" ht="14.25" hidden="false" customHeight="false" outlineLevel="0" collapsed="false">
      <c r="B115" s="7"/>
      <c r="C115" s="46" t="n">
        <v>33</v>
      </c>
      <c r="D115" s="46"/>
      <c r="E115" s="44" t="n">
        <f aca="false">AI115</f>
        <v>48</v>
      </c>
      <c r="F115" s="44"/>
      <c r="G115" s="44"/>
      <c r="H115" s="44" t="n">
        <f aca="false">AJ115</f>
        <v>49.5</v>
      </c>
      <c r="I115" s="44"/>
      <c r="J115" s="44"/>
      <c r="K115" s="41" t="str">
        <f aca="false">AM115</f>
        <v>Sand</v>
      </c>
      <c r="L115" s="41"/>
      <c r="M115" s="41"/>
      <c r="N115" s="46" t="n">
        <f aca="false">AN115</f>
        <v>27</v>
      </c>
      <c r="O115" s="46"/>
      <c r="P115" s="46"/>
      <c r="Q115" s="42" t="n">
        <f aca="false">AO115</f>
        <v>19</v>
      </c>
      <c r="R115" s="42"/>
      <c r="S115" s="42"/>
      <c r="T115" s="46" t="str">
        <f aca="false">IF(AR115="","-",AR115)</f>
        <v>-</v>
      </c>
      <c r="U115" s="46"/>
      <c r="V115" s="46" t="str">
        <f aca="false">IF(AT115="","-",AT115)</f>
        <v>-</v>
      </c>
      <c r="W115" s="46"/>
      <c r="X115" s="44" t="n">
        <f aca="false">AU115</f>
        <v>0.65</v>
      </c>
      <c r="Y115" s="44"/>
      <c r="Z115" s="55" t="n">
        <f aca="false">AV115</f>
        <v>0</v>
      </c>
      <c r="AA115" s="55"/>
      <c r="AB115" s="55"/>
      <c r="AC115" s="42" t="n">
        <f aca="false">AW115</f>
        <v>35.41058051626</v>
      </c>
      <c r="AD115" s="42"/>
      <c r="AE115" s="42"/>
      <c r="AF115" s="12"/>
      <c r="AI115" s="56" t="n">
        <v>48</v>
      </c>
      <c r="AJ115" s="56" t="n">
        <v>49.5</v>
      </c>
      <c r="AK115" s="57" t="n">
        <f aca="false">AJ115-AI115</f>
        <v>1.5</v>
      </c>
      <c r="AL115" s="57" t="n">
        <f aca="false">(AI115+AJ115)/2</f>
        <v>48.75</v>
      </c>
      <c r="AM115" s="56" t="s">
        <v>199</v>
      </c>
      <c r="AN115" s="56" t="n">
        <v>27</v>
      </c>
      <c r="AO115" s="58" t="n">
        <f aca="false">IF(AL115&gt;$AA$20,$AA$22,$AA$21)</f>
        <v>19</v>
      </c>
      <c r="AP115" s="57" t="n">
        <f aca="false">AP114+AO115*AK115</f>
        <v>921.75</v>
      </c>
      <c r="AQ115" s="57" t="n">
        <f aca="false">AP115-AO115*AK115/2-10*MAX(AL115-$AA$20,0)</f>
        <v>500</v>
      </c>
      <c r="AR115" s="56"/>
      <c r="AS115" s="56"/>
      <c r="AT115" s="57" t="str">
        <f aca="false">IF(AR115="","",AR115-AS115)</f>
        <v/>
      </c>
      <c r="AU115" s="56" t="n">
        <v>0.65</v>
      </c>
      <c r="AV115" s="57" t="n">
        <f aca="false">IF(AM115="Sand",0,Input!$AA$34*AN115)</f>
        <v>0</v>
      </c>
      <c r="AW115" s="57" t="n">
        <f aca="false">IF(AM115="Sand",27.1+0.3*MIN(Input!$AA$35*AN115,60)-0.00054*MIN(Input!$AA$35*AN115,60)^2,MIN(MAX(DEGREES(ASIN(0.8-0.094*LN(MAX(IF(AT115="",10,AT115),5)))),20),30))</f>
        <v>35.41058051626</v>
      </c>
      <c r="AX115" s="57" t="n">
        <f aca="false">IF(AM115="Sand",Input!$AA$36*Input!$AA$35*AN115,Input!$AA$37*AV115)</f>
        <v>29241</v>
      </c>
      <c r="AY115" s="59" t="n">
        <f aca="false">IF(AM115="Sand",Input!$AA$38,0.5)</f>
        <v>0.3</v>
      </c>
      <c r="AZ115" s="57" t="n">
        <f aca="false">Input!$AA$15/2/AL115</f>
        <v>0.758974358974359</v>
      </c>
      <c r="BA115" s="57" t="n">
        <f aca="false">Input!$AA$16/2/AL115</f>
        <v>2.07179487179487</v>
      </c>
      <c r="BB115" s="57" t="n">
        <f aca="false">1/(4*PI())*(2*AZ115*BA115*SQRT(AZ115^2+BA115^2+1)/(AZ115^2+BA115^2+1+AZ115^2*BA115^2)*(AZ115^2+BA115^2+2)/(AZ115^2+BA115^2+1)+ATAN2(AZ115^2+BA115^2+1-AZ115^2*BA115^2,2*AZ115*BA115*SQRT(AZ115^2+BA115^2+1)))</f>
        <v>0.176702307674372</v>
      </c>
      <c r="BC115" s="57" t="n">
        <f aca="false">4*Input!$AA$14*BB115</f>
        <v>96.1260553748583</v>
      </c>
      <c r="BD115" s="57" t="n">
        <f aca="false">((Input!$AA$16/Input!$AA$15)*LN((1+SQRT((Input!$AA$16/Input!$AA$15)^2+1))*SQRT((Input!$AA$16/Input!$AA$15)^2+(AJ115/(Input!$AA$15/2))^2)/((Input!$AA$16/Input!$AA$15)*(1+SQRT((Input!$AA$16/Input!$AA$15)^2+(AJ115/(Input!$AA$15/2))^2+1))))+LN(((Input!$AA$16/Input!$AA$15)+SQRT((Input!$AA$16/Input!$AA$15)^2+1))*SQRT(1+(AJ115/(Input!$AA$15/2))^2)/((Input!$AA$16/Input!$AA$15)+SQRT((Input!$AA$16/Input!$AA$15)^2+(AJ115/(Input!$AA$15/2))^2+1))))/PI()</f>
        <v>0.177835390268971</v>
      </c>
      <c r="BE115" s="57" t="n">
        <f aca="false">(AJ115/(Input!$AA$15/2))/(2*PI())*ATAN((Input!$AA$16/Input!$AA$15)/((AJ115/(Input!$AA$15/2))*SQRT((Input!$AA$16/Input!$AA$15)^2+(AJ115/(Input!$AA$15/2))^2+1)))</f>
        <v>0.120855397057084</v>
      </c>
      <c r="BF115" s="57" t="n">
        <f aca="false">MAX(0,AJ115-MAX(AI115,$AA$23))/AK115*IF(BC115&gt;=Input!$AA$21*AQ115,1,0)</f>
        <v>0</v>
      </c>
      <c r="BG115" s="57" t="n">
        <f aca="false">4*Input!$AA$14*(Input!$AA$15/2)*(1-AY115^2)/AX115*((BD115-BD114)+(1-2*AY115)/(1-AY115)*(BE115-BE114))*1000*BF115</f>
        <v>0</v>
      </c>
      <c r="BH115" s="57" t="n">
        <f aca="false">IF(AM115="Sand",0,0.009*(AR115-10))</f>
        <v>0</v>
      </c>
      <c r="BI115" s="57" t="n">
        <f aca="false">BH115*Input!$AA$39</f>
        <v>0</v>
      </c>
      <c r="BJ115" s="57" t="n">
        <f aca="false">IF(AM115="Sand",0,MAX(AV115/Input!$AA$40,AQ115))</f>
        <v>0</v>
      </c>
      <c r="BK115" s="57" t="n">
        <f aca="false">IF(AM115="Sand",0,1000*AK115/(1+AU115)*IF(AQ115+BC115&lt;=BJ115,BI115*LOG10((AQ115+BC115)/AQ115),BI115*LOG10(BJ115/AQ115)+BH115*LOG10((AQ115+BC115)/BJ115)))*BF115</f>
        <v>0</v>
      </c>
      <c r="BL115" s="57" t="n">
        <f aca="false">IF(AM115="Sand",0,10^(INDEX(Input!$Q$51:$Q$57,MIN(MATCH(MIN(MAX(AR115,30),120),Input!$C$51:$C$57,1),6))+(MIN(MAX(AR115,30),120)-INDEX(Input!$C$51:$C$57,MIN(MATCH(MIN(MAX(AR115,30),120),Input!$C$51:$C$57,1),6)))/(INDEX(Input!$C$51:$C$57,MIN(MATCH(MIN(MAX(AR115,30),120),Input!$C$51:$C$57,1),6)+1)-INDEX(Input!$C$51:$C$57,MIN(MATCH(MIN(MAX(AR115,30),120),Input!$C$51:$C$57,1),6)))*(INDEX(Input!$Q$51:$Q$57,MIN(MATCH(MIN(MAX(AR115,30),120),Input!$C$51:$C$57,1),6)+1)-INDEX(Input!$Q$51:$Q$57,MIN(MATCH(MIN(MAX(AR115,30),120),Input!$C$51:$C$57,1),6)))))</f>
        <v>0</v>
      </c>
      <c r="BM115" s="57" t="n">
        <f aca="false">IF(OR(AM115="Sand",BF115=0),0,Input!$AA$41*(AK115/2)^2/(BL115*0.0001*31536000))</f>
        <v>0</v>
      </c>
      <c r="BN115" s="57" t="n">
        <f aca="false">MAX(0,MIN(AJ115,Input!$AA$20)-AI115)</f>
        <v>0</v>
      </c>
      <c r="BO115" s="57" t="n">
        <f aca="false">MAX(0,MIN(AJ115,Input!$AA$20)-MAX(AI115,$AA$23))</f>
        <v>0</v>
      </c>
      <c r="BP115" s="57" t="n">
        <f aca="false">BG115+BK115</f>
        <v>0</v>
      </c>
      <c r="BQ115" s="57" t="s">
        <v>335</v>
      </c>
    </row>
    <row r="116" customFormat="false" ht="14.25" hidden="false" customHeight="false" outlineLevel="0" collapsed="false">
      <c r="B116" s="7"/>
      <c r="C116" s="46" t="n">
        <v>34</v>
      </c>
      <c r="D116" s="46"/>
      <c r="E116" s="44" t="n">
        <f aca="false">AI116</f>
        <v>49.5</v>
      </c>
      <c r="F116" s="44"/>
      <c r="G116" s="44"/>
      <c r="H116" s="44" t="n">
        <f aca="false">AJ116</f>
        <v>51</v>
      </c>
      <c r="I116" s="44"/>
      <c r="J116" s="44"/>
      <c r="K116" s="41" t="str">
        <f aca="false">AM116</f>
        <v>Sand</v>
      </c>
      <c r="L116" s="41"/>
      <c r="M116" s="41"/>
      <c r="N116" s="46" t="n">
        <f aca="false">AN116</f>
        <v>25</v>
      </c>
      <c r="O116" s="46"/>
      <c r="P116" s="46"/>
      <c r="Q116" s="42" t="n">
        <f aca="false">AO116</f>
        <v>19</v>
      </c>
      <c r="R116" s="42"/>
      <c r="S116" s="42"/>
      <c r="T116" s="46" t="str">
        <f aca="false">IF(AR116="","-",AR116)</f>
        <v>-</v>
      </c>
      <c r="U116" s="46"/>
      <c r="V116" s="46" t="str">
        <f aca="false">IF(AT116="","-",AT116)</f>
        <v>-</v>
      </c>
      <c r="W116" s="46"/>
      <c r="X116" s="44" t="n">
        <f aca="false">AU116</f>
        <v>0.65</v>
      </c>
      <c r="Y116" s="44"/>
      <c r="Z116" s="55" t="n">
        <f aca="false">AV116</f>
        <v>0</v>
      </c>
      <c r="AA116" s="55"/>
      <c r="AB116" s="55"/>
      <c r="AC116" s="42" t="n">
        <f aca="false">AW116</f>
        <v>34.8266499625</v>
      </c>
      <c r="AD116" s="42"/>
      <c r="AE116" s="42"/>
      <c r="AF116" s="12"/>
      <c r="AI116" s="56" t="n">
        <v>49.5</v>
      </c>
      <c r="AJ116" s="56" t="n">
        <v>51</v>
      </c>
      <c r="AK116" s="57" t="n">
        <f aca="false">AJ116-AI116</f>
        <v>1.5</v>
      </c>
      <c r="AL116" s="57" t="n">
        <f aca="false">(AI116+AJ116)/2</f>
        <v>50.25</v>
      </c>
      <c r="AM116" s="56" t="s">
        <v>199</v>
      </c>
      <c r="AN116" s="56" t="n">
        <v>25</v>
      </c>
      <c r="AO116" s="58" t="n">
        <f aca="false">IF(AL116&gt;$AA$20,$AA$22,$AA$21)</f>
        <v>19</v>
      </c>
      <c r="AP116" s="57" t="n">
        <f aca="false">AP115+AO116*AK116</f>
        <v>950.25</v>
      </c>
      <c r="AQ116" s="57" t="n">
        <f aca="false">AP116-AO116*AK116/2-10*MAX(AL116-$AA$20,0)</f>
        <v>513.5</v>
      </c>
      <c r="AR116" s="56"/>
      <c r="AS116" s="56"/>
      <c r="AT116" s="57" t="str">
        <f aca="false">IF(AR116="","",AR116-AS116)</f>
        <v/>
      </c>
      <c r="AU116" s="56" t="n">
        <v>0.65</v>
      </c>
      <c r="AV116" s="57" t="n">
        <f aca="false">IF(AM116="Sand",0,Input!$AA$34*AN116)</f>
        <v>0</v>
      </c>
      <c r="AW116" s="57" t="n">
        <f aca="false">IF(AM116="Sand",27.1+0.3*MIN(Input!$AA$35*AN116,60)-0.00054*MIN(Input!$AA$35*AN116,60)^2,MIN(MAX(DEGREES(ASIN(0.8-0.094*LN(MAX(IF(AT116="",10,AT116),5)))),20),30))</f>
        <v>34.8266499625</v>
      </c>
      <c r="AX116" s="57" t="n">
        <f aca="false">IF(AM116="Sand",Input!$AA$36*Input!$AA$35*AN116,Input!$AA$37*AV116)</f>
        <v>27075</v>
      </c>
      <c r="AY116" s="59" t="n">
        <f aca="false">IF(AM116="Sand",Input!$AA$38,0.5)</f>
        <v>0.3</v>
      </c>
      <c r="AZ116" s="57" t="n">
        <f aca="false">Input!$AA$15/2/AL116</f>
        <v>0.736318407960199</v>
      </c>
      <c r="BA116" s="57" t="n">
        <f aca="false">Input!$AA$16/2/AL116</f>
        <v>2.00995024875622</v>
      </c>
      <c r="BB116" s="57" t="n">
        <f aca="false">1/(4*PI())*(2*AZ116*BA116*SQRT(AZ116^2+BA116^2+1)/(AZ116^2+BA116^2+1+AZ116^2*BA116^2)*(AZ116^2+BA116^2+2)/(AZ116^2+BA116^2+1)+ATAN2(AZ116^2+BA116^2+1-AZ116^2*BA116^2,2*AZ116*BA116*SQRT(AZ116^2+BA116^2+1)))</f>
        <v>0.173491603228654</v>
      </c>
      <c r="BC116" s="57" t="n">
        <f aca="false">4*Input!$AA$14*BB116</f>
        <v>94.379432156388</v>
      </c>
      <c r="BD116" s="57" t="n">
        <f aca="false">((Input!$AA$16/Input!$AA$15)*LN((1+SQRT((Input!$AA$16/Input!$AA$15)^2+1))*SQRT((Input!$AA$16/Input!$AA$15)^2+(AJ116/(Input!$AA$15/2))^2)/((Input!$AA$16/Input!$AA$15)*(1+SQRT((Input!$AA$16/Input!$AA$15)^2+(AJ116/(Input!$AA$15/2))^2+1))))+LN(((Input!$AA$16/Input!$AA$15)+SQRT((Input!$AA$16/Input!$AA$15)^2+1))*SQRT(1+(AJ116/(Input!$AA$15/2))^2)/((Input!$AA$16/Input!$AA$15)+SQRT((Input!$AA$16/Input!$AA$15)^2+(AJ116/(Input!$AA$15/2))^2+1))))/PI()</f>
        <v>0.184680682380465</v>
      </c>
      <c r="BE116" s="57" t="n">
        <f aca="false">(AJ116/(Input!$AA$15/2))/(2*PI())*ATAN((Input!$AA$16/Input!$AA$15)/((AJ116/(Input!$AA$15/2))*SQRT((Input!$AA$16/Input!$AA$15)^2+(AJ116/(Input!$AA$15/2))^2+1)))</f>
        <v>0.121043625132288</v>
      </c>
      <c r="BF116" s="57" t="n">
        <f aca="false">MAX(0,AJ116-MAX(AI116,$AA$23))/AK116*IF(BC116&gt;=Input!$AA$21*AQ116,1,0)</f>
        <v>0</v>
      </c>
      <c r="BG116" s="57" t="n">
        <f aca="false">4*Input!$AA$14*(Input!$AA$15/2)*(1-AY116^2)/AX116*((BD116-BD115)+(1-2*AY116)/(1-AY116)*(BE116-BE115))*1000*BF116</f>
        <v>0</v>
      </c>
      <c r="BH116" s="57" t="n">
        <f aca="false">IF(AM116="Sand",0,0.009*(AR116-10))</f>
        <v>0</v>
      </c>
      <c r="BI116" s="57" t="n">
        <f aca="false">BH116*Input!$AA$39</f>
        <v>0</v>
      </c>
      <c r="BJ116" s="57" t="n">
        <f aca="false">IF(AM116="Sand",0,MAX(AV116/Input!$AA$40,AQ116))</f>
        <v>0</v>
      </c>
      <c r="BK116" s="57" t="n">
        <f aca="false">IF(AM116="Sand",0,1000*AK116/(1+AU116)*IF(AQ116+BC116&lt;=BJ116,BI116*LOG10((AQ116+BC116)/AQ116),BI116*LOG10(BJ116/AQ116)+BH116*LOG10((AQ116+BC116)/BJ116)))*BF116</f>
        <v>0</v>
      </c>
      <c r="BL116" s="57" t="n">
        <f aca="false">IF(AM116="Sand",0,10^(INDEX(Input!$Q$51:$Q$57,MIN(MATCH(MIN(MAX(AR116,30),120),Input!$C$51:$C$57,1),6))+(MIN(MAX(AR116,30),120)-INDEX(Input!$C$51:$C$57,MIN(MATCH(MIN(MAX(AR116,30),120),Input!$C$51:$C$57,1),6)))/(INDEX(Input!$C$51:$C$57,MIN(MATCH(MIN(MAX(AR116,30),120),Input!$C$51:$C$57,1),6)+1)-INDEX(Input!$C$51:$C$57,MIN(MATCH(MIN(MAX(AR116,30),120),Input!$C$51:$C$57,1),6)))*(INDEX(Input!$Q$51:$Q$57,MIN(MATCH(MIN(MAX(AR116,30),120),Input!$C$51:$C$57,1),6)+1)-INDEX(Input!$Q$51:$Q$57,MIN(MATCH(MIN(MAX(AR116,30),120),Input!$C$51:$C$57,1),6)))))</f>
        <v>0</v>
      </c>
      <c r="BM116" s="57" t="n">
        <f aca="false">IF(OR(AM116="Sand",BF116=0),0,Input!$AA$41*(AK116/2)^2/(BL116*0.0001*31536000))</f>
        <v>0</v>
      </c>
      <c r="BN116" s="57" t="n">
        <f aca="false">MAX(0,MIN(AJ116,Input!$AA$20)-AI116)</f>
        <v>0</v>
      </c>
      <c r="BO116" s="57" t="n">
        <f aca="false">MAX(0,MIN(AJ116,Input!$AA$20)-MAX(AI116,$AA$23))</f>
        <v>0</v>
      </c>
      <c r="BP116" s="57" t="n">
        <f aca="false">BG116+BK116</f>
        <v>0</v>
      </c>
      <c r="BQ116" s="57" t="s">
        <v>335</v>
      </c>
    </row>
    <row r="117" customFormat="false" ht="14.25" hidden="false" customHeight="false" outlineLevel="0" collapsed="false">
      <c r="B117" s="7"/>
      <c r="C117" s="46" t="n">
        <v>35</v>
      </c>
      <c r="D117" s="46"/>
      <c r="E117" s="44" t="n">
        <f aca="false">AI117</f>
        <v>51</v>
      </c>
      <c r="F117" s="44"/>
      <c r="G117" s="44"/>
      <c r="H117" s="44" t="n">
        <f aca="false">AJ117</f>
        <v>52.5</v>
      </c>
      <c r="I117" s="44"/>
      <c r="J117" s="44"/>
      <c r="K117" s="41" t="str">
        <f aca="false">AM117</f>
        <v>Sand</v>
      </c>
      <c r="L117" s="41"/>
      <c r="M117" s="41"/>
      <c r="N117" s="46" t="n">
        <f aca="false">AN117</f>
        <v>29</v>
      </c>
      <c r="O117" s="46"/>
      <c r="P117" s="46"/>
      <c r="Q117" s="42" t="n">
        <f aca="false">AO117</f>
        <v>19</v>
      </c>
      <c r="R117" s="42"/>
      <c r="S117" s="42"/>
      <c r="T117" s="46" t="str">
        <f aca="false">IF(AR117="","-",AR117)</f>
        <v>-</v>
      </c>
      <c r="U117" s="46"/>
      <c r="V117" s="46" t="str">
        <f aca="false">IF(AT117="","-",AT117)</f>
        <v>-</v>
      </c>
      <c r="W117" s="46"/>
      <c r="X117" s="44" t="n">
        <f aca="false">AU117</f>
        <v>0.65</v>
      </c>
      <c r="Y117" s="44"/>
      <c r="Z117" s="55" t="n">
        <f aca="false">AV117</f>
        <v>0</v>
      </c>
      <c r="AA117" s="55"/>
      <c r="AB117" s="55"/>
      <c r="AC117" s="42" t="n">
        <f aca="false">AW117</f>
        <v>35.98944418954</v>
      </c>
      <c r="AD117" s="42"/>
      <c r="AE117" s="42"/>
      <c r="AF117" s="12"/>
      <c r="AI117" s="56" t="n">
        <v>51</v>
      </c>
      <c r="AJ117" s="56" t="n">
        <v>52.5</v>
      </c>
      <c r="AK117" s="57" t="n">
        <f aca="false">AJ117-AI117</f>
        <v>1.5</v>
      </c>
      <c r="AL117" s="57" t="n">
        <f aca="false">(AI117+AJ117)/2</f>
        <v>51.75</v>
      </c>
      <c r="AM117" s="56" t="s">
        <v>199</v>
      </c>
      <c r="AN117" s="56" t="n">
        <v>29</v>
      </c>
      <c r="AO117" s="58" t="n">
        <f aca="false">IF(AL117&gt;$AA$20,$AA$22,$AA$21)</f>
        <v>19</v>
      </c>
      <c r="AP117" s="57" t="n">
        <f aca="false">AP116+AO117*AK117</f>
        <v>978.75</v>
      </c>
      <c r="AQ117" s="57" t="n">
        <f aca="false">AP117-AO117*AK117/2-10*MAX(AL117-$AA$20,0)</f>
        <v>527</v>
      </c>
      <c r="AR117" s="56"/>
      <c r="AS117" s="56"/>
      <c r="AT117" s="57" t="str">
        <f aca="false">IF(AR117="","",AR117-AS117)</f>
        <v/>
      </c>
      <c r="AU117" s="56" t="n">
        <v>0.65</v>
      </c>
      <c r="AV117" s="57" t="n">
        <f aca="false">IF(AM117="Sand",0,Input!$AA$34*AN117)</f>
        <v>0</v>
      </c>
      <c r="AW117" s="57" t="n">
        <f aca="false">IF(AM117="Sand",27.1+0.3*MIN(Input!$AA$35*AN117,60)-0.00054*MIN(Input!$AA$35*AN117,60)^2,MIN(MAX(DEGREES(ASIN(0.8-0.094*LN(MAX(IF(AT117="",10,AT117),5)))),20),30))</f>
        <v>35.98944418954</v>
      </c>
      <c r="AX117" s="57" t="n">
        <f aca="false">IF(AM117="Sand",Input!$AA$36*Input!$AA$35*AN117,Input!$AA$37*AV117)</f>
        <v>31407</v>
      </c>
      <c r="AY117" s="59" t="n">
        <f aca="false">IF(AM117="Sand",Input!$AA$38,0.5)</f>
        <v>0.3</v>
      </c>
      <c r="AZ117" s="57" t="n">
        <f aca="false">Input!$AA$15/2/AL117</f>
        <v>0.714975845410628</v>
      </c>
      <c r="BA117" s="57" t="n">
        <f aca="false">Input!$AA$16/2/AL117</f>
        <v>1.95169082125604</v>
      </c>
      <c r="BB117" s="57" t="n">
        <f aca="false">1/(4*PI())*(2*AZ117*BA117*SQRT(AZ117^2+BA117^2+1)/(AZ117^2+BA117^2+1+AZ117^2*BA117^2)*(AZ117^2+BA117^2+2)/(AZ117^2+BA117^2+1)+ATAN2(AZ117^2+BA117^2+1-AZ117^2*BA117^2,2*AZ117*BA117*SQRT(AZ117^2+BA117^2+1)))</f>
        <v>0.170326331941294</v>
      </c>
      <c r="BC117" s="57" t="n">
        <f aca="false">4*Input!$AA$14*BB117</f>
        <v>92.657524576064</v>
      </c>
      <c r="BD117" s="57" t="n">
        <f aca="false">((Input!$AA$16/Input!$AA$15)*LN((1+SQRT((Input!$AA$16/Input!$AA$15)^2+1))*SQRT((Input!$AA$16/Input!$AA$15)^2+(AJ117/(Input!$AA$15/2))^2)/((Input!$AA$16/Input!$AA$15)*(1+SQRT((Input!$AA$16/Input!$AA$15)^2+(AJ117/(Input!$AA$15/2))^2+1))))+LN(((Input!$AA$16/Input!$AA$15)+SQRT((Input!$AA$16/Input!$AA$15)^2+1))*SQRT(1+(AJ117/(Input!$AA$15/2))^2)/((Input!$AA$16/Input!$AA$15)+SQRT((Input!$AA$16/Input!$AA$15)^2+(AJ117/(Input!$AA$15/2))^2+1))))/PI()</f>
        <v>0.191469892767081</v>
      </c>
      <c r="BE117" s="57" t="n">
        <f aca="false">(AJ117/(Input!$AA$15/2))/(2*PI())*ATAN((Input!$AA$16/Input!$AA$15)/((AJ117/(Input!$AA$15/2))*SQRT((Input!$AA$16/Input!$AA$15)^2+(AJ117/(Input!$AA$15/2))^2+1)))</f>
        <v>0.121159617263437</v>
      </c>
      <c r="BF117" s="57" t="n">
        <f aca="false">MAX(0,AJ117-MAX(AI117,$AA$23))/AK117*IF(BC117&gt;=Input!$AA$21*AQ117,1,0)</f>
        <v>0</v>
      </c>
      <c r="BG117" s="57" t="n">
        <f aca="false">4*Input!$AA$14*(Input!$AA$15/2)*(1-AY117^2)/AX117*((BD117-BD116)+(1-2*AY117)/(1-AY117)*(BE117-BE116))*1000*BF117</f>
        <v>0</v>
      </c>
      <c r="BH117" s="57" t="n">
        <f aca="false">IF(AM117="Sand",0,0.009*(AR117-10))</f>
        <v>0</v>
      </c>
      <c r="BI117" s="57" t="n">
        <f aca="false">BH117*Input!$AA$39</f>
        <v>0</v>
      </c>
      <c r="BJ117" s="57" t="n">
        <f aca="false">IF(AM117="Sand",0,MAX(AV117/Input!$AA$40,AQ117))</f>
        <v>0</v>
      </c>
      <c r="BK117" s="57" t="n">
        <f aca="false">IF(AM117="Sand",0,1000*AK117/(1+AU117)*IF(AQ117+BC117&lt;=BJ117,BI117*LOG10((AQ117+BC117)/AQ117),BI117*LOG10(BJ117/AQ117)+BH117*LOG10((AQ117+BC117)/BJ117)))*BF117</f>
        <v>0</v>
      </c>
      <c r="BL117" s="57" t="n">
        <f aca="false">IF(AM117="Sand",0,10^(INDEX(Input!$Q$51:$Q$57,MIN(MATCH(MIN(MAX(AR117,30),120),Input!$C$51:$C$57,1),6))+(MIN(MAX(AR117,30),120)-INDEX(Input!$C$51:$C$57,MIN(MATCH(MIN(MAX(AR117,30),120),Input!$C$51:$C$57,1),6)))/(INDEX(Input!$C$51:$C$57,MIN(MATCH(MIN(MAX(AR117,30),120),Input!$C$51:$C$57,1),6)+1)-INDEX(Input!$C$51:$C$57,MIN(MATCH(MIN(MAX(AR117,30),120),Input!$C$51:$C$57,1),6)))*(INDEX(Input!$Q$51:$Q$57,MIN(MATCH(MIN(MAX(AR117,30),120),Input!$C$51:$C$57,1),6)+1)-INDEX(Input!$Q$51:$Q$57,MIN(MATCH(MIN(MAX(AR117,30),120),Input!$C$51:$C$57,1),6)))))</f>
        <v>0</v>
      </c>
      <c r="BM117" s="57" t="n">
        <f aca="false">IF(OR(AM117="Sand",BF117=0),0,Input!$AA$41*(AK117/2)^2/(BL117*0.0001*31536000))</f>
        <v>0</v>
      </c>
      <c r="BN117" s="57" t="n">
        <f aca="false">MAX(0,MIN(AJ117,Input!$AA$20)-AI117)</f>
        <v>0</v>
      </c>
      <c r="BO117" s="57" t="n">
        <f aca="false">MAX(0,MIN(AJ117,Input!$AA$20)-MAX(AI117,$AA$23))</f>
        <v>0</v>
      </c>
      <c r="BP117" s="57" t="n">
        <f aca="false">BG117+BK117</f>
        <v>0</v>
      </c>
      <c r="BQ117" s="57" t="s">
        <v>335</v>
      </c>
    </row>
    <row r="118" customFormat="false" ht="14.25" hidden="false" customHeight="false" outlineLevel="0" collapsed="false">
      <c r="B118" s="7"/>
      <c r="C118" s="46" t="n">
        <v>36</v>
      </c>
      <c r="D118" s="46"/>
      <c r="E118" s="44" t="n">
        <f aca="false">AI118</f>
        <v>52.5</v>
      </c>
      <c r="F118" s="44"/>
      <c r="G118" s="44"/>
      <c r="H118" s="44" t="n">
        <f aca="false">AJ118</f>
        <v>54</v>
      </c>
      <c r="I118" s="44"/>
      <c r="J118" s="44"/>
      <c r="K118" s="41" t="str">
        <f aca="false">AM118</f>
        <v>Sand</v>
      </c>
      <c r="L118" s="41"/>
      <c r="M118" s="41"/>
      <c r="N118" s="46" t="n">
        <f aca="false">AN118</f>
        <v>35</v>
      </c>
      <c r="O118" s="46"/>
      <c r="P118" s="46"/>
      <c r="Q118" s="42" t="n">
        <f aca="false">AO118</f>
        <v>19</v>
      </c>
      <c r="R118" s="42"/>
      <c r="S118" s="42"/>
      <c r="T118" s="46" t="str">
        <f aca="false">IF(AR118="","-",AR118)</f>
        <v>-</v>
      </c>
      <c r="U118" s="46"/>
      <c r="V118" s="46" t="str">
        <f aca="false">IF(AT118="","-",AT118)</f>
        <v>-</v>
      </c>
      <c r="W118" s="46"/>
      <c r="X118" s="44" t="n">
        <f aca="false">AU118</f>
        <v>0.65</v>
      </c>
      <c r="Y118" s="44"/>
      <c r="Z118" s="55" t="n">
        <f aca="false">AV118</f>
        <v>0</v>
      </c>
      <c r="AA118" s="55"/>
      <c r="AB118" s="55"/>
      <c r="AC118" s="42" t="n">
        <f aca="false">AW118</f>
        <v>37.6956339265</v>
      </c>
      <c r="AD118" s="42"/>
      <c r="AE118" s="42"/>
      <c r="AF118" s="12"/>
      <c r="AI118" s="56" t="n">
        <v>52.5</v>
      </c>
      <c r="AJ118" s="56" t="n">
        <v>54</v>
      </c>
      <c r="AK118" s="57" t="n">
        <f aca="false">AJ118-AI118</f>
        <v>1.5</v>
      </c>
      <c r="AL118" s="57" t="n">
        <f aca="false">(AI118+AJ118)/2</f>
        <v>53.25</v>
      </c>
      <c r="AM118" s="56" t="s">
        <v>199</v>
      </c>
      <c r="AN118" s="56" t="n">
        <v>35</v>
      </c>
      <c r="AO118" s="58" t="n">
        <f aca="false">IF(AL118&gt;$AA$20,$AA$22,$AA$21)</f>
        <v>19</v>
      </c>
      <c r="AP118" s="57" t="n">
        <f aca="false">AP117+AO118*AK118</f>
        <v>1007.25</v>
      </c>
      <c r="AQ118" s="57" t="n">
        <f aca="false">AP118-AO118*AK118/2-10*MAX(AL118-$AA$20,0)</f>
        <v>540.5</v>
      </c>
      <c r="AR118" s="56"/>
      <c r="AS118" s="56"/>
      <c r="AT118" s="57" t="str">
        <f aca="false">IF(AR118="","",AR118-AS118)</f>
        <v/>
      </c>
      <c r="AU118" s="56" t="n">
        <v>0.65</v>
      </c>
      <c r="AV118" s="57" t="n">
        <f aca="false">IF(AM118="Sand",0,Input!$AA$34*AN118)</f>
        <v>0</v>
      </c>
      <c r="AW118" s="57" t="n">
        <f aca="false">IF(AM118="Sand",27.1+0.3*MIN(Input!$AA$35*AN118,60)-0.00054*MIN(Input!$AA$35*AN118,60)^2,MIN(MAX(DEGREES(ASIN(0.8-0.094*LN(MAX(IF(AT118="",10,AT118),5)))),20),30))</f>
        <v>37.6956339265</v>
      </c>
      <c r="AX118" s="57" t="n">
        <f aca="false">IF(AM118="Sand",Input!$AA$36*Input!$AA$35*AN118,Input!$AA$37*AV118)</f>
        <v>37905</v>
      </c>
      <c r="AY118" s="59" t="n">
        <f aca="false">IF(AM118="Sand",Input!$AA$38,0.5)</f>
        <v>0.3</v>
      </c>
      <c r="AZ118" s="57" t="n">
        <f aca="false">Input!$AA$15/2/AL118</f>
        <v>0.694835680751174</v>
      </c>
      <c r="BA118" s="57" t="n">
        <f aca="false">Input!$AA$16/2/AL118</f>
        <v>1.89671361502347</v>
      </c>
      <c r="BB118" s="57" t="n">
        <f aca="false">1/(4*PI())*(2*AZ118*BA118*SQRT(AZ118^2+BA118^2+1)/(AZ118^2+BA118^2+1+AZ118^2*BA118^2)*(AZ118^2+BA118^2+2)/(AZ118^2+BA118^2+1)+ATAN2(AZ118^2+BA118^2+1-AZ118^2*BA118^2,2*AZ118*BA118*SQRT(AZ118^2+BA118^2+1)))</f>
        <v>0.167208949422951</v>
      </c>
      <c r="BC118" s="57" t="n">
        <f aca="false">4*Input!$AA$14*BB118</f>
        <v>90.9616684860851</v>
      </c>
      <c r="BD118" s="57" t="n">
        <f aca="false">((Input!$AA$16/Input!$AA$15)*LN((1+SQRT((Input!$AA$16/Input!$AA$15)^2+1))*SQRT((Input!$AA$16/Input!$AA$15)^2+(AJ118/(Input!$AA$15/2))^2)/((Input!$AA$16/Input!$AA$15)*(1+SQRT((Input!$AA$16/Input!$AA$15)^2+(AJ118/(Input!$AA$15/2))^2+1))))+LN(((Input!$AA$16/Input!$AA$15)+SQRT((Input!$AA$16/Input!$AA$15)^2+1))*SQRT(1+(AJ118/(Input!$AA$15/2))^2)/((Input!$AA$16/Input!$AA$15)+SQRT((Input!$AA$16/Input!$AA$15)^2+(AJ118/(Input!$AA$15/2))^2+1))))/PI()</f>
        <v>0.19819951737019</v>
      </c>
      <c r="BE118" s="57" t="n">
        <f aca="false">(AJ118/(Input!$AA$15/2))/(2*PI())*ATAN((Input!$AA$16/Input!$AA$15)/((AJ118/(Input!$AA$15/2))*SQRT((Input!$AA$16/Input!$AA$15)^2+(AJ118/(Input!$AA$15/2))^2+1)))</f>
        <v>0.121208818106769</v>
      </c>
      <c r="BF118" s="57" t="n">
        <f aca="false">MAX(0,AJ118-MAX(AI118,$AA$23))/AK118*IF(BC118&gt;=Input!$AA$21*AQ118,1,0)</f>
        <v>0</v>
      </c>
      <c r="BG118" s="57" t="n">
        <f aca="false">4*Input!$AA$14*(Input!$AA$15/2)*(1-AY118^2)/AX118*((BD118-BD117)+(1-2*AY118)/(1-AY118)*(BE118-BE117))*1000*BF118</f>
        <v>0</v>
      </c>
      <c r="BH118" s="57" t="n">
        <f aca="false">IF(AM118="Sand",0,0.009*(AR118-10))</f>
        <v>0</v>
      </c>
      <c r="BI118" s="57" t="n">
        <f aca="false">BH118*Input!$AA$39</f>
        <v>0</v>
      </c>
      <c r="BJ118" s="57" t="n">
        <f aca="false">IF(AM118="Sand",0,MAX(AV118/Input!$AA$40,AQ118))</f>
        <v>0</v>
      </c>
      <c r="BK118" s="57" t="n">
        <f aca="false">IF(AM118="Sand",0,1000*AK118/(1+AU118)*IF(AQ118+BC118&lt;=BJ118,BI118*LOG10((AQ118+BC118)/AQ118),BI118*LOG10(BJ118/AQ118)+BH118*LOG10((AQ118+BC118)/BJ118)))*BF118</f>
        <v>0</v>
      </c>
      <c r="BL118" s="57" t="n">
        <f aca="false">IF(AM118="Sand",0,10^(INDEX(Input!$Q$51:$Q$57,MIN(MATCH(MIN(MAX(AR118,30),120),Input!$C$51:$C$57,1),6))+(MIN(MAX(AR118,30),120)-INDEX(Input!$C$51:$C$57,MIN(MATCH(MIN(MAX(AR118,30),120),Input!$C$51:$C$57,1),6)))/(INDEX(Input!$C$51:$C$57,MIN(MATCH(MIN(MAX(AR118,30),120),Input!$C$51:$C$57,1),6)+1)-INDEX(Input!$C$51:$C$57,MIN(MATCH(MIN(MAX(AR118,30),120),Input!$C$51:$C$57,1),6)))*(INDEX(Input!$Q$51:$Q$57,MIN(MATCH(MIN(MAX(AR118,30),120),Input!$C$51:$C$57,1),6)+1)-INDEX(Input!$Q$51:$Q$57,MIN(MATCH(MIN(MAX(AR118,30),120),Input!$C$51:$C$57,1),6)))))</f>
        <v>0</v>
      </c>
      <c r="BM118" s="57" t="n">
        <f aca="false">IF(OR(AM118="Sand",BF118=0),0,Input!$AA$41*(AK118/2)^2/(BL118*0.0001*31536000))</f>
        <v>0</v>
      </c>
      <c r="BN118" s="57" t="n">
        <f aca="false">MAX(0,MIN(AJ118,Input!$AA$20)-AI118)</f>
        <v>0</v>
      </c>
      <c r="BO118" s="57" t="n">
        <f aca="false">MAX(0,MIN(AJ118,Input!$AA$20)-MAX(AI118,$AA$23))</f>
        <v>0</v>
      </c>
      <c r="BP118" s="57" t="n">
        <f aca="false">BG118+BK118</f>
        <v>0</v>
      </c>
      <c r="BQ118" s="57" t="s">
        <v>335</v>
      </c>
    </row>
    <row r="119" customFormat="false" ht="14.25" hidden="false" customHeight="false" outlineLevel="0" collapsed="false">
      <c r="B119" s="7"/>
      <c r="C119" s="46" t="n">
        <v>37</v>
      </c>
      <c r="D119" s="46"/>
      <c r="E119" s="44" t="n">
        <f aca="false">AI119</f>
        <v>54</v>
      </c>
      <c r="F119" s="44"/>
      <c r="G119" s="44"/>
      <c r="H119" s="44" t="n">
        <f aca="false">AJ119</f>
        <v>55.5</v>
      </c>
      <c r="I119" s="44"/>
      <c r="J119" s="44"/>
      <c r="K119" s="41" t="str">
        <f aca="false">AM119</f>
        <v>Sand</v>
      </c>
      <c r="L119" s="41"/>
      <c r="M119" s="41"/>
      <c r="N119" s="46" t="n">
        <f aca="false">AN119</f>
        <v>50</v>
      </c>
      <c r="O119" s="46"/>
      <c r="P119" s="46"/>
      <c r="Q119" s="42" t="n">
        <f aca="false">AO119</f>
        <v>19</v>
      </c>
      <c r="R119" s="42"/>
      <c r="S119" s="42"/>
      <c r="T119" s="46" t="str">
        <f aca="false">IF(AR119="","-",AR119)</f>
        <v>-</v>
      </c>
      <c r="U119" s="46"/>
      <c r="V119" s="46" t="str">
        <f aca="false">IF(AT119="","-",AT119)</f>
        <v>-</v>
      </c>
      <c r="W119" s="46"/>
      <c r="X119" s="44" t="n">
        <f aca="false">AU119</f>
        <v>0.65</v>
      </c>
      <c r="Y119" s="44"/>
      <c r="Z119" s="55" t="n">
        <f aca="false">AV119</f>
        <v>0</v>
      </c>
      <c r="AA119" s="55"/>
      <c r="AB119" s="55"/>
      <c r="AC119" s="42" t="n">
        <f aca="false">AW119</f>
        <v>41.76159985</v>
      </c>
      <c r="AD119" s="42"/>
      <c r="AE119" s="42"/>
      <c r="AF119" s="12"/>
      <c r="AI119" s="56" t="n">
        <v>54</v>
      </c>
      <c r="AJ119" s="56" t="n">
        <v>55.5</v>
      </c>
      <c r="AK119" s="57" t="n">
        <f aca="false">AJ119-AI119</f>
        <v>1.5</v>
      </c>
      <c r="AL119" s="57" t="n">
        <f aca="false">(AI119+AJ119)/2</f>
        <v>54.75</v>
      </c>
      <c r="AM119" s="56" t="s">
        <v>199</v>
      </c>
      <c r="AN119" s="56" t="n">
        <v>50</v>
      </c>
      <c r="AO119" s="58" t="n">
        <f aca="false">IF(AL119&gt;$AA$20,$AA$22,$AA$21)</f>
        <v>19</v>
      </c>
      <c r="AP119" s="57" t="n">
        <f aca="false">AP118+AO119*AK119</f>
        <v>1035.75</v>
      </c>
      <c r="AQ119" s="57" t="n">
        <f aca="false">AP119-AO119*AK119/2-10*MAX(AL119-$AA$20,0)</f>
        <v>554</v>
      </c>
      <c r="AR119" s="56"/>
      <c r="AS119" s="56"/>
      <c r="AT119" s="57" t="str">
        <f aca="false">IF(AR119="","",AR119-AS119)</f>
        <v/>
      </c>
      <c r="AU119" s="56" t="n">
        <v>0.65</v>
      </c>
      <c r="AV119" s="57" t="n">
        <f aca="false">IF(AM119="Sand",0,Input!$AA$34*AN119)</f>
        <v>0</v>
      </c>
      <c r="AW119" s="57" t="n">
        <f aca="false">IF(AM119="Sand",27.1+0.3*MIN(Input!$AA$35*AN119,60)-0.00054*MIN(Input!$AA$35*AN119,60)^2,MIN(MAX(DEGREES(ASIN(0.8-0.094*LN(MAX(IF(AT119="",10,AT119),5)))),20),30))</f>
        <v>41.76159985</v>
      </c>
      <c r="AX119" s="57" t="n">
        <f aca="false">IF(AM119="Sand",Input!$AA$36*Input!$AA$35*AN119,Input!$AA$37*AV119)</f>
        <v>54150</v>
      </c>
      <c r="AY119" s="59" t="n">
        <f aca="false">IF(AM119="Sand",Input!$AA$38,0.5)</f>
        <v>0.3</v>
      </c>
      <c r="AZ119" s="57" t="n">
        <f aca="false">Input!$AA$15/2/AL119</f>
        <v>0.675799086757991</v>
      </c>
      <c r="BA119" s="57" t="n">
        <f aca="false">Input!$AA$16/2/AL119</f>
        <v>1.84474885844749</v>
      </c>
      <c r="BB119" s="57" t="n">
        <f aca="false">1/(4*PI())*(2*AZ119*BA119*SQRT(AZ119^2+BA119^2+1)/(AZ119^2+BA119^2+1+AZ119^2*BA119^2)*(AZ119^2+BA119^2+2)/(AZ119^2+BA119^2+1)+ATAN2(AZ119^2+BA119^2+1-AZ119^2*BA119^2,2*AZ119*BA119*SQRT(AZ119^2+BA119^2+1)))</f>
        <v>0.16414141420255</v>
      </c>
      <c r="BC119" s="57" t="n">
        <f aca="false">4*Input!$AA$14*BB119</f>
        <v>89.2929293261871</v>
      </c>
      <c r="BD119" s="57" t="n">
        <f aca="false">((Input!$AA$16/Input!$AA$15)*LN((1+SQRT((Input!$AA$16/Input!$AA$15)^2+1))*SQRT((Input!$AA$16/Input!$AA$15)^2+(AJ119/(Input!$AA$15/2))^2)/((Input!$AA$16/Input!$AA$15)*(1+SQRT((Input!$AA$16/Input!$AA$15)^2+(AJ119/(Input!$AA$15/2))^2+1))))+LN(((Input!$AA$16/Input!$AA$15)+SQRT((Input!$AA$16/Input!$AA$15)^2+1))*SQRT(1+(AJ119/(Input!$AA$15/2))^2)/((Input!$AA$16/Input!$AA$15)+SQRT((Input!$AA$16/Input!$AA$15)^2+(AJ119/(Input!$AA$15/2))^2+1))))/PI()</f>
        <v>0.204866530926182</v>
      </c>
      <c r="BE119" s="57" t="n">
        <f aca="false">(AJ119/(Input!$AA$15/2))/(2*PI())*ATAN((Input!$AA$16/Input!$AA$15)/((AJ119/(Input!$AA$15/2))*SQRT((Input!$AA$16/Input!$AA$15)^2+(AJ119/(Input!$AA$15/2))^2+1)))</f>
        <v>0.121196273026185</v>
      </c>
      <c r="BF119" s="57" t="n">
        <f aca="false">MAX(0,AJ119-MAX(AI119,$AA$23))/AK119*IF(BC119&gt;=Input!$AA$21*AQ119,1,0)</f>
        <v>0</v>
      </c>
      <c r="BG119" s="57" t="n">
        <f aca="false">4*Input!$AA$14*(Input!$AA$15/2)*(1-AY119^2)/AX119*((BD119-BD118)+(1-2*AY119)/(1-AY119)*(BE119-BE118))*1000*BF119</f>
        <v>0</v>
      </c>
      <c r="BH119" s="57" t="n">
        <f aca="false">IF(AM119="Sand",0,0.009*(AR119-10))</f>
        <v>0</v>
      </c>
      <c r="BI119" s="57" t="n">
        <f aca="false">BH119*Input!$AA$39</f>
        <v>0</v>
      </c>
      <c r="BJ119" s="57" t="n">
        <f aca="false">IF(AM119="Sand",0,MAX(AV119/Input!$AA$40,AQ119))</f>
        <v>0</v>
      </c>
      <c r="BK119" s="57" t="n">
        <f aca="false">IF(AM119="Sand",0,1000*AK119/(1+AU119)*IF(AQ119+BC119&lt;=BJ119,BI119*LOG10((AQ119+BC119)/AQ119),BI119*LOG10(BJ119/AQ119)+BH119*LOG10((AQ119+BC119)/BJ119)))*BF119</f>
        <v>0</v>
      </c>
      <c r="BL119" s="57" t="n">
        <f aca="false">IF(AM119="Sand",0,10^(INDEX(Input!$Q$51:$Q$57,MIN(MATCH(MIN(MAX(AR119,30),120),Input!$C$51:$C$57,1),6))+(MIN(MAX(AR119,30),120)-INDEX(Input!$C$51:$C$57,MIN(MATCH(MIN(MAX(AR119,30),120),Input!$C$51:$C$57,1),6)))/(INDEX(Input!$C$51:$C$57,MIN(MATCH(MIN(MAX(AR119,30),120),Input!$C$51:$C$57,1),6)+1)-INDEX(Input!$C$51:$C$57,MIN(MATCH(MIN(MAX(AR119,30),120),Input!$C$51:$C$57,1),6)))*(INDEX(Input!$Q$51:$Q$57,MIN(MATCH(MIN(MAX(AR119,30),120),Input!$C$51:$C$57,1),6)+1)-INDEX(Input!$Q$51:$Q$57,MIN(MATCH(MIN(MAX(AR119,30),120),Input!$C$51:$C$57,1),6)))))</f>
        <v>0</v>
      </c>
      <c r="BM119" s="57" t="n">
        <f aca="false">IF(OR(AM119="Sand",BF119=0),0,Input!$AA$41*(AK119/2)^2/(BL119*0.0001*31536000))</f>
        <v>0</v>
      </c>
      <c r="BN119" s="57" t="n">
        <f aca="false">MAX(0,MIN(AJ119,Input!$AA$20)-AI119)</f>
        <v>0</v>
      </c>
      <c r="BO119" s="57" t="n">
        <f aca="false">MAX(0,MIN(AJ119,Input!$AA$20)-MAX(AI119,$AA$23))</f>
        <v>0</v>
      </c>
      <c r="BP119" s="57" t="n">
        <f aca="false">BG119+BK119</f>
        <v>0</v>
      </c>
      <c r="BQ119" s="57" t="s">
        <v>335</v>
      </c>
    </row>
    <row r="120" customFormat="false" ht="14.25" hidden="false" customHeight="false" outlineLevel="0" collapsed="false">
      <c r="B120" s="7"/>
      <c r="C120" s="46" t="n">
        <v>38</v>
      </c>
      <c r="D120" s="46"/>
      <c r="E120" s="44" t="n">
        <f aca="false">AI120</f>
        <v>55.5</v>
      </c>
      <c r="F120" s="44"/>
      <c r="G120" s="44"/>
      <c r="H120" s="44" t="n">
        <f aca="false">AJ120</f>
        <v>57</v>
      </c>
      <c r="I120" s="44"/>
      <c r="J120" s="44"/>
      <c r="K120" s="41" t="str">
        <f aca="false">AM120</f>
        <v>Sand</v>
      </c>
      <c r="L120" s="41"/>
      <c r="M120" s="41"/>
      <c r="N120" s="46" t="n">
        <f aca="false">AN120</f>
        <v>50</v>
      </c>
      <c r="O120" s="46"/>
      <c r="P120" s="46"/>
      <c r="Q120" s="42" t="n">
        <f aca="false">AO120</f>
        <v>19</v>
      </c>
      <c r="R120" s="42"/>
      <c r="S120" s="42"/>
      <c r="T120" s="46" t="str">
        <f aca="false">IF(AR120="","-",AR120)</f>
        <v>-</v>
      </c>
      <c r="U120" s="46"/>
      <c r="V120" s="46" t="str">
        <f aca="false">IF(AT120="","-",AT120)</f>
        <v>-</v>
      </c>
      <c r="W120" s="46"/>
      <c r="X120" s="44" t="n">
        <f aca="false">AU120</f>
        <v>0.65</v>
      </c>
      <c r="Y120" s="44"/>
      <c r="Z120" s="55" t="n">
        <f aca="false">AV120</f>
        <v>0</v>
      </c>
      <c r="AA120" s="55"/>
      <c r="AB120" s="55"/>
      <c r="AC120" s="42" t="n">
        <f aca="false">AW120</f>
        <v>41.76159985</v>
      </c>
      <c r="AD120" s="42"/>
      <c r="AE120" s="42"/>
      <c r="AF120" s="12"/>
      <c r="AI120" s="56" t="n">
        <v>55.5</v>
      </c>
      <c r="AJ120" s="56" t="n">
        <v>57</v>
      </c>
      <c r="AK120" s="57" t="n">
        <f aca="false">AJ120-AI120</f>
        <v>1.5</v>
      </c>
      <c r="AL120" s="57" t="n">
        <f aca="false">(AI120+AJ120)/2</f>
        <v>56.25</v>
      </c>
      <c r="AM120" s="56" t="s">
        <v>199</v>
      </c>
      <c r="AN120" s="56" t="n">
        <v>50</v>
      </c>
      <c r="AO120" s="58" t="n">
        <f aca="false">IF(AL120&gt;$AA$20,$AA$22,$AA$21)</f>
        <v>19</v>
      </c>
      <c r="AP120" s="57" t="n">
        <f aca="false">AP119+AO120*AK120</f>
        <v>1064.25</v>
      </c>
      <c r="AQ120" s="57" t="n">
        <f aca="false">AP120-AO120*AK120/2-10*MAX(AL120-$AA$20,0)</f>
        <v>567.5</v>
      </c>
      <c r="AR120" s="56"/>
      <c r="AS120" s="56"/>
      <c r="AT120" s="57" t="str">
        <f aca="false">IF(AR120="","",AR120-AS120)</f>
        <v/>
      </c>
      <c r="AU120" s="56" t="n">
        <v>0.65</v>
      </c>
      <c r="AV120" s="57" t="n">
        <f aca="false">IF(AM120="Sand",0,Input!$AA$34*AN120)</f>
        <v>0</v>
      </c>
      <c r="AW120" s="57" t="n">
        <f aca="false">IF(AM120="Sand",27.1+0.3*MIN(Input!$AA$35*AN120,60)-0.00054*MIN(Input!$AA$35*AN120,60)^2,MIN(MAX(DEGREES(ASIN(0.8-0.094*LN(MAX(IF(AT120="",10,AT120),5)))),20),30))</f>
        <v>41.76159985</v>
      </c>
      <c r="AX120" s="57" t="n">
        <f aca="false">IF(AM120="Sand",Input!$AA$36*Input!$AA$35*AN120,Input!$AA$37*AV120)</f>
        <v>54150</v>
      </c>
      <c r="AY120" s="59" t="n">
        <f aca="false">IF(AM120="Sand",Input!$AA$38,0.5)</f>
        <v>0.3</v>
      </c>
      <c r="AZ120" s="57" t="n">
        <f aca="false">Input!$AA$15/2/AL120</f>
        <v>0.657777777777778</v>
      </c>
      <c r="BA120" s="57" t="n">
        <f aca="false">Input!$AA$16/2/AL120</f>
        <v>1.79555555555556</v>
      </c>
      <c r="BB120" s="57" t="n">
        <f aca="false">1/(4*PI())*(2*AZ120*BA120*SQRT(AZ120^2+BA120^2+1)/(AZ120^2+BA120^2+1+AZ120^2*BA120^2)*(AZ120^2+BA120^2+2)/(AZ120^2+BA120^2+1)+ATAN2(AZ120^2+BA120^2+1-AZ120^2*BA120^2,2*AZ120*BA120*SQRT(AZ120^2+BA120^2+1)))</f>
        <v>0.161125248626343</v>
      </c>
      <c r="BC120" s="57" t="n">
        <f aca="false">4*Input!$AA$14*BB120</f>
        <v>87.6521352527307</v>
      </c>
      <c r="BD120" s="57" t="n">
        <f aca="false">((Input!$AA$16/Input!$AA$15)*LN((1+SQRT((Input!$AA$16/Input!$AA$15)^2+1))*SQRT((Input!$AA$16/Input!$AA$15)^2+(AJ120/(Input!$AA$15/2))^2)/((Input!$AA$16/Input!$AA$15)*(1+SQRT((Input!$AA$16/Input!$AA$15)^2+(AJ120/(Input!$AA$15/2))^2+1))))+LN(((Input!$AA$16/Input!$AA$15)+SQRT((Input!$AA$16/Input!$AA$15)^2+1))*SQRT(1+(AJ120/(Input!$AA$15/2))^2)/((Input!$AA$16/Input!$AA$15)+SQRT((Input!$AA$16/Input!$AA$15)^2+(AJ120/(Input!$AA$15/2))^2+1))))/PI()</f>
        <v>0.211468337918076</v>
      </c>
      <c r="BE120" s="57" t="n">
        <f aca="false">(AJ120/(Input!$AA$15/2))/(2*PI())*ATAN((Input!$AA$16/Input!$AA$15)/((AJ120/(Input!$AA$15/2))*SQRT((Input!$AA$16/Input!$AA$15)^2+(AJ120/(Input!$AA$15/2))^2+1)))</f>
        <v>0.121126659448925</v>
      </c>
      <c r="BF120" s="57" t="n">
        <f aca="false">MAX(0,AJ120-MAX(AI120,$AA$23))/AK120*IF(BC120&gt;=Input!$AA$21*AQ120,1,0)</f>
        <v>0</v>
      </c>
      <c r="BG120" s="57" t="n">
        <f aca="false">4*Input!$AA$14*(Input!$AA$15/2)*(1-AY120^2)/AX120*((BD120-BD119)+(1-2*AY120)/(1-AY120)*(BE120-BE119))*1000*BF120</f>
        <v>0</v>
      </c>
      <c r="BH120" s="57" t="n">
        <f aca="false">IF(AM120="Sand",0,0.009*(AR120-10))</f>
        <v>0</v>
      </c>
      <c r="BI120" s="57" t="n">
        <f aca="false">BH120*Input!$AA$39</f>
        <v>0</v>
      </c>
      <c r="BJ120" s="57" t="n">
        <f aca="false">IF(AM120="Sand",0,MAX(AV120/Input!$AA$40,AQ120))</f>
        <v>0</v>
      </c>
      <c r="BK120" s="57" t="n">
        <f aca="false">IF(AM120="Sand",0,1000*AK120/(1+AU120)*IF(AQ120+BC120&lt;=BJ120,BI120*LOG10((AQ120+BC120)/AQ120),BI120*LOG10(BJ120/AQ120)+BH120*LOG10((AQ120+BC120)/BJ120)))*BF120</f>
        <v>0</v>
      </c>
      <c r="BL120" s="57" t="n">
        <f aca="false">IF(AM120="Sand",0,10^(INDEX(Input!$Q$51:$Q$57,MIN(MATCH(MIN(MAX(AR120,30),120),Input!$C$51:$C$57,1),6))+(MIN(MAX(AR120,30),120)-INDEX(Input!$C$51:$C$57,MIN(MATCH(MIN(MAX(AR120,30),120),Input!$C$51:$C$57,1),6)))/(INDEX(Input!$C$51:$C$57,MIN(MATCH(MIN(MAX(AR120,30),120),Input!$C$51:$C$57,1),6)+1)-INDEX(Input!$C$51:$C$57,MIN(MATCH(MIN(MAX(AR120,30),120),Input!$C$51:$C$57,1),6)))*(INDEX(Input!$Q$51:$Q$57,MIN(MATCH(MIN(MAX(AR120,30),120),Input!$C$51:$C$57,1),6)+1)-INDEX(Input!$Q$51:$Q$57,MIN(MATCH(MIN(MAX(AR120,30),120),Input!$C$51:$C$57,1),6)))))</f>
        <v>0</v>
      </c>
      <c r="BM120" s="57" t="n">
        <f aca="false">IF(OR(AM120="Sand",BF120=0),0,Input!$AA$41*(AK120/2)^2/(BL120*0.0001*31536000))</f>
        <v>0</v>
      </c>
      <c r="BN120" s="57" t="n">
        <f aca="false">MAX(0,MIN(AJ120,Input!$AA$20)-AI120)</f>
        <v>0</v>
      </c>
      <c r="BO120" s="57" t="n">
        <f aca="false">MAX(0,MIN(AJ120,Input!$AA$20)-MAX(AI120,$AA$23))</f>
        <v>0</v>
      </c>
      <c r="BP120" s="57" t="n">
        <f aca="false">BG120+BK120</f>
        <v>0</v>
      </c>
      <c r="BQ120" s="57" t="s">
        <v>335</v>
      </c>
    </row>
    <row r="121" customFormat="false" ht="14.25" hidden="false" customHeight="false" outlineLevel="0" collapsed="false">
      <c r="B121" s="7"/>
      <c r="C121" s="46" t="n">
        <v>39</v>
      </c>
      <c r="D121" s="46"/>
      <c r="E121" s="44" t="n">
        <f aca="false">AI121</f>
        <v>57</v>
      </c>
      <c r="F121" s="44"/>
      <c r="G121" s="44"/>
      <c r="H121" s="44" t="n">
        <f aca="false">AJ121</f>
        <v>58.5</v>
      </c>
      <c r="I121" s="44"/>
      <c r="J121" s="44"/>
      <c r="K121" s="41" t="str">
        <f aca="false">AM121</f>
        <v>Sand</v>
      </c>
      <c r="L121" s="41"/>
      <c r="M121" s="41"/>
      <c r="N121" s="46" t="n">
        <f aca="false">AN121</f>
        <v>50</v>
      </c>
      <c r="O121" s="46"/>
      <c r="P121" s="46"/>
      <c r="Q121" s="42" t="n">
        <f aca="false">AO121</f>
        <v>19</v>
      </c>
      <c r="R121" s="42"/>
      <c r="S121" s="42"/>
      <c r="T121" s="46" t="str">
        <f aca="false">IF(AR121="","-",AR121)</f>
        <v>-</v>
      </c>
      <c r="U121" s="46"/>
      <c r="V121" s="46" t="str">
        <f aca="false">IF(AT121="","-",AT121)</f>
        <v>-</v>
      </c>
      <c r="W121" s="46"/>
      <c r="X121" s="44" t="n">
        <f aca="false">AU121</f>
        <v>0.65</v>
      </c>
      <c r="Y121" s="44"/>
      <c r="Z121" s="55" t="n">
        <f aca="false">AV121</f>
        <v>0</v>
      </c>
      <c r="AA121" s="55"/>
      <c r="AB121" s="55"/>
      <c r="AC121" s="42" t="n">
        <f aca="false">AW121</f>
        <v>41.76159985</v>
      </c>
      <c r="AD121" s="42"/>
      <c r="AE121" s="42"/>
      <c r="AF121" s="12"/>
      <c r="AI121" s="56" t="n">
        <v>57</v>
      </c>
      <c r="AJ121" s="56" t="n">
        <v>58.5</v>
      </c>
      <c r="AK121" s="57" t="n">
        <f aca="false">AJ121-AI121</f>
        <v>1.5</v>
      </c>
      <c r="AL121" s="57" t="n">
        <f aca="false">(AI121+AJ121)/2</f>
        <v>57.75</v>
      </c>
      <c r="AM121" s="56" t="s">
        <v>199</v>
      </c>
      <c r="AN121" s="56" t="n">
        <v>50</v>
      </c>
      <c r="AO121" s="58" t="n">
        <f aca="false">IF(AL121&gt;$AA$20,$AA$22,$AA$21)</f>
        <v>19</v>
      </c>
      <c r="AP121" s="57" t="n">
        <f aca="false">AP120+AO121*AK121</f>
        <v>1092.75</v>
      </c>
      <c r="AQ121" s="57" t="n">
        <f aca="false">AP121-AO121*AK121/2-10*MAX(AL121-$AA$20,0)</f>
        <v>581</v>
      </c>
      <c r="AR121" s="56"/>
      <c r="AS121" s="56"/>
      <c r="AT121" s="57" t="str">
        <f aca="false">IF(AR121="","",AR121-AS121)</f>
        <v/>
      </c>
      <c r="AU121" s="56" t="n">
        <v>0.65</v>
      </c>
      <c r="AV121" s="57" t="n">
        <f aca="false">IF(AM121="Sand",0,Input!$AA$34*AN121)</f>
        <v>0</v>
      </c>
      <c r="AW121" s="57" t="n">
        <f aca="false">IF(AM121="Sand",27.1+0.3*MIN(Input!$AA$35*AN121,60)-0.00054*MIN(Input!$AA$35*AN121,60)^2,MIN(MAX(DEGREES(ASIN(0.8-0.094*LN(MAX(IF(AT121="",10,AT121),5)))),20),30))</f>
        <v>41.76159985</v>
      </c>
      <c r="AX121" s="57" t="n">
        <f aca="false">IF(AM121="Sand",Input!$AA$36*Input!$AA$35*AN121,Input!$AA$37*AV121)</f>
        <v>54150</v>
      </c>
      <c r="AY121" s="59" t="n">
        <f aca="false">IF(AM121="Sand",Input!$AA$38,0.5)</f>
        <v>0.3</v>
      </c>
      <c r="AZ121" s="57" t="n">
        <f aca="false">Input!$AA$15/2/AL121</f>
        <v>0.640692640692641</v>
      </c>
      <c r="BA121" s="57" t="n">
        <f aca="false">Input!$AA$16/2/AL121</f>
        <v>1.74891774891775</v>
      </c>
      <c r="BB121" s="57" t="n">
        <f aca="false">1/(4*PI())*(2*AZ121*BA121*SQRT(AZ121^2+BA121^2+1)/(AZ121^2+BA121^2+1+AZ121^2*BA121^2)*(AZ121^2+BA121^2+2)/(AZ121^2+BA121^2+1)+ATAN2(AZ121^2+BA121^2+1-AZ121^2*BA121^2,2*AZ121*BA121*SQRT(AZ121^2+BA121^2+1)))</f>
        <v>0.158161594063732</v>
      </c>
      <c r="BC121" s="57" t="n">
        <f aca="false">4*Input!$AA$14*BB121</f>
        <v>86.0399071706701</v>
      </c>
      <c r="BD121" s="57" t="n">
        <f aca="false">((Input!$AA$16/Input!$AA$15)*LN((1+SQRT((Input!$AA$16/Input!$AA$15)^2+1))*SQRT((Input!$AA$16/Input!$AA$15)^2+(AJ121/(Input!$AA$15/2))^2)/((Input!$AA$16/Input!$AA$15)*(1+SQRT((Input!$AA$16/Input!$AA$15)^2+(AJ121/(Input!$AA$15/2))^2+1))))+LN(((Input!$AA$16/Input!$AA$15)+SQRT((Input!$AA$16/Input!$AA$15)^2+1))*SQRT(1+(AJ121/(Input!$AA$15/2))^2)/((Input!$AA$16/Input!$AA$15)+SQRT((Input!$AA$16/Input!$AA$15)^2+(AJ121/(Input!$AA$15/2))^2+1))))/PI()</f>
        <v>0.218002728213384</v>
      </c>
      <c r="BE121" s="57" t="n">
        <f aca="false">(AJ121/(Input!$AA$15/2))/(2*PI())*ATAN((Input!$AA$16/Input!$AA$15)/((AJ121/(Input!$AA$15/2))*SQRT((Input!$AA$16/Input!$AA$15)^2+(AJ121/(Input!$AA$15/2))^2+1)))</f>
        <v>0.121004315773392</v>
      </c>
      <c r="BF121" s="57" t="n">
        <f aca="false">MAX(0,AJ121-MAX(AI121,$AA$23))/AK121*IF(BC121&gt;=Input!$AA$21*AQ121,1,0)</f>
        <v>0</v>
      </c>
      <c r="BG121" s="57" t="n">
        <f aca="false">4*Input!$AA$14*(Input!$AA$15/2)*(1-AY121^2)/AX121*((BD121-BD120)+(1-2*AY121)/(1-AY121)*(BE121-BE120))*1000*BF121</f>
        <v>0</v>
      </c>
      <c r="BH121" s="57" t="n">
        <f aca="false">IF(AM121="Sand",0,0.009*(AR121-10))</f>
        <v>0</v>
      </c>
      <c r="BI121" s="57" t="n">
        <f aca="false">BH121*Input!$AA$39</f>
        <v>0</v>
      </c>
      <c r="BJ121" s="57" t="n">
        <f aca="false">IF(AM121="Sand",0,MAX(AV121/Input!$AA$40,AQ121))</f>
        <v>0</v>
      </c>
      <c r="BK121" s="57" t="n">
        <f aca="false">IF(AM121="Sand",0,1000*AK121/(1+AU121)*IF(AQ121+BC121&lt;=BJ121,BI121*LOG10((AQ121+BC121)/AQ121),BI121*LOG10(BJ121/AQ121)+BH121*LOG10((AQ121+BC121)/BJ121)))*BF121</f>
        <v>0</v>
      </c>
      <c r="BL121" s="57" t="n">
        <f aca="false">IF(AM121="Sand",0,10^(INDEX(Input!$Q$51:$Q$57,MIN(MATCH(MIN(MAX(AR121,30),120),Input!$C$51:$C$57,1),6))+(MIN(MAX(AR121,30),120)-INDEX(Input!$C$51:$C$57,MIN(MATCH(MIN(MAX(AR121,30),120),Input!$C$51:$C$57,1),6)))/(INDEX(Input!$C$51:$C$57,MIN(MATCH(MIN(MAX(AR121,30),120),Input!$C$51:$C$57,1),6)+1)-INDEX(Input!$C$51:$C$57,MIN(MATCH(MIN(MAX(AR121,30),120),Input!$C$51:$C$57,1),6)))*(INDEX(Input!$Q$51:$Q$57,MIN(MATCH(MIN(MAX(AR121,30),120),Input!$C$51:$C$57,1),6)+1)-INDEX(Input!$Q$51:$Q$57,MIN(MATCH(MIN(MAX(AR121,30),120),Input!$C$51:$C$57,1),6)))))</f>
        <v>0</v>
      </c>
      <c r="BM121" s="57" t="n">
        <f aca="false">IF(OR(AM121="Sand",BF121=0),0,Input!$AA$41*(AK121/2)^2/(BL121*0.0001*31536000))</f>
        <v>0</v>
      </c>
      <c r="BN121" s="57" t="n">
        <f aca="false">MAX(0,MIN(AJ121,Input!$AA$20)-AI121)</f>
        <v>0</v>
      </c>
      <c r="BO121" s="57" t="n">
        <f aca="false">MAX(0,MIN(AJ121,Input!$AA$20)-MAX(AI121,$AA$23))</f>
        <v>0</v>
      </c>
      <c r="BP121" s="57" t="n">
        <f aca="false">BG121+BK121</f>
        <v>0</v>
      </c>
      <c r="BQ121" s="57" t="s">
        <v>335</v>
      </c>
    </row>
    <row r="122" customFormat="false" ht="14.25" hidden="false" customHeight="false" outlineLevel="0" collapsed="false">
      <c r="B122" s="7"/>
      <c r="C122" s="46" t="n">
        <v>40</v>
      </c>
      <c r="D122" s="46"/>
      <c r="E122" s="44" t="n">
        <f aca="false">AI122</f>
        <v>58.5</v>
      </c>
      <c r="F122" s="44"/>
      <c r="G122" s="44"/>
      <c r="H122" s="44" t="n">
        <f aca="false">AJ122</f>
        <v>59.5</v>
      </c>
      <c r="I122" s="44"/>
      <c r="J122" s="44"/>
      <c r="K122" s="41" t="str">
        <f aca="false">AM122</f>
        <v>Sand</v>
      </c>
      <c r="L122" s="41"/>
      <c r="M122" s="41"/>
      <c r="N122" s="46" t="n">
        <f aca="false">AN122</f>
        <v>29</v>
      </c>
      <c r="O122" s="46"/>
      <c r="P122" s="46"/>
      <c r="Q122" s="42" t="n">
        <f aca="false">AO122</f>
        <v>19</v>
      </c>
      <c r="R122" s="42"/>
      <c r="S122" s="42"/>
      <c r="T122" s="46" t="str">
        <f aca="false">IF(AR122="","-",AR122)</f>
        <v>-</v>
      </c>
      <c r="U122" s="46"/>
      <c r="V122" s="46" t="str">
        <f aca="false">IF(AT122="","-",AT122)</f>
        <v>-</v>
      </c>
      <c r="W122" s="46"/>
      <c r="X122" s="44" t="n">
        <f aca="false">AU122</f>
        <v>0.65</v>
      </c>
      <c r="Y122" s="44"/>
      <c r="Z122" s="55" t="n">
        <f aca="false">AV122</f>
        <v>0</v>
      </c>
      <c r="AA122" s="55"/>
      <c r="AB122" s="55"/>
      <c r="AC122" s="42" t="n">
        <f aca="false">AW122</f>
        <v>35.98944418954</v>
      </c>
      <c r="AD122" s="42"/>
      <c r="AE122" s="42"/>
      <c r="AF122" s="12"/>
      <c r="AI122" s="56" t="n">
        <v>58.5</v>
      </c>
      <c r="AJ122" s="56" t="n">
        <v>59.5</v>
      </c>
      <c r="AK122" s="57" t="n">
        <f aca="false">AJ122-AI122</f>
        <v>1</v>
      </c>
      <c r="AL122" s="57" t="n">
        <f aca="false">(AI122+AJ122)/2</f>
        <v>59</v>
      </c>
      <c r="AM122" s="56" t="s">
        <v>199</v>
      </c>
      <c r="AN122" s="56" t="n">
        <v>29</v>
      </c>
      <c r="AO122" s="58" t="n">
        <f aca="false">IF(AL122&gt;$AA$20,$AA$22,$AA$21)</f>
        <v>19</v>
      </c>
      <c r="AP122" s="57" t="n">
        <f aca="false">AP121+AO122*AK122</f>
        <v>1111.75</v>
      </c>
      <c r="AQ122" s="57" t="n">
        <f aca="false">AP122-AO122*AK122/2-10*MAX(AL122-$AA$20,0)</f>
        <v>592.25</v>
      </c>
      <c r="AR122" s="56"/>
      <c r="AS122" s="56"/>
      <c r="AT122" s="57" t="str">
        <f aca="false">IF(AR122="","",AR122-AS122)</f>
        <v/>
      </c>
      <c r="AU122" s="56" t="n">
        <v>0.65</v>
      </c>
      <c r="AV122" s="57" t="n">
        <f aca="false">IF(AM122="Sand",0,Input!$AA$34*AN122)</f>
        <v>0</v>
      </c>
      <c r="AW122" s="57" t="n">
        <f aca="false">IF(AM122="Sand",27.1+0.3*MIN(Input!$AA$35*AN122,60)-0.00054*MIN(Input!$AA$35*AN122,60)^2,MIN(MAX(DEGREES(ASIN(0.8-0.094*LN(MAX(IF(AT122="",10,AT122),5)))),20),30))</f>
        <v>35.98944418954</v>
      </c>
      <c r="AX122" s="57" t="n">
        <f aca="false">IF(AM122="Sand",Input!$AA$36*Input!$AA$35*AN122,Input!$AA$37*AV122)</f>
        <v>31407</v>
      </c>
      <c r="AY122" s="59" t="n">
        <f aca="false">IF(AM122="Sand",Input!$AA$38,0.5)</f>
        <v>0.3</v>
      </c>
      <c r="AZ122" s="57" t="n">
        <f aca="false">Input!$AA$15/2/AL122</f>
        <v>0.627118644067797</v>
      </c>
      <c r="BA122" s="57" t="n">
        <f aca="false">Input!$AA$16/2/AL122</f>
        <v>1.71186440677966</v>
      </c>
      <c r="BB122" s="57" t="n">
        <f aca="false">1/(4*PI())*(2*AZ122*BA122*SQRT(AZ122^2+BA122^2+1)/(AZ122^2+BA122^2+1+AZ122^2*BA122^2)*(AZ122^2+BA122^2+2)/(AZ122^2+BA122^2+1)+ATAN2(AZ122^2+BA122^2+1-AZ122^2*BA122^2,2*AZ122*BA122*SQRT(AZ122^2+BA122^2+1)))</f>
        <v>0.15573258786151</v>
      </c>
      <c r="BC122" s="57" t="n">
        <f aca="false">4*Input!$AA$14*BB122</f>
        <v>84.7185277966616</v>
      </c>
      <c r="BD122" s="57" t="n">
        <f aca="false">((Input!$AA$16/Input!$AA$15)*LN((1+SQRT((Input!$AA$16/Input!$AA$15)^2+1))*SQRT((Input!$AA$16/Input!$AA$15)^2+(AJ122/(Input!$AA$15/2))^2)/((Input!$AA$16/Input!$AA$15)*(1+SQRT((Input!$AA$16/Input!$AA$15)^2+(AJ122/(Input!$AA$15/2))^2+1))))+LN(((Input!$AA$16/Input!$AA$15)+SQRT((Input!$AA$16/Input!$AA$15)^2+1))*SQRT(1+(AJ122/(Input!$AA$15/2))^2)/((Input!$AA$16/Input!$AA$15)+SQRT((Input!$AA$16/Input!$AA$15)^2+(AJ122/(Input!$AA$15/2))^2+1))))/PI()</f>
        <v>0.222320600711722</v>
      </c>
      <c r="BE122" s="57" t="n">
        <f aca="false">(AJ122/(Input!$AA$15/2))/(2*PI())*ATAN((Input!$AA$16/Input!$AA$15)/((AJ122/(Input!$AA$15/2))*SQRT((Input!$AA$16/Input!$AA$15)^2+(AJ122/(Input!$AA$15/2))^2+1)))</f>
        <v>0.120895459060618</v>
      </c>
      <c r="BF122" s="57" t="n">
        <f aca="false">MAX(0,AJ122-MAX(AI122,$AA$23))/AK122*IF(BC122&gt;=Input!$AA$21*AQ122,1,0)</f>
        <v>0</v>
      </c>
      <c r="BG122" s="57" t="n">
        <f aca="false">4*Input!$AA$14*(Input!$AA$15/2)*(1-AY122^2)/AX122*((BD122-BD121)+(1-2*AY122)/(1-AY122)*(BE122-BE121))*1000*BF122</f>
        <v>0</v>
      </c>
      <c r="BH122" s="57" t="n">
        <f aca="false">IF(AM122="Sand",0,0.009*(AR122-10))</f>
        <v>0</v>
      </c>
      <c r="BI122" s="57" t="n">
        <f aca="false">BH122*Input!$AA$39</f>
        <v>0</v>
      </c>
      <c r="BJ122" s="57" t="n">
        <f aca="false">IF(AM122="Sand",0,MAX(AV122/Input!$AA$40,AQ122))</f>
        <v>0</v>
      </c>
      <c r="BK122" s="57" t="n">
        <f aca="false">IF(AM122="Sand",0,1000*AK122/(1+AU122)*IF(AQ122+BC122&lt;=BJ122,BI122*LOG10((AQ122+BC122)/AQ122),BI122*LOG10(BJ122/AQ122)+BH122*LOG10((AQ122+BC122)/BJ122)))*BF122</f>
        <v>0</v>
      </c>
      <c r="BL122" s="57" t="n">
        <f aca="false">IF(AM122="Sand",0,10^(INDEX(Input!$Q$51:$Q$57,MIN(MATCH(MIN(MAX(AR122,30),120),Input!$C$51:$C$57,1),6))+(MIN(MAX(AR122,30),120)-INDEX(Input!$C$51:$C$57,MIN(MATCH(MIN(MAX(AR122,30),120),Input!$C$51:$C$57,1),6)))/(INDEX(Input!$C$51:$C$57,MIN(MATCH(MIN(MAX(AR122,30),120),Input!$C$51:$C$57,1),6)+1)-INDEX(Input!$C$51:$C$57,MIN(MATCH(MIN(MAX(AR122,30),120),Input!$C$51:$C$57,1),6)))*(INDEX(Input!$Q$51:$Q$57,MIN(MATCH(MIN(MAX(AR122,30),120),Input!$C$51:$C$57,1),6)+1)-INDEX(Input!$Q$51:$Q$57,MIN(MATCH(MIN(MAX(AR122,30),120),Input!$C$51:$C$57,1),6)))))</f>
        <v>0</v>
      </c>
      <c r="BM122" s="57" t="n">
        <f aca="false">IF(OR(AM122="Sand",BF122=0),0,Input!$AA$41*(AK122/2)^2/(BL122*0.0001*31536000))</f>
        <v>0</v>
      </c>
      <c r="BN122" s="57" t="n">
        <f aca="false">MAX(0,MIN(AJ122,Input!$AA$20)-AI122)</f>
        <v>0</v>
      </c>
      <c r="BO122" s="57" t="n">
        <f aca="false">MAX(0,MIN(AJ122,Input!$AA$20)-MAX(AI122,$AA$23))</f>
        <v>0</v>
      </c>
      <c r="BP122" s="57" t="n">
        <f aca="false">BG122+BK122</f>
        <v>0</v>
      </c>
      <c r="BQ122" s="57" t="s">
        <v>335</v>
      </c>
    </row>
    <row r="123" customFormat="false" ht="14.25" hidden="false" customHeight="false" outlineLevel="0" collapsed="false">
      <c r="B123" s="7"/>
      <c r="C123" s="60" t="n">
        <v>41</v>
      </c>
      <c r="D123" s="60"/>
      <c r="E123" s="61" t="n">
        <f aca="false">AI123</f>
        <v>59.5</v>
      </c>
      <c r="F123" s="61"/>
      <c r="G123" s="61"/>
      <c r="H123" s="61" t="n">
        <f aca="false">AJ123</f>
        <v>60</v>
      </c>
      <c r="I123" s="61"/>
      <c r="J123" s="61"/>
      <c r="K123" s="48" t="str">
        <f aca="false">AM123</f>
        <v>Sand</v>
      </c>
      <c r="L123" s="48"/>
      <c r="M123" s="48"/>
      <c r="N123" s="60" t="n">
        <f aca="false">AN123</f>
        <v>44</v>
      </c>
      <c r="O123" s="60"/>
      <c r="P123" s="60"/>
      <c r="Q123" s="49" t="n">
        <f aca="false">AO123</f>
        <v>19</v>
      </c>
      <c r="R123" s="49"/>
      <c r="S123" s="49"/>
      <c r="T123" s="60" t="str">
        <f aca="false">IF(AR123="","-",AR123)</f>
        <v>-</v>
      </c>
      <c r="U123" s="60"/>
      <c r="V123" s="60" t="str">
        <f aca="false">IF(AT123="","-",AT123)</f>
        <v>-</v>
      </c>
      <c r="W123" s="60"/>
      <c r="X123" s="61" t="n">
        <f aca="false">AU123</f>
        <v>0.65</v>
      </c>
      <c r="Y123" s="61"/>
      <c r="Z123" s="62" t="n">
        <f aca="false">AV123</f>
        <v>0</v>
      </c>
      <c r="AA123" s="62"/>
      <c r="AB123" s="62"/>
      <c r="AC123" s="49" t="n">
        <f aca="false">AW123</f>
        <v>40.16941492384</v>
      </c>
      <c r="AD123" s="49"/>
      <c r="AE123" s="49"/>
      <c r="AF123" s="12"/>
      <c r="AI123" s="56" t="n">
        <v>59.5</v>
      </c>
      <c r="AJ123" s="56" t="n">
        <v>60</v>
      </c>
      <c r="AK123" s="57" t="n">
        <f aca="false">AJ123-AI123</f>
        <v>0.5</v>
      </c>
      <c r="AL123" s="57" t="n">
        <f aca="false">(AI123+AJ123)/2</f>
        <v>59.75</v>
      </c>
      <c r="AM123" s="56" t="s">
        <v>199</v>
      </c>
      <c r="AN123" s="56" t="n">
        <v>44</v>
      </c>
      <c r="AO123" s="58" t="n">
        <f aca="false">IF(AL123&gt;$AA$20,$AA$22,$AA$21)</f>
        <v>19</v>
      </c>
      <c r="AP123" s="57" t="n">
        <f aca="false">AP122+AO123*AK123</f>
        <v>1121.25</v>
      </c>
      <c r="AQ123" s="57" t="n">
        <f aca="false">AP123-AO123*AK123/2-10*MAX(AL123-$AA$20,0)</f>
        <v>599</v>
      </c>
      <c r="AR123" s="56"/>
      <c r="AS123" s="56"/>
      <c r="AT123" s="57" t="str">
        <f aca="false">IF(AR123="","",AR123-AS123)</f>
        <v/>
      </c>
      <c r="AU123" s="56" t="n">
        <v>0.65</v>
      </c>
      <c r="AV123" s="57" t="n">
        <f aca="false">IF(AM123="Sand",0,Input!$AA$34*AN123)</f>
        <v>0</v>
      </c>
      <c r="AW123" s="57" t="n">
        <f aca="false">IF(AM123="Sand",27.1+0.3*MIN(Input!$AA$35*AN123,60)-0.00054*MIN(Input!$AA$35*AN123,60)^2,MIN(MAX(DEGREES(ASIN(0.8-0.094*LN(MAX(IF(AT123="",10,AT123),5)))),20),30))</f>
        <v>40.16941492384</v>
      </c>
      <c r="AX123" s="57" t="n">
        <f aca="false">IF(AM123="Sand",Input!$AA$36*Input!$AA$35*AN123,Input!$AA$37*AV123)</f>
        <v>47652</v>
      </c>
      <c r="AY123" s="59" t="n">
        <f aca="false">IF(AM123="Sand",Input!$AA$38,0.5)</f>
        <v>0.3</v>
      </c>
      <c r="AZ123" s="57" t="n">
        <f aca="false">Input!$AA$15/2/AL123</f>
        <v>0.619246861924686</v>
      </c>
      <c r="BA123" s="57" t="n">
        <f aca="false">Input!$AA$16/2/AL123</f>
        <v>1.69037656903766</v>
      </c>
      <c r="BB123" s="57" t="n">
        <f aca="false">1/(4*PI())*(2*AZ123*BA123*SQRT(AZ123^2+BA123^2+1)/(AZ123^2+BA123^2+1+AZ123^2*BA123^2)*(AZ123^2+BA123^2+2)/(AZ123^2+BA123^2+1)+ATAN2(AZ123^2+BA123^2+1-AZ123^2*BA123^2,2*AZ123*BA123*SQRT(AZ123^2+BA123^2+1)))</f>
        <v>0.15429309651457</v>
      </c>
      <c r="BC123" s="57" t="n">
        <f aca="false">4*Input!$AA$14*BB123</f>
        <v>83.9354445039259</v>
      </c>
      <c r="BD123" s="57" t="n">
        <f aca="false">((Input!$AA$16/Input!$AA$15)*LN((1+SQRT((Input!$AA$16/Input!$AA$15)^2+1))*SQRT((Input!$AA$16/Input!$AA$15)^2+(AJ123/(Input!$AA$15/2))^2)/((Input!$AA$16/Input!$AA$15)*(1+SQRT((Input!$AA$16/Input!$AA$15)^2+(AJ123/(Input!$AA$15/2))^2+1))))+LN(((Input!$AA$16/Input!$AA$15)+SQRT((Input!$AA$16/Input!$AA$15)^2+1))*SQRT(1+(AJ123/(Input!$AA$15/2))^2)/((Input!$AA$16/Input!$AA$15)+SQRT((Input!$AA$16/Input!$AA$15)^2+(AJ123/(Input!$AA$15/2))^2+1))))/PI()</f>
        <v>0.224467837031054</v>
      </c>
      <c r="BE123" s="57" t="n">
        <f aca="false">(AJ123/(Input!$AA$15/2))/(2*PI())*ATAN((Input!$AA$16/Input!$AA$15)/((AJ123/(Input!$AA$15/2))*SQRT((Input!$AA$16/Input!$AA$15)^2+(AJ123/(Input!$AA$15/2))^2+1)))</f>
        <v>0.120833267963286</v>
      </c>
      <c r="BF123" s="57" t="n">
        <f aca="false">MAX(0,AJ123-MAX(AI123,$AA$23))/AK123*IF(BC123&gt;=Input!$AA$21*AQ123,1,0)</f>
        <v>0</v>
      </c>
      <c r="BG123" s="57" t="n">
        <f aca="false">4*Input!$AA$14*(Input!$AA$15/2)*(1-AY123^2)/AX123*((BD123-BD122)+(1-2*AY123)/(1-AY123)*(BE123-BE122))*1000*BF123</f>
        <v>0</v>
      </c>
      <c r="BH123" s="57" t="n">
        <f aca="false">IF(AM123="Sand",0,0.009*(AR123-10))</f>
        <v>0</v>
      </c>
      <c r="BI123" s="57" t="n">
        <f aca="false">BH123*Input!$AA$39</f>
        <v>0</v>
      </c>
      <c r="BJ123" s="57" t="n">
        <f aca="false">IF(AM123="Sand",0,MAX(AV123/Input!$AA$40,AQ123))</f>
        <v>0</v>
      </c>
      <c r="BK123" s="57" t="n">
        <f aca="false">IF(AM123="Sand",0,1000*AK123/(1+AU123)*IF(AQ123+BC123&lt;=BJ123,BI123*LOG10((AQ123+BC123)/AQ123),BI123*LOG10(BJ123/AQ123)+BH123*LOG10((AQ123+BC123)/BJ123)))*BF123</f>
        <v>0</v>
      </c>
      <c r="BL123" s="57" t="n">
        <f aca="false">IF(AM123="Sand",0,10^(INDEX(Input!$Q$51:$Q$57,MIN(MATCH(MIN(MAX(AR123,30),120),Input!$C$51:$C$57,1),6))+(MIN(MAX(AR123,30),120)-INDEX(Input!$C$51:$C$57,MIN(MATCH(MIN(MAX(AR123,30),120),Input!$C$51:$C$57,1),6)))/(INDEX(Input!$C$51:$C$57,MIN(MATCH(MIN(MAX(AR123,30),120),Input!$C$51:$C$57,1),6)+1)-INDEX(Input!$C$51:$C$57,MIN(MATCH(MIN(MAX(AR123,30),120),Input!$C$51:$C$57,1),6)))*(INDEX(Input!$Q$51:$Q$57,MIN(MATCH(MIN(MAX(AR123,30),120),Input!$C$51:$C$57,1),6)+1)-INDEX(Input!$Q$51:$Q$57,MIN(MATCH(MIN(MAX(AR123,30),120),Input!$C$51:$C$57,1),6)))))</f>
        <v>0</v>
      </c>
      <c r="BM123" s="57" t="n">
        <f aca="false">IF(OR(AM123="Sand",BF123=0),0,Input!$AA$41*(AK123/2)^2/(BL123*0.0001*31536000))</f>
        <v>0</v>
      </c>
      <c r="BN123" s="57" t="n">
        <f aca="false">MAX(0,MIN(AJ123,Input!$AA$20)-AI123)</f>
        <v>0</v>
      </c>
      <c r="BO123" s="57" t="n">
        <f aca="false">MAX(0,MIN(AJ123,Input!$AA$20)-MAX(AI123,$AA$23))</f>
        <v>0</v>
      </c>
      <c r="BP123" s="57" t="n">
        <f aca="false">BG123+BK123</f>
        <v>0</v>
      </c>
      <c r="BQ123" s="57" t="s">
        <v>335</v>
      </c>
    </row>
    <row r="124" customFormat="false" ht="14.25" hidden="false" customHeight="false" outlineLevel="0" collapsed="false">
      <c r="B124" s="7"/>
      <c r="C124" s="19" t="s">
        <v>201</v>
      </c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2"/>
    </row>
    <row r="125" customFormat="false" ht="14.25" hidden="false" customHeight="false" outlineLevel="0" collapsed="false">
      <c r="B125" s="7"/>
      <c r="C125" s="19" t="s">
        <v>336</v>
      </c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2"/>
    </row>
    <row r="126" customFormat="false" ht="14.25" hidden="false" customHeight="false" outlineLevel="0" collapsed="false">
      <c r="B126" s="7"/>
      <c r="AF126" s="12"/>
    </row>
    <row r="127" customFormat="false" ht="14.25" hidden="false" customHeight="false" outlineLevel="0" collapsed="false">
      <c r="B127" s="7"/>
      <c r="AF127" s="12"/>
    </row>
    <row r="128" customFormat="false" ht="14.25" hidden="false" customHeight="false" outlineLevel="0" collapsed="false">
      <c r="B128" s="7"/>
      <c r="AF128" s="12"/>
    </row>
    <row r="129" customFormat="false" ht="14.25" hidden="false" customHeight="false" outlineLevel="0" collapsed="false">
      <c r="B129" s="7"/>
      <c r="AF129" s="12"/>
    </row>
    <row r="130" customFormat="false" ht="14.25" hidden="false" customHeight="false" outlineLevel="0" collapsed="false">
      <c r="B130" s="7"/>
      <c r="AF130" s="12"/>
    </row>
    <row r="131" customFormat="false" ht="14.25" hidden="false" customHeight="false" outlineLevel="0" collapsed="false">
      <c r="B131" s="7"/>
      <c r="AF131" s="12"/>
    </row>
    <row r="132" customFormat="false" ht="14.25" hidden="false" customHeight="false" outlineLevel="0" collapsed="false">
      <c r="B132" s="7"/>
      <c r="AF132" s="12"/>
    </row>
    <row r="133" customFormat="false" ht="14.25" hidden="false" customHeight="false" outlineLevel="0" collapsed="false">
      <c r="B133" s="7"/>
      <c r="AF133" s="12"/>
    </row>
    <row r="134" customFormat="false" ht="14.25" hidden="false" customHeight="false" outlineLevel="0" collapsed="false">
      <c r="B134" s="7"/>
      <c r="AF134" s="12"/>
    </row>
    <row r="135" customFormat="false" ht="14.25" hidden="false" customHeight="false" outlineLevel="0" collapsed="false">
      <c r="B135" s="7"/>
      <c r="AF135" s="12"/>
    </row>
    <row r="136" customFormat="false" ht="14.25" hidden="false" customHeight="false" outlineLevel="0" collapsed="false">
      <c r="B136" s="7"/>
      <c r="AF136" s="12"/>
    </row>
    <row r="137" customFormat="false" ht="14.25" hidden="false" customHeight="false" outlineLevel="0" collapsed="false">
      <c r="B137" s="7"/>
      <c r="AF137" s="12"/>
    </row>
    <row r="138" customFormat="false" ht="14.25" hidden="false" customHeight="false" outlineLevel="0" collapsed="false">
      <c r="B138" s="7"/>
      <c r="AF138" s="12"/>
    </row>
    <row r="139" customFormat="false" ht="14.25" hidden="false" customHeight="false" outlineLevel="0" collapsed="false">
      <c r="B139" s="7"/>
      <c r="AF139" s="12"/>
    </row>
    <row r="140" customFormat="false" ht="14.25" hidden="false" customHeight="false" outlineLevel="0" collapsed="false">
      <c r="B140" s="7"/>
      <c r="AF140" s="12"/>
    </row>
    <row r="141" customFormat="false" ht="14.25" hidden="false" customHeight="false" outlineLevel="0" collapsed="false">
      <c r="B141" s="7"/>
      <c r="AF141" s="12"/>
    </row>
    <row r="142" customFormat="false" ht="14.25" hidden="false" customHeight="false" outlineLevel="0" collapsed="false">
      <c r="B142" s="7"/>
      <c r="AF142" s="12"/>
    </row>
    <row r="143" customFormat="false" ht="14.25" hidden="false" customHeight="false" outlineLevel="0" collapsed="false">
      <c r="B143" s="7"/>
      <c r="AF143" s="12"/>
    </row>
    <row r="144" customFormat="false" ht="14.25" hidden="false" customHeight="false" outlineLevel="0" collapsed="false">
      <c r="B144" s="7"/>
      <c r="AF144" s="12"/>
    </row>
    <row r="145" customFormat="false" ht="14.25" hidden="false" customHeight="true" outlineLevel="0" collapsed="false">
      <c r="B145" s="36"/>
      <c r="C145" s="37"/>
      <c r="D145" s="37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8" t="s">
        <v>93</v>
      </c>
      <c r="Y145" s="38"/>
      <c r="Z145" s="38"/>
      <c r="AA145" s="38"/>
      <c r="AB145" s="38" t="n">
        <v>2</v>
      </c>
      <c r="AC145" s="38"/>
      <c r="AD145" s="38"/>
      <c r="AE145" s="38"/>
      <c r="AF145" s="39"/>
    </row>
    <row r="146" customFormat="false" ht="14.25" hidden="false" customHeight="true" outlineLevel="0" collapsed="false">
      <c r="B146" s="1"/>
      <c r="C146" s="2" t="s">
        <v>0</v>
      </c>
      <c r="D146" s="2"/>
      <c r="E146" s="2"/>
      <c r="F146" s="2"/>
      <c r="G146" s="2"/>
      <c r="H146" s="3" t="s">
        <v>1</v>
      </c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4" t="s">
        <v>2</v>
      </c>
      <c r="Y146" s="4"/>
      <c r="Z146" s="4"/>
      <c r="AA146" s="4"/>
      <c r="AB146" s="5" t="s">
        <v>3</v>
      </c>
      <c r="AC146" s="5"/>
      <c r="AD146" s="5"/>
      <c r="AE146" s="5"/>
      <c r="AF146" s="6"/>
    </row>
    <row r="147" customFormat="false" ht="14.25" hidden="false" customHeight="true" outlineLevel="0" collapsed="false">
      <c r="B147" s="7"/>
      <c r="C147" s="8" t="s">
        <v>4</v>
      </c>
      <c r="D147" s="8"/>
      <c r="E147" s="8"/>
      <c r="F147" s="8"/>
      <c r="G147" s="8"/>
      <c r="H147" s="9" t="s">
        <v>5</v>
      </c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10" t="s">
        <v>6</v>
      </c>
      <c r="Y147" s="10"/>
      <c r="Z147" s="10"/>
      <c r="AA147" s="10"/>
      <c r="AB147" s="11" t="n">
        <v>46301</v>
      </c>
      <c r="AC147" s="11"/>
      <c r="AD147" s="11"/>
      <c r="AE147" s="11"/>
      <c r="AF147" s="12"/>
    </row>
    <row r="148" customFormat="false" ht="14.25" hidden="false" customHeight="true" outlineLevel="0" collapsed="false">
      <c r="B148" s="7"/>
      <c r="C148" s="8" t="s">
        <v>7</v>
      </c>
      <c r="D148" s="8"/>
      <c r="E148" s="8"/>
      <c r="F148" s="8"/>
      <c r="G148" s="8"/>
      <c r="H148" s="9" t="s">
        <v>333</v>
      </c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10" t="s">
        <v>9</v>
      </c>
      <c r="Y148" s="10"/>
      <c r="Z148" s="10"/>
      <c r="AA148" s="10"/>
      <c r="AB148" s="11" t="s">
        <v>3</v>
      </c>
      <c r="AC148" s="11"/>
      <c r="AD148" s="11"/>
      <c r="AE148" s="11"/>
      <c r="AF148" s="12"/>
    </row>
    <row r="149" customFormat="false" ht="14.25" hidden="false" customHeight="true" outlineLevel="0" collapsed="false">
      <c r="B149" s="13"/>
      <c r="C149" s="14" t="s">
        <v>10</v>
      </c>
      <c r="D149" s="14"/>
      <c r="E149" s="14"/>
      <c r="F149" s="14"/>
      <c r="G149" s="14"/>
      <c r="H149" s="15" t="s">
        <v>134</v>
      </c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6" t="s">
        <v>12</v>
      </c>
      <c r="Y149" s="16"/>
      <c r="Z149" s="16"/>
      <c r="AA149" s="16"/>
      <c r="AB149" s="17" t="n">
        <v>46301</v>
      </c>
      <c r="AC149" s="17"/>
      <c r="AD149" s="17"/>
      <c r="AE149" s="17"/>
      <c r="AF149" s="18"/>
    </row>
    <row r="150" customFormat="false" ht="14.25" hidden="false" customHeight="false" outlineLevel="0" collapsed="false">
      <c r="B150" s="7"/>
      <c r="AF150" s="12"/>
    </row>
    <row r="151" customFormat="false" ht="14.25" hidden="false" customHeight="false" outlineLevel="0" collapsed="false">
      <c r="B151" s="7"/>
      <c r="C151" s="9" t="s">
        <v>202</v>
      </c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12"/>
    </row>
    <row r="152" customFormat="false" ht="14.25" hidden="false" customHeight="false" outlineLevel="0" collapsed="false">
      <c r="B152" s="7"/>
      <c r="C152" s="20" t="s">
        <v>203</v>
      </c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12"/>
    </row>
    <row r="153" customFormat="false" ht="14.25" hidden="false" customHeight="false" outlineLevel="0" collapsed="false">
      <c r="B153" s="7"/>
      <c r="C153" s="20" t="s">
        <v>204</v>
      </c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12"/>
    </row>
    <row r="154" customFormat="false" ht="14.25" hidden="false" customHeight="false" outlineLevel="0" collapsed="false">
      <c r="B154" s="7"/>
      <c r="C154" s="20" t="s">
        <v>205</v>
      </c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12"/>
    </row>
    <row r="155" customFormat="false" ht="14.25" hidden="false" customHeight="false" outlineLevel="0" collapsed="false">
      <c r="B155" s="7"/>
      <c r="C155" s="20" t="s">
        <v>206</v>
      </c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12"/>
    </row>
    <row r="156" customFormat="false" ht="14.25" hidden="false" customHeight="false" outlineLevel="0" collapsed="false">
      <c r="B156" s="7"/>
      <c r="C156" s="20" t="s">
        <v>207</v>
      </c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12"/>
    </row>
    <row r="157" customFormat="false" ht="14.25" hidden="false" customHeight="false" outlineLevel="0" collapsed="false">
      <c r="B157" s="7"/>
      <c r="AF157" s="12"/>
    </row>
    <row r="158" customFormat="false" ht="14.25" hidden="false" customHeight="false" outlineLevel="0" collapsed="false">
      <c r="B158" s="7"/>
      <c r="AF158" s="12"/>
    </row>
    <row r="159" customFormat="false" ht="14.25" hidden="false" customHeight="false" outlineLevel="0" collapsed="false">
      <c r="B159" s="7"/>
      <c r="AF159" s="12"/>
    </row>
    <row r="160" customFormat="false" ht="14.25" hidden="false" customHeight="false" outlineLevel="0" collapsed="false">
      <c r="B160" s="7"/>
      <c r="AF160" s="12"/>
    </row>
    <row r="161" customFormat="false" ht="14.25" hidden="false" customHeight="false" outlineLevel="0" collapsed="false">
      <c r="B161" s="7"/>
      <c r="AF161" s="12"/>
    </row>
    <row r="162" customFormat="false" ht="14.25" hidden="false" customHeight="false" outlineLevel="0" collapsed="false">
      <c r="B162" s="7"/>
      <c r="AF162" s="12"/>
    </row>
    <row r="163" customFormat="false" ht="14.25" hidden="false" customHeight="false" outlineLevel="0" collapsed="false">
      <c r="B163" s="7"/>
      <c r="AF163" s="12"/>
    </row>
    <row r="164" customFormat="false" ht="14.25" hidden="false" customHeight="false" outlineLevel="0" collapsed="false">
      <c r="B164" s="7"/>
      <c r="AF164" s="12"/>
    </row>
    <row r="165" customFormat="false" ht="14.25" hidden="false" customHeight="false" outlineLevel="0" collapsed="false">
      <c r="B165" s="7"/>
      <c r="AF165" s="12"/>
    </row>
    <row r="166" customFormat="false" ht="14.25" hidden="false" customHeight="false" outlineLevel="0" collapsed="false">
      <c r="B166" s="7"/>
      <c r="AF166" s="12"/>
    </row>
    <row r="167" customFormat="false" ht="14.25" hidden="false" customHeight="false" outlineLevel="0" collapsed="false">
      <c r="B167" s="7"/>
      <c r="AF167" s="12"/>
    </row>
    <row r="168" customFormat="false" ht="14.25" hidden="false" customHeight="false" outlineLevel="0" collapsed="false">
      <c r="B168" s="7"/>
      <c r="AF168" s="12"/>
    </row>
    <row r="169" customFormat="false" ht="14.25" hidden="false" customHeight="false" outlineLevel="0" collapsed="false">
      <c r="B169" s="7"/>
      <c r="AF169" s="12"/>
    </row>
    <row r="170" customFormat="false" ht="14.25" hidden="false" customHeight="false" outlineLevel="0" collapsed="false">
      <c r="B170" s="7"/>
      <c r="C170" s="52" t="s">
        <v>208</v>
      </c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Z170" s="52"/>
      <c r="AA170" s="52"/>
      <c r="AB170" s="52"/>
      <c r="AC170" s="52"/>
      <c r="AD170" s="52"/>
      <c r="AE170" s="52"/>
      <c r="AF170" s="12"/>
    </row>
    <row r="171" customFormat="false" ht="14.25" hidden="false" customHeight="false" outlineLevel="0" collapsed="false">
      <c r="B171" s="7"/>
      <c r="AF171" s="12"/>
    </row>
    <row r="172" customFormat="false" ht="14.25" hidden="false" customHeight="false" outlineLevel="0" collapsed="false">
      <c r="B172" s="7"/>
      <c r="C172" s="9" t="s">
        <v>209</v>
      </c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12"/>
    </row>
    <row r="173" customFormat="false" ht="14.25" hidden="false" customHeight="true" outlineLevel="0" collapsed="false">
      <c r="B173" s="7"/>
      <c r="C173" s="20" t="s">
        <v>210</v>
      </c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1" t="s">
        <v>211</v>
      </c>
      <c r="P173" s="21"/>
      <c r="Q173" s="21"/>
      <c r="R173" s="21"/>
      <c r="S173" s="21"/>
      <c r="T173" s="21"/>
      <c r="U173" s="21"/>
      <c r="V173" s="21"/>
      <c r="W173" s="21"/>
      <c r="X173" s="22" t="s">
        <v>212</v>
      </c>
      <c r="Y173" s="22"/>
      <c r="Z173" s="22"/>
      <c r="AA173" s="50" t="n">
        <f aca="false">SUMPRODUCT(--(AM83:AM123&lt;&gt;"Sand"),BN83:BN123)</f>
        <v>0</v>
      </c>
      <c r="AB173" s="50"/>
      <c r="AC173" s="50"/>
      <c r="AD173" s="20" t="s">
        <v>19</v>
      </c>
      <c r="AE173" s="20"/>
      <c r="AF173" s="12"/>
    </row>
    <row r="174" customFormat="false" ht="14.25" hidden="false" customHeight="true" outlineLevel="0" collapsed="false">
      <c r="B174" s="7"/>
      <c r="C174" s="20" t="s">
        <v>213</v>
      </c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1" t="s">
        <v>214</v>
      </c>
      <c r="P174" s="21"/>
      <c r="Q174" s="21"/>
      <c r="R174" s="21"/>
      <c r="S174" s="21"/>
      <c r="T174" s="21"/>
      <c r="U174" s="21"/>
      <c r="V174" s="21"/>
      <c r="W174" s="21"/>
      <c r="X174" s="22" t="s">
        <v>215</v>
      </c>
      <c r="Y174" s="22"/>
      <c r="Z174" s="22"/>
      <c r="AA174" s="51" t="n">
        <f aca="false">IF($AA$173=0,0,SUMPRODUCT(--(AM83:AM123&lt;&gt;"Sand"),BN83:BN123,AV83:AV123)/$AA$173)</f>
        <v>0</v>
      </c>
      <c r="AB174" s="51"/>
      <c r="AC174" s="51"/>
      <c r="AD174" s="20" t="s">
        <v>26</v>
      </c>
      <c r="AE174" s="20"/>
      <c r="AF174" s="12"/>
    </row>
    <row r="175" customFormat="false" ht="14.25" hidden="false" customHeight="true" outlineLevel="0" collapsed="false">
      <c r="B175" s="7"/>
      <c r="C175" s="20" t="s">
        <v>216</v>
      </c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1" t="s">
        <v>217</v>
      </c>
      <c r="P175" s="21"/>
      <c r="Q175" s="21"/>
      <c r="R175" s="21"/>
      <c r="S175" s="21"/>
      <c r="T175" s="21"/>
      <c r="U175" s="21"/>
      <c r="V175" s="21"/>
      <c r="W175" s="21"/>
      <c r="X175" s="22" t="s">
        <v>218</v>
      </c>
      <c r="Y175" s="22"/>
      <c r="Z175" s="22"/>
      <c r="AA175" s="51" t="n">
        <f aca="false">(SUMPRODUCT(BN83:BN123,AW83:AW123)+MIN(0,Input!$AA$20)*Input!$AA$29)/Input!$AA$20</f>
        <v>31.115962013554</v>
      </c>
      <c r="AB175" s="51"/>
      <c r="AC175" s="51"/>
      <c r="AD175" s="20" t="s">
        <v>60</v>
      </c>
      <c r="AE175" s="20"/>
      <c r="AF175" s="12"/>
    </row>
    <row r="176" customFormat="false" ht="14.25" hidden="false" customHeight="true" outlineLevel="0" collapsed="false">
      <c r="B176" s="7"/>
      <c r="C176" s="20" t="s">
        <v>219</v>
      </c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1" t="s">
        <v>220</v>
      </c>
      <c r="P176" s="21"/>
      <c r="Q176" s="21"/>
      <c r="R176" s="21"/>
      <c r="S176" s="21"/>
      <c r="T176" s="21"/>
      <c r="U176" s="21"/>
      <c r="V176" s="21"/>
      <c r="W176" s="21"/>
      <c r="X176" s="22" t="s">
        <v>221</v>
      </c>
      <c r="Y176" s="22"/>
      <c r="Z176" s="22"/>
      <c r="AA176" s="51" t="n">
        <f aca="false">(SUMPRODUCT(BN83:BN123,AO83:AO123)+MIN(0,Input!$AA$20)*Input!$AA$28)/Input!$AA$20-10*MAX(0,Input!$AA$20-$AA$20)/Input!$AA$20</f>
        <v>16.5</v>
      </c>
      <c r="AB176" s="51"/>
      <c r="AC176" s="51"/>
      <c r="AD176" s="20" t="s">
        <v>23</v>
      </c>
      <c r="AE176" s="20"/>
      <c r="AF176" s="12"/>
    </row>
    <row r="177" customFormat="false" ht="14.25" hidden="false" customHeight="true" outlineLevel="0" collapsed="false">
      <c r="B177" s="7"/>
      <c r="C177" s="20" t="s">
        <v>222</v>
      </c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1" t="s">
        <v>223</v>
      </c>
      <c r="P177" s="21"/>
      <c r="Q177" s="21"/>
      <c r="R177" s="21"/>
      <c r="S177" s="21"/>
      <c r="T177" s="21"/>
      <c r="U177" s="21"/>
      <c r="V177" s="21"/>
      <c r="W177" s="21"/>
      <c r="X177" s="22" t="s">
        <v>224</v>
      </c>
      <c r="Y177" s="22"/>
      <c r="Z177" s="22"/>
      <c r="AA177" s="50" t="n">
        <f aca="false">IF($AA$173=0,5.14,MAX(5.14,IF(Input!$AA$25&gt;0,MIN(Input!$AA$25,4.14+0.5*Input!$AA$15/$AA$173),4.14+0.5*Input!$AA$15/$AA$173)))</f>
        <v>5.14</v>
      </c>
      <c r="AB177" s="50"/>
      <c r="AC177" s="50"/>
      <c r="AD177" s="20" t="s">
        <v>38</v>
      </c>
      <c r="AE177" s="20"/>
      <c r="AF177" s="12"/>
    </row>
    <row r="178" customFormat="false" ht="14.25" hidden="false" customHeight="true" outlineLevel="0" collapsed="false">
      <c r="B178" s="7"/>
      <c r="C178" s="20" t="s">
        <v>225</v>
      </c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1" t="s">
        <v>226</v>
      </c>
      <c r="P178" s="21"/>
      <c r="Q178" s="21"/>
      <c r="R178" s="21"/>
      <c r="S178" s="21"/>
      <c r="T178" s="21"/>
      <c r="U178" s="21"/>
      <c r="V178" s="21"/>
      <c r="W178" s="21"/>
      <c r="X178" s="22" t="s">
        <v>227</v>
      </c>
      <c r="Y178" s="22"/>
      <c r="Z178" s="22"/>
      <c r="AA178" s="50" t="n">
        <f aca="false">1+0.2*Input!$AA$15/Input!$AA$16</f>
        <v>1.07326732673267</v>
      </c>
      <c r="AB178" s="50"/>
      <c r="AC178" s="50"/>
      <c r="AD178" s="20" t="s">
        <v>38</v>
      </c>
      <c r="AE178" s="20"/>
      <c r="AF178" s="12"/>
    </row>
    <row r="179" customFormat="false" ht="14.25" hidden="false" customHeight="true" outlineLevel="0" collapsed="false">
      <c r="B179" s="7"/>
      <c r="C179" s="20" t="s">
        <v>228</v>
      </c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1" t="s">
        <v>229</v>
      </c>
      <c r="P179" s="21"/>
      <c r="Q179" s="21"/>
      <c r="R179" s="21"/>
      <c r="S179" s="21"/>
      <c r="T179" s="21"/>
      <c r="U179" s="21"/>
      <c r="V179" s="21"/>
      <c r="W179" s="21"/>
      <c r="X179" s="22" t="s">
        <v>230</v>
      </c>
      <c r="Y179" s="22"/>
      <c r="Z179" s="22"/>
      <c r="AA179" s="51" t="str">
        <f aca="false">IF($AA$173=0,"n/a",$AA$174*$AA$177*$AA$178)</f>
        <v>n/a</v>
      </c>
      <c r="AB179" s="51"/>
      <c r="AC179" s="51"/>
      <c r="AD179" s="20" t="s">
        <v>26</v>
      </c>
      <c r="AE179" s="20"/>
      <c r="AF179" s="12"/>
    </row>
    <row r="180" customFormat="false" ht="14.25" hidden="false" customHeight="true" outlineLevel="0" collapsed="false">
      <c r="B180" s="7"/>
      <c r="C180" s="20" t="s">
        <v>231</v>
      </c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1" t="s">
        <v>232</v>
      </c>
      <c r="P180" s="21"/>
      <c r="Q180" s="21"/>
      <c r="R180" s="21"/>
      <c r="S180" s="21"/>
      <c r="T180" s="21"/>
      <c r="U180" s="21"/>
      <c r="V180" s="21"/>
      <c r="W180" s="21"/>
      <c r="X180" s="22" t="s">
        <v>233</v>
      </c>
      <c r="Y180" s="22"/>
      <c r="Z180" s="22"/>
      <c r="AA180" s="50" t="n">
        <f aca="false">EXP(PI()*TAN(RADIANS($AA$175)))*TAN(RADIANS(45+$AA$175/2))^2</f>
        <v>20.9088902682053</v>
      </c>
      <c r="AB180" s="50"/>
      <c r="AC180" s="50"/>
      <c r="AD180" s="20" t="s">
        <v>38</v>
      </c>
      <c r="AE180" s="20"/>
      <c r="AF180" s="12"/>
    </row>
    <row r="181" customFormat="false" ht="14.25" hidden="false" customHeight="true" outlineLevel="0" collapsed="false">
      <c r="B181" s="7"/>
      <c r="C181" s="20" t="s">
        <v>234</v>
      </c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1" t="s">
        <v>235</v>
      </c>
      <c r="P181" s="21"/>
      <c r="Q181" s="21"/>
      <c r="R181" s="21"/>
      <c r="S181" s="21"/>
      <c r="T181" s="21"/>
      <c r="U181" s="21"/>
      <c r="V181" s="21"/>
      <c r="W181" s="21"/>
      <c r="X181" s="22" t="s">
        <v>236</v>
      </c>
      <c r="Y181" s="22"/>
      <c r="Z181" s="22"/>
      <c r="AA181" s="50" t="n">
        <f aca="false">2*($AA$180+1)*TAN(RADIANS($AA$175))</f>
        <v>26.4492272637717</v>
      </c>
      <c r="AB181" s="50"/>
      <c r="AC181" s="50"/>
      <c r="AD181" s="20" t="s">
        <v>38</v>
      </c>
      <c r="AE181" s="20"/>
      <c r="AF181" s="12"/>
    </row>
    <row r="182" customFormat="false" ht="14.25" hidden="false" customHeight="true" outlineLevel="0" collapsed="false">
      <c r="B182" s="7"/>
      <c r="C182" s="20" t="s">
        <v>237</v>
      </c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1" t="s">
        <v>238</v>
      </c>
      <c r="P182" s="21"/>
      <c r="Q182" s="21"/>
      <c r="R182" s="21"/>
      <c r="S182" s="21"/>
      <c r="T182" s="21"/>
      <c r="U182" s="21"/>
      <c r="V182" s="21"/>
      <c r="W182" s="21"/>
      <c r="X182" s="22" t="s">
        <v>239</v>
      </c>
      <c r="Y182" s="22"/>
      <c r="Z182" s="22"/>
      <c r="AA182" s="63" t="n">
        <f aca="false">(1-0.4*Input!$AA$15/Input!$AA$16)*IF(Input!$AA$15&gt;2,1-0.25*LOG10(Input!$AA$15/2),1)</f>
        <v>0.518863889567884</v>
      </c>
      <c r="AB182" s="63"/>
      <c r="AC182" s="63"/>
      <c r="AD182" s="20" t="s">
        <v>38</v>
      </c>
      <c r="AE182" s="20"/>
      <c r="AF182" s="12"/>
    </row>
    <row r="183" customFormat="false" ht="14.25" hidden="false" customHeight="true" outlineLevel="0" collapsed="false">
      <c r="B183" s="7"/>
      <c r="C183" s="20" t="s">
        <v>240</v>
      </c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1" t="s">
        <v>241</v>
      </c>
      <c r="P183" s="21"/>
      <c r="Q183" s="21"/>
      <c r="R183" s="21"/>
      <c r="S183" s="21"/>
      <c r="T183" s="21"/>
      <c r="U183" s="21"/>
      <c r="V183" s="21"/>
      <c r="W183" s="21"/>
      <c r="X183" s="22" t="s">
        <v>242</v>
      </c>
      <c r="Y183" s="22"/>
      <c r="Z183" s="22"/>
      <c r="AA183" s="51" t="n">
        <f aca="false">0.5*$AA$176*Input!$AA$15*$AA$181*$AA$182</f>
        <v>8378.22662429584</v>
      </c>
      <c r="AB183" s="51"/>
      <c r="AC183" s="51"/>
      <c r="AD183" s="20" t="s">
        <v>26</v>
      </c>
      <c r="AE183" s="20"/>
      <c r="AF183" s="12"/>
    </row>
    <row r="184" customFormat="false" ht="14.25" hidden="false" customHeight="true" outlineLevel="0" collapsed="false">
      <c r="B184" s="7"/>
      <c r="C184" s="20" t="s">
        <v>243</v>
      </c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1" t="s">
        <v>244</v>
      </c>
      <c r="P184" s="21"/>
      <c r="Q184" s="21"/>
      <c r="R184" s="21"/>
      <c r="S184" s="21"/>
      <c r="T184" s="21"/>
      <c r="U184" s="21"/>
      <c r="V184" s="21"/>
      <c r="W184" s="21"/>
      <c r="X184" s="22" t="s">
        <v>245</v>
      </c>
      <c r="Y184" s="22"/>
      <c r="Z184" s="22"/>
      <c r="AA184" s="24" t="n">
        <f aca="false">IF($AA$173=0,$AA$183,MIN($AA$179,$AA$183))</f>
        <v>8378.22662429584</v>
      </c>
      <c r="AB184" s="24"/>
      <c r="AC184" s="24"/>
      <c r="AD184" s="20" t="s">
        <v>26</v>
      </c>
      <c r="AE184" s="20"/>
      <c r="AF184" s="12"/>
    </row>
    <row r="185" customFormat="false" ht="14.25" hidden="false" customHeight="true" outlineLevel="0" collapsed="false">
      <c r="B185" s="7"/>
      <c r="C185" s="20" t="s">
        <v>246</v>
      </c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1" t="s">
        <v>247</v>
      </c>
      <c r="P185" s="21"/>
      <c r="Q185" s="21"/>
      <c r="R185" s="21"/>
      <c r="S185" s="21"/>
      <c r="T185" s="21"/>
      <c r="U185" s="21"/>
      <c r="V185" s="21"/>
      <c r="W185" s="21"/>
      <c r="X185" s="22" t="s">
        <v>248</v>
      </c>
      <c r="Y185" s="22"/>
      <c r="Z185" s="22"/>
      <c r="AA185" s="24" t="n">
        <f aca="false">$AA$184/Input!$AA$19</f>
        <v>2792.74220809861</v>
      </c>
      <c r="AB185" s="24"/>
      <c r="AC185" s="24"/>
      <c r="AD185" s="20" t="s">
        <v>26</v>
      </c>
      <c r="AE185" s="20"/>
      <c r="AF185" s="12"/>
    </row>
    <row r="186" customFormat="false" ht="14.25" hidden="false" customHeight="true" outlineLevel="0" collapsed="false">
      <c r="B186" s="7"/>
      <c r="C186" s="20" t="s">
        <v>249</v>
      </c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1" t="s">
        <v>28</v>
      </c>
      <c r="P186" s="21"/>
      <c r="Q186" s="21"/>
      <c r="R186" s="21"/>
      <c r="S186" s="21"/>
      <c r="T186" s="21"/>
      <c r="U186" s="21"/>
      <c r="V186" s="21"/>
      <c r="W186" s="21"/>
      <c r="X186" s="22" t="s">
        <v>29</v>
      </c>
      <c r="Y186" s="22"/>
      <c r="Z186" s="22"/>
      <c r="AA186" s="51" t="n">
        <f aca="false">Input!$AA$14</f>
        <v>136</v>
      </c>
      <c r="AB186" s="51"/>
      <c r="AC186" s="51"/>
      <c r="AD186" s="20" t="s">
        <v>26</v>
      </c>
      <c r="AE186" s="20"/>
      <c r="AF186" s="12"/>
    </row>
    <row r="187" customFormat="false" ht="14.25" hidden="false" customHeight="true" outlineLevel="0" collapsed="false">
      <c r="B187" s="7"/>
      <c r="C187" s="20" t="s">
        <v>250</v>
      </c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1" t="s">
        <v>251</v>
      </c>
      <c r="P187" s="21"/>
      <c r="Q187" s="21"/>
      <c r="R187" s="21"/>
      <c r="S187" s="21"/>
      <c r="T187" s="21"/>
      <c r="U187" s="21"/>
      <c r="V187" s="21"/>
      <c r="W187" s="21"/>
      <c r="X187" s="22" t="s">
        <v>252</v>
      </c>
      <c r="Y187" s="22"/>
      <c r="Z187" s="22"/>
      <c r="AA187" s="50" t="n">
        <f aca="false">$AA$184/Input!$AA$14</f>
        <v>61.604607531587</v>
      </c>
      <c r="AB187" s="50"/>
      <c r="AC187" s="50"/>
      <c r="AD187" s="20" t="s">
        <v>38</v>
      </c>
      <c r="AE187" s="20"/>
      <c r="AF187" s="12"/>
    </row>
    <row r="188" customFormat="false" ht="14.25" hidden="false" customHeight="true" outlineLevel="0" collapsed="false">
      <c r="B188" s="7"/>
      <c r="C188" s="20" t="s">
        <v>253</v>
      </c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1" t="s">
        <v>254</v>
      </c>
      <c r="P188" s="21"/>
      <c r="Q188" s="21"/>
      <c r="R188" s="21"/>
      <c r="S188" s="21"/>
      <c r="T188" s="21"/>
      <c r="U188" s="21"/>
      <c r="V188" s="21"/>
      <c r="W188" s="21"/>
      <c r="X188" s="22" t="s">
        <v>255</v>
      </c>
      <c r="Y188" s="22"/>
      <c r="Z188" s="22"/>
      <c r="AA188" s="50" t="n">
        <f aca="false">MAX(0,($AA$185-Input!$AA$13)/Input!$AA$12)</f>
        <v>149.596789338812</v>
      </c>
      <c r="AB188" s="50"/>
      <c r="AC188" s="50"/>
      <c r="AD188" s="20" t="s">
        <v>19</v>
      </c>
      <c r="AE188" s="20"/>
      <c r="AF188" s="12"/>
    </row>
    <row r="189" customFormat="false" ht="14.25" hidden="false" customHeight="false" outlineLevel="0" collapsed="false">
      <c r="B189" s="7"/>
      <c r="C189" s="9" t="s">
        <v>256</v>
      </c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X189" s="64" t="str">
        <f aca="false">IF($AA$185&gt;=Input!$AA$14,"qall ≥ q …. OK!!","qall &lt; q …. NG!!")</f>
        <v>qall ≥ q …. OK!!</v>
      </c>
      <c r="Y189" s="64"/>
      <c r="Z189" s="64"/>
      <c r="AA189" s="64"/>
      <c r="AB189" s="64"/>
      <c r="AC189" s="64"/>
      <c r="AD189" s="64"/>
      <c r="AE189" s="64"/>
      <c r="AF189" s="12"/>
    </row>
    <row r="190" customFormat="false" ht="14.25" hidden="false" customHeight="false" outlineLevel="0" collapsed="false">
      <c r="B190" s="7"/>
      <c r="AF190" s="12"/>
    </row>
    <row r="191" customFormat="false" ht="14.25" hidden="false" customHeight="false" outlineLevel="0" collapsed="false">
      <c r="B191" s="7"/>
      <c r="C191" s="9" t="s">
        <v>257</v>
      </c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12"/>
    </row>
    <row r="192" customFormat="false" ht="14.25" hidden="false" customHeight="true" outlineLevel="0" collapsed="false">
      <c r="B192" s="7"/>
      <c r="C192" s="20" t="s">
        <v>210</v>
      </c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1" t="s">
        <v>211</v>
      </c>
      <c r="P192" s="21"/>
      <c r="Q192" s="21"/>
      <c r="R192" s="21"/>
      <c r="S192" s="21"/>
      <c r="T192" s="21"/>
      <c r="U192" s="21"/>
      <c r="V192" s="21"/>
      <c r="W192" s="21"/>
      <c r="X192" s="22" t="s">
        <v>212</v>
      </c>
      <c r="Y192" s="22"/>
      <c r="Z192" s="22"/>
      <c r="AA192" s="50" t="n">
        <f aca="false">SUMPRODUCT(--(AM83:AM123&lt;&gt;"Sand"),BO83:BO123)</f>
        <v>0</v>
      </c>
      <c r="AB192" s="50"/>
      <c r="AC192" s="50"/>
      <c r="AD192" s="20" t="s">
        <v>19</v>
      </c>
      <c r="AE192" s="20"/>
      <c r="AF192" s="12"/>
    </row>
    <row r="193" customFormat="false" ht="14.25" hidden="false" customHeight="true" outlineLevel="0" collapsed="false">
      <c r="B193" s="7"/>
      <c r="C193" s="20" t="s">
        <v>213</v>
      </c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1" t="s">
        <v>214</v>
      </c>
      <c r="P193" s="21"/>
      <c r="Q193" s="21"/>
      <c r="R193" s="21"/>
      <c r="S193" s="21"/>
      <c r="T193" s="21"/>
      <c r="U193" s="21"/>
      <c r="V193" s="21"/>
      <c r="W193" s="21"/>
      <c r="X193" s="22" t="s">
        <v>215</v>
      </c>
      <c r="Y193" s="22"/>
      <c r="Z193" s="22"/>
      <c r="AA193" s="51" t="n">
        <f aca="false">IF($AA$192=0,0,SUMPRODUCT(--(AM83:AM123&lt;&gt;"Sand"),BO83:BO123,AV83:AV123)/$AA$192)</f>
        <v>0</v>
      </c>
      <c r="AB193" s="51"/>
      <c r="AC193" s="51"/>
      <c r="AD193" s="20" t="s">
        <v>26</v>
      </c>
      <c r="AE193" s="20"/>
      <c r="AF193" s="12"/>
    </row>
    <row r="194" customFormat="false" ht="14.25" hidden="false" customHeight="true" outlineLevel="0" collapsed="false">
      <c r="B194" s="7"/>
      <c r="C194" s="20" t="s">
        <v>216</v>
      </c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1" t="s">
        <v>217</v>
      </c>
      <c r="P194" s="21"/>
      <c r="Q194" s="21"/>
      <c r="R194" s="21"/>
      <c r="S194" s="21"/>
      <c r="T194" s="21"/>
      <c r="U194" s="21"/>
      <c r="V194" s="21"/>
      <c r="W194" s="21"/>
      <c r="X194" s="22" t="s">
        <v>218</v>
      </c>
      <c r="Y194" s="22"/>
      <c r="Z194" s="22"/>
      <c r="AA194" s="51" t="n">
        <f aca="false">(SUMPRODUCT(BO83:BO123,AW83:AW123)+MIN($AA$23,Input!$AA$20)*Input!$AA$29)/Input!$AA$20</f>
        <v>31.115962013554</v>
      </c>
      <c r="AB194" s="51"/>
      <c r="AC194" s="51"/>
      <c r="AD194" s="20" t="s">
        <v>60</v>
      </c>
      <c r="AE194" s="20"/>
      <c r="AF194" s="12"/>
    </row>
    <row r="195" customFormat="false" ht="14.25" hidden="false" customHeight="true" outlineLevel="0" collapsed="false">
      <c r="B195" s="7"/>
      <c r="C195" s="20" t="s">
        <v>219</v>
      </c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1" t="s">
        <v>220</v>
      </c>
      <c r="P195" s="21"/>
      <c r="Q195" s="21"/>
      <c r="R195" s="21"/>
      <c r="S195" s="21"/>
      <c r="T195" s="21"/>
      <c r="U195" s="21"/>
      <c r="V195" s="21"/>
      <c r="W195" s="21"/>
      <c r="X195" s="22" t="s">
        <v>221</v>
      </c>
      <c r="Y195" s="22"/>
      <c r="Z195" s="22"/>
      <c r="AA195" s="51" t="n">
        <f aca="false">(SUMPRODUCT(BO83:BO123,AO83:AO123)+MIN($AA$23,Input!$AA$20)*Input!$AA$28)/Input!$AA$20-10*MAX(0,Input!$AA$20-$AA$20)/Input!$AA$20</f>
        <v>16.5</v>
      </c>
      <c r="AB195" s="51"/>
      <c r="AC195" s="51"/>
      <c r="AD195" s="20" t="s">
        <v>23</v>
      </c>
      <c r="AE195" s="20"/>
      <c r="AF195" s="12"/>
    </row>
    <row r="196" customFormat="false" ht="14.25" hidden="false" customHeight="true" outlineLevel="0" collapsed="false">
      <c r="B196" s="7"/>
      <c r="C196" s="20" t="s">
        <v>222</v>
      </c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1" t="s">
        <v>223</v>
      </c>
      <c r="P196" s="21"/>
      <c r="Q196" s="21"/>
      <c r="R196" s="21"/>
      <c r="S196" s="21"/>
      <c r="T196" s="21"/>
      <c r="U196" s="21"/>
      <c r="V196" s="21"/>
      <c r="W196" s="21"/>
      <c r="X196" s="22" t="s">
        <v>224</v>
      </c>
      <c r="Y196" s="22"/>
      <c r="Z196" s="22"/>
      <c r="AA196" s="50" t="n">
        <f aca="false">IF($AA$192=0,5.14,MAX(5.14,IF(Input!$AA$25&gt;0,MIN(Input!$AA$25,4.14+0.5*Input!$AA$15/$AA$192),4.14+0.5*Input!$AA$15/$AA$192)))</f>
        <v>5.14</v>
      </c>
      <c r="AB196" s="50"/>
      <c r="AC196" s="50"/>
      <c r="AD196" s="20" t="s">
        <v>38</v>
      </c>
      <c r="AE196" s="20"/>
      <c r="AF196" s="12"/>
    </row>
    <row r="197" customFormat="false" ht="14.25" hidden="false" customHeight="true" outlineLevel="0" collapsed="false">
      <c r="B197" s="7"/>
      <c r="C197" s="20" t="s">
        <v>225</v>
      </c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1" t="s">
        <v>226</v>
      </c>
      <c r="P197" s="21"/>
      <c r="Q197" s="21"/>
      <c r="R197" s="21"/>
      <c r="S197" s="21"/>
      <c r="T197" s="21"/>
      <c r="U197" s="21"/>
      <c r="V197" s="21"/>
      <c r="W197" s="21"/>
      <c r="X197" s="22" t="s">
        <v>227</v>
      </c>
      <c r="Y197" s="22"/>
      <c r="Z197" s="22"/>
      <c r="AA197" s="50" t="n">
        <f aca="false">1+0.2*Input!$AA$15/Input!$AA$16</f>
        <v>1.07326732673267</v>
      </c>
      <c r="AB197" s="50"/>
      <c r="AC197" s="50"/>
      <c r="AD197" s="20" t="s">
        <v>38</v>
      </c>
      <c r="AE197" s="20"/>
      <c r="AF197" s="12"/>
    </row>
    <row r="198" customFormat="false" ht="14.25" hidden="false" customHeight="true" outlineLevel="0" collapsed="false">
      <c r="B198" s="7"/>
      <c r="C198" s="20" t="s">
        <v>228</v>
      </c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1" t="s">
        <v>229</v>
      </c>
      <c r="P198" s="21"/>
      <c r="Q198" s="21"/>
      <c r="R198" s="21"/>
      <c r="S198" s="21"/>
      <c r="T198" s="21"/>
      <c r="U198" s="21"/>
      <c r="V198" s="21"/>
      <c r="W198" s="21"/>
      <c r="X198" s="22" t="s">
        <v>230</v>
      </c>
      <c r="Y198" s="22"/>
      <c r="Z198" s="22"/>
      <c r="AA198" s="51" t="str">
        <f aca="false">IF($AA$192=0,"n/a",$AA$193*$AA$196*$AA$197)</f>
        <v>n/a</v>
      </c>
      <c r="AB198" s="51"/>
      <c r="AC198" s="51"/>
      <c r="AD198" s="20" t="s">
        <v>26</v>
      </c>
      <c r="AE198" s="20"/>
      <c r="AF198" s="12"/>
    </row>
    <row r="199" customFormat="false" ht="14.25" hidden="false" customHeight="true" outlineLevel="0" collapsed="false">
      <c r="B199" s="7"/>
      <c r="C199" s="20" t="s">
        <v>231</v>
      </c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1" t="s">
        <v>232</v>
      </c>
      <c r="P199" s="21"/>
      <c r="Q199" s="21"/>
      <c r="R199" s="21"/>
      <c r="S199" s="21"/>
      <c r="T199" s="21"/>
      <c r="U199" s="21"/>
      <c r="V199" s="21"/>
      <c r="W199" s="21"/>
      <c r="X199" s="22" t="s">
        <v>233</v>
      </c>
      <c r="Y199" s="22"/>
      <c r="Z199" s="22"/>
      <c r="AA199" s="50" t="n">
        <f aca="false">EXP(PI()*TAN(RADIANS($AA$194)))*TAN(RADIANS(45+$AA$194/2))^2</f>
        <v>20.9088902682053</v>
      </c>
      <c r="AB199" s="50"/>
      <c r="AC199" s="50"/>
      <c r="AD199" s="20" t="s">
        <v>38</v>
      </c>
      <c r="AE199" s="20"/>
      <c r="AF199" s="12"/>
    </row>
    <row r="200" customFormat="false" ht="14.25" hidden="false" customHeight="true" outlineLevel="0" collapsed="false">
      <c r="B200" s="7"/>
      <c r="C200" s="20" t="s">
        <v>234</v>
      </c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1" t="s">
        <v>235</v>
      </c>
      <c r="P200" s="21"/>
      <c r="Q200" s="21"/>
      <c r="R200" s="21"/>
      <c r="S200" s="21"/>
      <c r="T200" s="21"/>
      <c r="U200" s="21"/>
      <c r="V200" s="21"/>
      <c r="W200" s="21"/>
      <c r="X200" s="22" t="s">
        <v>236</v>
      </c>
      <c r="Y200" s="22"/>
      <c r="Z200" s="22"/>
      <c r="AA200" s="50" t="n">
        <f aca="false">2*($AA$199+1)*TAN(RADIANS($AA$194))</f>
        <v>26.4492272637717</v>
      </c>
      <c r="AB200" s="50"/>
      <c r="AC200" s="50"/>
      <c r="AD200" s="20" t="s">
        <v>38</v>
      </c>
      <c r="AE200" s="20"/>
      <c r="AF200" s="12"/>
    </row>
    <row r="201" customFormat="false" ht="14.25" hidden="false" customHeight="true" outlineLevel="0" collapsed="false">
      <c r="B201" s="7"/>
      <c r="C201" s="20" t="s">
        <v>237</v>
      </c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1" t="s">
        <v>238</v>
      </c>
      <c r="P201" s="21"/>
      <c r="Q201" s="21"/>
      <c r="R201" s="21"/>
      <c r="S201" s="21"/>
      <c r="T201" s="21"/>
      <c r="U201" s="21"/>
      <c r="V201" s="21"/>
      <c r="W201" s="21"/>
      <c r="X201" s="22" t="s">
        <v>239</v>
      </c>
      <c r="Y201" s="22"/>
      <c r="Z201" s="22"/>
      <c r="AA201" s="63" t="n">
        <f aca="false">(1-0.4*Input!$AA$15/Input!$AA$16)*IF(Input!$AA$15&gt;2,1-0.25*LOG10(Input!$AA$15/2),1)</f>
        <v>0.518863889567884</v>
      </c>
      <c r="AB201" s="63"/>
      <c r="AC201" s="63"/>
      <c r="AD201" s="20" t="s">
        <v>38</v>
      </c>
      <c r="AE201" s="20"/>
      <c r="AF201" s="12"/>
    </row>
    <row r="202" customFormat="false" ht="14.25" hidden="false" customHeight="true" outlineLevel="0" collapsed="false">
      <c r="B202" s="7"/>
      <c r="C202" s="20" t="s">
        <v>240</v>
      </c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1" t="s">
        <v>241</v>
      </c>
      <c r="P202" s="21"/>
      <c r="Q202" s="21"/>
      <c r="R202" s="21"/>
      <c r="S202" s="21"/>
      <c r="T202" s="21"/>
      <c r="U202" s="21"/>
      <c r="V202" s="21"/>
      <c r="W202" s="21"/>
      <c r="X202" s="22" t="s">
        <v>242</v>
      </c>
      <c r="Y202" s="22"/>
      <c r="Z202" s="22"/>
      <c r="AA202" s="51" t="n">
        <f aca="false">0.5*$AA$195*Input!$AA$15*$AA$200*$AA$201</f>
        <v>8378.22662429584</v>
      </c>
      <c r="AB202" s="51"/>
      <c r="AC202" s="51"/>
      <c r="AD202" s="20" t="s">
        <v>26</v>
      </c>
      <c r="AE202" s="20"/>
      <c r="AF202" s="12"/>
    </row>
    <row r="203" customFormat="false" ht="14.25" hidden="false" customHeight="true" outlineLevel="0" collapsed="false">
      <c r="B203" s="7"/>
      <c r="C203" s="20" t="s">
        <v>243</v>
      </c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1" t="s">
        <v>244</v>
      </c>
      <c r="P203" s="21"/>
      <c r="Q203" s="21"/>
      <c r="R203" s="21"/>
      <c r="S203" s="21"/>
      <c r="T203" s="21"/>
      <c r="U203" s="21"/>
      <c r="V203" s="21"/>
      <c r="W203" s="21"/>
      <c r="X203" s="22" t="s">
        <v>245</v>
      </c>
      <c r="Y203" s="22"/>
      <c r="Z203" s="22"/>
      <c r="AA203" s="24" t="n">
        <f aca="false">IF($AA$192=0,$AA$202,MIN($AA$198,$AA$202))</f>
        <v>8378.22662429584</v>
      </c>
      <c r="AB203" s="24"/>
      <c r="AC203" s="24"/>
      <c r="AD203" s="20" t="s">
        <v>26</v>
      </c>
      <c r="AE203" s="20"/>
      <c r="AF203" s="12"/>
    </row>
    <row r="204" customFormat="false" ht="14.25" hidden="false" customHeight="true" outlineLevel="0" collapsed="false">
      <c r="B204" s="7"/>
      <c r="C204" s="20" t="s">
        <v>246</v>
      </c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1" t="s">
        <v>247</v>
      </c>
      <c r="P204" s="21"/>
      <c r="Q204" s="21"/>
      <c r="R204" s="21"/>
      <c r="S204" s="21"/>
      <c r="T204" s="21"/>
      <c r="U204" s="21"/>
      <c r="V204" s="21"/>
      <c r="W204" s="21"/>
      <c r="X204" s="22" t="s">
        <v>248</v>
      </c>
      <c r="Y204" s="22"/>
      <c r="Z204" s="22"/>
      <c r="AA204" s="24" t="n">
        <f aca="false">$AA$203/Input!$AA$19</f>
        <v>2792.74220809861</v>
      </c>
      <c r="AB204" s="24"/>
      <c r="AC204" s="24"/>
      <c r="AD204" s="20" t="s">
        <v>26</v>
      </c>
      <c r="AE204" s="20"/>
      <c r="AF204" s="12"/>
    </row>
    <row r="205" customFormat="false" ht="14.25" hidden="false" customHeight="true" outlineLevel="0" collapsed="false">
      <c r="B205" s="7"/>
      <c r="C205" s="20" t="s">
        <v>249</v>
      </c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1" t="s">
        <v>28</v>
      </c>
      <c r="P205" s="21"/>
      <c r="Q205" s="21"/>
      <c r="R205" s="21"/>
      <c r="S205" s="21"/>
      <c r="T205" s="21"/>
      <c r="U205" s="21"/>
      <c r="V205" s="21"/>
      <c r="W205" s="21"/>
      <c r="X205" s="22" t="s">
        <v>29</v>
      </c>
      <c r="Y205" s="22"/>
      <c r="Z205" s="22"/>
      <c r="AA205" s="51" t="n">
        <f aca="false">Input!$AA$14</f>
        <v>136</v>
      </c>
      <c r="AB205" s="51"/>
      <c r="AC205" s="51"/>
      <c r="AD205" s="20" t="s">
        <v>26</v>
      </c>
      <c r="AE205" s="20"/>
      <c r="AF205" s="12"/>
    </row>
    <row r="206" customFormat="false" ht="14.25" hidden="false" customHeight="true" outlineLevel="0" collapsed="false">
      <c r="B206" s="7"/>
      <c r="C206" s="20" t="s">
        <v>250</v>
      </c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1" t="s">
        <v>251</v>
      </c>
      <c r="P206" s="21"/>
      <c r="Q206" s="21"/>
      <c r="R206" s="21"/>
      <c r="S206" s="21"/>
      <c r="T206" s="21"/>
      <c r="U206" s="21"/>
      <c r="V206" s="21"/>
      <c r="W206" s="21"/>
      <c r="X206" s="22" t="s">
        <v>252</v>
      </c>
      <c r="Y206" s="22"/>
      <c r="Z206" s="22"/>
      <c r="AA206" s="50" t="n">
        <f aca="false">$AA$203/Input!$AA$14</f>
        <v>61.604607531587</v>
      </c>
      <c r="AB206" s="50"/>
      <c r="AC206" s="50"/>
      <c r="AD206" s="20" t="s">
        <v>38</v>
      </c>
      <c r="AE206" s="20"/>
      <c r="AF206" s="12"/>
    </row>
    <row r="207" customFormat="false" ht="14.25" hidden="false" customHeight="true" outlineLevel="0" collapsed="false">
      <c r="B207" s="7"/>
      <c r="C207" s="20" t="s">
        <v>253</v>
      </c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1" t="s">
        <v>254</v>
      </c>
      <c r="P207" s="21"/>
      <c r="Q207" s="21"/>
      <c r="R207" s="21"/>
      <c r="S207" s="21"/>
      <c r="T207" s="21"/>
      <c r="U207" s="21"/>
      <c r="V207" s="21"/>
      <c r="W207" s="21"/>
      <c r="X207" s="22" t="s">
        <v>255</v>
      </c>
      <c r="Y207" s="22"/>
      <c r="Z207" s="22"/>
      <c r="AA207" s="50" t="n">
        <f aca="false">MAX(0,($AA$204-Input!$AA$13)/Input!$AA$12)</f>
        <v>149.596789338812</v>
      </c>
      <c r="AB207" s="50"/>
      <c r="AC207" s="50"/>
      <c r="AD207" s="20" t="s">
        <v>19</v>
      </c>
      <c r="AE207" s="20"/>
      <c r="AF207" s="12"/>
    </row>
    <row r="208" customFormat="false" ht="14.25" hidden="false" customHeight="false" outlineLevel="0" collapsed="false">
      <c r="B208" s="7"/>
      <c r="C208" s="9" t="s">
        <v>256</v>
      </c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X208" s="64" t="str">
        <f aca="false">IF($AA$204&gt;=Input!$AA$14,"qall ≥ q …. OK!!","qall &lt; q …. NG!!")</f>
        <v>qall ≥ q …. OK!!</v>
      </c>
      <c r="Y208" s="64"/>
      <c r="Z208" s="64"/>
      <c r="AA208" s="64"/>
      <c r="AB208" s="64"/>
      <c r="AC208" s="64"/>
      <c r="AD208" s="64"/>
      <c r="AE208" s="64"/>
      <c r="AF208" s="12"/>
    </row>
    <row r="209" customFormat="false" ht="14.25" hidden="false" customHeight="false" outlineLevel="0" collapsed="false">
      <c r="B209" s="7"/>
      <c r="AF209" s="12"/>
    </row>
    <row r="210" customFormat="false" ht="14.25" hidden="false" customHeight="false" outlineLevel="0" collapsed="false">
      <c r="B210" s="7"/>
      <c r="AF210" s="12"/>
    </row>
    <row r="211" customFormat="false" ht="14.25" hidden="false" customHeight="false" outlineLevel="0" collapsed="false">
      <c r="B211" s="7"/>
      <c r="AF211" s="12"/>
    </row>
    <row r="212" customFormat="false" ht="14.25" hidden="false" customHeight="false" outlineLevel="0" collapsed="false">
      <c r="B212" s="7"/>
      <c r="AF212" s="12"/>
    </row>
    <row r="213" customFormat="false" ht="14.25" hidden="false" customHeight="false" outlineLevel="0" collapsed="false">
      <c r="B213" s="7"/>
      <c r="AF213" s="12"/>
    </row>
    <row r="214" customFormat="false" ht="14.25" hidden="false" customHeight="false" outlineLevel="0" collapsed="false">
      <c r="B214" s="7"/>
      <c r="AF214" s="12"/>
    </row>
    <row r="215" customFormat="false" ht="14.25" hidden="false" customHeight="false" outlineLevel="0" collapsed="false">
      <c r="B215" s="7"/>
      <c r="AF215" s="12"/>
    </row>
    <row r="216" customFormat="false" ht="14.25" hidden="false" customHeight="false" outlineLevel="0" collapsed="false">
      <c r="B216" s="7"/>
      <c r="AF216" s="12"/>
    </row>
    <row r="217" customFormat="false" ht="14.25" hidden="false" customHeight="true" outlineLevel="0" collapsed="false">
      <c r="B217" s="36"/>
      <c r="C217" s="37"/>
      <c r="D217" s="37"/>
      <c r="E217" s="37"/>
      <c r="F217" s="37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8" t="s">
        <v>93</v>
      </c>
      <c r="Y217" s="38"/>
      <c r="Z217" s="38"/>
      <c r="AA217" s="38"/>
      <c r="AB217" s="38" t="n">
        <v>3</v>
      </c>
      <c r="AC217" s="38"/>
      <c r="AD217" s="38"/>
      <c r="AE217" s="38"/>
      <c r="AF217" s="39"/>
    </row>
    <row r="218" customFormat="false" ht="14.25" hidden="false" customHeight="true" outlineLevel="0" collapsed="false">
      <c r="B218" s="1"/>
      <c r="C218" s="2" t="s">
        <v>0</v>
      </c>
      <c r="D218" s="2"/>
      <c r="E218" s="2"/>
      <c r="F218" s="2"/>
      <c r="G218" s="2"/>
      <c r="H218" s="3" t="s">
        <v>1</v>
      </c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4" t="s">
        <v>2</v>
      </c>
      <c r="Y218" s="4"/>
      <c r="Z218" s="4"/>
      <c r="AA218" s="4"/>
      <c r="AB218" s="5" t="s">
        <v>3</v>
      </c>
      <c r="AC218" s="5"/>
      <c r="AD218" s="5"/>
      <c r="AE218" s="5"/>
      <c r="AF218" s="6"/>
    </row>
    <row r="219" customFormat="false" ht="14.25" hidden="false" customHeight="true" outlineLevel="0" collapsed="false">
      <c r="B219" s="7"/>
      <c r="C219" s="8" t="s">
        <v>4</v>
      </c>
      <c r="D219" s="8"/>
      <c r="E219" s="8"/>
      <c r="F219" s="8"/>
      <c r="G219" s="8"/>
      <c r="H219" s="9" t="s">
        <v>5</v>
      </c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10" t="s">
        <v>6</v>
      </c>
      <c r="Y219" s="10"/>
      <c r="Z219" s="10"/>
      <c r="AA219" s="10"/>
      <c r="AB219" s="11" t="n">
        <v>46301</v>
      </c>
      <c r="AC219" s="11"/>
      <c r="AD219" s="11"/>
      <c r="AE219" s="11"/>
      <c r="AF219" s="12"/>
    </row>
    <row r="220" customFormat="false" ht="14.25" hidden="false" customHeight="true" outlineLevel="0" collapsed="false">
      <c r="B220" s="7"/>
      <c r="C220" s="8" t="s">
        <v>7</v>
      </c>
      <c r="D220" s="8"/>
      <c r="E220" s="8"/>
      <c r="F220" s="8"/>
      <c r="G220" s="8"/>
      <c r="H220" s="9" t="s">
        <v>333</v>
      </c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10" t="s">
        <v>9</v>
      </c>
      <c r="Y220" s="10"/>
      <c r="Z220" s="10"/>
      <c r="AA220" s="10"/>
      <c r="AB220" s="11" t="s">
        <v>3</v>
      </c>
      <c r="AC220" s="11"/>
      <c r="AD220" s="11"/>
      <c r="AE220" s="11"/>
      <c r="AF220" s="12"/>
    </row>
    <row r="221" customFormat="false" ht="14.25" hidden="false" customHeight="true" outlineLevel="0" collapsed="false">
      <c r="B221" s="13"/>
      <c r="C221" s="14" t="s">
        <v>10</v>
      </c>
      <c r="D221" s="14"/>
      <c r="E221" s="14"/>
      <c r="F221" s="14"/>
      <c r="G221" s="14"/>
      <c r="H221" s="15" t="s">
        <v>134</v>
      </c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6" t="s">
        <v>12</v>
      </c>
      <c r="Y221" s="16"/>
      <c r="Z221" s="16"/>
      <c r="AA221" s="16"/>
      <c r="AB221" s="17" t="n">
        <v>46301</v>
      </c>
      <c r="AC221" s="17"/>
      <c r="AD221" s="17"/>
      <c r="AE221" s="17"/>
      <c r="AF221" s="18"/>
    </row>
    <row r="222" customFormat="false" ht="14.25" hidden="false" customHeight="false" outlineLevel="0" collapsed="false">
      <c r="B222" s="7"/>
      <c r="AF222" s="12"/>
    </row>
    <row r="223" customFormat="false" ht="14.25" hidden="false" customHeight="false" outlineLevel="0" collapsed="false">
      <c r="B223" s="7"/>
      <c r="C223" s="9" t="s">
        <v>258</v>
      </c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12"/>
    </row>
    <row r="224" customFormat="false" ht="14.25" hidden="false" customHeight="true" outlineLevel="0" collapsed="false">
      <c r="B224" s="7"/>
      <c r="C224" s="20" t="s">
        <v>259</v>
      </c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1"/>
      <c r="P224" s="21"/>
      <c r="Q224" s="21"/>
      <c r="R224" s="21"/>
      <c r="S224" s="21"/>
      <c r="T224" s="21"/>
      <c r="U224" s="21"/>
      <c r="V224" s="21"/>
      <c r="W224" s="21"/>
      <c r="X224" s="22" t="s">
        <v>260</v>
      </c>
      <c r="Y224" s="22"/>
      <c r="Z224" s="22"/>
      <c r="AA224" s="51" t="n">
        <f aca="false">IFERROR(SUMPRODUCT(--(AM83:AM123="Sand"),BN83:BN123,AN83:AN123)/SUMPRODUCT(--(AM83:AM123="Sand"),BN83:BN123)*Input!$AA$35,"n/a")</f>
        <v>13.7541</v>
      </c>
      <c r="AB224" s="51"/>
      <c r="AC224" s="51"/>
      <c r="AD224" s="20" t="s">
        <v>38</v>
      </c>
      <c r="AE224" s="20"/>
      <c r="AF224" s="12"/>
    </row>
    <row r="225" customFormat="false" ht="14.25" hidden="false" customHeight="true" outlineLevel="0" collapsed="false">
      <c r="B225" s="7"/>
      <c r="C225" s="20" t="s">
        <v>261</v>
      </c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1" t="s">
        <v>262</v>
      </c>
      <c r="P225" s="21"/>
      <c r="Q225" s="21"/>
      <c r="R225" s="21"/>
      <c r="S225" s="21"/>
      <c r="T225" s="21"/>
      <c r="U225" s="21"/>
      <c r="V225" s="21"/>
      <c r="W225" s="21"/>
      <c r="X225" s="22" t="s">
        <v>263</v>
      </c>
      <c r="Y225" s="22"/>
      <c r="Z225" s="22"/>
      <c r="AA225" s="51" t="n">
        <f aca="false">IFERROR(($AA$224*60/55)/0.08*((Input!$AA$15+0.3)/Input!$AA$15)^2,"n/a")</f>
        <v>189.079715225945</v>
      </c>
      <c r="AB225" s="51"/>
      <c r="AC225" s="51"/>
      <c r="AD225" s="20" t="s">
        <v>26</v>
      </c>
      <c r="AE225" s="20"/>
      <c r="AF225" s="12"/>
    </row>
    <row r="226" customFormat="false" ht="14.25" hidden="false" customHeight="false" outlineLevel="0" collapsed="false">
      <c r="B226" s="7"/>
      <c r="C226" s="19" t="s">
        <v>264</v>
      </c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  <c r="AC226" s="19"/>
      <c r="AD226" s="19"/>
      <c r="AE226" s="19"/>
      <c r="AF226" s="12"/>
    </row>
    <row r="227" customFormat="false" ht="14.25" hidden="false" customHeight="false" outlineLevel="0" collapsed="false">
      <c r="B227" s="7"/>
      <c r="AF227" s="12"/>
    </row>
    <row r="228" customFormat="false" ht="14.25" hidden="false" customHeight="false" outlineLevel="0" collapsed="false">
      <c r="B228" s="7"/>
      <c r="C228" s="9" t="s">
        <v>265</v>
      </c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12"/>
    </row>
    <row r="229" customFormat="false" ht="14.25" hidden="false" customHeight="false" outlineLevel="0" collapsed="false">
      <c r="B229" s="7"/>
      <c r="C229" s="20" t="s">
        <v>266</v>
      </c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12"/>
    </row>
    <row r="230" customFormat="false" ht="14.25" hidden="false" customHeight="false" outlineLevel="0" collapsed="false">
      <c r="B230" s="7"/>
      <c r="C230" s="20" t="s">
        <v>267</v>
      </c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12"/>
    </row>
    <row r="231" customFormat="false" ht="14.25" hidden="false" customHeight="false" outlineLevel="0" collapsed="false">
      <c r="B231" s="7"/>
      <c r="C231" s="21" t="s">
        <v>268</v>
      </c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12"/>
    </row>
    <row r="232" customFormat="false" ht="14.25" hidden="false" customHeight="false" outlineLevel="0" collapsed="false">
      <c r="B232" s="7"/>
      <c r="AF232" s="12"/>
    </row>
    <row r="233" customFormat="false" ht="14.25" hidden="false" customHeight="false" outlineLevel="0" collapsed="false">
      <c r="B233" s="7"/>
      <c r="AF233" s="12"/>
    </row>
    <row r="234" customFormat="false" ht="14.25" hidden="false" customHeight="false" outlineLevel="0" collapsed="false">
      <c r="B234" s="7"/>
      <c r="AF234" s="12"/>
    </row>
    <row r="235" customFormat="false" ht="14.25" hidden="false" customHeight="false" outlineLevel="0" collapsed="false">
      <c r="B235" s="7"/>
      <c r="AF235" s="12"/>
    </row>
    <row r="236" customFormat="false" ht="14.25" hidden="false" customHeight="false" outlineLevel="0" collapsed="false">
      <c r="B236" s="7"/>
      <c r="AF236" s="12"/>
    </row>
    <row r="237" customFormat="false" ht="14.25" hidden="false" customHeight="false" outlineLevel="0" collapsed="false">
      <c r="B237" s="7"/>
      <c r="AF237" s="12"/>
    </row>
    <row r="238" customFormat="false" ht="14.25" hidden="false" customHeight="false" outlineLevel="0" collapsed="false">
      <c r="B238" s="7"/>
      <c r="AF238" s="12"/>
    </row>
    <row r="239" customFormat="false" ht="14.25" hidden="false" customHeight="false" outlineLevel="0" collapsed="false">
      <c r="B239" s="7"/>
      <c r="AF239" s="12"/>
    </row>
    <row r="240" customFormat="false" ht="14.25" hidden="false" customHeight="false" outlineLevel="0" collapsed="false">
      <c r="B240" s="7"/>
      <c r="AF240" s="12"/>
    </row>
    <row r="241" customFormat="false" ht="14.25" hidden="false" customHeight="false" outlineLevel="0" collapsed="false">
      <c r="B241" s="7"/>
      <c r="AF241" s="12"/>
    </row>
    <row r="242" customFormat="false" ht="14.25" hidden="false" customHeight="false" outlineLevel="0" collapsed="false">
      <c r="B242" s="7"/>
      <c r="AF242" s="12"/>
    </row>
    <row r="243" customFormat="false" ht="14.25" hidden="false" customHeight="false" outlineLevel="0" collapsed="false">
      <c r="B243" s="7"/>
      <c r="AF243" s="12"/>
    </row>
    <row r="244" customFormat="false" ht="14.25" hidden="false" customHeight="false" outlineLevel="0" collapsed="false">
      <c r="B244" s="7"/>
      <c r="AF244" s="12"/>
    </row>
    <row r="245" customFormat="false" ht="14.25" hidden="false" customHeight="false" outlineLevel="0" collapsed="false">
      <c r="B245" s="7"/>
      <c r="AF245" s="12"/>
    </row>
    <row r="246" customFormat="false" ht="14.25" hidden="false" customHeight="false" outlineLevel="0" collapsed="false">
      <c r="B246" s="7"/>
      <c r="AF246" s="12"/>
    </row>
    <row r="247" customFormat="false" ht="14.25" hidden="false" customHeight="false" outlineLevel="0" collapsed="false">
      <c r="B247" s="7"/>
      <c r="AF247" s="12"/>
    </row>
    <row r="248" customFormat="false" ht="14.25" hidden="false" customHeight="false" outlineLevel="0" collapsed="false">
      <c r="B248" s="7"/>
      <c r="AF248" s="12"/>
    </row>
    <row r="249" customFormat="false" ht="14.25" hidden="false" customHeight="false" outlineLevel="0" collapsed="false">
      <c r="B249" s="7"/>
      <c r="AF249" s="12"/>
    </row>
    <row r="250" customFormat="false" ht="14.25" hidden="false" customHeight="false" outlineLevel="0" collapsed="false">
      <c r="B250" s="7"/>
      <c r="AF250" s="12"/>
    </row>
    <row r="251" customFormat="false" ht="14.25" hidden="false" customHeight="false" outlineLevel="0" collapsed="false">
      <c r="B251" s="7"/>
      <c r="C251" s="52" t="s">
        <v>269</v>
      </c>
      <c r="D251" s="52"/>
      <c r="E251" s="52"/>
      <c r="F251" s="52"/>
      <c r="G251" s="52"/>
      <c r="H251" s="52"/>
      <c r="I251" s="52"/>
      <c r="J251" s="52"/>
      <c r="K251" s="52"/>
      <c r="L251" s="52"/>
      <c r="M251" s="52"/>
      <c r="N251" s="52"/>
      <c r="O251" s="52"/>
      <c r="P251" s="52"/>
      <c r="Q251" s="52"/>
      <c r="R251" s="52"/>
      <c r="S251" s="52"/>
      <c r="T251" s="52"/>
      <c r="U251" s="52"/>
      <c r="V251" s="52"/>
      <c r="W251" s="52"/>
      <c r="X251" s="52"/>
      <c r="Y251" s="52"/>
      <c r="Z251" s="52"/>
      <c r="AA251" s="52"/>
      <c r="AB251" s="52"/>
      <c r="AC251" s="52"/>
      <c r="AD251" s="52"/>
      <c r="AE251" s="52"/>
      <c r="AF251" s="12"/>
    </row>
    <row r="252" customFormat="false" ht="14.25" hidden="false" customHeight="false" outlineLevel="0" collapsed="false">
      <c r="B252" s="7"/>
      <c r="AF252" s="12"/>
    </row>
    <row r="253" customFormat="false" ht="14.25" hidden="false" customHeight="true" outlineLevel="0" collapsed="false">
      <c r="B253" s="7"/>
      <c r="C253" s="20" t="s">
        <v>270</v>
      </c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1" t="s">
        <v>271</v>
      </c>
      <c r="P253" s="21"/>
      <c r="Q253" s="21"/>
      <c r="R253" s="21"/>
      <c r="S253" s="21"/>
      <c r="T253" s="21"/>
      <c r="U253" s="21"/>
      <c r="V253" s="21"/>
      <c r="W253" s="21"/>
      <c r="X253" s="22" t="s">
        <v>272</v>
      </c>
      <c r="Y253" s="22"/>
      <c r="Z253" s="22"/>
      <c r="AA253" s="63" t="n">
        <f aca="false">1/Input!$AA$23</f>
        <v>0.5</v>
      </c>
      <c r="AB253" s="63"/>
      <c r="AC253" s="63"/>
      <c r="AD253" s="20" t="s">
        <v>38</v>
      </c>
      <c r="AE253" s="20"/>
      <c r="AF253" s="12"/>
    </row>
    <row r="254" customFormat="false" ht="14.25" hidden="false" customHeight="true" outlineLevel="0" collapsed="false">
      <c r="B254" s="7"/>
      <c r="C254" s="20" t="s">
        <v>273</v>
      </c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1" t="s">
        <v>274</v>
      </c>
      <c r="P254" s="21"/>
      <c r="Q254" s="21"/>
      <c r="R254" s="21"/>
      <c r="S254" s="21"/>
      <c r="T254" s="21"/>
      <c r="U254" s="21"/>
      <c r="V254" s="21"/>
      <c r="W254" s="21"/>
      <c r="X254" s="22" t="s">
        <v>275</v>
      </c>
      <c r="Y254" s="22"/>
      <c r="Z254" s="22"/>
      <c r="AA254" s="50" t="n">
        <f aca="false">Input!$AA$23*Input!$AA$11</f>
        <v>4</v>
      </c>
      <c r="AB254" s="50"/>
      <c r="AC254" s="50"/>
      <c r="AD254" s="20" t="s">
        <v>19</v>
      </c>
      <c r="AE254" s="20"/>
      <c r="AF254" s="12"/>
    </row>
    <row r="255" customFormat="false" ht="14.25" hidden="false" customHeight="true" outlineLevel="0" collapsed="false">
      <c r="B255" s="7"/>
      <c r="C255" s="20" t="s">
        <v>276</v>
      </c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1" t="s">
        <v>277</v>
      </c>
      <c r="P255" s="21"/>
      <c r="Q255" s="21"/>
      <c r="R255" s="21"/>
      <c r="S255" s="21"/>
      <c r="T255" s="21"/>
      <c r="U255" s="21"/>
      <c r="V255" s="21"/>
      <c r="W255" s="21"/>
      <c r="X255" s="22" t="s">
        <v>278</v>
      </c>
      <c r="Y255" s="22"/>
      <c r="Z255" s="22"/>
      <c r="AA255" s="50" t="n">
        <f aca="false">$AA$173</f>
        <v>0</v>
      </c>
      <c r="AB255" s="50"/>
      <c r="AC255" s="50"/>
      <c r="AD255" s="20" t="s">
        <v>19</v>
      </c>
      <c r="AE255" s="20"/>
      <c r="AF255" s="12"/>
    </row>
    <row r="256" customFormat="false" ht="14.25" hidden="false" customHeight="true" outlineLevel="0" collapsed="false">
      <c r="B256" s="7"/>
      <c r="C256" s="20" t="s">
        <v>279</v>
      </c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1"/>
      <c r="P256" s="21"/>
      <c r="Q256" s="21"/>
      <c r="R256" s="21"/>
      <c r="S256" s="21"/>
      <c r="T256" s="21"/>
      <c r="U256" s="21"/>
      <c r="V256" s="21"/>
      <c r="W256" s="21"/>
      <c r="X256" s="22" t="s">
        <v>252</v>
      </c>
      <c r="Y256" s="22"/>
      <c r="Z256" s="22"/>
      <c r="AA256" s="65" t="str">
        <f aca="false">IF($AA$173=0,"n/a",2*$AA$174/(Input!$AA$12*$AA$173*$AA$253)+4.14*$AA$174/Input!$AA$14)</f>
        <v>n/a</v>
      </c>
      <c r="AB256" s="65"/>
      <c r="AC256" s="65"/>
      <c r="AD256" s="20" t="s">
        <v>38</v>
      </c>
      <c r="AE256" s="20"/>
      <c r="AF256" s="12"/>
    </row>
    <row r="257" customFormat="false" ht="14.25" hidden="false" customHeight="false" outlineLevel="0" collapsed="false">
      <c r="B257" s="7"/>
      <c r="C257" s="20" t="s">
        <v>280</v>
      </c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X257" s="64" t="str">
        <f aca="false">IF($AA$173=0,"No soft layer - n/a",IF($AA$256&gt;=Input!$AA$24,"FS ≥ FS req …. OK!!","FS &lt; FS req …. NG!!"))</f>
        <v>No soft layer - n/a</v>
      </c>
      <c r="Y257" s="64"/>
      <c r="Z257" s="64"/>
      <c r="AA257" s="64"/>
      <c r="AB257" s="64"/>
      <c r="AC257" s="64"/>
      <c r="AD257" s="64"/>
      <c r="AE257" s="64"/>
      <c r="AF257" s="12"/>
    </row>
    <row r="258" customFormat="false" ht="14.25" hidden="false" customHeight="true" outlineLevel="0" collapsed="false">
      <c r="B258" s="7"/>
      <c r="C258" s="20" t="s">
        <v>281</v>
      </c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1" t="s">
        <v>277</v>
      </c>
      <c r="P258" s="21"/>
      <c r="Q258" s="21"/>
      <c r="R258" s="21"/>
      <c r="S258" s="21"/>
      <c r="T258" s="21"/>
      <c r="U258" s="21"/>
      <c r="V258" s="21"/>
      <c r="W258" s="21"/>
      <c r="X258" s="22" t="s">
        <v>278</v>
      </c>
      <c r="Y258" s="22"/>
      <c r="Z258" s="22"/>
      <c r="AA258" s="50" t="n">
        <f aca="false">$AA$192</f>
        <v>0</v>
      </c>
      <c r="AB258" s="50"/>
      <c r="AC258" s="50"/>
      <c r="AD258" s="20" t="s">
        <v>19</v>
      </c>
      <c r="AE258" s="20"/>
      <c r="AF258" s="12"/>
    </row>
    <row r="259" customFormat="false" ht="14.25" hidden="false" customHeight="true" outlineLevel="0" collapsed="false">
      <c r="B259" s="7"/>
      <c r="C259" s="20" t="s">
        <v>282</v>
      </c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1"/>
      <c r="P259" s="21"/>
      <c r="Q259" s="21"/>
      <c r="R259" s="21"/>
      <c r="S259" s="21"/>
      <c r="T259" s="21"/>
      <c r="U259" s="21"/>
      <c r="V259" s="21"/>
      <c r="W259" s="21"/>
      <c r="X259" s="22" t="s">
        <v>252</v>
      </c>
      <c r="Y259" s="22"/>
      <c r="Z259" s="22"/>
      <c r="AA259" s="65" t="str">
        <f aca="false">IF($AA$192=0,"n/a",2*$AA$193/(Input!$AA$12*$AA$192*$AA$253)+4.14*$AA$193/Input!$AA$14)</f>
        <v>n/a</v>
      </c>
      <c r="AB259" s="65"/>
      <c r="AC259" s="65"/>
      <c r="AD259" s="20" t="s">
        <v>38</v>
      </c>
      <c r="AE259" s="20"/>
      <c r="AF259" s="12"/>
    </row>
    <row r="260" customFormat="false" ht="14.25" hidden="false" customHeight="false" outlineLevel="0" collapsed="false">
      <c r="B260" s="7"/>
      <c r="C260" s="20" t="s">
        <v>280</v>
      </c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X260" s="64" t="str">
        <f aca="false">IF($AA$192=0,"No soft layer - n/a",IF($AA$259&gt;=Input!$AA$24,"FS ≥ FS req …. OK!!","FS &lt; FS req …. NG!!"))</f>
        <v>No soft layer - n/a</v>
      </c>
      <c r="Y260" s="64"/>
      <c r="Z260" s="64"/>
      <c r="AA260" s="64"/>
      <c r="AB260" s="64"/>
      <c r="AC260" s="64"/>
      <c r="AD260" s="64"/>
      <c r="AE260" s="64"/>
      <c r="AF260" s="12"/>
    </row>
    <row r="261" customFormat="false" ht="14.25" hidden="false" customHeight="false" outlineLevel="0" collapsed="false">
      <c r="B261" s="7"/>
      <c r="C261" s="19" t="s">
        <v>283</v>
      </c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  <c r="AC261" s="19"/>
      <c r="AD261" s="19"/>
      <c r="AE261" s="19"/>
      <c r="AF261" s="12"/>
    </row>
    <row r="262" customFormat="false" ht="14.25" hidden="false" customHeight="false" outlineLevel="0" collapsed="false">
      <c r="B262" s="7"/>
      <c r="AF262" s="12"/>
    </row>
    <row r="263" customFormat="false" ht="14.25" hidden="false" customHeight="false" outlineLevel="0" collapsed="false">
      <c r="B263" s="7"/>
      <c r="AF263" s="12"/>
    </row>
    <row r="264" customFormat="false" ht="14.25" hidden="false" customHeight="false" outlineLevel="0" collapsed="false">
      <c r="B264" s="7"/>
      <c r="AF264" s="12"/>
    </row>
    <row r="265" customFormat="false" ht="14.25" hidden="false" customHeight="false" outlineLevel="0" collapsed="false">
      <c r="B265" s="7"/>
      <c r="AF265" s="12"/>
    </row>
    <row r="266" customFormat="false" ht="14.25" hidden="false" customHeight="false" outlineLevel="0" collapsed="false">
      <c r="B266" s="7"/>
      <c r="AF266" s="12"/>
    </row>
    <row r="267" customFormat="false" ht="14.25" hidden="false" customHeight="false" outlineLevel="0" collapsed="false">
      <c r="B267" s="7"/>
      <c r="AF267" s="12"/>
    </row>
    <row r="268" customFormat="false" ht="14.25" hidden="false" customHeight="false" outlineLevel="0" collapsed="false">
      <c r="B268" s="7"/>
      <c r="AF268" s="12"/>
    </row>
    <row r="269" customFormat="false" ht="14.25" hidden="false" customHeight="false" outlineLevel="0" collapsed="false">
      <c r="B269" s="7"/>
      <c r="AF269" s="12"/>
    </row>
    <row r="270" customFormat="false" ht="14.25" hidden="false" customHeight="false" outlineLevel="0" collapsed="false">
      <c r="B270" s="7"/>
      <c r="AF270" s="12"/>
    </row>
    <row r="271" customFormat="false" ht="14.25" hidden="false" customHeight="false" outlineLevel="0" collapsed="false">
      <c r="B271" s="7"/>
      <c r="AF271" s="12"/>
    </row>
    <row r="272" customFormat="false" ht="14.25" hidden="false" customHeight="false" outlineLevel="0" collapsed="false">
      <c r="B272" s="7"/>
      <c r="AF272" s="12"/>
    </row>
    <row r="273" customFormat="false" ht="14.25" hidden="false" customHeight="false" outlineLevel="0" collapsed="false">
      <c r="B273" s="7"/>
      <c r="AF273" s="12"/>
    </row>
    <row r="274" customFormat="false" ht="14.25" hidden="false" customHeight="false" outlineLevel="0" collapsed="false">
      <c r="B274" s="7"/>
      <c r="AF274" s="12"/>
    </row>
    <row r="275" customFormat="false" ht="14.25" hidden="false" customHeight="false" outlineLevel="0" collapsed="false">
      <c r="B275" s="7"/>
      <c r="AF275" s="12"/>
    </row>
    <row r="276" customFormat="false" ht="14.25" hidden="false" customHeight="false" outlineLevel="0" collapsed="false">
      <c r="B276" s="7"/>
      <c r="AF276" s="12"/>
    </row>
    <row r="277" customFormat="false" ht="14.25" hidden="false" customHeight="false" outlineLevel="0" collapsed="false">
      <c r="B277" s="7"/>
      <c r="AF277" s="12"/>
    </row>
    <row r="278" customFormat="false" ht="14.25" hidden="false" customHeight="false" outlineLevel="0" collapsed="false">
      <c r="B278" s="7"/>
      <c r="AF278" s="12"/>
    </row>
    <row r="279" customFormat="false" ht="14.25" hidden="false" customHeight="false" outlineLevel="0" collapsed="false">
      <c r="B279" s="7"/>
      <c r="AF279" s="12"/>
    </row>
    <row r="280" customFormat="false" ht="14.25" hidden="false" customHeight="false" outlineLevel="0" collapsed="false">
      <c r="B280" s="7"/>
      <c r="AF280" s="12"/>
    </row>
    <row r="281" customFormat="false" ht="14.25" hidden="false" customHeight="false" outlineLevel="0" collapsed="false">
      <c r="B281" s="7"/>
      <c r="AF281" s="12"/>
    </row>
    <row r="282" customFormat="false" ht="14.25" hidden="false" customHeight="false" outlineLevel="0" collapsed="false">
      <c r="B282" s="7"/>
      <c r="AF282" s="12"/>
    </row>
    <row r="283" customFormat="false" ht="14.25" hidden="false" customHeight="false" outlineLevel="0" collapsed="false">
      <c r="B283" s="7"/>
      <c r="AF283" s="12"/>
    </row>
    <row r="284" customFormat="false" ht="14.25" hidden="false" customHeight="false" outlineLevel="0" collapsed="false">
      <c r="B284" s="7"/>
      <c r="AF284" s="12"/>
    </row>
    <row r="285" customFormat="false" ht="14.25" hidden="false" customHeight="false" outlineLevel="0" collapsed="false">
      <c r="B285" s="7"/>
      <c r="AF285" s="12"/>
    </row>
    <row r="286" customFormat="false" ht="14.25" hidden="false" customHeight="false" outlineLevel="0" collapsed="false">
      <c r="B286" s="7"/>
      <c r="AF286" s="12"/>
    </row>
    <row r="287" customFormat="false" ht="14.25" hidden="false" customHeight="false" outlineLevel="0" collapsed="false">
      <c r="B287" s="7"/>
      <c r="AF287" s="12"/>
    </row>
    <row r="288" customFormat="false" ht="14.25" hidden="false" customHeight="false" outlineLevel="0" collapsed="false">
      <c r="B288" s="7"/>
      <c r="AF288" s="12"/>
    </row>
    <row r="289" customFormat="false" ht="14.25" hidden="false" customHeight="true" outlineLevel="0" collapsed="false">
      <c r="B289" s="36"/>
      <c r="C289" s="37"/>
      <c r="D289" s="37"/>
      <c r="E289" s="37"/>
      <c r="F289" s="37"/>
      <c r="G289" s="37"/>
      <c r="H289" s="37"/>
      <c r="I289" s="37"/>
      <c r="J289" s="37"/>
      <c r="K289" s="37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8" t="s">
        <v>93</v>
      </c>
      <c r="Y289" s="38"/>
      <c r="Z289" s="38"/>
      <c r="AA289" s="38"/>
      <c r="AB289" s="38" t="n">
        <v>4</v>
      </c>
      <c r="AC289" s="38"/>
      <c r="AD289" s="38"/>
      <c r="AE289" s="38"/>
      <c r="AF289" s="39"/>
    </row>
    <row r="290" customFormat="false" ht="14.25" hidden="false" customHeight="true" outlineLevel="0" collapsed="false">
      <c r="B290" s="1"/>
      <c r="C290" s="2" t="s">
        <v>0</v>
      </c>
      <c r="D290" s="2"/>
      <c r="E290" s="2"/>
      <c r="F290" s="2"/>
      <c r="G290" s="2"/>
      <c r="H290" s="3" t="s">
        <v>1</v>
      </c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4" t="s">
        <v>2</v>
      </c>
      <c r="Y290" s="4"/>
      <c r="Z290" s="4"/>
      <c r="AA290" s="4"/>
      <c r="AB290" s="5" t="s">
        <v>3</v>
      </c>
      <c r="AC290" s="5"/>
      <c r="AD290" s="5"/>
      <c r="AE290" s="5"/>
      <c r="AF290" s="6"/>
    </row>
    <row r="291" customFormat="false" ht="14.25" hidden="false" customHeight="true" outlineLevel="0" collapsed="false">
      <c r="B291" s="7"/>
      <c r="C291" s="8" t="s">
        <v>4</v>
      </c>
      <c r="D291" s="8"/>
      <c r="E291" s="8"/>
      <c r="F291" s="8"/>
      <c r="G291" s="8"/>
      <c r="H291" s="9" t="s">
        <v>5</v>
      </c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10" t="s">
        <v>6</v>
      </c>
      <c r="Y291" s="10"/>
      <c r="Z291" s="10"/>
      <c r="AA291" s="10"/>
      <c r="AB291" s="11" t="n">
        <v>46301</v>
      </c>
      <c r="AC291" s="11"/>
      <c r="AD291" s="11"/>
      <c r="AE291" s="11"/>
      <c r="AF291" s="12"/>
    </row>
    <row r="292" customFormat="false" ht="14.25" hidden="false" customHeight="true" outlineLevel="0" collapsed="false">
      <c r="B292" s="7"/>
      <c r="C292" s="8" t="s">
        <v>7</v>
      </c>
      <c r="D292" s="8"/>
      <c r="E292" s="8"/>
      <c r="F292" s="8"/>
      <c r="G292" s="8"/>
      <c r="H292" s="9" t="s">
        <v>333</v>
      </c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10" t="s">
        <v>9</v>
      </c>
      <c r="Y292" s="10"/>
      <c r="Z292" s="10"/>
      <c r="AA292" s="10"/>
      <c r="AB292" s="11" t="s">
        <v>3</v>
      </c>
      <c r="AC292" s="11"/>
      <c r="AD292" s="11"/>
      <c r="AE292" s="11"/>
      <c r="AF292" s="12"/>
    </row>
    <row r="293" customFormat="false" ht="14.25" hidden="false" customHeight="true" outlineLevel="0" collapsed="false">
      <c r="B293" s="13"/>
      <c r="C293" s="14" t="s">
        <v>10</v>
      </c>
      <c r="D293" s="14"/>
      <c r="E293" s="14"/>
      <c r="F293" s="14"/>
      <c r="G293" s="14"/>
      <c r="H293" s="15" t="s">
        <v>134</v>
      </c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6" t="s">
        <v>12</v>
      </c>
      <c r="Y293" s="16"/>
      <c r="Z293" s="16"/>
      <c r="AA293" s="16"/>
      <c r="AB293" s="17" t="n">
        <v>46301</v>
      </c>
      <c r="AC293" s="17"/>
      <c r="AD293" s="17"/>
      <c r="AE293" s="17"/>
      <c r="AF293" s="18"/>
    </row>
    <row r="294" customFormat="false" ht="14.25" hidden="false" customHeight="false" outlineLevel="0" collapsed="false">
      <c r="B294" s="7"/>
      <c r="AF294" s="12"/>
    </row>
    <row r="295" customFormat="false" ht="14.25" hidden="false" customHeight="false" outlineLevel="0" collapsed="false">
      <c r="B295" s="7"/>
      <c r="C295" s="9" t="s">
        <v>284</v>
      </c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12"/>
    </row>
    <row r="296" customFormat="false" ht="14.25" hidden="false" customHeight="false" outlineLevel="0" collapsed="false">
      <c r="B296" s="7"/>
      <c r="C296" s="20" t="s">
        <v>285</v>
      </c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  <c r="AD296" s="20"/>
      <c r="AE296" s="20"/>
      <c r="AF296" s="12"/>
    </row>
    <row r="297" customFormat="false" ht="14.25" hidden="false" customHeight="false" outlineLevel="0" collapsed="false">
      <c r="B297" s="7"/>
      <c r="C297" s="20" t="s">
        <v>286</v>
      </c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  <c r="AE297" s="20"/>
      <c r="AF297" s="12"/>
    </row>
    <row r="298" customFormat="false" ht="14.25" hidden="false" customHeight="false" outlineLevel="0" collapsed="false">
      <c r="B298" s="7"/>
      <c r="C298" s="20" t="s">
        <v>287</v>
      </c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  <c r="AE298" s="20"/>
      <c r="AF298" s="12"/>
    </row>
    <row r="299" customFormat="false" ht="14.25" hidden="false" customHeight="false" outlineLevel="0" collapsed="false">
      <c r="B299" s="7"/>
      <c r="C299" s="20" t="s">
        <v>288</v>
      </c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  <c r="AF299" s="12"/>
    </row>
    <row r="300" customFormat="false" ht="14.25" hidden="false" customHeight="false" outlineLevel="0" collapsed="false">
      <c r="B300" s="7"/>
      <c r="C300" s="20" t="s">
        <v>337</v>
      </c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  <c r="AF300" s="12"/>
    </row>
    <row r="301" customFormat="false" ht="27" hidden="false" customHeight="true" outlineLevel="0" collapsed="false">
      <c r="B301" s="7"/>
      <c r="C301" s="28" t="s">
        <v>157</v>
      </c>
      <c r="D301" s="28"/>
      <c r="E301" s="28" t="s">
        <v>158</v>
      </c>
      <c r="F301" s="28"/>
      <c r="G301" s="28"/>
      <c r="H301" s="28" t="s">
        <v>159</v>
      </c>
      <c r="I301" s="28"/>
      <c r="J301" s="28"/>
      <c r="K301" s="28" t="s">
        <v>160</v>
      </c>
      <c r="L301" s="28"/>
      <c r="M301" s="28"/>
      <c r="N301" s="28" t="s">
        <v>178</v>
      </c>
      <c r="O301" s="28"/>
      <c r="P301" s="28"/>
      <c r="Q301" s="28" t="s">
        <v>290</v>
      </c>
      <c r="R301" s="28"/>
      <c r="S301" s="28" t="s">
        <v>291</v>
      </c>
      <c r="T301" s="28"/>
      <c r="U301" s="28"/>
      <c r="V301" s="28" t="s">
        <v>292</v>
      </c>
      <c r="W301" s="28"/>
      <c r="X301" s="28"/>
      <c r="Y301" s="28" t="s">
        <v>183</v>
      </c>
      <c r="Z301" s="28"/>
      <c r="AA301" s="28" t="s">
        <v>184</v>
      </c>
      <c r="AB301" s="28"/>
      <c r="AC301" s="28" t="s">
        <v>186</v>
      </c>
      <c r="AD301" s="28"/>
      <c r="AE301" s="28"/>
      <c r="AF301" s="12"/>
    </row>
    <row r="302" customFormat="false" ht="14.25" hidden="false" customHeight="true" outlineLevel="0" collapsed="false">
      <c r="B302" s="7"/>
      <c r="C302" s="29"/>
      <c r="D302" s="29"/>
      <c r="E302" s="29" t="s">
        <v>19</v>
      </c>
      <c r="F302" s="29"/>
      <c r="G302" s="29"/>
      <c r="H302" s="29" t="s">
        <v>19</v>
      </c>
      <c r="I302" s="29"/>
      <c r="J302" s="29"/>
      <c r="K302" s="29"/>
      <c r="L302" s="29"/>
      <c r="M302" s="29"/>
      <c r="N302" s="29" t="s">
        <v>26</v>
      </c>
      <c r="O302" s="29"/>
      <c r="P302" s="29"/>
      <c r="Q302" s="29" t="s">
        <v>38</v>
      </c>
      <c r="R302" s="29"/>
      <c r="S302" s="29" t="s">
        <v>26</v>
      </c>
      <c r="T302" s="29"/>
      <c r="U302" s="29"/>
      <c r="V302" s="29" t="s">
        <v>26</v>
      </c>
      <c r="W302" s="29"/>
      <c r="X302" s="29"/>
      <c r="Y302" s="29" t="s">
        <v>38</v>
      </c>
      <c r="Z302" s="29"/>
      <c r="AA302" s="29" t="s">
        <v>38</v>
      </c>
      <c r="AB302" s="29"/>
      <c r="AC302" s="29" t="s">
        <v>45</v>
      </c>
      <c r="AD302" s="29"/>
      <c r="AE302" s="29"/>
      <c r="AF302" s="12"/>
    </row>
    <row r="303" customFormat="false" ht="14.25" hidden="false" customHeight="false" outlineLevel="0" collapsed="false">
      <c r="B303" s="7"/>
      <c r="C303" s="46" t="n">
        <v>1</v>
      </c>
      <c r="D303" s="46"/>
      <c r="E303" s="44" t="n">
        <f aca="false">AI83</f>
        <v>0</v>
      </c>
      <c r="F303" s="44"/>
      <c r="G303" s="44"/>
      <c r="H303" s="44" t="n">
        <f aca="false">AJ83</f>
        <v>1.5</v>
      </c>
      <c r="I303" s="44"/>
      <c r="J303" s="44"/>
      <c r="K303" s="41" t="str">
        <f aca="false">AM83</f>
        <v>Sand</v>
      </c>
      <c r="L303" s="41"/>
      <c r="M303" s="41"/>
      <c r="N303" s="43" t="n">
        <f aca="false">AX83</f>
        <v>10830</v>
      </c>
      <c r="O303" s="43"/>
      <c r="P303" s="43"/>
      <c r="Q303" s="42" t="n">
        <f aca="false">AY83</f>
        <v>0.3</v>
      </c>
      <c r="R303" s="42"/>
      <c r="S303" s="42" t="n">
        <f aca="false">AQ83</f>
        <v>12.375</v>
      </c>
      <c r="T303" s="42"/>
      <c r="U303" s="42"/>
      <c r="V303" s="42" t="n">
        <f aca="false">BC83</f>
        <v>135.999510418892</v>
      </c>
      <c r="W303" s="42"/>
      <c r="X303" s="42"/>
      <c r="Y303" s="32" t="n">
        <f aca="false">BD83</f>
        <v>0.000278357738281407</v>
      </c>
      <c r="Z303" s="32"/>
      <c r="AA303" s="32" t="n">
        <f aca="false">BE83</f>
        <v>0.00985670448566872</v>
      </c>
      <c r="AB303" s="32"/>
      <c r="AC303" s="42" t="n">
        <f aca="false">BG83</f>
        <v>9.99670571076615</v>
      </c>
      <c r="AD303" s="42"/>
      <c r="AE303" s="42"/>
      <c r="AF303" s="12"/>
    </row>
    <row r="304" customFormat="false" ht="14.25" hidden="false" customHeight="false" outlineLevel="0" collapsed="false">
      <c r="B304" s="7"/>
      <c r="C304" s="46" t="n">
        <v>2</v>
      </c>
      <c r="D304" s="46"/>
      <c r="E304" s="44" t="n">
        <f aca="false">AI84</f>
        <v>1.5</v>
      </c>
      <c r="F304" s="44"/>
      <c r="G304" s="44"/>
      <c r="H304" s="44" t="n">
        <f aca="false">AJ84</f>
        <v>3</v>
      </c>
      <c r="I304" s="44"/>
      <c r="J304" s="44"/>
      <c r="K304" s="41" t="str">
        <f aca="false">AM84</f>
        <v>Sand</v>
      </c>
      <c r="L304" s="41"/>
      <c r="M304" s="41"/>
      <c r="N304" s="43" t="n">
        <f aca="false">AX84</f>
        <v>10830</v>
      </c>
      <c r="O304" s="43"/>
      <c r="P304" s="43"/>
      <c r="Q304" s="42" t="n">
        <f aca="false">AY84</f>
        <v>0.3</v>
      </c>
      <c r="R304" s="42"/>
      <c r="S304" s="42" t="n">
        <f aca="false">AQ84</f>
        <v>37.125</v>
      </c>
      <c r="T304" s="42"/>
      <c r="U304" s="42"/>
      <c r="V304" s="42" t="n">
        <f aca="false">BC84</f>
        <v>135.986832457853</v>
      </c>
      <c r="W304" s="42"/>
      <c r="X304" s="42"/>
      <c r="Y304" s="32" t="n">
        <f aca="false">BD84</f>
        <v>0.0011108168584366</v>
      </c>
      <c r="Z304" s="32"/>
      <c r="AA304" s="32" t="n">
        <f aca="false">BE84</f>
        <v>0.0191582913405592</v>
      </c>
      <c r="AB304" s="32"/>
      <c r="AC304" s="42" t="n">
        <f aca="false">BG84</f>
        <v>10.3973534383253</v>
      </c>
      <c r="AD304" s="42"/>
      <c r="AE304" s="42"/>
      <c r="AF304" s="12"/>
    </row>
    <row r="305" customFormat="false" ht="14.25" hidden="false" customHeight="false" outlineLevel="0" collapsed="false">
      <c r="B305" s="7"/>
      <c r="C305" s="46" t="n">
        <v>3</v>
      </c>
      <c r="D305" s="46"/>
      <c r="E305" s="44" t="n">
        <f aca="false">AI85</f>
        <v>3</v>
      </c>
      <c r="F305" s="44"/>
      <c r="G305" s="44"/>
      <c r="H305" s="44" t="n">
        <f aca="false">AJ85</f>
        <v>4.5</v>
      </c>
      <c r="I305" s="44"/>
      <c r="J305" s="44"/>
      <c r="K305" s="41" t="str">
        <f aca="false">AM85</f>
        <v>Sand</v>
      </c>
      <c r="L305" s="41"/>
      <c r="M305" s="41"/>
      <c r="N305" s="43" t="n">
        <f aca="false">AX85</f>
        <v>19494</v>
      </c>
      <c r="O305" s="43"/>
      <c r="P305" s="43"/>
      <c r="Q305" s="42" t="n">
        <f aca="false">AY85</f>
        <v>0.3</v>
      </c>
      <c r="R305" s="42"/>
      <c r="S305" s="42" t="n">
        <f aca="false">AQ85</f>
        <v>61.875</v>
      </c>
      <c r="T305" s="42"/>
      <c r="U305" s="42"/>
      <c r="V305" s="42" t="n">
        <f aca="false">BC85</f>
        <v>135.93950780949</v>
      </c>
      <c r="W305" s="42"/>
      <c r="X305" s="42"/>
      <c r="Y305" s="32" t="n">
        <f aca="false">BD85</f>
        <v>0.00248961870853131</v>
      </c>
      <c r="Z305" s="32"/>
      <c r="AA305" s="32" t="n">
        <f aca="false">BE85</f>
        <v>0.027909941348913</v>
      </c>
      <c r="AB305" s="32"/>
      <c r="AC305" s="42" t="n">
        <f aca="false">BG85</f>
        <v>5.99438116459719</v>
      </c>
      <c r="AD305" s="42"/>
      <c r="AE305" s="42"/>
      <c r="AF305" s="12"/>
    </row>
    <row r="306" customFormat="false" ht="14.25" hidden="false" customHeight="false" outlineLevel="0" collapsed="false">
      <c r="B306" s="7"/>
      <c r="C306" s="46" t="n">
        <v>4</v>
      </c>
      <c r="D306" s="46"/>
      <c r="E306" s="44" t="n">
        <f aca="false">AI86</f>
        <v>4.5</v>
      </c>
      <c r="F306" s="44"/>
      <c r="G306" s="44"/>
      <c r="H306" s="44" t="n">
        <f aca="false">AJ86</f>
        <v>6</v>
      </c>
      <c r="I306" s="44"/>
      <c r="J306" s="44"/>
      <c r="K306" s="41" t="str">
        <f aca="false">AM86</f>
        <v>Sand</v>
      </c>
      <c r="L306" s="41"/>
      <c r="M306" s="41"/>
      <c r="N306" s="43" t="n">
        <f aca="false">AX86</f>
        <v>14079</v>
      </c>
      <c r="O306" s="43"/>
      <c r="P306" s="43"/>
      <c r="Q306" s="42" t="n">
        <f aca="false">AY86</f>
        <v>0.3</v>
      </c>
      <c r="R306" s="42"/>
      <c r="S306" s="42" t="n">
        <f aca="false">AQ86</f>
        <v>86.625</v>
      </c>
      <c r="T306" s="42"/>
      <c r="U306" s="42"/>
      <c r="V306" s="42" t="n">
        <f aca="false">BC86</f>
        <v>135.835905210694</v>
      </c>
      <c r="W306" s="42"/>
      <c r="X306" s="42"/>
      <c r="Y306" s="32" t="n">
        <f aca="false">BD86</f>
        <v>0.00440210534422831</v>
      </c>
      <c r="Z306" s="32"/>
      <c r="AA306" s="32" t="n">
        <f aca="false">BE86</f>
        <v>0.0361201249719141</v>
      </c>
      <c r="AB306" s="32"/>
      <c r="AC306" s="42" t="n">
        <f aca="false">BG86</f>
        <v>8.59168994347396</v>
      </c>
      <c r="AD306" s="42"/>
      <c r="AE306" s="42"/>
      <c r="AF306" s="12"/>
    </row>
    <row r="307" customFormat="false" ht="14.25" hidden="false" customHeight="false" outlineLevel="0" collapsed="false">
      <c r="B307" s="7"/>
      <c r="C307" s="46" t="n">
        <v>5</v>
      </c>
      <c r="D307" s="46"/>
      <c r="E307" s="44" t="n">
        <f aca="false">AI87</f>
        <v>6</v>
      </c>
      <c r="F307" s="44"/>
      <c r="G307" s="44"/>
      <c r="H307" s="44" t="n">
        <f aca="false">AJ87</f>
        <v>7.5</v>
      </c>
      <c r="I307" s="44"/>
      <c r="J307" s="44"/>
      <c r="K307" s="41" t="str">
        <f aca="false">AM87</f>
        <v>Clay</v>
      </c>
      <c r="L307" s="41"/>
      <c r="M307" s="41"/>
      <c r="N307" s="43" t="n">
        <f aca="false">AX87</f>
        <v>20000</v>
      </c>
      <c r="O307" s="43"/>
      <c r="P307" s="43"/>
      <c r="Q307" s="42" t="n">
        <f aca="false">AY87</f>
        <v>0.5</v>
      </c>
      <c r="R307" s="42"/>
      <c r="S307" s="42" t="n">
        <f aca="false">AQ87</f>
        <v>111.375</v>
      </c>
      <c r="T307" s="42"/>
      <c r="U307" s="42"/>
      <c r="V307" s="42" t="n">
        <f aca="false">BC87</f>
        <v>135.656483291149</v>
      </c>
      <c r="W307" s="42"/>
      <c r="X307" s="42"/>
      <c r="Y307" s="32" t="n">
        <f aca="false">BD87</f>
        <v>0.00683111017475556</v>
      </c>
      <c r="Z307" s="32"/>
      <c r="AA307" s="32" t="n">
        <f aca="false">BE87</f>
        <v>0.0438003669964678</v>
      </c>
      <c r="AB307" s="32"/>
      <c r="AC307" s="42" t="n">
        <f aca="false">BG87</f>
        <v>1.83341284608197</v>
      </c>
      <c r="AD307" s="42"/>
      <c r="AE307" s="42"/>
      <c r="AF307" s="12"/>
    </row>
    <row r="308" customFormat="false" ht="14.25" hidden="false" customHeight="false" outlineLevel="0" collapsed="false">
      <c r="B308" s="7"/>
      <c r="C308" s="46" t="n">
        <v>6</v>
      </c>
      <c r="D308" s="46"/>
      <c r="E308" s="44" t="n">
        <f aca="false">AI88</f>
        <v>7.5</v>
      </c>
      <c r="F308" s="44"/>
      <c r="G308" s="44"/>
      <c r="H308" s="44" t="n">
        <f aca="false">AJ88</f>
        <v>9</v>
      </c>
      <c r="I308" s="44"/>
      <c r="J308" s="44"/>
      <c r="K308" s="41" t="str">
        <f aca="false">AM88</f>
        <v>Sand</v>
      </c>
      <c r="L308" s="41"/>
      <c r="M308" s="41"/>
      <c r="N308" s="43" t="n">
        <f aca="false">AX88</f>
        <v>10830</v>
      </c>
      <c r="O308" s="43"/>
      <c r="P308" s="43"/>
      <c r="Q308" s="42" t="n">
        <f aca="false">AY88</f>
        <v>0.3</v>
      </c>
      <c r="R308" s="42"/>
      <c r="S308" s="42" t="n">
        <f aca="false">AQ88</f>
        <v>135.5</v>
      </c>
      <c r="T308" s="42"/>
      <c r="U308" s="42"/>
      <c r="V308" s="42" t="n">
        <f aca="false">BC88</f>
        <v>135.384419937794</v>
      </c>
      <c r="W308" s="42"/>
      <c r="X308" s="42"/>
      <c r="Y308" s="32" t="n">
        <f aca="false">BD88</f>
        <v>0.00975546893705105</v>
      </c>
      <c r="Z308" s="32"/>
      <c r="AA308" s="32" t="n">
        <f aca="false">BE88</f>
        <v>0.0509649376512068</v>
      </c>
      <c r="AB308" s="32"/>
      <c r="AC308" s="42" t="n">
        <f aca="false">BG88</f>
        <v>11.8700246920105</v>
      </c>
      <c r="AD308" s="42"/>
      <c r="AE308" s="42"/>
      <c r="AF308" s="12"/>
    </row>
    <row r="309" customFormat="false" ht="14.25" hidden="false" customHeight="false" outlineLevel="0" collapsed="false">
      <c r="B309" s="7"/>
      <c r="C309" s="46" t="n">
        <v>7</v>
      </c>
      <c r="D309" s="46"/>
      <c r="E309" s="44" t="n">
        <f aca="false">AI89</f>
        <v>9</v>
      </c>
      <c r="F309" s="44"/>
      <c r="G309" s="44"/>
      <c r="H309" s="44" t="n">
        <f aca="false">AJ89</f>
        <v>10.5</v>
      </c>
      <c r="I309" s="44"/>
      <c r="J309" s="44"/>
      <c r="K309" s="41" t="str">
        <f aca="false">AM89</f>
        <v>Sand</v>
      </c>
      <c r="L309" s="41"/>
      <c r="M309" s="41"/>
      <c r="N309" s="43" t="n">
        <f aca="false">AX89</f>
        <v>31407</v>
      </c>
      <c r="O309" s="43"/>
      <c r="P309" s="43"/>
      <c r="Q309" s="42" t="n">
        <f aca="false">AY89</f>
        <v>0.3</v>
      </c>
      <c r="R309" s="42"/>
      <c r="S309" s="42" t="n">
        <f aca="false">AQ89</f>
        <v>149</v>
      </c>
      <c r="T309" s="42"/>
      <c r="U309" s="42"/>
      <c r="V309" s="42" t="n">
        <f aca="false">BC89</f>
        <v>135.006063558054</v>
      </c>
      <c r="W309" s="42"/>
      <c r="X309" s="42"/>
      <c r="Y309" s="32" t="n">
        <f aca="false">BD89</f>
        <v>0.0131506198333031</v>
      </c>
      <c r="Z309" s="32"/>
      <c r="AA309" s="32" t="n">
        <f aca="false">BE89</f>
        <v>0.0576304881402393</v>
      </c>
      <c r="AB309" s="32"/>
      <c r="AC309" s="42" t="n">
        <f aca="false">BG89</f>
        <v>4.20137541359157</v>
      </c>
      <c r="AD309" s="42"/>
      <c r="AE309" s="42"/>
      <c r="AF309" s="12"/>
    </row>
    <row r="310" customFormat="false" ht="14.25" hidden="false" customHeight="false" outlineLevel="0" collapsed="false">
      <c r="B310" s="7"/>
      <c r="C310" s="46" t="n">
        <v>8</v>
      </c>
      <c r="D310" s="46"/>
      <c r="E310" s="44" t="n">
        <f aca="false">AI90</f>
        <v>10.5</v>
      </c>
      <c r="F310" s="44"/>
      <c r="G310" s="44"/>
      <c r="H310" s="44" t="n">
        <f aca="false">AJ90</f>
        <v>12</v>
      </c>
      <c r="I310" s="44"/>
      <c r="J310" s="44"/>
      <c r="K310" s="41" t="str">
        <f aca="false">AM90</f>
        <v>Silt</v>
      </c>
      <c r="L310" s="41"/>
      <c r="M310" s="41"/>
      <c r="N310" s="43" t="n">
        <f aca="false">AX90</f>
        <v>60000</v>
      </c>
      <c r="O310" s="43"/>
      <c r="P310" s="43"/>
      <c r="Q310" s="42" t="n">
        <f aca="false">AY90</f>
        <v>0.5</v>
      </c>
      <c r="R310" s="42"/>
      <c r="S310" s="42" t="n">
        <f aca="false">AQ90</f>
        <v>162.5</v>
      </c>
      <c r="T310" s="42"/>
      <c r="U310" s="42"/>
      <c r="V310" s="42" t="n">
        <f aca="false">BC90</f>
        <v>134.511190640081</v>
      </c>
      <c r="W310" s="42"/>
      <c r="X310" s="42"/>
      <c r="Y310" s="32" t="n">
        <f aca="false">BD90</f>
        <v>0.0169892586870808</v>
      </c>
      <c r="Z310" s="32"/>
      <c r="AA310" s="32" t="n">
        <f aca="false">BE90</f>
        <v>0.063815650361614</v>
      </c>
      <c r="AB310" s="32"/>
      <c r="AC310" s="42" t="n">
        <f aca="false">BG90</f>
        <v>0.965801535610476</v>
      </c>
      <c r="AD310" s="42"/>
      <c r="AE310" s="42"/>
      <c r="AF310" s="12"/>
    </row>
    <row r="311" customFormat="false" ht="14.25" hidden="false" customHeight="false" outlineLevel="0" collapsed="false">
      <c r="B311" s="7"/>
      <c r="C311" s="46" t="n">
        <v>9</v>
      </c>
      <c r="D311" s="46"/>
      <c r="E311" s="44" t="n">
        <f aca="false">AI91</f>
        <v>12</v>
      </c>
      <c r="F311" s="44"/>
      <c r="G311" s="44"/>
      <c r="H311" s="44" t="n">
        <f aca="false">AJ91</f>
        <v>13.5</v>
      </c>
      <c r="I311" s="44"/>
      <c r="J311" s="44"/>
      <c r="K311" s="41" t="str">
        <f aca="false">AM91</f>
        <v>Silt</v>
      </c>
      <c r="L311" s="41"/>
      <c r="M311" s="41"/>
      <c r="N311" s="43" t="n">
        <f aca="false">AX91</f>
        <v>25000</v>
      </c>
      <c r="O311" s="43"/>
      <c r="P311" s="43"/>
      <c r="Q311" s="42" t="n">
        <f aca="false">AY91</f>
        <v>0.5</v>
      </c>
      <c r="R311" s="42"/>
      <c r="S311" s="42" t="n">
        <f aca="false">AQ91</f>
        <v>176</v>
      </c>
      <c r="T311" s="42"/>
      <c r="U311" s="42"/>
      <c r="V311" s="42" t="n">
        <f aca="false">BC91</f>
        <v>133.893072357031</v>
      </c>
      <c r="W311" s="42"/>
      <c r="X311" s="42"/>
      <c r="Y311" s="32" t="n">
        <f aca="false">BD91</f>
        <v>0.0212420151090567</v>
      </c>
      <c r="Z311" s="32"/>
      <c r="AA311" s="32" t="n">
        <f aca="false">BE91</f>
        <v>0.0695406206380035</v>
      </c>
      <c r="AB311" s="32"/>
      <c r="AC311" s="42" t="n">
        <f aca="false">BG91</f>
        <v>2.56798443784594</v>
      </c>
      <c r="AD311" s="42"/>
      <c r="AE311" s="42"/>
      <c r="AF311" s="12"/>
    </row>
    <row r="312" customFormat="false" ht="14.25" hidden="false" customHeight="false" outlineLevel="0" collapsed="false">
      <c r="B312" s="7"/>
      <c r="C312" s="46" t="n">
        <v>10</v>
      </c>
      <c r="D312" s="46"/>
      <c r="E312" s="44" t="n">
        <f aca="false">AI92</f>
        <v>13.5</v>
      </c>
      <c r="F312" s="44"/>
      <c r="G312" s="44"/>
      <c r="H312" s="44" t="n">
        <f aca="false">AJ92</f>
        <v>15</v>
      </c>
      <c r="I312" s="44"/>
      <c r="J312" s="44"/>
      <c r="K312" s="41" t="str">
        <f aca="false">AM92</f>
        <v>Sand</v>
      </c>
      <c r="L312" s="41"/>
      <c r="M312" s="41"/>
      <c r="N312" s="43" t="n">
        <f aca="false">AX92</f>
        <v>37905</v>
      </c>
      <c r="O312" s="43"/>
      <c r="P312" s="43"/>
      <c r="Q312" s="42" t="n">
        <f aca="false">AY92</f>
        <v>0.3</v>
      </c>
      <c r="R312" s="42"/>
      <c r="S312" s="42" t="n">
        <f aca="false">AQ92</f>
        <v>189.5</v>
      </c>
      <c r="T312" s="42"/>
      <c r="U312" s="42"/>
      <c r="V312" s="42" t="n">
        <f aca="false">BC92</f>
        <v>133.148368665013</v>
      </c>
      <c r="W312" s="42"/>
      <c r="X312" s="42"/>
      <c r="Y312" s="32" t="n">
        <f aca="false">BD92</f>
        <v>0.0258781185005073</v>
      </c>
      <c r="Z312" s="32"/>
      <c r="AA312" s="32" t="n">
        <f aca="false">BE92</f>
        <v>0.0748267458113844</v>
      </c>
      <c r="AB312" s="32"/>
      <c r="AC312" s="42" t="n">
        <f aca="false">BG92</f>
        <v>3.69989820187675</v>
      </c>
      <c r="AD312" s="42"/>
      <c r="AE312" s="42"/>
      <c r="AF312" s="12"/>
    </row>
    <row r="313" customFormat="false" ht="14.25" hidden="false" customHeight="false" outlineLevel="0" collapsed="false">
      <c r="B313" s="7"/>
      <c r="C313" s="46" t="n">
        <v>11</v>
      </c>
      <c r="D313" s="46"/>
      <c r="E313" s="44" t="n">
        <f aca="false">AI93</f>
        <v>15</v>
      </c>
      <c r="F313" s="44"/>
      <c r="G313" s="44"/>
      <c r="H313" s="44" t="n">
        <f aca="false">AJ93</f>
        <v>16.5</v>
      </c>
      <c r="I313" s="44"/>
      <c r="J313" s="44"/>
      <c r="K313" s="41" t="str">
        <f aca="false">AM93</f>
        <v>Sand</v>
      </c>
      <c r="L313" s="41"/>
      <c r="M313" s="41"/>
      <c r="N313" s="43" t="n">
        <f aca="false">AX93</f>
        <v>42237</v>
      </c>
      <c r="O313" s="43"/>
      <c r="P313" s="43"/>
      <c r="Q313" s="42" t="n">
        <f aca="false">AY93</f>
        <v>0.3</v>
      </c>
      <c r="R313" s="42"/>
      <c r="S313" s="42" t="n">
        <f aca="false">AQ93</f>
        <v>203</v>
      </c>
      <c r="T313" s="42"/>
      <c r="U313" s="42"/>
      <c r="V313" s="42" t="n">
        <f aca="false">BC93</f>
        <v>132.27687978272</v>
      </c>
      <c r="W313" s="42"/>
      <c r="X313" s="42"/>
      <c r="Y313" s="32" t="n">
        <f aca="false">BD93</f>
        <v>0.0308660275726865</v>
      </c>
      <c r="Z313" s="32"/>
      <c r="AA313" s="32" t="n">
        <f aca="false">BE93</f>
        <v>0.0796961274153755</v>
      </c>
      <c r="AB313" s="32"/>
      <c r="AC313" s="42" t="n">
        <f aca="false">BG93</f>
        <v>3.36971402996089</v>
      </c>
      <c r="AD313" s="42"/>
      <c r="AE313" s="42"/>
      <c r="AF313" s="12"/>
    </row>
    <row r="314" customFormat="false" ht="14.25" hidden="false" customHeight="false" outlineLevel="0" collapsed="false">
      <c r="B314" s="7"/>
      <c r="C314" s="46" t="n">
        <v>12</v>
      </c>
      <c r="D314" s="46"/>
      <c r="E314" s="44" t="n">
        <f aca="false">AI94</f>
        <v>16.5</v>
      </c>
      <c r="F314" s="44"/>
      <c r="G314" s="44"/>
      <c r="H314" s="44" t="n">
        <f aca="false">AJ94</f>
        <v>18</v>
      </c>
      <c r="I314" s="44"/>
      <c r="J314" s="44"/>
      <c r="K314" s="41" t="str">
        <f aca="false">AM94</f>
        <v>Sand</v>
      </c>
      <c r="L314" s="41"/>
      <c r="M314" s="41"/>
      <c r="N314" s="43" t="n">
        <f aca="false">AX94</f>
        <v>28158</v>
      </c>
      <c r="O314" s="43"/>
      <c r="P314" s="43"/>
      <c r="Q314" s="42" t="n">
        <f aca="false">AY94</f>
        <v>0.3</v>
      </c>
      <c r="R314" s="42"/>
      <c r="S314" s="42" t="n">
        <f aca="false">AQ94</f>
        <v>216.5</v>
      </c>
      <c r="T314" s="42"/>
      <c r="U314" s="42"/>
      <c r="V314" s="42" t="n">
        <f aca="false">BC94</f>
        <v>131.281191431882</v>
      </c>
      <c r="W314" s="42"/>
      <c r="X314" s="42"/>
      <c r="Y314" s="32" t="n">
        <f aca="false">BD94</f>
        <v>0.0361740031105239</v>
      </c>
      <c r="Z314" s="32"/>
      <c r="AA314" s="32" t="n">
        <f aca="false">BE94</f>
        <v>0.0841712562846844</v>
      </c>
      <c r="AB314" s="32"/>
      <c r="AC314" s="42" t="n">
        <f aca="false">BG94</f>
        <v>5.11622390076147</v>
      </c>
      <c r="AD314" s="42"/>
      <c r="AE314" s="42"/>
      <c r="AF314" s="12"/>
    </row>
    <row r="315" customFormat="false" ht="14.25" hidden="false" customHeight="false" outlineLevel="0" collapsed="false">
      <c r="B315" s="7"/>
      <c r="C315" s="46" t="n">
        <v>13</v>
      </c>
      <c r="D315" s="46"/>
      <c r="E315" s="44" t="n">
        <f aca="false">AI95</f>
        <v>18</v>
      </c>
      <c r="F315" s="44"/>
      <c r="G315" s="44"/>
      <c r="H315" s="44" t="n">
        <f aca="false">AJ95</f>
        <v>19.5</v>
      </c>
      <c r="I315" s="44"/>
      <c r="J315" s="44"/>
      <c r="K315" s="41" t="str">
        <f aca="false">AM95</f>
        <v>Sand</v>
      </c>
      <c r="L315" s="41"/>
      <c r="M315" s="41"/>
      <c r="N315" s="43" t="n">
        <f aca="false">AX95</f>
        <v>23826</v>
      </c>
      <c r="O315" s="43"/>
      <c r="P315" s="43"/>
      <c r="Q315" s="42" t="n">
        <f aca="false">AY95</f>
        <v>0.3</v>
      </c>
      <c r="R315" s="42"/>
      <c r="S315" s="42" t="n">
        <f aca="false">AQ95</f>
        <v>230</v>
      </c>
      <c r="T315" s="42"/>
      <c r="U315" s="42"/>
      <c r="V315" s="42" t="n">
        <f aca="false">BC95</f>
        <v>130.166251943235</v>
      </c>
      <c r="W315" s="42"/>
      <c r="X315" s="42"/>
      <c r="Y315" s="32" t="n">
        <f aca="false">BD95</f>
        <v>0.0417706101655238</v>
      </c>
      <c r="Z315" s="32"/>
      <c r="AA315" s="32" t="n">
        <f aca="false">BE95</f>
        <v>0.0882746863320375</v>
      </c>
      <c r="AB315" s="32"/>
      <c r="AC315" s="42" t="n">
        <f aca="false">BG95</f>
        <v>6.10505070037734</v>
      </c>
      <c r="AD315" s="42"/>
      <c r="AE315" s="42"/>
      <c r="AF315" s="12"/>
    </row>
    <row r="316" customFormat="false" ht="14.25" hidden="false" customHeight="false" outlineLevel="0" collapsed="false">
      <c r="B316" s="7"/>
      <c r="C316" s="46" t="n">
        <v>14</v>
      </c>
      <c r="D316" s="46"/>
      <c r="E316" s="44" t="n">
        <f aca="false">AI96</f>
        <v>19.5</v>
      </c>
      <c r="F316" s="44"/>
      <c r="G316" s="44"/>
      <c r="H316" s="44" t="n">
        <f aca="false">AJ96</f>
        <v>21</v>
      </c>
      <c r="I316" s="44"/>
      <c r="J316" s="44"/>
      <c r="K316" s="41" t="str">
        <f aca="false">AM96</f>
        <v>Sand</v>
      </c>
      <c r="L316" s="41"/>
      <c r="M316" s="41"/>
      <c r="N316" s="43" t="n">
        <f aca="false">AX96</f>
        <v>25992</v>
      </c>
      <c r="O316" s="43"/>
      <c r="P316" s="43"/>
      <c r="Q316" s="42" t="n">
        <f aca="false">AY96</f>
        <v>0.3</v>
      </c>
      <c r="R316" s="42"/>
      <c r="S316" s="42" t="n">
        <f aca="false">AQ96</f>
        <v>243.5</v>
      </c>
      <c r="T316" s="42"/>
      <c r="U316" s="42"/>
      <c r="V316" s="42" t="n">
        <f aca="false">BC96</f>
        <v>128.938917112008</v>
      </c>
      <c r="W316" s="42"/>
      <c r="X316" s="42"/>
      <c r="Y316" s="32" t="n">
        <f aca="false">BD96</f>
        <v>0.0476251420550853</v>
      </c>
      <c r="Z316" s="32"/>
      <c r="AA316" s="32" t="n">
        <f aca="false">BE96</f>
        <v>0.0920287526961581</v>
      </c>
      <c r="AB316" s="32"/>
      <c r="AC316" s="42" t="n">
        <f aca="false">BG96</f>
        <v>5.63737215714696</v>
      </c>
      <c r="AD316" s="42"/>
      <c r="AE316" s="42"/>
      <c r="AF316" s="12"/>
    </row>
    <row r="317" customFormat="false" ht="14.25" hidden="false" customHeight="false" outlineLevel="0" collapsed="false">
      <c r="B317" s="7"/>
      <c r="C317" s="46" t="n">
        <v>15</v>
      </c>
      <c r="D317" s="46"/>
      <c r="E317" s="44" t="n">
        <f aca="false">AI97</f>
        <v>21</v>
      </c>
      <c r="F317" s="44"/>
      <c r="G317" s="44"/>
      <c r="H317" s="44" t="n">
        <f aca="false">AJ97</f>
        <v>22.5</v>
      </c>
      <c r="I317" s="44"/>
      <c r="J317" s="44"/>
      <c r="K317" s="41" t="str">
        <f aca="false">AM97</f>
        <v>Clay</v>
      </c>
      <c r="L317" s="41"/>
      <c r="M317" s="41"/>
      <c r="N317" s="43" t="n">
        <f aca="false">AX97</f>
        <v>95000</v>
      </c>
      <c r="O317" s="43"/>
      <c r="P317" s="43"/>
      <c r="Q317" s="42" t="n">
        <f aca="false">AY97</f>
        <v>0.5</v>
      </c>
      <c r="R317" s="42"/>
      <c r="S317" s="42" t="n">
        <f aca="false">AQ97</f>
        <v>257</v>
      </c>
      <c r="T317" s="42"/>
      <c r="U317" s="42"/>
      <c r="V317" s="42" t="n">
        <f aca="false">BC97</f>
        <v>127.607493683403</v>
      </c>
      <c r="W317" s="42"/>
      <c r="X317" s="42"/>
      <c r="Y317" s="32" t="n">
        <f aca="false">BD97</f>
        <v>0.0537079639877145</v>
      </c>
      <c r="Z317" s="32"/>
      <c r="AA317" s="32" t="n">
        <f aca="false">BE97</f>
        <v>0.0954553363186186</v>
      </c>
      <c r="AB317" s="32"/>
      <c r="AC317" s="42" t="n">
        <f aca="false">BG97</f>
        <v>0.966592419947068</v>
      </c>
      <c r="AD317" s="42"/>
      <c r="AE317" s="42"/>
      <c r="AF317" s="12"/>
    </row>
    <row r="318" customFormat="false" ht="14.25" hidden="false" customHeight="false" outlineLevel="0" collapsed="false">
      <c r="B318" s="7"/>
      <c r="C318" s="46" t="n">
        <v>16</v>
      </c>
      <c r="D318" s="46"/>
      <c r="E318" s="44" t="n">
        <f aca="false">AI98</f>
        <v>22.5</v>
      </c>
      <c r="F318" s="44"/>
      <c r="G318" s="44"/>
      <c r="H318" s="44" t="n">
        <f aca="false">AJ98</f>
        <v>24</v>
      </c>
      <c r="I318" s="44"/>
      <c r="J318" s="44"/>
      <c r="K318" s="41" t="str">
        <f aca="false">AM98</f>
        <v>Sand</v>
      </c>
      <c r="L318" s="41"/>
      <c r="M318" s="41"/>
      <c r="N318" s="43" t="n">
        <f aca="false">AX98</f>
        <v>25992</v>
      </c>
      <c r="O318" s="43"/>
      <c r="P318" s="43"/>
      <c r="Q318" s="42" t="n">
        <f aca="false">AY98</f>
        <v>0.3</v>
      </c>
      <c r="R318" s="42"/>
      <c r="S318" s="42" t="n">
        <f aca="false">AQ98</f>
        <v>270.5</v>
      </c>
      <c r="T318" s="42"/>
      <c r="U318" s="42"/>
      <c r="V318" s="42" t="n">
        <f aca="false">BC98</f>
        <v>126.181305793762</v>
      </c>
      <c r="W318" s="42"/>
      <c r="X318" s="42"/>
      <c r="Y318" s="32" t="n">
        <f aca="false">BD98</f>
        <v>0.0599907785392672</v>
      </c>
      <c r="Z318" s="32"/>
      <c r="AA318" s="32" t="n">
        <f aca="false">BE98</f>
        <v>0.0985756744132035</v>
      </c>
      <c r="AB318" s="32"/>
      <c r="AC318" s="42" t="n">
        <f aca="false">BG98</f>
        <v>5.68398941845496</v>
      </c>
      <c r="AD318" s="42"/>
      <c r="AE318" s="42"/>
      <c r="AF318" s="12"/>
    </row>
    <row r="319" customFormat="false" ht="14.25" hidden="false" customHeight="false" outlineLevel="0" collapsed="false">
      <c r="B319" s="7"/>
      <c r="C319" s="46" t="n">
        <v>17</v>
      </c>
      <c r="D319" s="46"/>
      <c r="E319" s="44" t="n">
        <f aca="false">AI99</f>
        <v>24</v>
      </c>
      <c r="F319" s="44"/>
      <c r="G319" s="44"/>
      <c r="H319" s="44" t="n">
        <f aca="false">AJ99</f>
        <v>25.5</v>
      </c>
      <c r="I319" s="44"/>
      <c r="J319" s="44"/>
      <c r="K319" s="41" t="str">
        <f aca="false">AM99</f>
        <v>Sand</v>
      </c>
      <c r="L319" s="41"/>
      <c r="M319" s="41"/>
      <c r="N319" s="43" t="n">
        <f aca="false">AX99</f>
        <v>47652</v>
      </c>
      <c r="O319" s="43"/>
      <c r="P319" s="43"/>
      <c r="Q319" s="42" t="n">
        <f aca="false">AY99</f>
        <v>0.3</v>
      </c>
      <c r="R319" s="42"/>
      <c r="S319" s="42" t="n">
        <f aca="false">AQ99</f>
        <v>284</v>
      </c>
      <c r="T319" s="42"/>
      <c r="U319" s="42"/>
      <c r="V319" s="42" t="n">
        <f aca="false">BC99</f>
        <v>124.670301678981</v>
      </c>
      <c r="W319" s="42"/>
      <c r="X319" s="42"/>
      <c r="Y319" s="32" t="n">
        <f aca="false">BD99</f>
        <v>0.0664468184683822</v>
      </c>
      <c r="Z319" s="32"/>
      <c r="AA319" s="32" t="n">
        <f aca="false">BE99</f>
        <v>0.101410214319719</v>
      </c>
      <c r="AB319" s="32"/>
      <c r="AC319" s="42" t="n">
        <f aca="false">BG99</f>
        <v>3.10416788896103</v>
      </c>
      <c r="AD319" s="42"/>
      <c r="AE319" s="42"/>
      <c r="AF319" s="12"/>
    </row>
    <row r="320" customFormat="false" ht="14.25" hidden="false" customHeight="false" outlineLevel="0" collapsed="false">
      <c r="B320" s="7"/>
      <c r="C320" s="46" t="n">
        <v>18</v>
      </c>
      <c r="D320" s="46"/>
      <c r="E320" s="44" t="n">
        <f aca="false">AI100</f>
        <v>25.5</v>
      </c>
      <c r="F320" s="44"/>
      <c r="G320" s="44"/>
      <c r="H320" s="44" t="n">
        <f aca="false">AJ100</f>
        <v>27</v>
      </c>
      <c r="I320" s="44"/>
      <c r="J320" s="44"/>
      <c r="K320" s="41" t="str">
        <f aca="false">AM100</f>
        <v>Sand</v>
      </c>
      <c r="L320" s="41"/>
      <c r="M320" s="41"/>
      <c r="N320" s="43" t="n">
        <f aca="false">AX100</f>
        <v>22743</v>
      </c>
      <c r="O320" s="43"/>
      <c r="P320" s="43"/>
      <c r="Q320" s="42" t="n">
        <f aca="false">AY100</f>
        <v>0.3</v>
      </c>
      <c r="R320" s="42"/>
      <c r="S320" s="42" t="n">
        <f aca="false">AQ100</f>
        <v>297.5</v>
      </c>
      <c r="T320" s="42"/>
      <c r="U320" s="42"/>
      <c r="V320" s="42" t="n">
        <f aca="false">BC100</f>
        <v>123.084711322374</v>
      </c>
      <c r="W320" s="42"/>
      <c r="X320" s="42"/>
      <c r="Y320" s="32" t="n">
        <f aca="false">BD100</f>
        <v>0.0730509745149719</v>
      </c>
      <c r="Z320" s="32"/>
      <c r="AA320" s="32" t="n">
        <f aca="false">BE100</f>
        <v>0.103978506876715</v>
      </c>
      <c r="AB320" s="32"/>
      <c r="AC320" s="42" t="n">
        <f aca="false">BG100</f>
        <v>6.50072902825465</v>
      </c>
      <c r="AD320" s="42"/>
      <c r="AE320" s="42"/>
      <c r="AF320" s="12"/>
    </row>
    <row r="321" customFormat="false" ht="14.25" hidden="false" customHeight="false" outlineLevel="0" collapsed="false">
      <c r="B321" s="7"/>
      <c r="C321" s="46" t="n">
        <v>19</v>
      </c>
      <c r="D321" s="46"/>
      <c r="E321" s="44" t="n">
        <f aca="false">AI101</f>
        <v>27</v>
      </c>
      <c r="F321" s="44"/>
      <c r="G321" s="44"/>
      <c r="H321" s="44" t="n">
        <f aca="false">AJ101</f>
        <v>28.5</v>
      </c>
      <c r="I321" s="44"/>
      <c r="J321" s="44"/>
      <c r="K321" s="41" t="str">
        <f aca="false">AM101</f>
        <v>Sand</v>
      </c>
      <c r="L321" s="41"/>
      <c r="M321" s="41"/>
      <c r="N321" s="43" t="n">
        <f aca="false">AX101</f>
        <v>33573</v>
      </c>
      <c r="O321" s="43"/>
      <c r="P321" s="43"/>
      <c r="Q321" s="42" t="n">
        <f aca="false">AY101</f>
        <v>0.3</v>
      </c>
      <c r="R321" s="42"/>
      <c r="S321" s="42" t="n">
        <f aca="false">AQ101</f>
        <v>311</v>
      </c>
      <c r="T321" s="42"/>
      <c r="U321" s="42"/>
      <c r="V321" s="42" t="n">
        <f aca="false">BC101</f>
        <v>121.434759989289</v>
      </c>
      <c r="W321" s="42"/>
      <c r="X321" s="42"/>
      <c r="Y321" s="32" t="n">
        <f aca="false">BD101</f>
        <v>0.0797798670040491</v>
      </c>
      <c r="Z321" s="32"/>
      <c r="AA321" s="32" t="n">
        <f aca="false">BE101</f>
        <v>0.106299134641581</v>
      </c>
      <c r="AB321" s="32"/>
      <c r="AC321" s="42" t="n">
        <f aca="false">BG101</f>
        <v>4.39456153566757</v>
      </c>
      <c r="AD321" s="42"/>
      <c r="AE321" s="42"/>
      <c r="AF321" s="12"/>
    </row>
    <row r="322" customFormat="false" ht="14.25" hidden="false" customHeight="false" outlineLevel="0" collapsed="false">
      <c r="B322" s="7"/>
      <c r="C322" s="46" t="n">
        <v>20</v>
      </c>
      <c r="D322" s="46"/>
      <c r="E322" s="44" t="n">
        <f aca="false">AI102</f>
        <v>28.5</v>
      </c>
      <c r="F322" s="44"/>
      <c r="G322" s="44"/>
      <c r="H322" s="44" t="n">
        <f aca="false">AJ102</f>
        <v>30</v>
      </c>
      <c r="I322" s="44"/>
      <c r="J322" s="44"/>
      <c r="K322" s="41" t="str">
        <f aca="false">AM102</f>
        <v>Sand</v>
      </c>
      <c r="L322" s="41"/>
      <c r="M322" s="41"/>
      <c r="N322" s="43" t="n">
        <f aca="false">AX102</f>
        <v>54150</v>
      </c>
      <c r="O322" s="43"/>
      <c r="P322" s="43"/>
      <c r="Q322" s="42" t="n">
        <f aca="false">AY102</f>
        <v>0.3</v>
      </c>
      <c r="R322" s="42"/>
      <c r="S322" s="42" t="n">
        <f aca="false">AQ102</f>
        <v>324.5</v>
      </c>
      <c r="T322" s="42"/>
      <c r="U322" s="42"/>
      <c r="V322" s="42" t="n">
        <f aca="false">BC102</f>
        <v>119.73043805321</v>
      </c>
      <c r="W322" s="42"/>
      <c r="X322" s="42"/>
      <c r="Y322" s="32" t="n">
        <f aca="false">BD102</f>
        <v>0.0866118704592208</v>
      </c>
      <c r="Z322" s="32"/>
      <c r="AA322" s="32" t="n">
        <f aca="false">BE102</f>
        <v>0.108389669938441</v>
      </c>
      <c r="AB322" s="32"/>
      <c r="AC322" s="42" t="n">
        <f aca="false">BG102</f>
        <v>2.71503172231372</v>
      </c>
      <c r="AD322" s="42"/>
      <c r="AE322" s="42"/>
      <c r="AF322" s="12"/>
    </row>
    <row r="323" customFormat="false" ht="14.25" hidden="false" customHeight="false" outlineLevel="0" collapsed="false">
      <c r="B323" s="7"/>
      <c r="C323" s="46" t="n">
        <v>21</v>
      </c>
      <c r="D323" s="46"/>
      <c r="E323" s="44" t="n">
        <f aca="false">AI103</f>
        <v>30</v>
      </c>
      <c r="F323" s="44"/>
      <c r="G323" s="44"/>
      <c r="H323" s="44" t="n">
        <f aca="false">AJ103</f>
        <v>31.5</v>
      </c>
      <c r="I323" s="44"/>
      <c r="J323" s="44"/>
      <c r="K323" s="41" t="str">
        <f aca="false">AM103</f>
        <v>Sand</v>
      </c>
      <c r="L323" s="41"/>
      <c r="M323" s="41"/>
      <c r="N323" s="43" t="n">
        <f aca="false">AX103</f>
        <v>43320</v>
      </c>
      <c r="O323" s="43"/>
      <c r="P323" s="43"/>
      <c r="Q323" s="42" t="n">
        <f aca="false">AY103</f>
        <v>0.3</v>
      </c>
      <c r="R323" s="42"/>
      <c r="S323" s="42" t="n">
        <f aca="false">AQ103</f>
        <v>338</v>
      </c>
      <c r="T323" s="42"/>
      <c r="U323" s="42"/>
      <c r="V323" s="42" t="n">
        <f aca="false">BC103</f>
        <v>117.981324211207</v>
      </c>
      <c r="W323" s="42"/>
      <c r="X323" s="42"/>
      <c r="Y323" s="32" t="n">
        <f aca="false">BD103</f>
        <v>0.0935271002119951</v>
      </c>
      <c r="Z323" s="32"/>
      <c r="AA323" s="32" t="n">
        <f aca="false">BE103</f>
        <v>0.11026665771977</v>
      </c>
      <c r="AB323" s="32"/>
      <c r="AC323" s="42" t="n">
        <f aca="false">BG103</f>
        <v>3.37738394955323</v>
      </c>
      <c r="AD323" s="42"/>
      <c r="AE323" s="42"/>
      <c r="AF323" s="12"/>
    </row>
    <row r="324" customFormat="false" ht="14.25" hidden="false" customHeight="false" outlineLevel="0" collapsed="false">
      <c r="B324" s="7"/>
      <c r="C324" s="46" t="n">
        <v>22</v>
      </c>
      <c r="D324" s="46"/>
      <c r="E324" s="44" t="n">
        <f aca="false">AI104</f>
        <v>31.5</v>
      </c>
      <c r="F324" s="44"/>
      <c r="G324" s="44"/>
      <c r="H324" s="44" t="n">
        <f aca="false">AJ104</f>
        <v>33</v>
      </c>
      <c r="I324" s="44"/>
      <c r="J324" s="44"/>
      <c r="K324" s="41" t="str">
        <f aca="false">AM104</f>
        <v>Sand</v>
      </c>
      <c r="L324" s="41"/>
      <c r="M324" s="41"/>
      <c r="N324" s="43" t="n">
        <f aca="false">AX104</f>
        <v>46569</v>
      </c>
      <c r="O324" s="43"/>
      <c r="P324" s="43"/>
      <c r="Q324" s="42" t="n">
        <f aca="false">AY104</f>
        <v>0.3</v>
      </c>
      <c r="R324" s="42"/>
      <c r="S324" s="42" t="n">
        <f aca="false">AQ104</f>
        <v>351.5</v>
      </c>
      <c r="T324" s="42"/>
      <c r="U324" s="42"/>
      <c r="V324" s="42" t="n">
        <f aca="false">BC104</f>
        <v>116.196457021307</v>
      </c>
      <c r="W324" s="42"/>
      <c r="X324" s="42"/>
      <c r="Y324" s="32" t="n">
        <f aca="false">BD104</f>
        <v>0.100507369360851</v>
      </c>
      <c r="Z324" s="32"/>
      <c r="AA324" s="32" t="n">
        <f aca="false">BE104</f>
        <v>0.111945618485189</v>
      </c>
      <c r="AB324" s="32"/>
      <c r="AC324" s="42" t="n">
        <f aca="false">BG104</f>
        <v>3.12282642634641</v>
      </c>
      <c r="AD324" s="42"/>
      <c r="AE324" s="42"/>
      <c r="AF324" s="12"/>
    </row>
    <row r="325" customFormat="false" ht="14.25" hidden="false" customHeight="false" outlineLevel="0" collapsed="false">
      <c r="B325" s="7"/>
      <c r="C325" s="46" t="n">
        <v>23</v>
      </c>
      <c r="D325" s="46"/>
      <c r="E325" s="44" t="n">
        <f aca="false">AI105</f>
        <v>33</v>
      </c>
      <c r="F325" s="44"/>
      <c r="G325" s="44"/>
      <c r="H325" s="44" t="n">
        <f aca="false">AJ105</f>
        <v>34.5</v>
      </c>
      <c r="I325" s="44"/>
      <c r="J325" s="44"/>
      <c r="K325" s="41" t="str">
        <f aca="false">AM105</f>
        <v>Sand</v>
      </c>
      <c r="L325" s="41"/>
      <c r="M325" s="41"/>
      <c r="N325" s="43" t="n">
        <f aca="false">AX105</f>
        <v>28158</v>
      </c>
      <c r="O325" s="43"/>
      <c r="P325" s="43"/>
      <c r="Q325" s="42" t="n">
        <f aca="false">AY105</f>
        <v>0.3</v>
      </c>
      <c r="R325" s="42"/>
      <c r="S325" s="42" t="n">
        <f aca="false">AQ105</f>
        <v>365</v>
      </c>
      <c r="T325" s="42"/>
      <c r="U325" s="42"/>
      <c r="V325" s="42" t="n">
        <f aca="false">BC105</f>
        <v>114.384248493289</v>
      </c>
      <c r="W325" s="42"/>
      <c r="X325" s="42"/>
      <c r="Y325" s="32" t="n">
        <f aca="false">BD105</f>
        <v>0.107536123549061</v>
      </c>
      <c r="Z325" s="32"/>
      <c r="AA325" s="32" t="n">
        <f aca="false">BE105</f>
        <v>0.113441066921048</v>
      </c>
      <c r="AB325" s="32"/>
      <c r="AC325" s="42" t="n">
        <f aca="false">BG105</f>
        <v>5.12800043661121</v>
      </c>
      <c r="AD325" s="42"/>
      <c r="AE325" s="42"/>
      <c r="AF325" s="12"/>
    </row>
    <row r="326" customFormat="false" ht="14.25" hidden="false" customHeight="false" outlineLevel="0" collapsed="false">
      <c r="B326" s="7"/>
      <c r="C326" s="46" t="n">
        <v>24</v>
      </c>
      <c r="D326" s="46"/>
      <c r="E326" s="44" t="n">
        <f aca="false">AI106</f>
        <v>34.5</v>
      </c>
      <c r="F326" s="44"/>
      <c r="G326" s="44"/>
      <c r="H326" s="44" t="n">
        <f aca="false">AJ106</f>
        <v>36</v>
      </c>
      <c r="I326" s="44"/>
      <c r="J326" s="44"/>
      <c r="K326" s="41" t="str">
        <f aca="false">AM106</f>
        <v>Sand</v>
      </c>
      <c r="L326" s="41"/>
      <c r="M326" s="41"/>
      <c r="N326" s="43" t="n">
        <f aca="false">AX106</f>
        <v>57399</v>
      </c>
      <c r="O326" s="43"/>
      <c r="P326" s="43"/>
      <c r="Q326" s="42" t="n">
        <f aca="false">AY106</f>
        <v>0.3</v>
      </c>
      <c r="R326" s="42"/>
      <c r="S326" s="42" t="n">
        <f aca="false">AQ106</f>
        <v>378.5</v>
      </c>
      <c r="T326" s="42"/>
      <c r="U326" s="42"/>
      <c r="V326" s="42" t="n">
        <f aca="false">BC106</f>
        <v>112.552433017023</v>
      </c>
      <c r="W326" s="42"/>
      <c r="X326" s="42"/>
      <c r="Y326" s="32" t="n">
        <f aca="false">BD106</f>
        <v>0.114598360022051</v>
      </c>
      <c r="Z326" s="32"/>
      <c r="AA326" s="32" t="n">
        <f aca="false">BE106</f>
        <v>0.114766542433847</v>
      </c>
      <c r="AB326" s="32"/>
      <c r="AC326" s="42" t="n">
        <f aca="false">BG106</f>
        <v>2.49531319528265</v>
      </c>
      <c r="AD326" s="42"/>
      <c r="AE326" s="42"/>
      <c r="AF326" s="12"/>
    </row>
    <row r="327" customFormat="false" ht="14.25" hidden="false" customHeight="false" outlineLevel="0" collapsed="false">
      <c r="B327" s="7"/>
      <c r="C327" s="46" t="n">
        <v>25</v>
      </c>
      <c r="D327" s="46"/>
      <c r="E327" s="44" t="n">
        <f aca="false">AI107</f>
        <v>36</v>
      </c>
      <c r="F327" s="44"/>
      <c r="G327" s="44"/>
      <c r="H327" s="44" t="n">
        <f aca="false">AJ107</f>
        <v>37.5</v>
      </c>
      <c r="I327" s="44"/>
      <c r="J327" s="44"/>
      <c r="K327" s="41" t="str">
        <f aca="false">AM107</f>
        <v>Sand</v>
      </c>
      <c r="L327" s="41"/>
      <c r="M327" s="41"/>
      <c r="N327" s="43" t="n">
        <f aca="false">AX107</f>
        <v>58482</v>
      </c>
      <c r="O327" s="43"/>
      <c r="P327" s="43"/>
      <c r="Q327" s="42" t="n">
        <f aca="false">AY107</f>
        <v>0.3</v>
      </c>
      <c r="R327" s="42"/>
      <c r="S327" s="42" t="n">
        <f aca="false">AQ107</f>
        <v>392</v>
      </c>
      <c r="T327" s="42"/>
      <c r="U327" s="42"/>
      <c r="V327" s="42" t="n">
        <f aca="false">BC107</f>
        <v>110.708045010863</v>
      </c>
      <c r="W327" s="42"/>
      <c r="X327" s="42"/>
      <c r="Y327" s="32" t="n">
        <f aca="false">BD107</f>
        <v>0.121680536390531</v>
      </c>
      <c r="Z327" s="32"/>
      <c r="AA327" s="32" t="n">
        <f aca="false">BE107</f>
        <v>0.115934648292991</v>
      </c>
      <c r="AB327" s="32"/>
      <c r="AC327" s="42" t="n">
        <f aca="false">BG107</f>
        <v>2.42718429381396</v>
      </c>
      <c r="AD327" s="42"/>
      <c r="AE327" s="42"/>
      <c r="AF327" s="12"/>
    </row>
    <row r="328" customFormat="false" ht="14.25" hidden="false" customHeight="false" outlineLevel="0" collapsed="false">
      <c r="B328" s="7"/>
      <c r="C328" s="46" t="n">
        <v>26</v>
      </c>
      <c r="D328" s="46"/>
      <c r="E328" s="44" t="n">
        <f aca="false">AI108</f>
        <v>37.5</v>
      </c>
      <c r="F328" s="44"/>
      <c r="G328" s="44"/>
      <c r="H328" s="44" t="n">
        <f aca="false">AJ108</f>
        <v>39</v>
      </c>
      <c r="I328" s="44"/>
      <c r="J328" s="44"/>
      <c r="K328" s="41" t="str">
        <f aca="false">AM108</f>
        <v>Sand</v>
      </c>
      <c r="L328" s="41"/>
      <c r="M328" s="41"/>
      <c r="N328" s="43" t="n">
        <f aca="false">AX108</f>
        <v>54150</v>
      </c>
      <c r="O328" s="43"/>
      <c r="P328" s="43"/>
      <c r="Q328" s="42" t="n">
        <f aca="false">AY108</f>
        <v>0.3</v>
      </c>
      <c r="R328" s="42"/>
      <c r="S328" s="42" t="n">
        <f aca="false">AQ108</f>
        <v>405.5</v>
      </c>
      <c r="T328" s="42"/>
      <c r="U328" s="42"/>
      <c r="V328" s="42" t="n">
        <f aca="false">BC108</f>
        <v>108.857419132691</v>
      </c>
      <c r="W328" s="42"/>
      <c r="X328" s="42"/>
      <c r="Y328" s="32" t="n">
        <f aca="false">BD108</f>
        <v>0.128770473532044</v>
      </c>
      <c r="Z328" s="32"/>
      <c r="AA328" s="32" t="n">
        <f aca="false">BE108</f>
        <v>0.116957096633813</v>
      </c>
      <c r="AB328" s="32"/>
      <c r="AC328" s="42" t="n">
        <f aca="false">BG108</f>
        <v>2.59583026334049</v>
      </c>
      <c r="AD328" s="42"/>
      <c r="AE328" s="42"/>
      <c r="AF328" s="12"/>
    </row>
    <row r="329" customFormat="false" ht="14.25" hidden="false" customHeight="false" outlineLevel="0" collapsed="false">
      <c r="B329" s="7"/>
      <c r="C329" s="46" t="n">
        <v>27</v>
      </c>
      <c r="D329" s="46"/>
      <c r="E329" s="44" t="n">
        <f aca="false">AI109</f>
        <v>39</v>
      </c>
      <c r="F329" s="44"/>
      <c r="G329" s="44"/>
      <c r="H329" s="44" t="n">
        <f aca="false">AJ109</f>
        <v>40.5</v>
      </c>
      <c r="I329" s="44"/>
      <c r="J329" s="44"/>
      <c r="K329" s="41" t="str">
        <f aca="false">AM109</f>
        <v>Sand</v>
      </c>
      <c r="L329" s="41"/>
      <c r="M329" s="41"/>
      <c r="N329" s="43" t="n">
        <f aca="false">AX109</f>
        <v>54150</v>
      </c>
      <c r="O329" s="43"/>
      <c r="P329" s="43"/>
      <c r="Q329" s="42" t="n">
        <f aca="false">AY109</f>
        <v>0.3</v>
      </c>
      <c r="R329" s="42"/>
      <c r="S329" s="42" t="n">
        <f aca="false">AQ109</f>
        <v>419</v>
      </c>
      <c r="T329" s="42"/>
      <c r="U329" s="42"/>
      <c r="V329" s="42" t="n">
        <f aca="false">BC109</f>
        <v>107.006207567439</v>
      </c>
      <c r="W329" s="42"/>
      <c r="X329" s="42"/>
      <c r="Y329" s="32" t="n">
        <f aca="false">BD109</f>
        <v>0.135857256153312</v>
      </c>
      <c r="Z329" s="32"/>
      <c r="AA329" s="32" t="n">
        <f aca="false">BE109</f>
        <v>0.117844757073459</v>
      </c>
      <c r="AB329" s="32"/>
      <c r="AC329" s="42" t="n">
        <f aca="false">BG109</f>
        <v>2.56871031205885</v>
      </c>
      <c r="AD329" s="42"/>
      <c r="AE329" s="42"/>
      <c r="AF329" s="12"/>
    </row>
    <row r="330" customFormat="false" ht="14.25" hidden="false" customHeight="false" outlineLevel="0" collapsed="false">
      <c r="B330" s="7"/>
      <c r="C330" s="46" t="n">
        <v>28</v>
      </c>
      <c r="D330" s="46"/>
      <c r="E330" s="44" t="n">
        <f aca="false">AI110</f>
        <v>40.5</v>
      </c>
      <c r="F330" s="44"/>
      <c r="G330" s="44"/>
      <c r="H330" s="44" t="n">
        <f aca="false">AJ110</f>
        <v>42</v>
      </c>
      <c r="I330" s="44"/>
      <c r="J330" s="44"/>
      <c r="K330" s="41" t="str">
        <f aca="false">AM110</f>
        <v>Sand</v>
      </c>
      <c r="L330" s="41"/>
      <c r="M330" s="41"/>
      <c r="N330" s="43" t="n">
        <f aca="false">AX110</f>
        <v>40071</v>
      </c>
      <c r="O330" s="43"/>
      <c r="P330" s="43"/>
      <c r="Q330" s="42" t="n">
        <f aca="false">AY110</f>
        <v>0.3</v>
      </c>
      <c r="R330" s="42"/>
      <c r="S330" s="42" t="n">
        <f aca="false">AQ110</f>
        <v>432.5</v>
      </c>
      <c r="T330" s="42"/>
      <c r="U330" s="42"/>
      <c r="V330" s="42" t="n">
        <f aca="false">BC110</f>
        <v>105.159409672716</v>
      </c>
      <c r="W330" s="42"/>
      <c r="X330" s="42"/>
      <c r="Y330" s="32" t="n">
        <f aca="false">BD110</f>
        <v>0.142931133731755</v>
      </c>
      <c r="Z330" s="32"/>
      <c r="AA330" s="32" t="n">
        <f aca="false">BE110</f>
        <v>0.118607707144671</v>
      </c>
      <c r="AB330" s="32"/>
      <c r="AC330" s="42" t="n">
        <f aca="false">BG110</f>
        <v>3.43275685371848</v>
      </c>
      <c r="AD330" s="42"/>
      <c r="AE330" s="42"/>
      <c r="AF330" s="12"/>
    </row>
    <row r="331" customFormat="false" ht="14.25" hidden="false" customHeight="false" outlineLevel="0" collapsed="false">
      <c r="B331" s="7"/>
      <c r="C331" s="46" t="n">
        <v>29</v>
      </c>
      <c r="D331" s="46"/>
      <c r="E331" s="44" t="n">
        <f aca="false">AI111</f>
        <v>42</v>
      </c>
      <c r="F331" s="44"/>
      <c r="G331" s="44"/>
      <c r="H331" s="44" t="n">
        <f aca="false">AJ111</f>
        <v>43.5</v>
      </c>
      <c r="I331" s="44"/>
      <c r="J331" s="44"/>
      <c r="K331" s="41" t="str">
        <f aca="false">AM111</f>
        <v>Sand</v>
      </c>
      <c r="L331" s="41"/>
      <c r="M331" s="41"/>
      <c r="N331" s="43" t="n">
        <f aca="false">AX111</f>
        <v>54150</v>
      </c>
      <c r="O331" s="43"/>
      <c r="P331" s="43"/>
      <c r="Q331" s="42" t="n">
        <f aca="false">AY111</f>
        <v>0.3</v>
      </c>
      <c r="R331" s="42"/>
      <c r="S331" s="42" t="n">
        <f aca="false">AQ111</f>
        <v>446</v>
      </c>
      <c r="T331" s="42"/>
      <c r="U331" s="42"/>
      <c r="V331" s="42" t="n">
        <f aca="false">BC111</f>
        <v>103.321410046931</v>
      </c>
      <c r="W331" s="42"/>
      <c r="X331" s="42"/>
      <c r="Y331" s="32" t="n">
        <f aca="false">BD111</f>
        <v>0.149983423865366</v>
      </c>
      <c r="Z331" s="32"/>
      <c r="AA331" s="32" t="n">
        <f aca="false">BE111</f>
        <v>0.11925528314828</v>
      </c>
      <c r="AB331" s="32"/>
      <c r="AC331" s="42" t="n">
        <f aca="false">BG111</f>
        <v>2.51063756754944</v>
      </c>
      <c r="AD331" s="42"/>
      <c r="AE331" s="42"/>
      <c r="AF331" s="12"/>
    </row>
    <row r="332" customFormat="false" ht="14.25" hidden="false" customHeight="false" outlineLevel="0" collapsed="false">
      <c r="B332" s="7"/>
      <c r="C332" s="46" t="n">
        <v>30</v>
      </c>
      <c r="D332" s="46"/>
      <c r="E332" s="44" t="n">
        <f aca="false">AI112</f>
        <v>43.5</v>
      </c>
      <c r="F332" s="44"/>
      <c r="G332" s="44"/>
      <c r="H332" s="44" t="n">
        <f aca="false">AJ112</f>
        <v>45</v>
      </c>
      <c r="I332" s="44"/>
      <c r="J332" s="44"/>
      <c r="K332" s="41" t="str">
        <f aca="false">AM112</f>
        <v>Sand</v>
      </c>
      <c r="L332" s="41"/>
      <c r="M332" s="41"/>
      <c r="N332" s="43" t="n">
        <f aca="false">AX112</f>
        <v>54150</v>
      </c>
      <c r="O332" s="43"/>
      <c r="P332" s="43"/>
      <c r="Q332" s="42" t="n">
        <f aca="false">AY112</f>
        <v>0.3</v>
      </c>
      <c r="R332" s="42"/>
      <c r="S332" s="42" t="n">
        <f aca="false">AQ112</f>
        <v>459.5</v>
      </c>
      <c r="T332" s="42"/>
      <c r="U332" s="42"/>
      <c r="V332" s="42" t="n">
        <f aca="false">BC112</f>
        <v>101.496021828265</v>
      </c>
      <c r="W332" s="42"/>
      <c r="X332" s="42"/>
      <c r="Y332" s="32" t="n">
        <f aca="false">BD112</f>
        <v>0.157006419484548</v>
      </c>
      <c r="Z332" s="32"/>
      <c r="AA332" s="32" t="n">
        <f aca="false">BE112</f>
        <v>0.119796130362691</v>
      </c>
      <c r="AB332" s="32"/>
      <c r="AC332" s="42" t="n">
        <f aca="false">BG112</f>
        <v>2.48009914347766</v>
      </c>
      <c r="AD332" s="42"/>
      <c r="AE332" s="42"/>
      <c r="AF332" s="12"/>
    </row>
    <row r="333" customFormat="false" ht="14.25" hidden="false" customHeight="false" outlineLevel="0" collapsed="false">
      <c r="B333" s="7"/>
      <c r="C333" s="46" t="n">
        <v>31</v>
      </c>
      <c r="D333" s="46"/>
      <c r="E333" s="44" t="n">
        <f aca="false">AI113</f>
        <v>45</v>
      </c>
      <c r="F333" s="44"/>
      <c r="G333" s="44"/>
      <c r="H333" s="44" t="n">
        <f aca="false">AJ113</f>
        <v>46.5</v>
      </c>
      <c r="I333" s="44"/>
      <c r="J333" s="44"/>
      <c r="K333" s="41" t="str">
        <f aca="false">AM113</f>
        <v>Sand</v>
      </c>
      <c r="L333" s="41"/>
      <c r="M333" s="41"/>
      <c r="N333" s="43" t="n">
        <f aca="false">AX113</f>
        <v>54150</v>
      </c>
      <c r="O333" s="43"/>
      <c r="P333" s="43"/>
      <c r="Q333" s="42" t="n">
        <f aca="false">AY113</f>
        <v>0.3</v>
      </c>
      <c r="R333" s="42"/>
      <c r="S333" s="42" t="n">
        <f aca="false">AQ113</f>
        <v>473</v>
      </c>
      <c r="T333" s="42"/>
      <c r="U333" s="42"/>
      <c r="V333" s="42" t="n">
        <f aca="false">BC113</f>
        <v>99.6865327062518</v>
      </c>
      <c r="W333" s="42"/>
      <c r="X333" s="42"/>
      <c r="Y333" s="32" t="n">
        <f aca="false">BD113</f>
        <v>0.163993300910008</v>
      </c>
      <c r="Z333" s="32"/>
      <c r="AA333" s="32" t="n">
        <f aca="false">BE113</f>
        <v>0.120238251830284</v>
      </c>
      <c r="AB333" s="32"/>
      <c r="AC333" s="42" t="n">
        <f aca="false">BG113</f>
        <v>2.44880082658623</v>
      </c>
      <c r="AD333" s="42"/>
      <c r="AE333" s="42"/>
      <c r="AF333" s="12"/>
    </row>
    <row r="334" customFormat="false" ht="14.25" hidden="false" customHeight="false" outlineLevel="0" collapsed="false">
      <c r="B334" s="7"/>
      <c r="C334" s="46" t="n">
        <v>32</v>
      </c>
      <c r="D334" s="46"/>
      <c r="E334" s="44" t="n">
        <f aca="false">AI114</f>
        <v>46.5</v>
      </c>
      <c r="F334" s="44"/>
      <c r="G334" s="44"/>
      <c r="H334" s="44" t="n">
        <f aca="false">AJ114</f>
        <v>48</v>
      </c>
      <c r="I334" s="44"/>
      <c r="J334" s="44"/>
      <c r="K334" s="41" t="str">
        <f aca="false">AM114</f>
        <v>Sand</v>
      </c>
      <c r="L334" s="41"/>
      <c r="M334" s="41"/>
      <c r="N334" s="43" t="n">
        <f aca="false">AX114</f>
        <v>54150</v>
      </c>
      <c r="O334" s="43"/>
      <c r="P334" s="43"/>
      <c r="Q334" s="42" t="n">
        <f aca="false">AY114</f>
        <v>0.3</v>
      </c>
      <c r="R334" s="42"/>
      <c r="S334" s="42" t="n">
        <f aca="false">AQ114</f>
        <v>486.5</v>
      </c>
      <c r="T334" s="42"/>
      <c r="U334" s="42"/>
      <c r="V334" s="42" t="n">
        <f aca="false">BC114</f>
        <v>97.8957517150986</v>
      </c>
      <c r="W334" s="42"/>
      <c r="X334" s="42"/>
      <c r="Y334" s="32" t="n">
        <f aca="false">BD114</f>
        <v>0.170938053366324</v>
      </c>
      <c r="Z334" s="32"/>
      <c r="AA334" s="32" t="n">
        <f aca="false">BE114</f>
        <v>0.120589055170862</v>
      </c>
      <c r="AB334" s="32"/>
      <c r="AC334" s="42" t="n">
        <f aca="false">BG114</f>
        <v>2.41689979101431</v>
      </c>
      <c r="AD334" s="42"/>
      <c r="AE334" s="42"/>
      <c r="AF334" s="12"/>
    </row>
    <row r="335" customFormat="false" ht="14.25" hidden="false" customHeight="false" outlineLevel="0" collapsed="false">
      <c r="B335" s="7"/>
      <c r="C335" s="46" t="n">
        <v>33</v>
      </c>
      <c r="D335" s="46"/>
      <c r="E335" s="44" t="n">
        <f aca="false">AI115</f>
        <v>48</v>
      </c>
      <c r="F335" s="44"/>
      <c r="G335" s="44"/>
      <c r="H335" s="44" t="n">
        <f aca="false">AJ115</f>
        <v>49.5</v>
      </c>
      <c r="I335" s="44"/>
      <c r="J335" s="44"/>
      <c r="K335" s="41" t="str">
        <f aca="false">AM115</f>
        <v>Sand</v>
      </c>
      <c r="L335" s="41"/>
      <c r="M335" s="41"/>
      <c r="N335" s="43" t="n">
        <f aca="false">AX115</f>
        <v>29241</v>
      </c>
      <c r="O335" s="43"/>
      <c r="P335" s="43"/>
      <c r="Q335" s="42" t="n">
        <f aca="false">AY115</f>
        <v>0.3</v>
      </c>
      <c r="R335" s="42"/>
      <c r="S335" s="42" t="n">
        <f aca="false">AQ115</f>
        <v>500</v>
      </c>
      <c r="T335" s="42"/>
      <c r="U335" s="42"/>
      <c r="V335" s="42" t="n">
        <f aca="false">BC115</f>
        <v>96.1260553748583</v>
      </c>
      <c r="W335" s="42"/>
      <c r="X335" s="42"/>
      <c r="Y335" s="32" t="n">
        <f aca="false">BD115</f>
        <v>0.177835390268971</v>
      </c>
      <c r="Z335" s="32"/>
      <c r="AA335" s="32" t="n">
        <f aca="false">BE115</f>
        <v>0.120855397057084</v>
      </c>
      <c r="AB335" s="32"/>
      <c r="AC335" s="42" t="n">
        <f aca="false">BG115</f>
        <v>0</v>
      </c>
      <c r="AD335" s="42"/>
      <c r="AE335" s="42"/>
      <c r="AF335" s="12"/>
    </row>
    <row r="336" customFormat="false" ht="14.25" hidden="false" customHeight="false" outlineLevel="0" collapsed="false">
      <c r="B336" s="7"/>
      <c r="C336" s="46" t="n">
        <v>34</v>
      </c>
      <c r="D336" s="46"/>
      <c r="E336" s="44" t="n">
        <f aca="false">AI116</f>
        <v>49.5</v>
      </c>
      <c r="F336" s="44"/>
      <c r="G336" s="44"/>
      <c r="H336" s="44" t="n">
        <f aca="false">AJ116</f>
        <v>51</v>
      </c>
      <c r="I336" s="44"/>
      <c r="J336" s="44"/>
      <c r="K336" s="41" t="str">
        <f aca="false">AM116</f>
        <v>Sand</v>
      </c>
      <c r="L336" s="41"/>
      <c r="M336" s="41"/>
      <c r="N336" s="43" t="n">
        <f aca="false">AX116</f>
        <v>27075</v>
      </c>
      <c r="O336" s="43"/>
      <c r="P336" s="43"/>
      <c r="Q336" s="42" t="n">
        <f aca="false">AY116</f>
        <v>0.3</v>
      </c>
      <c r="R336" s="42"/>
      <c r="S336" s="42" t="n">
        <f aca="false">AQ116</f>
        <v>513.5</v>
      </c>
      <c r="T336" s="42"/>
      <c r="U336" s="42"/>
      <c r="V336" s="42" t="n">
        <f aca="false">BC116</f>
        <v>94.379432156388</v>
      </c>
      <c r="W336" s="42"/>
      <c r="X336" s="42"/>
      <c r="Y336" s="32" t="n">
        <f aca="false">BD116</f>
        <v>0.184680682380465</v>
      </c>
      <c r="Z336" s="32"/>
      <c r="AA336" s="32" t="n">
        <f aca="false">BE116</f>
        <v>0.121043625132288</v>
      </c>
      <c r="AB336" s="32"/>
      <c r="AC336" s="42" t="n">
        <f aca="false">BG116</f>
        <v>0</v>
      </c>
      <c r="AD336" s="42"/>
      <c r="AE336" s="42"/>
      <c r="AF336" s="12"/>
    </row>
    <row r="337" customFormat="false" ht="14.25" hidden="false" customHeight="false" outlineLevel="0" collapsed="false">
      <c r="B337" s="7"/>
      <c r="C337" s="46" t="n">
        <v>35</v>
      </c>
      <c r="D337" s="46"/>
      <c r="E337" s="44" t="n">
        <f aca="false">AI117</f>
        <v>51</v>
      </c>
      <c r="F337" s="44"/>
      <c r="G337" s="44"/>
      <c r="H337" s="44" t="n">
        <f aca="false">AJ117</f>
        <v>52.5</v>
      </c>
      <c r="I337" s="44"/>
      <c r="J337" s="44"/>
      <c r="K337" s="41" t="str">
        <f aca="false">AM117</f>
        <v>Sand</v>
      </c>
      <c r="L337" s="41"/>
      <c r="M337" s="41"/>
      <c r="N337" s="43" t="n">
        <f aca="false">AX117</f>
        <v>31407</v>
      </c>
      <c r="O337" s="43"/>
      <c r="P337" s="43"/>
      <c r="Q337" s="42" t="n">
        <f aca="false">AY117</f>
        <v>0.3</v>
      </c>
      <c r="R337" s="42"/>
      <c r="S337" s="42" t="n">
        <f aca="false">AQ117</f>
        <v>527</v>
      </c>
      <c r="T337" s="42"/>
      <c r="U337" s="42"/>
      <c r="V337" s="42" t="n">
        <f aca="false">BC117</f>
        <v>92.657524576064</v>
      </c>
      <c r="W337" s="42"/>
      <c r="X337" s="42"/>
      <c r="Y337" s="32" t="n">
        <f aca="false">BD117</f>
        <v>0.191469892767081</v>
      </c>
      <c r="Z337" s="32"/>
      <c r="AA337" s="32" t="n">
        <f aca="false">BE117</f>
        <v>0.121159617263437</v>
      </c>
      <c r="AB337" s="32"/>
      <c r="AC337" s="42" t="n">
        <f aca="false">BG117</f>
        <v>0</v>
      </c>
      <c r="AD337" s="42"/>
      <c r="AE337" s="42"/>
      <c r="AF337" s="12"/>
    </row>
    <row r="338" customFormat="false" ht="14.25" hidden="false" customHeight="false" outlineLevel="0" collapsed="false">
      <c r="B338" s="7"/>
      <c r="C338" s="46" t="n">
        <v>36</v>
      </c>
      <c r="D338" s="46"/>
      <c r="E338" s="44" t="n">
        <f aca="false">AI118</f>
        <v>52.5</v>
      </c>
      <c r="F338" s="44"/>
      <c r="G338" s="44"/>
      <c r="H338" s="44" t="n">
        <f aca="false">AJ118</f>
        <v>54</v>
      </c>
      <c r="I338" s="44"/>
      <c r="J338" s="44"/>
      <c r="K338" s="41" t="str">
        <f aca="false">AM118</f>
        <v>Sand</v>
      </c>
      <c r="L338" s="41"/>
      <c r="M338" s="41"/>
      <c r="N338" s="43" t="n">
        <f aca="false">AX118</f>
        <v>37905</v>
      </c>
      <c r="O338" s="43"/>
      <c r="P338" s="43"/>
      <c r="Q338" s="42" t="n">
        <f aca="false">AY118</f>
        <v>0.3</v>
      </c>
      <c r="R338" s="42"/>
      <c r="S338" s="42" t="n">
        <f aca="false">AQ118</f>
        <v>540.5</v>
      </c>
      <c r="T338" s="42"/>
      <c r="U338" s="42"/>
      <c r="V338" s="42" t="n">
        <f aca="false">BC118</f>
        <v>90.9616684860851</v>
      </c>
      <c r="W338" s="42"/>
      <c r="X338" s="42"/>
      <c r="Y338" s="32" t="n">
        <f aca="false">BD118</f>
        <v>0.19819951737019</v>
      </c>
      <c r="Z338" s="32"/>
      <c r="AA338" s="32" t="n">
        <f aca="false">BE118</f>
        <v>0.121208818106769</v>
      </c>
      <c r="AB338" s="32"/>
      <c r="AC338" s="42" t="n">
        <f aca="false">BG118</f>
        <v>0</v>
      </c>
      <c r="AD338" s="42"/>
      <c r="AE338" s="42"/>
      <c r="AF338" s="12"/>
    </row>
    <row r="339" customFormat="false" ht="14.25" hidden="false" customHeight="false" outlineLevel="0" collapsed="false">
      <c r="B339" s="7"/>
      <c r="C339" s="46" t="n">
        <v>37</v>
      </c>
      <c r="D339" s="46"/>
      <c r="E339" s="44" t="n">
        <f aca="false">AI119</f>
        <v>54</v>
      </c>
      <c r="F339" s="44"/>
      <c r="G339" s="44"/>
      <c r="H339" s="44" t="n">
        <f aca="false">AJ119</f>
        <v>55.5</v>
      </c>
      <c r="I339" s="44"/>
      <c r="J339" s="44"/>
      <c r="K339" s="41" t="str">
        <f aca="false">AM119</f>
        <v>Sand</v>
      </c>
      <c r="L339" s="41"/>
      <c r="M339" s="41"/>
      <c r="N339" s="43" t="n">
        <f aca="false">AX119</f>
        <v>54150</v>
      </c>
      <c r="O339" s="43"/>
      <c r="P339" s="43"/>
      <c r="Q339" s="42" t="n">
        <f aca="false">AY119</f>
        <v>0.3</v>
      </c>
      <c r="R339" s="42"/>
      <c r="S339" s="42" t="n">
        <f aca="false">AQ119</f>
        <v>554</v>
      </c>
      <c r="T339" s="42"/>
      <c r="U339" s="42"/>
      <c r="V339" s="42" t="n">
        <f aca="false">BC119</f>
        <v>89.2929293261871</v>
      </c>
      <c r="W339" s="42"/>
      <c r="X339" s="42"/>
      <c r="Y339" s="32" t="n">
        <f aca="false">BD119</f>
        <v>0.204866530926182</v>
      </c>
      <c r="Z339" s="32"/>
      <c r="AA339" s="32" t="n">
        <f aca="false">BE119</f>
        <v>0.121196273026185</v>
      </c>
      <c r="AB339" s="32"/>
      <c r="AC339" s="42" t="n">
        <f aca="false">BG119</f>
        <v>0</v>
      </c>
      <c r="AD339" s="42"/>
      <c r="AE339" s="42"/>
      <c r="AF339" s="12"/>
    </row>
    <row r="340" customFormat="false" ht="14.25" hidden="false" customHeight="false" outlineLevel="0" collapsed="false">
      <c r="B340" s="7"/>
      <c r="C340" s="46" t="n">
        <v>38</v>
      </c>
      <c r="D340" s="46"/>
      <c r="E340" s="44" t="n">
        <f aca="false">AI120</f>
        <v>55.5</v>
      </c>
      <c r="F340" s="44"/>
      <c r="G340" s="44"/>
      <c r="H340" s="44" t="n">
        <f aca="false">AJ120</f>
        <v>57</v>
      </c>
      <c r="I340" s="44"/>
      <c r="J340" s="44"/>
      <c r="K340" s="41" t="str">
        <f aca="false">AM120</f>
        <v>Sand</v>
      </c>
      <c r="L340" s="41"/>
      <c r="M340" s="41"/>
      <c r="N340" s="43" t="n">
        <f aca="false">AX120</f>
        <v>54150</v>
      </c>
      <c r="O340" s="43"/>
      <c r="P340" s="43"/>
      <c r="Q340" s="42" t="n">
        <f aca="false">AY120</f>
        <v>0.3</v>
      </c>
      <c r="R340" s="42"/>
      <c r="S340" s="42" t="n">
        <f aca="false">AQ120</f>
        <v>567.5</v>
      </c>
      <c r="T340" s="42"/>
      <c r="U340" s="42"/>
      <c r="V340" s="42" t="n">
        <f aca="false">BC120</f>
        <v>87.6521352527307</v>
      </c>
      <c r="W340" s="42"/>
      <c r="X340" s="42"/>
      <c r="Y340" s="32" t="n">
        <f aca="false">BD120</f>
        <v>0.211468337918076</v>
      </c>
      <c r="Z340" s="32"/>
      <c r="AA340" s="32" t="n">
        <f aca="false">BE120</f>
        <v>0.121126659448925</v>
      </c>
      <c r="AB340" s="32"/>
      <c r="AC340" s="42" t="n">
        <f aca="false">BG120</f>
        <v>0</v>
      </c>
      <c r="AD340" s="42"/>
      <c r="AE340" s="42"/>
      <c r="AF340" s="12"/>
    </row>
    <row r="341" customFormat="false" ht="14.25" hidden="false" customHeight="false" outlineLevel="0" collapsed="false">
      <c r="B341" s="7"/>
      <c r="C341" s="46" t="n">
        <v>39</v>
      </c>
      <c r="D341" s="46"/>
      <c r="E341" s="44" t="n">
        <f aca="false">AI121</f>
        <v>57</v>
      </c>
      <c r="F341" s="44"/>
      <c r="G341" s="44"/>
      <c r="H341" s="44" t="n">
        <f aca="false">AJ121</f>
        <v>58.5</v>
      </c>
      <c r="I341" s="44"/>
      <c r="J341" s="44"/>
      <c r="K341" s="41" t="str">
        <f aca="false">AM121</f>
        <v>Sand</v>
      </c>
      <c r="L341" s="41"/>
      <c r="M341" s="41"/>
      <c r="N341" s="43" t="n">
        <f aca="false">AX121</f>
        <v>54150</v>
      </c>
      <c r="O341" s="43"/>
      <c r="P341" s="43"/>
      <c r="Q341" s="42" t="n">
        <f aca="false">AY121</f>
        <v>0.3</v>
      </c>
      <c r="R341" s="42"/>
      <c r="S341" s="42" t="n">
        <f aca="false">AQ121</f>
        <v>581</v>
      </c>
      <c r="T341" s="42"/>
      <c r="U341" s="42"/>
      <c r="V341" s="42" t="n">
        <f aca="false">BC121</f>
        <v>86.0399071706701</v>
      </c>
      <c r="W341" s="42"/>
      <c r="X341" s="42"/>
      <c r="Y341" s="32" t="n">
        <f aca="false">BD121</f>
        <v>0.218002728213384</v>
      </c>
      <c r="Z341" s="32"/>
      <c r="AA341" s="32" t="n">
        <f aca="false">BE121</f>
        <v>0.121004315773392</v>
      </c>
      <c r="AB341" s="32"/>
      <c r="AC341" s="42" t="n">
        <f aca="false">BG121</f>
        <v>0</v>
      </c>
      <c r="AD341" s="42"/>
      <c r="AE341" s="42"/>
      <c r="AF341" s="12"/>
    </row>
    <row r="342" customFormat="false" ht="14.25" hidden="false" customHeight="false" outlineLevel="0" collapsed="false">
      <c r="B342" s="7"/>
      <c r="C342" s="46" t="n">
        <v>40</v>
      </c>
      <c r="D342" s="46"/>
      <c r="E342" s="44" t="n">
        <f aca="false">AI122</f>
        <v>58.5</v>
      </c>
      <c r="F342" s="44"/>
      <c r="G342" s="44"/>
      <c r="H342" s="44" t="n">
        <f aca="false">AJ122</f>
        <v>59.5</v>
      </c>
      <c r="I342" s="44"/>
      <c r="J342" s="44"/>
      <c r="K342" s="41" t="str">
        <f aca="false">AM122</f>
        <v>Sand</v>
      </c>
      <c r="L342" s="41"/>
      <c r="M342" s="41"/>
      <c r="N342" s="43" t="n">
        <f aca="false">AX122</f>
        <v>31407</v>
      </c>
      <c r="O342" s="43"/>
      <c r="P342" s="43"/>
      <c r="Q342" s="42" t="n">
        <f aca="false">AY122</f>
        <v>0.3</v>
      </c>
      <c r="R342" s="42"/>
      <c r="S342" s="42" t="n">
        <f aca="false">AQ122</f>
        <v>592.25</v>
      </c>
      <c r="T342" s="42"/>
      <c r="U342" s="42"/>
      <c r="V342" s="42" t="n">
        <f aca="false">BC122</f>
        <v>84.7185277966616</v>
      </c>
      <c r="W342" s="42"/>
      <c r="X342" s="42"/>
      <c r="Y342" s="32" t="n">
        <f aca="false">BD122</f>
        <v>0.222320600711722</v>
      </c>
      <c r="Z342" s="32"/>
      <c r="AA342" s="32" t="n">
        <f aca="false">BE122</f>
        <v>0.120895459060618</v>
      </c>
      <c r="AB342" s="32"/>
      <c r="AC342" s="42" t="n">
        <f aca="false">BG122</f>
        <v>0</v>
      </c>
      <c r="AD342" s="42"/>
      <c r="AE342" s="42"/>
      <c r="AF342" s="12"/>
    </row>
    <row r="343" customFormat="false" ht="14.25" hidden="false" customHeight="false" outlineLevel="0" collapsed="false">
      <c r="B343" s="7"/>
      <c r="C343" s="60" t="n">
        <v>41</v>
      </c>
      <c r="D343" s="60"/>
      <c r="E343" s="61" t="n">
        <f aca="false">AI123</f>
        <v>59.5</v>
      </c>
      <c r="F343" s="61"/>
      <c r="G343" s="61"/>
      <c r="H343" s="61" t="n">
        <f aca="false">AJ123</f>
        <v>60</v>
      </c>
      <c r="I343" s="61"/>
      <c r="J343" s="61"/>
      <c r="K343" s="48" t="str">
        <f aca="false">AM123</f>
        <v>Sand</v>
      </c>
      <c r="L343" s="48"/>
      <c r="M343" s="48"/>
      <c r="N343" s="66" t="n">
        <f aca="false">AX123</f>
        <v>47652</v>
      </c>
      <c r="O343" s="66"/>
      <c r="P343" s="66"/>
      <c r="Q343" s="49" t="n">
        <f aca="false">AY123</f>
        <v>0.3</v>
      </c>
      <c r="R343" s="49"/>
      <c r="S343" s="49" t="n">
        <f aca="false">AQ123</f>
        <v>599</v>
      </c>
      <c r="T343" s="49"/>
      <c r="U343" s="49"/>
      <c r="V343" s="49" t="n">
        <f aca="false">BC123</f>
        <v>83.9354445039259</v>
      </c>
      <c r="W343" s="49"/>
      <c r="X343" s="49"/>
      <c r="Y343" s="35" t="n">
        <f aca="false">BD123</f>
        <v>0.224467837031054</v>
      </c>
      <c r="Z343" s="35"/>
      <c r="AA343" s="35" t="n">
        <f aca="false">BE123</f>
        <v>0.120833267963286</v>
      </c>
      <c r="AB343" s="35"/>
      <c r="AC343" s="49" t="n">
        <f aca="false">BG123</f>
        <v>0</v>
      </c>
      <c r="AD343" s="49"/>
      <c r="AE343" s="49"/>
      <c r="AF343" s="12"/>
    </row>
    <row r="344" customFormat="false" ht="14.25" hidden="false" customHeight="false" outlineLevel="0" collapsed="false">
      <c r="B344" s="7"/>
      <c r="AF344" s="12"/>
    </row>
    <row r="345" customFormat="false" ht="14.25" hidden="false" customHeight="true" outlineLevel="0" collapsed="false">
      <c r="B345" s="7"/>
      <c r="C345" s="20" t="s">
        <v>293</v>
      </c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1" t="s">
        <v>294</v>
      </c>
      <c r="P345" s="21"/>
      <c r="Q345" s="21"/>
      <c r="R345" s="21"/>
      <c r="S345" s="21"/>
      <c r="T345" s="21"/>
      <c r="U345" s="21"/>
      <c r="V345" s="21"/>
      <c r="W345" s="21"/>
      <c r="X345" s="22" t="s">
        <v>295</v>
      </c>
      <c r="Y345" s="22"/>
      <c r="Z345" s="22"/>
      <c r="AA345" s="24" t="n">
        <f aca="false">SUM(BG83:BG123)</f>
        <v>138.716503245378</v>
      </c>
      <c r="AB345" s="24"/>
      <c r="AC345" s="24"/>
      <c r="AD345" s="20" t="s">
        <v>45</v>
      </c>
      <c r="AE345" s="20"/>
      <c r="AF345" s="12"/>
    </row>
    <row r="346" customFormat="false" ht="14.25" hidden="false" customHeight="false" outlineLevel="0" collapsed="false">
      <c r="B346" s="7"/>
      <c r="C346" s="20" t="s">
        <v>296</v>
      </c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1"/>
      <c r="P346" s="21"/>
      <c r="Q346" s="21"/>
      <c r="R346" s="21"/>
      <c r="S346" s="21"/>
      <c r="T346" s="21"/>
      <c r="U346" s="21"/>
      <c r="V346" s="21"/>
      <c r="W346" s="21"/>
      <c r="X346" s="22"/>
      <c r="Y346" s="22"/>
      <c r="Z346" s="22"/>
      <c r="AA346" s="51" t="n">
        <f aca="false">SUMPRODUCT(--(AM83:AM123="Sand"),BG83:BG123)</f>
        <v>132.382712005893</v>
      </c>
      <c r="AB346" s="51"/>
      <c r="AC346" s="51"/>
      <c r="AD346" s="20" t="s">
        <v>45</v>
      </c>
      <c r="AE346" s="20"/>
      <c r="AF346" s="12"/>
    </row>
    <row r="347" customFormat="false" ht="14.25" hidden="false" customHeight="false" outlineLevel="0" collapsed="false">
      <c r="B347" s="7"/>
      <c r="C347" s="20" t="s">
        <v>297</v>
      </c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1"/>
      <c r="P347" s="21"/>
      <c r="Q347" s="21"/>
      <c r="R347" s="21"/>
      <c r="S347" s="21"/>
      <c r="T347" s="21"/>
      <c r="U347" s="21"/>
      <c r="V347" s="21"/>
      <c r="W347" s="21"/>
      <c r="X347" s="22"/>
      <c r="Y347" s="22"/>
      <c r="Z347" s="22"/>
      <c r="AA347" s="51" t="n">
        <f aca="false">$AA$345-$AA$346</f>
        <v>6.33379123948546</v>
      </c>
      <c r="AB347" s="51"/>
      <c r="AC347" s="51"/>
      <c r="AD347" s="20" t="s">
        <v>45</v>
      </c>
      <c r="AE347" s="20"/>
      <c r="AF347" s="12"/>
    </row>
    <row r="348" customFormat="false" ht="14.25" hidden="false" customHeight="false" outlineLevel="0" collapsed="false">
      <c r="B348" s="7"/>
      <c r="AF348" s="12"/>
    </row>
    <row r="349" customFormat="false" ht="14.25" hidden="false" customHeight="false" outlineLevel="0" collapsed="false">
      <c r="B349" s="7"/>
      <c r="AF349" s="12"/>
    </row>
    <row r="350" customFormat="false" ht="14.25" hidden="false" customHeight="false" outlineLevel="0" collapsed="false">
      <c r="B350" s="7"/>
      <c r="AF350" s="12"/>
    </row>
    <row r="351" customFormat="false" ht="14.25" hidden="false" customHeight="false" outlineLevel="0" collapsed="false">
      <c r="B351" s="7"/>
      <c r="AF351" s="12"/>
    </row>
    <row r="352" customFormat="false" ht="14.25" hidden="false" customHeight="false" outlineLevel="0" collapsed="false">
      <c r="B352" s="7"/>
      <c r="AF352" s="12"/>
    </row>
    <row r="353" customFormat="false" ht="14.25" hidden="false" customHeight="false" outlineLevel="0" collapsed="false">
      <c r="B353" s="7"/>
      <c r="AF353" s="12"/>
    </row>
    <row r="354" customFormat="false" ht="14.25" hidden="false" customHeight="false" outlineLevel="0" collapsed="false">
      <c r="B354" s="7"/>
      <c r="AF354" s="12"/>
    </row>
    <row r="355" customFormat="false" ht="14.25" hidden="false" customHeight="false" outlineLevel="0" collapsed="false">
      <c r="B355" s="7"/>
      <c r="AF355" s="12"/>
    </row>
    <row r="356" customFormat="false" ht="14.25" hidden="false" customHeight="false" outlineLevel="0" collapsed="false">
      <c r="B356" s="7"/>
      <c r="AF356" s="12"/>
    </row>
    <row r="357" customFormat="false" ht="14.25" hidden="false" customHeight="false" outlineLevel="0" collapsed="false">
      <c r="B357" s="7"/>
      <c r="AF357" s="12"/>
    </row>
    <row r="358" customFormat="false" ht="14.25" hidden="false" customHeight="false" outlineLevel="0" collapsed="false">
      <c r="B358" s="7"/>
      <c r="AF358" s="12"/>
    </row>
    <row r="359" customFormat="false" ht="14.25" hidden="false" customHeight="false" outlineLevel="0" collapsed="false">
      <c r="B359" s="7"/>
      <c r="AF359" s="12"/>
    </row>
    <row r="360" customFormat="false" ht="14.25" hidden="false" customHeight="false" outlineLevel="0" collapsed="false">
      <c r="B360" s="7"/>
      <c r="AF360" s="12"/>
    </row>
    <row r="361" customFormat="false" ht="14.25" hidden="false" customHeight="true" outlineLevel="0" collapsed="false">
      <c r="B361" s="36"/>
      <c r="C361" s="37"/>
      <c r="D361" s="37"/>
      <c r="E361" s="37"/>
      <c r="F361" s="37"/>
      <c r="G361" s="37"/>
      <c r="H361" s="37"/>
      <c r="I361" s="37"/>
      <c r="J361" s="37"/>
      <c r="K361" s="37"/>
      <c r="L361" s="37"/>
      <c r="M361" s="37"/>
      <c r="N361" s="37"/>
      <c r="O361" s="37"/>
      <c r="P361" s="37"/>
      <c r="Q361" s="37"/>
      <c r="R361" s="37"/>
      <c r="S361" s="37"/>
      <c r="T361" s="37"/>
      <c r="U361" s="37"/>
      <c r="V361" s="37"/>
      <c r="W361" s="37"/>
      <c r="X361" s="38" t="s">
        <v>93</v>
      </c>
      <c r="Y361" s="38"/>
      <c r="Z361" s="38"/>
      <c r="AA361" s="38"/>
      <c r="AB361" s="38" t="n">
        <v>5</v>
      </c>
      <c r="AC361" s="38"/>
      <c r="AD361" s="38"/>
      <c r="AE361" s="38"/>
      <c r="AF361" s="39"/>
    </row>
    <row r="362" customFormat="false" ht="14.25" hidden="false" customHeight="true" outlineLevel="0" collapsed="false">
      <c r="B362" s="1"/>
      <c r="C362" s="2" t="s">
        <v>0</v>
      </c>
      <c r="D362" s="2"/>
      <c r="E362" s="2"/>
      <c r="F362" s="2"/>
      <c r="G362" s="2"/>
      <c r="H362" s="3" t="s">
        <v>1</v>
      </c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4" t="s">
        <v>2</v>
      </c>
      <c r="Y362" s="4"/>
      <c r="Z362" s="4"/>
      <c r="AA362" s="4"/>
      <c r="AB362" s="5" t="s">
        <v>3</v>
      </c>
      <c r="AC362" s="5"/>
      <c r="AD362" s="5"/>
      <c r="AE362" s="5"/>
      <c r="AF362" s="6"/>
    </row>
    <row r="363" customFormat="false" ht="14.25" hidden="false" customHeight="true" outlineLevel="0" collapsed="false">
      <c r="B363" s="7"/>
      <c r="C363" s="8" t="s">
        <v>4</v>
      </c>
      <c r="D363" s="8"/>
      <c r="E363" s="8"/>
      <c r="F363" s="8"/>
      <c r="G363" s="8"/>
      <c r="H363" s="9" t="s">
        <v>5</v>
      </c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10" t="s">
        <v>6</v>
      </c>
      <c r="Y363" s="10"/>
      <c r="Z363" s="10"/>
      <c r="AA363" s="10"/>
      <c r="AB363" s="11" t="n">
        <v>46301</v>
      </c>
      <c r="AC363" s="11"/>
      <c r="AD363" s="11"/>
      <c r="AE363" s="11"/>
      <c r="AF363" s="12"/>
    </row>
    <row r="364" customFormat="false" ht="14.25" hidden="false" customHeight="true" outlineLevel="0" collapsed="false">
      <c r="B364" s="7"/>
      <c r="C364" s="8" t="s">
        <v>7</v>
      </c>
      <c r="D364" s="8"/>
      <c r="E364" s="8"/>
      <c r="F364" s="8"/>
      <c r="G364" s="8"/>
      <c r="H364" s="9" t="s">
        <v>333</v>
      </c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10" t="s">
        <v>9</v>
      </c>
      <c r="Y364" s="10"/>
      <c r="Z364" s="10"/>
      <c r="AA364" s="10"/>
      <c r="AB364" s="11" t="s">
        <v>3</v>
      </c>
      <c r="AC364" s="11"/>
      <c r="AD364" s="11"/>
      <c r="AE364" s="11"/>
      <c r="AF364" s="12"/>
    </row>
    <row r="365" customFormat="false" ht="14.25" hidden="false" customHeight="true" outlineLevel="0" collapsed="false">
      <c r="B365" s="13"/>
      <c r="C365" s="14" t="s">
        <v>10</v>
      </c>
      <c r="D365" s="14"/>
      <c r="E365" s="14"/>
      <c r="F365" s="14"/>
      <c r="G365" s="14"/>
      <c r="H365" s="15" t="s">
        <v>134</v>
      </c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6" t="s">
        <v>12</v>
      </c>
      <c r="Y365" s="16"/>
      <c r="Z365" s="16"/>
      <c r="AA365" s="16"/>
      <c r="AB365" s="17" t="n">
        <v>46301</v>
      </c>
      <c r="AC365" s="17"/>
      <c r="AD365" s="17"/>
      <c r="AE365" s="17"/>
      <c r="AF365" s="18"/>
    </row>
    <row r="366" customFormat="false" ht="14.25" hidden="false" customHeight="false" outlineLevel="0" collapsed="false">
      <c r="B366" s="7"/>
      <c r="AF366" s="12"/>
    </row>
    <row r="367" customFormat="false" ht="14.25" hidden="false" customHeight="false" outlineLevel="0" collapsed="false">
      <c r="B367" s="7"/>
      <c r="AF367" s="12"/>
    </row>
    <row r="368" customFormat="false" ht="14.25" hidden="false" customHeight="false" outlineLevel="0" collapsed="false">
      <c r="B368" s="7"/>
      <c r="AF368" s="12"/>
    </row>
    <row r="369" customFormat="false" ht="14.25" hidden="false" customHeight="false" outlineLevel="0" collapsed="false">
      <c r="B369" s="7"/>
      <c r="AF369" s="12"/>
    </row>
    <row r="370" customFormat="false" ht="14.25" hidden="false" customHeight="false" outlineLevel="0" collapsed="false">
      <c r="B370" s="7"/>
      <c r="AF370" s="12"/>
    </row>
    <row r="371" customFormat="false" ht="14.25" hidden="false" customHeight="false" outlineLevel="0" collapsed="false">
      <c r="B371" s="7"/>
      <c r="AF371" s="12"/>
    </row>
    <row r="372" customFormat="false" ht="14.25" hidden="false" customHeight="false" outlineLevel="0" collapsed="false">
      <c r="B372" s="7"/>
      <c r="AF372" s="12"/>
    </row>
    <row r="373" customFormat="false" ht="14.25" hidden="false" customHeight="false" outlineLevel="0" collapsed="false">
      <c r="B373" s="7"/>
      <c r="AF373" s="12"/>
    </row>
    <row r="374" customFormat="false" ht="14.25" hidden="false" customHeight="false" outlineLevel="0" collapsed="false">
      <c r="B374" s="7"/>
      <c r="AF374" s="12"/>
    </row>
    <row r="375" customFormat="false" ht="14.25" hidden="false" customHeight="false" outlineLevel="0" collapsed="false">
      <c r="B375" s="7"/>
      <c r="AF375" s="12"/>
    </row>
    <row r="376" customFormat="false" ht="14.25" hidden="false" customHeight="false" outlineLevel="0" collapsed="false">
      <c r="B376" s="7"/>
      <c r="AF376" s="12"/>
    </row>
    <row r="377" customFormat="false" ht="14.25" hidden="false" customHeight="false" outlineLevel="0" collapsed="false">
      <c r="B377" s="7"/>
      <c r="AF377" s="12"/>
    </row>
    <row r="378" customFormat="false" ht="14.25" hidden="false" customHeight="false" outlineLevel="0" collapsed="false">
      <c r="B378" s="7"/>
      <c r="AF378" s="12"/>
    </row>
    <row r="379" customFormat="false" ht="14.25" hidden="false" customHeight="false" outlineLevel="0" collapsed="false">
      <c r="B379" s="7"/>
      <c r="AF379" s="12"/>
    </row>
    <row r="380" customFormat="false" ht="14.25" hidden="false" customHeight="false" outlineLevel="0" collapsed="false">
      <c r="B380" s="7"/>
      <c r="AF380" s="12"/>
    </row>
    <row r="381" customFormat="false" ht="14.25" hidden="false" customHeight="false" outlineLevel="0" collapsed="false">
      <c r="B381" s="7"/>
      <c r="AF381" s="12"/>
    </row>
    <row r="382" customFormat="false" ht="14.25" hidden="false" customHeight="false" outlineLevel="0" collapsed="false">
      <c r="B382" s="7"/>
      <c r="AF382" s="12"/>
    </row>
    <row r="383" customFormat="false" ht="14.25" hidden="false" customHeight="false" outlineLevel="0" collapsed="false">
      <c r="B383" s="7"/>
      <c r="AF383" s="12"/>
    </row>
    <row r="384" customFormat="false" ht="14.25" hidden="false" customHeight="false" outlineLevel="0" collapsed="false">
      <c r="B384" s="7"/>
      <c r="AF384" s="12"/>
    </row>
    <row r="385" customFormat="false" ht="14.25" hidden="false" customHeight="false" outlineLevel="0" collapsed="false">
      <c r="B385" s="7"/>
      <c r="AF385" s="12"/>
    </row>
    <row r="386" customFormat="false" ht="14.25" hidden="false" customHeight="false" outlineLevel="0" collapsed="false">
      <c r="B386" s="7"/>
      <c r="C386" s="52" t="s">
        <v>298</v>
      </c>
      <c r="D386" s="52"/>
      <c r="E386" s="52"/>
      <c r="F386" s="52"/>
      <c r="G386" s="52"/>
      <c r="H386" s="52"/>
      <c r="I386" s="52"/>
      <c r="J386" s="52"/>
      <c r="K386" s="52"/>
      <c r="L386" s="52"/>
      <c r="M386" s="52"/>
      <c r="N386" s="52"/>
      <c r="O386" s="52"/>
      <c r="P386" s="52"/>
      <c r="Q386" s="52"/>
      <c r="R386" s="52"/>
      <c r="S386" s="52"/>
      <c r="T386" s="52"/>
      <c r="U386" s="52"/>
      <c r="V386" s="52"/>
      <c r="W386" s="52"/>
      <c r="X386" s="52"/>
      <c r="Y386" s="52"/>
      <c r="Z386" s="52"/>
      <c r="AA386" s="52"/>
      <c r="AB386" s="52"/>
      <c r="AC386" s="52"/>
      <c r="AD386" s="52"/>
      <c r="AE386" s="52"/>
      <c r="AF386" s="12"/>
    </row>
    <row r="387" customFormat="false" ht="14.25" hidden="false" customHeight="false" outlineLevel="0" collapsed="false">
      <c r="B387" s="7"/>
      <c r="AF387" s="12"/>
    </row>
    <row r="388" customFormat="false" ht="14.25" hidden="false" customHeight="false" outlineLevel="0" collapsed="false">
      <c r="B388" s="7"/>
      <c r="C388" s="9" t="s">
        <v>299</v>
      </c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12"/>
    </row>
    <row r="389" customFormat="false" ht="14.25" hidden="false" customHeight="false" outlineLevel="0" collapsed="false">
      <c r="B389" s="7"/>
      <c r="C389" s="20" t="s">
        <v>300</v>
      </c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  <c r="AE389" s="20"/>
      <c r="AF389" s="12"/>
    </row>
    <row r="390" customFormat="false" ht="14.25" hidden="false" customHeight="false" outlineLevel="0" collapsed="false">
      <c r="B390" s="7"/>
      <c r="C390" s="20" t="s">
        <v>301</v>
      </c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  <c r="AD390" s="20"/>
      <c r="AE390" s="20"/>
      <c r="AF390" s="12"/>
    </row>
    <row r="391" customFormat="false" ht="14.25" hidden="false" customHeight="false" outlineLevel="0" collapsed="false">
      <c r="B391" s="7"/>
      <c r="AF391" s="12"/>
    </row>
    <row r="392" customFormat="false" ht="14.25" hidden="false" customHeight="false" outlineLevel="0" collapsed="false">
      <c r="B392" s="7"/>
      <c r="AF392" s="12"/>
    </row>
    <row r="393" customFormat="false" ht="14.25" hidden="false" customHeight="false" outlineLevel="0" collapsed="false">
      <c r="B393" s="7"/>
      <c r="AF393" s="12"/>
    </row>
    <row r="394" customFormat="false" ht="14.25" hidden="false" customHeight="false" outlineLevel="0" collapsed="false">
      <c r="B394" s="7"/>
      <c r="AF394" s="12"/>
    </row>
    <row r="395" customFormat="false" ht="14.25" hidden="false" customHeight="false" outlineLevel="0" collapsed="false">
      <c r="B395" s="7"/>
      <c r="AF395" s="12"/>
    </row>
    <row r="396" customFormat="false" ht="14.25" hidden="false" customHeight="false" outlineLevel="0" collapsed="false">
      <c r="B396" s="7"/>
      <c r="AF396" s="12"/>
    </row>
    <row r="397" customFormat="false" ht="14.25" hidden="false" customHeight="false" outlineLevel="0" collapsed="false">
      <c r="B397" s="7"/>
      <c r="AF397" s="12"/>
    </row>
    <row r="398" customFormat="false" ht="14.25" hidden="false" customHeight="false" outlineLevel="0" collapsed="false">
      <c r="B398" s="7"/>
      <c r="AF398" s="12"/>
    </row>
    <row r="399" customFormat="false" ht="14.25" hidden="false" customHeight="false" outlineLevel="0" collapsed="false">
      <c r="B399" s="7"/>
      <c r="AF399" s="12"/>
    </row>
    <row r="400" customFormat="false" ht="14.25" hidden="false" customHeight="false" outlineLevel="0" collapsed="false">
      <c r="B400" s="7"/>
      <c r="AF400" s="12"/>
    </row>
    <row r="401" customFormat="false" ht="14.25" hidden="false" customHeight="false" outlineLevel="0" collapsed="false">
      <c r="B401" s="7"/>
      <c r="AF401" s="12"/>
    </row>
    <row r="402" customFormat="false" ht="14.25" hidden="false" customHeight="false" outlineLevel="0" collapsed="false">
      <c r="B402" s="7"/>
      <c r="AF402" s="12"/>
    </row>
    <row r="403" customFormat="false" ht="14.25" hidden="false" customHeight="false" outlineLevel="0" collapsed="false">
      <c r="B403" s="7"/>
      <c r="AF403" s="12"/>
    </row>
    <row r="404" customFormat="false" ht="14.25" hidden="false" customHeight="false" outlineLevel="0" collapsed="false">
      <c r="B404" s="7"/>
      <c r="AF404" s="12"/>
    </row>
    <row r="405" customFormat="false" ht="14.25" hidden="false" customHeight="false" outlineLevel="0" collapsed="false">
      <c r="B405" s="7"/>
      <c r="AF405" s="12"/>
    </row>
    <row r="406" customFormat="false" ht="14.25" hidden="false" customHeight="false" outlineLevel="0" collapsed="false">
      <c r="B406" s="7"/>
      <c r="AF406" s="12"/>
    </row>
    <row r="407" customFormat="false" ht="14.25" hidden="false" customHeight="false" outlineLevel="0" collapsed="false">
      <c r="B407" s="7"/>
      <c r="C407" s="52" t="s">
        <v>302</v>
      </c>
      <c r="D407" s="52"/>
      <c r="E407" s="52"/>
      <c r="F407" s="52"/>
      <c r="G407" s="52"/>
      <c r="H407" s="52"/>
      <c r="I407" s="52"/>
      <c r="J407" s="52"/>
      <c r="K407" s="52"/>
      <c r="L407" s="52"/>
      <c r="M407" s="52"/>
      <c r="N407" s="52"/>
      <c r="O407" s="52"/>
      <c r="P407" s="52"/>
      <c r="Q407" s="52"/>
      <c r="R407" s="52"/>
      <c r="S407" s="52"/>
      <c r="T407" s="52"/>
      <c r="U407" s="52"/>
      <c r="V407" s="52"/>
      <c r="W407" s="52"/>
      <c r="X407" s="52"/>
      <c r="Y407" s="52"/>
      <c r="Z407" s="52"/>
      <c r="AA407" s="52"/>
      <c r="AB407" s="52"/>
      <c r="AC407" s="52"/>
      <c r="AD407" s="52"/>
      <c r="AE407" s="52"/>
      <c r="AF407" s="12"/>
    </row>
    <row r="408" customFormat="false" ht="14.25" hidden="false" customHeight="false" outlineLevel="0" collapsed="false">
      <c r="B408" s="7"/>
      <c r="AF408" s="12"/>
    </row>
    <row r="409" customFormat="false" ht="14.25" hidden="false" customHeight="false" outlineLevel="0" collapsed="false">
      <c r="B409" s="7"/>
      <c r="AF409" s="12"/>
    </row>
    <row r="410" customFormat="false" ht="14.25" hidden="false" customHeight="false" outlineLevel="0" collapsed="false">
      <c r="B410" s="7"/>
      <c r="AF410" s="12"/>
    </row>
    <row r="411" customFormat="false" ht="14.25" hidden="false" customHeight="false" outlineLevel="0" collapsed="false">
      <c r="B411" s="7"/>
      <c r="AF411" s="12"/>
    </row>
    <row r="412" customFormat="false" ht="14.25" hidden="false" customHeight="false" outlineLevel="0" collapsed="false">
      <c r="B412" s="7"/>
      <c r="AF412" s="12"/>
    </row>
    <row r="413" customFormat="false" ht="14.25" hidden="false" customHeight="false" outlineLevel="0" collapsed="false">
      <c r="B413" s="7"/>
      <c r="AF413" s="12"/>
    </row>
    <row r="414" customFormat="false" ht="14.25" hidden="false" customHeight="false" outlineLevel="0" collapsed="false">
      <c r="B414" s="7"/>
      <c r="AF414" s="12"/>
    </row>
    <row r="415" customFormat="false" ht="14.25" hidden="false" customHeight="false" outlineLevel="0" collapsed="false">
      <c r="B415" s="7"/>
      <c r="AF415" s="12"/>
    </row>
    <row r="416" customFormat="false" ht="14.25" hidden="false" customHeight="false" outlineLevel="0" collapsed="false">
      <c r="B416" s="7"/>
      <c r="AF416" s="12"/>
    </row>
    <row r="417" customFormat="false" ht="14.25" hidden="false" customHeight="false" outlineLevel="0" collapsed="false">
      <c r="B417" s="7"/>
      <c r="AF417" s="12"/>
    </row>
    <row r="418" customFormat="false" ht="14.25" hidden="false" customHeight="false" outlineLevel="0" collapsed="false">
      <c r="B418" s="7"/>
      <c r="AF418" s="12"/>
    </row>
    <row r="419" customFormat="false" ht="14.25" hidden="false" customHeight="false" outlineLevel="0" collapsed="false">
      <c r="B419" s="7"/>
      <c r="AF419" s="12"/>
    </row>
    <row r="420" customFormat="false" ht="14.25" hidden="false" customHeight="false" outlineLevel="0" collapsed="false">
      <c r="B420" s="7"/>
      <c r="AF420" s="12"/>
    </row>
    <row r="421" customFormat="false" ht="14.25" hidden="false" customHeight="false" outlineLevel="0" collapsed="false">
      <c r="B421" s="7"/>
      <c r="AF421" s="12"/>
    </row>
    <row r="422" customFormat="false" ht="14.25" hidden="false" customHeight="false" outlineLevel="0" collapsed="false">
      <c r="B422" s="7"/>
      <c r="AF422" s="12"/>
    </row>
    <row r="423" customFormat="false" ht="14.25" hidden="false" customHeight="false" outlineLevel="0" collapsed="false">
      <c r="B423" s="7"/>
      <c r="AF423" s="12"/>
    </row>
    <row r="424" customFormat="false" ht="14.25" hidden="false" customHeight="false" outlineLevel="0" collapsed="false">
      <c r="B424" s="7"/>
      <c r="AF424" s="12"/>
    </row>
    <row r="425" customFormat="false" ht="14.25" hidden="false" customHeight="false" outlineLevel="0" collapsed="false">
      <c r="B425" s="7"/>
      <c r="AF425" s="12"/>
    </row>
    <row r="426" customFormat="false" ht="14.25" hidden="false" customHeight="false" outlineLevel="0" collapsed="false">
      <c r="B426" s="7"/>
      <c r="AF426" s="12"/>
    </row>
    <row r="427" customFormat="false" ht="14.25" hidden="false" customHeight="false" outlineLevel="0" collapsed="false">
      <c r="B427" s="7"/>
      <c r="AF427" s="12"/>
    </row>
    <row r="428" customFormat="false" ht="14.25" hidden="false" customHeight="false" outlineLevel="0" collapsed="false">
      <c r="B428" s="7"/>
      <c r="AF428" s="12"/>
    </row>
    <row r="429" customFormat="false" ht="14.25" hidden="false" customHeight="false" outlineLevel="0" collapsed="false">
      <c r="B429" s="7"/>
      <c r="AF429" s="12"/>
    </row>
    <row r="430" customFormat="false" ht="14.25" hidden="false" customHeight="false" outlineLevel="0" collapsed="false">
      <c r="B430" s="7"/>
      <c r="AF430" s="12"/>
    </row>
    <row r="431" customFormat="false" ht="14.25" hidden="false" customHeight="false" outlineLevel="0" collapsed="false">
      <c r="B431" s="7"/>
      <c r="AF431" s="12"/>
    </row>
    <row r="432" customFormat="false" ht="14.25" hidden="false" customHeight="false" outlineLevel="0" collapsed="false">
      <c r="B432" s="7"/>
      <c r="AF432" s="12"/>
    </row>
    <row r="433" customFormat="false" ht="14.25" hidden="false" customHeight="true" outlineLevel="0" collapsed="false">
      <c r="B433" s="36"/>
      <c r="C433" s="37"/>
      <c r="D433" s="37"/>
      <c r="E433" s="37"/>
      <c r="F433" s="37"/>
      <c r="G433" s="37"/>
      <c r="H433" s="37"/>
      <c r="I433" s="37"/>
      <c r="J433" s="37"/>
      <c r="K433" s="37"/>
      <c r="L433" s="37"/>
      <c r="M433" s="37"/>
      <c r="N433" s="37"/>
      <c r="O433" s="37"/>
      <c r="P433" s="37"/>
      <c r="Q433" s="37"/>
      <c r="R433" s="37"/>
      <c r="S433" s="37"/>
      <c r="T433" s="37"/>
      <c r="U433" s="37"/>
      <c r="V433" s="37"/>
      <c r="W433" s="37"/>
      <c r="X433" s="38" t="s">
        <v>93</v>
      </c>
      <c r="Y433" s="38"/>
      <c r="Z433" s="38"/>
      <c r="AA433" s="38"/>
      <c r="AB433" s="38" t="n">
        <v>6</v>
      </c>
      <c r="AC433" s="38"/>
      <c r="AD433" s="38"/>
      <c r="AE433" s="38"/>
      <c r="AF433" s="39"/>
    </row>
    <row r="434" customFormat="false" ht="14.25" hidden="false" customHeight="true" outlineLevel="0" collapsed="false">
      <c r="B434" s="1"/>
      <c r="C434" s="2" t="s">
        <v>0</v>
      </c>
      <c r="D434" s="2"/>
      <c r="E434" s="2"/>
      <c r="F434" s="2"/>
      <c r="G434" s="2"/>
      <c r="H434" s="3" t="s">
        <v>1</v>
      </c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4" t="s">
        <v>2</v>
      </c>
      <c r="Y434" s="4"/>
      <c r="Z434" s="4"/>
      <c r="AA434" s="4"/>
      <c r="AB434" s="5" t="s">
        <v>3</v>
      </c>
      <c r="AC434" s="5"/>
      <c r="AD434" s="5"/>
      <c r="AE434" s="5"/>
      <c r="AF434" s="6"/>
    </row>
    <row r="435" customFormat="false" ht="14.25" hidden="false" customHeight="true" outlineLevel="0" collapsed="false">
      <c r="B435" s="7"/>
      <c r="C435" s="8" t="s">
        <v>4</v>
      </c>
      <c r="D435" s="8"/>
      <c r="E435" s="8"/>
      <c r="F435" s="8"/>
      <c r="G435" s="8"/>
      <c r="H435" s="9" t="s">
        <v>5</v>
      </c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10" t="s">
        <v>6</v>
      </c>
      <c r="Y435" s="10"/>
      <c r="Z435" s="10"/>
      <c r="AA435" s="10"/>
      <c r="AB435" s="11" t="n">
        <v>46301</v>
      </c>
      <c r="AC435" s="11"/>
      <c r="AD435" s="11"/>
      <c r="AE435" s="11"/>
      <c r="AF435" s="12"/>
    </row>
    <row r="436" customFormat="false" ht="14.25" hidden="false" customHeight="true" outlineLevel="0" collapsed="false">
      <c r="B436" s="7"/>
      <c r="C436" s="8" t="s">
        <v>7</v>
      </c>
      <c r="D436" s="8"/>
      <c r="E436" s="8"/>
      <c r="F436" s="8"/>
      <c r="G436" s="8"/>
      <c r="H436" s="9" t="s">
        <v>333</v>
      </c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10" t="s">
        <v>9</v>
      </c>
      <c r="Y436" s="10"/>
      <c r="Z436" s="10"/>
      <c r="AA436" s="10"/>
      <c r="AB436" s="11" t="s">
        <v>3</v>
      </c>
      <c r="AC436" s="11"/>
      <c r="AD436" s="11"/>
      <c r="AE436" s="11"/>
      <c r="AF436" s="12"/>
    </row>
    <row r="437" customFormat="false" ht="14.25" hidden="false" customHeight="true" outlineLevel="0" collapsed="false">
      <c r="B437" s="13"/>
      <c r="C437" s="14" t="s">
        <v>10</v>
      </c>
      <c r="D437" s="14"/>
      <c r="E437" s="14"/>
      <c r="F437" s="14"/>
      <c r="G437" s="14"/>
      <c r="H437" s="15" t="s">
        <v>134</v>
      </c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6" t="s">
        <v>12</v>
      </c>
      <c r="Y437" s="16"/>
      <c r="Z437" s="16"/>
      <c r="AA437" s="16"/>
      <c r="AB437" s="17" t="n">
        <v>46301</v>
      </c>
      <c r="AC437" s="17"/>
      <c r="AD437" s="17"/>
      <c r="AE437" s="17"/>
      <c r="AF437" s="18"/>
    </row>
    <row r="438" customFormat="false" ht="14.25" hidden="false" customHeight="false" outlineLevel="0" collapsed="false">
      <c r="B438" s="7"/>
      <c r="AF438" s="12"/>
    </row>
    <row r="439" customFormat="false" ht="14.25" hidden="false" customHeight="false" outlineLevel="0" collapsed="false">
      <c r="B439" s="7"/>
      <c r="C439" s="20" t="s">
        <v>338</v>
      </c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  <c r="AC439" s="20"/>
      <c r="AD439" s="20"/>
      <c r="AE439" s="20"/>
      <c r="AF439" s="12"/>
    </row>
    <row r="440" customFormat="false" ht="27" hidden="false" customHeight="true" outlineLevel="0" collapsed="false">
      <c r="B440" s="7"/>
      <c r="C440" s="28" t="s">
        <v>157</v>
      </c>
      <c r="D440" s="28"/>
      <c r="E440" s="28" t="s">
        <v>158</v>
      </c>
      <c r="F440" s="28"/>
      <c r="G440" s="28"/>
      <c r="H440" s="28" t="s">
        <v>160</v>
      </c>
      <c r="I440" s="28"/>
      <c r="J440" s="28"/>
      <c r="K440" s="28" t="s">
        <v>291</v>
      </c>
      <c r="L440" s="28"/>
      <c r="M440" s="28"/>
      <c r="N440" s="28" t="s">
        <v>292</v>
      </c>
      <c r="O440" s="28"/>
      <c r="P440" s="28"/>
      <c r="Q440" s="28" t="s">
        <v>304</v>
      </c>
      <c r="R440" s="28"/>
      <c r="S440" s="28"/>
      <c r="T440" s="28" t="s">
        <v>164</v>
      </c>
      <c r="U440" s="28"/>
      <c r="V440" s="28" t="s">
        <v>187</v>
      </c>
      <c r="W440" s="28"/>
      <c r="X440" s="28" t="s">
        <v>188</v>
      </c>
      <c r="Y440" s="28"/>
      <c r="Z440" s="28" t="s">
        <v>190</v>
      </c>
      <c r="AA440" s="28"/>
      <c r="AB440" s="28"/>
      <c r="AC440" s="28" t="s">
        <v>191</v>
      </c>
      <c r="AD440" s="28"/>
      <c r="AE440" s="28"/>
      <c r="AF440" s="12"/>
    </row>
    <row r="441" customFormat="false" ht="14.25" hidden="false" customHeight="true" outlineLevel="0" collapsed="false">
      <c r="B441" s="7"/>
      <c r="C441" s="29"/>
      <c r="D441" s="29"/>
      <c r="E441" s="29" t="s">
        <v>19</v>
      </c>
      <c r="F441" s="29"/>
      <c r="G441" s="29"/>
      <c r="H441" s="29"/>
      <c r="I441" s="29"/>
      <c r="J441" s="29"/>
      <c r="K441" s="29" t="s">
        <v>26</v>
      </c>
      <c r="L441" s="29"/>
      <c r="M441" s="29"/>
      <c r="N441" s="29" t="s">
        <v>26</v>
      </c>
      <c r="O441" s="29"/>
      <c r="P441" s="29"/>
      <c r="Q441" s="29" t="s">
        <v>26</v>
      </c>
      <c r="R441" s="29"/>
      <c r="S441" s="29"/>
      <c r="T441" s="29" t="s">
        <v>38</v>
      </c>
      <c r="U441" s="29"/>
      <c r="V441" s="29" t="s">
        <v>38</v>
      </c>
      <c r="W441" s="29"/>
      <c r="X441" s="29" t="s">
        <v>38</v>
      </c>
      <c r="Y441" s="29"/>
      <c r="Z441" s="29" t="s">
        <v>45</v>
      </c>
      <c r="AA441" s="29"/>
      <c r="AB441" s="29"/>
      <c r="AC441" s="29" t="s">
        <v>124</v>
      </c>
      <c r="AD441" s="29"/>
      <c r="AE441" s="29"/>
      <c r="AF441" s="12"/>
    </row>
    <row r="442" customFormat="false" ht="14.25" hidden="false" customHeight="false" outlineLevel="0" collapsed="false">
      <c r="B442" s="7"/>
      <c r="C442" s="46" t="n">
        <v>1</v>
      </c>
      <c r="D442" s="46"/>
      <c r="E442" s="44" t="n">
        <f aca="false">AI83</f>
        <v>0</v>
      </c>
      <c r="F442" s="44"/>
      <c r="G442" s="44"/>
      <c r="H442" s="41" t="str">
        <f aca="false">AM83</f>
        <v>Sand</v>
      </c>
      <c r="I442" s="41"/>
      <c r="J442" s="41"/>
      <c r="K442" s="42" t="n">
        <f aca="false">AQ83</f>
        <v>12.375</v>
      </c>
      <c r="L442" s="42"/>
      <c r="M442" s="42"/>
      <c r="N442" s="42" t="n">
        <f aca="false">BC83</f>
        <v>135.999510418892</v>
      </c>
      <c r="O442" s="42"/>
      <c r="P442" s="42"/>
      <c r="Q442" s="55" t="n">
        <f aca="false">BJ83</f>
        <v>0</v>
      </c>
      <c r="R442" s="55"/>
      <c r="S442" s="55"/>
      <c r="T442" s="44" t="n">
        <f aca="false">AU83</f>
        <v>0.65</v>
      </c>
      <c r="U442" s="44"/>
      <c r="V442" s="67" t="n">
        <f aca="false">BH83</f>
        <v>0</v>
      </c>
      <c r="W442" s="67"/>
      <c r="X442" s="67" t="n">
        <f aca="false">BI83</f>
        <v>0</v>
      </c>
      <c r="Y442" s="67"/>
      <c r="Z442" s="68" t="n">
        <f aca="false">BK83</f>
        <v>0</v>
      </c>
      <c r="AA442" s="68"/>
      <c r="AB442" s="68"/>
      <c r="AC442" s="69" t="n">
        <f aca="false">BM83</f>
        <v>0</v>
      </c>
      <c r="AD442" s="69"/>
      <c r="AE442" s="69"/>
      <c r="AF442" s="12"/>
    </row>
    <row r="443" customFormat="false" ht="14.25" hidden="false" customHeight="false" outlineLevel="0" collapsed="false">
      <c r="B443" s="7"/>
      <c r="C443" s="46" t="n">
        <v>2</v>
      </c>
      <c r="D443" s="46"/>
      <c r="E443" s="44" t="n">
        <f aca="false">AI84</f>
        <v>1.5</v>
      </c>
      <c r="F443" s="44"/>
      <c r="G443" s="44"/>
      <c r="H443" s="41" t="str">
        <f aca="false">AM84</f>
        <v>Sand</v>
      </c>
      <c r="I443" s="41"/>
      <c r="J443" s="41"/>
      <c r="K443" s="42" t="n">
        <f aca="false">AQ84</f>
        <v>37.125</v>
      </c>
      <c r="L443" s="42"/>
      <c r="M443" s="42"/>
      <c r="N443" s="42" t="n">
        <f aca="false">BC84</f>
        <v>135.986832457853</v>
      </c>
      <c r="O443" s="42"/>
      <c r="P443" s="42"/>
      <c r="Q443" s="55" t="n">
        <f aca="false">BJ84</f>
        <v>0</v>
      </c>
      <c r="R443" s="55"/>
      <c r="S443" s="55"/>
      <c r="T443" s="44" t="n">
        <f aca="false">AU84</f>
        <v>0.643</v>
      </c>
      <c r="U443" s="44"/>
      <c r="V443" s="67" t="n">
        <f aca="false">BH84</f>
        <v>0</v>
      </c>
      <c r="W443" s="67"/>
      <c r="X443" s="67" t="n">
        <f aca="false">BI84</f>
        <v>0</v>
      </c>
      <c r="Y443" s="67"/>
      <c r="Z443" s="68" t="n">
        <f aca="false">BK84</f>
        <v>0</v>
      </c>
      <c r="AA443" s="68"/>
      <c r="AB443" s="68"/>
      <c r="AC443" s="69" t="n">
        <f aca="false">BM84</f>
        <v>0</v>
      </c>
      <c r="AD443" s="69"/>
      <c r="AE443" s="69"/>
      <c r="AF443" s="12"/>
    </row>
    <row r="444" customFormat="false" ht="14.25" hidden="false" customHeight="false" outlineLevel="0" collapsed="false">
      <c r="B444" s="7"/>
      <c r="C444" s="46" t="n">
        <v>3</v>
      </c>
      <c r="D444" s="46"/>
      <c r="E444" s="44" t="n">
        <f aca="false">AI85</f>
        <v>3</v>
      </c>
      <c r="F444" s="44"/>
      <c r="G444" s="44"/>
      <c r="H444" s="41" t="str">
        <f aca="false">AM85</f>
        <v>Sand</v>
      </c>
      <c r="I444" s="41"/>
      <c r="J444" s="41"/>
      <c r="K444" s="42" t="n">
        <f aca="false">AQ85</f>
        <v>61.875</v>
      </c>
      <c r="L444" s="42"/>
      <c r="M444" s="42"/>
      <c r="N444" s="42" t="n">
        <f aca="false">BC85</f>
        <v>135.93950780949</v>
      </c>
      <c r="O444" s="42"/>
      <c r="P444" s="42"/>
      <c r="Q444" s="55" t="n">
        <f aca="false">BJ85</f>
        <v>0</v>
      </c>
      <c r="R444" s="55"/>
      <c r="S444" s="55"/>
      <c r="T444" s="44" t="n">
        <f aca="false">AU85</f>
        <v>0.881</v>
      </c>
      <c r="U444" s="44"/>
      <c r="V444" s="67" t="n">
        <f aca="false">BH85</f>
        <v>0</v>
      </c>
      <c r="W444" s="67"/>
      <c r="X444" s="67" t="n">
        <f aca="false">BI85</f>
        <v>0</v>
      </c>
      <c r="Y444" s="67"/>
      <c r="Z444" s="68" t="n">
        <f aca="false">BK85</f>
        <v>0</v>
      </c>
      <c r="AA444" s="68"/>
      <c r="AB444" s="68"/>
      <c r="AC444" s="69" t="n">
        <f aca="false">BM85</f>
        <v>0</v>
      </c>
      <c r="AD444" s="69"/>
      <c r="AE444" s="69"/>
      <c r="AF444" s="12"/>
    </row>
    <row r="445" customFormat="false" ht="14.25" hidden="false" customHeight="false" outlineLevel="0" collapsed="false">
      <c r="B445" s="7"/>
      <c r="C445" s="46" t="n">
        <v>4</v>
      </c>
      <c r="D445" s="46"/>
      <c r="E445" s="44" t="n">
        <f aca="false">AI86</f>
        <v>4.5</v>
      </c>
      <c r="F445" s="44"/>
      <c r="G445" s="44"/>
      <c r="H445" s="41" t="str">
        <f aca="false">AM86</f>
        <v>Sand</v>
      </c>
      <c r="I445" s="41"/>
      <c r="J445" s="41"/>
      <c r="K445" s="42" t="n">
        <f aca="false">AQ86</f>
        <v>86.625</v>
      </c>
      <c r="L445" s="42"/>
      <c r="M445" s="42"/>
      <c r="N445" s="42" t="n">
        <f aca="false">BC86</f>
        <v>135.835905210694</v>
      </c>
      <c r="O445" s="42"/>
      <c r="P445" s="42"/>
      <c r="Q445" s="55" t="n">
        <f aca="false">BJ86</f>
        <v>0</v>
      </c>
      <c r="R445" s="55"/>
      <c r="S445" s="55"/>
      <c r="T445" s="44" t="n">
        <f aca="false">AU86</f>
        <v>0.928</v>
      </c>
      <c r="U445" s="44"/>
      <c r="V445" s="67" t="n">
        <f aca="false">BH86</f>
        <v>0</v>
      </c>
      <c r="W445" s="67"/>
      <c r="X445" s="67" t="n">
        <f aca="false">BI86</f>
        <v>0</v>
      </c>
      <c r="Y445" s="67"/>
      <c r="Z445" s="68" t="n">
        <f aca="false">BK86</f>
        <v>0</v>
      </c>
      <c r="AA445" s="68"/>
      <c r="AB445" s="68"/>
      <c r="AC445" s="69" t="n">
        <f aca="false">BM86</f>
        <v>0</v>
      </c>
      <c r="AD445" s="69"/>
      <c r="AE445" s="69"/>
      <c r="AF445" s="12"/>
    </row>
    <row r="446" customFormat="false" ht="14.25" hidden="false" customHeight="false" outlineLevel="0" collapsed="false">
      <c r="B446" s="7"/>
      <c r="C446" s="46" t="n">
        <v>5</v>
      </c>
      <c r="D446" s="46"/>
      <c r="E446" s="44" t="n">
        <f aca="false">AI87</f>
        <v>6</v>
      </c>
      <c r="F446" s="44"/>
      <c r="G446" s="44"/>
      <c r="H446" s="41" t="str">
        <f aca="false">AM87</f>
        <v>Clay</v>
      </c>
      <c r="I446" s="41"/>
      <c r="J446" s="41"/>
      <c r="K446" s="42" t="n">
        <f aca="false">AQ87</f>
        <v>111.375</v>
      </c>
      <c r="L446" s="42"/>
      <c r="M446" s="42"/>
      <c r="N446" s="42" t="n">
        <f aca="false">BC87</f>
        <v>135.656483291149</v>
      </c>
      <c r="O446" s="42"/>
      <c r="P446" s="42"/>
      <c r="Q446" s="55" t="n">
        <f aca="false">BJ87</f>
        <v>181.818181818182</v>
      </c>
      <c r="R446" s="55"/>
      <c r="S446" s="55"/>
      <c r="T446" s="44" t="n">
        <f aca="false">AU87</f>
        <v>0.9</v>
      </c>
      <c r="U446" s="44"/>
      <c r="V446" s="67" t="n">
        <f aca="false">BH87</f>
        <v>0.17613</v>
      </c>
      <c r="W446" s="67"/>
      <c r="X446" s="67" t="n">
        <f aca="false">BI87</f>
        <v>0.035226</v>
      </c>
      <c r="Y446" s="67"/>
      <c r="Z446" s="68" t="n">
        <f aca="false">BK87</f>
        <v>24.428987329684</v>
      </c>
      <c r="AA446" s="68"/>
      <c r="AB446" s="68"/>
      <c r="AC446" s="69" t="n">
        <f aca="false">BM87</f>
        <v>0.0504185692541857</v>
      </c>
      <c r="AD446" s="69"/>
      <c r="AE446" s="69"/>
      <c r="AF446" s="12"/>
    </row>
    <row r="447" customFormat="false" ht="14.25" hidden="false" customHeight="false" outlineLevel="0" collapsed="false">
      <c r="B447" s="7"/>
      <c r="C447" s="46" t="n">
        <v>6</v>
      </c>
      <c r="D447" s="46"/>
      <c r="E447" s="44" t="n">
        <f aca="false">AI88</f>
        <v>7.5</v>
      </c>
      <c r="F447" s="44"/>
      <c r="G447" s="44"/>
      <c r="H447" s="41" t="str">
        <f aca="false">AM88</f>
        <v>Sand</v>
      </c>
      <c r="I447" s="41"/>
      <c r="J447" s="41"/>
      <c r="K447" s="42" t="n">
        <f aca="false">AQ88</f>
        <v>135.5</v>
      </c>
      <c r="L447" s="42"/>
      <c r="M447" s="42"/>
      <c r="N447" s="42" t="n">
        <f aca="false">BC88</f>
        <v>135.384419937794</v>
      </c>
      <c r="O447" s="42"/>
      <c r="P447" s="42"/>
      <c r="Q447" s="55" t="n">
        <f aca="false">BJ88</f>
        <v>0</v>
      </c>
      <c r="R447" s="55"/>
      <c r="S447" s="55"/>
      <c r="T447" s="44" t="n">
        <f aca="false">AU88</f>
        <v>0.716</v>
      </c>
      <c r="U447" s="44"/>
      <c r="V447" s="67" t="n">
        <f aca="false">BH88</f>
        <v>0</v>
      </c>
      <c r="W447" s="67"/>
      <c r="X447" s="67" t="n">
        <f aca="false">BI88</f>
        <v>0</v>
      </c>
      <c r="Y447" s="67"/>
      <c r="Z447" s="68" t="n">
        <f aca="false">BK88</f>
        <v>0</v>
      </c>
      <c r="AA447" s="68"/>
      <c r="AB447" s="68"/>
      <c r="AC447" s="69" t="n">
        <f aca="false">BM88</f>
        <v>0</v>
      </c>
      <c r="AD447" s="69"/>
      <c r="AE447" s="69"/>
      <c r="AF447" s="12"/>
    </row>
    <row r="448" customFormat="false" ht="14.25" hidden="false" customHeight="false" outlineLevel="0" collapsed="false">
      <c r="B448" s="7"/>
      <c r="C448" s="46" t="n">
        <v>7</v>
      </c>
      <c r="D448" s="46"/>
      <c r="E448" s="44" t="n">
        <f aca="false">AI89</f>
        <v>9</v>
      </c>
      <c r="F448" s="44"/>
      <c r="G448" s="44"/>
      <c r="H448" s="41" t="str">
        <f aca="false">AM89</f>
        <v>Sand</v>
      </c>
      <c r="I448" s="41"/>
      <c r="J448" s="41"/>
      <c r="K448" s="42" t="n">
        <f aca="false">AQ89</f>
        <v>149</v>
      </c>
      <c r="L448" s="42"/>
      <c r="M448" s="42"/>
      <c r="N448" s="42" t="n">
        <f aca="false">BC89</f>
        <v>135.006063558054</v>
      </c>
      <c r="O448" s="42"/>
      <c r="P448" s="42"/>
      <c r="Q448" s="55" t="n">
        <f aca="false">BJ89</f>
        <v>0</v>
      </c>
      <c r="R448" s="55"/>
      <c r="S448" s="55"/>
      <c r="T448" s="44" t="n">
        <f aca="false">AU89</f>
        <v>0.65</v>
      </c>
      <c r="U448" s="44"/>
      <c r="V448" s="67" t="n">
        <f aca="false">BH89</f>
        <v>0</v>
      </c>
      <c r="W448" s="67"/>
      <c r="X448" s="67" t="n">
        <f aca="false">BI89</f>
        <v>0</v>
      </c>
      <c r="Y448" s="67"/>
      <c r="Z448" s="68" t="n">
        <f aca="false">BK89</f>
        <v>0</v>
      </c>
      <c r="AA448" s="68"/>
      <c r="AB448" s="68"/>
      <c r="AC448" s="69" t="n">
        <f aca="false">BM89</f>
        <v>0</v>
      </c>
      <c r="AD448" s="69"/>
      <c r="AE448" s="69"/>
      <c r="AF448" s="12"/>
    </row>
    <row r="449" customFormat="false" ht="14.25" hidden="false" customHeight="false" outlineLevel="0" collapsed="false">
      <c r="B449" s="7"/>
      <c r="C449" s="46" t="n">
        <v>8</v>
      </c>
      <c r="D449" s="46"/>
      <c r="E449" s="44" t="n">
        <f aca="false">AI90</f>
        <v>10.5</v>
      </c>
      <c r="F449" s="44"/>
      <c r="G449" s="44"/>
      <c r="H449" s="41" t="str">
        <f aca="false">AM90</f>
        <v>Silt</v>
      </c>
      <c r="I449" s="41"/>
      <c r="J449" s="41"/>
      <c r="K449" s="42" t="n">
        <f aca="false">AQ90</f>
        <v>162.5</v>
      </c>
      <c r="L449" s="42"/>
      <c r="M449" s="42"/>
      <c r="N449" s="42" t="n">
        <f aca="false">BC90</f>
        <v>134.511190640081</v>
      </c>
      <c r="O449" s="42"/>
      <c r="P449" s="42"/>
      <c r="Q449" s="55" t="n">
        <f aca="false">BJ90</f>
        <v>545.454545454546</v>
      </c>
      <c r="R449" s="55"/>
      <c r="S449" s="55"/>
      <c r="T449" s="44" t="n">
        <f aca="false">AU90</f>
        <v>1.053</v>
      </c>
      <c r="U449" s="44"/>
      <c r="V449" s="67" t="n">
        <f aca="false">BH90</f>
        <v>0.23751</v>
      </c>
      <c r="W449" s="67"/>
      <c r="X449" s="67" t="n">
        <f aca="false">BI90</f>
        <v>0.047502</v>
      </c>
      <c r="Y449" s="67"/>
      <c r="Z449" s="68" t="n">
        <f aca="false">BK90</f>
        <v>9.0903781727263</v>
      </c>
      <c r="AA449" s="68"/>
      <c r="AB449" s="68"/>
      <c r="AC449" s="69" t="n">
        <f aca="false">BM90</f>
        <v>0.0785142858186227</v>
      </c>
      <c r="AD449" s="69"/>
      <c r="AE449" s="69"/>
      <c r="AF449" s="12"/>
    </row>
    <row r="450" customFormat="false" ht="14.25" hidden="false" customHeight="false" outlineLevel="0" collapsed="false">
      <c r="B450" s="7"/>
      <c r="C450" s="46" t="n">
        <v>9</v>
      </c>
      <c r="D450" s="46"/>
      <c r="E450" s="44" t="n">
        <f aca="false">AI91</f>
        <v>12</v>
      </c>
      <c r="F450" s="44"/>
      <c r="G450" s="44"/>
      <c r="H450" s="41" t="str">
        <f aca="false">AM91</f>
        <v>Silt</v>
      </c>
      <c r="I450" s="41"/>
      <c r="J450" s="41"/>
      <c r="K450" s="42" t="n">
        <f aca="false">AQ91</f>
        <v>176</v>
      </c>
      <c r="L450" s="42"/>
      <c r="M450" s="42"/>
      <c r="N450" s="42" t="n">
        <f aca="false">BC91</f>
        <v>133.893072357031</v>
      </c>
      <c r="O450" s="42"/>
      <c r="P450" s="42"/>
      <c r="Q450" s="55" t="n">
        <f aca="false">BJ91</f>
        <v>227.272727272727</v>
      </c>
      <c r="R450" s="55"/>
      <c r="S450" s="55"/>
      <c r="T450" s="44" t="n">
        <f aca="false">AU91</f>
        <v>0.974</v>
      </c>
      <c r="U450" s="44"/>
      <c r="V450" s="67" t="n">
        <f aca="false">BH91</f>
        <v>0.2313</v>
      </c>
      <c r="W450" s="67"/>
      <c r="X450" s="67" t="n">
        <f aca="false">BI91</f>
        <v>0.04626</v>
      </c>
      <c r="Y450" s="67"/>
      <c r="Z450" s="68" t="n">
        <f aca="false">BK91</f>
        <v>27.5717114339645</v>
      </c>
      <c r="AA450" s="68"/>
      <c r="AB450" s="68"/>
      <c r="AC450" s="69" t="n">
        <f aca="false">BM91</f>
        <v>0.0748475544552317</v>
      </c>
      <c r="AD450" s="69"/>
      <c r="AE450" s="69"/>
      <c r="AF450" s="12"/>
    </row>
    <row r="451" customFormat="false" ht="14.25" hidden="false" customHeight="false" outlineLevel="0" collapsed="false">
      <c r="B451" s="7"/>
      <c r="C451" s="46" t="n">
        <v>10</v>
      </c>
      <c r="D451" s="46"/>
      <c r="E451" s="44" t="n">
        <f aca="false">AI92</f>
        <v>13.5</v>
      </c>
      <c r="F451" s="44"/>
      <c r="G451" s="44"/>
      <c r="H451" s="41" t="str">
        <f aca="false">AM92</f>
        <v>Sand</v>
      </c>
      <c r="I451" s="41"/>
      <c r="J451" s="41"/>
      <c r="K451" s="42" t="n">
        <f aca="false">AQ92</f>
        <v>189.5</v>
      </c>
      <c r="L451" s="42"/>
      <c r="M451" s="42"/>
      <c r="N451" s="42" t="n">
        <f aca="false">BC92</f>
        <v>133.148368665013</v>
      </c>
      <c r="O451" s="42"/>
      <c r="P451" s="42"/>
      <c r="Q451" s="55" t="n">
        <f aca="false">BJ92</f>
        <v>0</v>
      </c>
      <c r="R451" s="55"/>
      <c r="S451" s="55"/>
      <c r="T451" s="44" t="n">
        <f aca="false">AU92</f>
        <v>0.557</v>
      </c>
      <c r="U451" s="44"/>
      <c r="V451" s="67" t="n">
        <f aca="false">BH92</f>
        <v>0</v>
      </c>
      <c r="W451" s="67"/>
      <c r="X451" s="67" t="n">
        <f aca="false">BI92</f>
        <v>0</v>
      </c>
      <c r="Y451" s="67"/>
      <c r="Z451" s="68" t="n">
        <f aca="false">BK92</f>
        <v>0</v>
      </c>
      <c r="AA451" s="68"/>
      <c r="AB451" s="68"/>
      <c r="AC451" s="69" t="n">
        <f aca="false">BM92</f>
        <v>0</v>
      </c>
      <c r="AD451" s="69"/>
      <c r="AE451" s="69"/>
      <c r="AF451" s="12"/>
    </row>
    <row r="452" customFormat="false" ht="14.25" hidden="false" customHeight="false" outlineLevel="0" collapsed="false">
      <c r="B452" s="7"/>
      <c r="C452" s="46" t="n">
        <v>11</v>
      </c>
      <c r="D452" s="46"/>
      <c r="E452" s="44" t="n">
        <f aca="false">AI93</f>
        <v>15</v>
      </c>
      <c r="F452" s="44"/>
      <c r="G452" s="44"/>
      <c r="H452" s="41" t="str">
        <f aca="false">AM93</f>
        <v>Sand</v>
      </c>
      <c r="I452" s="41"/>
      <c r="J452" s="41"/>
      <c r="K452" s="42" t="n">
        <f aca="false">AQ93</f>
        <v>203</v>
      </c>
      <c r="L452" s="42"/>
      <c r="M452" s="42"/>
      <c r="N452" s="42" t="n">
        <f aca="false">BC93</f>
        <v>132.27687978272</v>
      </c>
      <c r="O452" s="42"/>
      <c r="P452" s="42"/>
      <c r="Q452" s="55" t="n">
        <f aca="false">BJ93</f>
        <v>0</v>
      </c>
      <c r="R452" s="55"/>
      <c r="S452" s="55"/>
      <c r="T452" s="44" t="n">
        <f aca="false">AU93</f>
        <v>0.458</v>
      </c>
      <c r="U452" s="44"/>
      <c r="V452" s="67" t="n">
        <f aca="false">BH93</f>
        <v>0</v>
      </c>
      <c r="W452" s="67"/>
      <c r="X452" s="67" t="n">
        <f aca="false">BI93</f>
        <v>0</v>
      </c>
      <c r="Y452" s="67"/>
      <c r="Z452" s="68" t="n">
        <f aca="false">BK93</f>
        <v>0</v>
      </c>
      <c r="AA452" s="68"/>
      <c r="AB452" s="68"/>
      <c r="AC452" s="69" t="n">
        <f aca="false">BM93</f>
        <v>0</v>
      </c>
      <c r="AD452" s="69"/>
      <c r="AE452" s="69"/>
      <c r="AF452" s="12"/>
    </row>
    <row r="453" customFormat="false" ht="14.25" hidden="false" customHeight="false" outlineLevel="0" collapsed="false">
      <c r="B453" s="7"/>
      <c r="C453" s="46" t="n">
        <v>12</v>
      </c>
      <c r="D453" s="46"/>
      <c r="E453" s="44" t="n">
        <f aca="false">AI94</f>
        <v>16.5</v>
      </c>
      <c r="F453" s="44"/>
      <c r="G453" s="44"/>
      <c r="H453" s="41" t="str">
        <f aca="false">AM94</f>
        <v>Sand</v>
      </c>
      <c r="I453" s="41"/>
      <c r="J453" s="41"/>
      <c r="K453" s="42" t="n">
        <f aca="false">AQ94</f>
        <v>216.5</v>
      </c>
      <c r="L453" s="42"/>
      <c r="M453" s="42"/>
      <c r="N453" s="42" t="n">
        <f aca="false">BC94</f>
        <v>131.281191431882</v>
      </c>
      <c r="O453" s="42"/>
      <c r="P453" s="42"/>
      <c r="Q453" s="55" t="n">
        <f aca="false">BJ94</f>
        <v>0</v>
      </c>
      <c r="R453" s="55"/>
      <c r="S453" s="55"/>
      <c r="T453" s="44" t="n">
        <f aca="false">AU94</f>
        <v>0.556</v>
      </c>
      <c r="U453" s="44"/>
      <c r="V453" s="67" t="n">
        <f aca="false">BH94</f>
        <v>0</v>
      </c>
      <c r="W453" s="67"/>
      <c r="X453" s="67" t="n">
        <f aca="false">BI94</f>
        <v>0</v>
      </c>
      <c r="Y453" s="67"/>
      <c r="Z453" s="68" t="n">
        <f aca="false">BK94</f>
        <v>0</v>
      </c>
      <c r="AA453" s="68"/>
      <c r="AB453" s="68"/>
      <c r="AC453" s="69" t="n">
        <f aca="false">BM94</f>
        <v>0</v>
      </c>
      <c r="AD453" s="69"/>
      <c r="AE453" s="69"/>
      <c r="AF453" s="12"/>
    </row>
    <row r="454" customFormat="false" ht="14.25" hidden="false" customHeight="false" outlineLevel="0" collapsed="false">
      <c r="B454" s="7"/>
      <c r="C454" s="46" t="n">
        <v>13</v>
      </c>
      <c r="D454" s="46"/>
      <c r="E454" s="44" t="n">
        <f aca="false">AI95</f>
        <v>18</v>
      </c>
      <c r="F454" s="44"/>
      <c r="G454" s="44"/>
      <c r="H454" s="41" t="str">
        <f aca="false">AM95</f>
        <v>Sand</v>
      </c>
      <c r="I454" s="41"/>
      <c r="J454" s="41"/>
      <c r="K454" s="42" t="n">
        <f aca="false">AQ95</f>
        <v>230</v>
      </c>
      <c r="L454" s="42"/>
      <c r="M454" s="42"/>
      <c r="N454" s="42" t="n">
        <f aca="false">BC95</f>
        <v>130.166251943235</v>
      </c>
      <c r="O454" s="42"/>
      <c r="P454" s="42"/>
      <c r="Q454" s="55" t="n">
        <f aca="false">BJ95</f>
        <v>0</v>
      </c>
      <c r="R454" s="55"/>
      <c r="S454" s="55"/>
      <c r="T454" s="44" t="n">
        <f aca="false">AU95</f>
        <v>0.351</v>
      </c>
      <c r="U454" s="44"/>
      <c r="V454" s="67" t="n">
        <f aca="false">BH95</f>
        <v>0</v>
      </c>
      <c r="W454" s="67"/>
      <c r="X454" s="67" t="n">
        <f aca="false">BI95</f>
        <v>0</v>
      </c>
      <c r="Y454" s="67"/>
      <c r="Z454" s="68" t="n">
        <f aca="false">BK95</f>
        <v>0</v>
      </c>
      <c r="AA454" s="68"/>
      <c r="AB454" s="68"/>
      <c r="AC454" s="69" t="n">
        <f aca="false">BM95</f>
        <v>0</v>
      </c>
      <c r="AD454" s="69"/>
      <c r="AE454" s="69"/>
      <c r="AF454" s="12"/>
    </row>
    <row r="455" customFormat="false" ht="14.25" hidden="false" customHeight="false" outlineLevel="0" collapsed="false">
      <c r="B455" s="7"/>
      <c r="C455" s="46" t="n">
        <v>14</v>
      </c>
      <c r="D455" s="46"/>
      <c r="E455" s="44" t="n">
        <f aca="false">AI96</f>
        <v>19.5</v>
      </c>
      <c r="F455" s="44"/>
      <c r="G455" s="44"/>
      <c r="H455" s="41" t="str">
        <f aca="false">AM96</f>
        <v>Sand</v>
      </c>
      <c r="I455" s="41"/>
      <c r="J455" s="41"/>
      <c r="K455" s="42" t="n">
        <f aca="false">AQ96</f>
        <v>243.5</v>
      </c>
      <c r="L455" s="42"/>
      <c r="M455" s="42"/>
      <c r="N455" s="42" t="n">
        <f aca="false">BC96</f>
        <v>128.938917112008</v>
      </c>
      <c r="O455" s="42"/>
      <c r="P455" s="42"/>
      <c r="Q455" s="55" t="n">
        <f aca="false">BJ96</f>
        <v>0</v>
      </c>
      <c r="R455" s="55"/>
      <c r="S455" s="55"/>
      <c r="T455" s="44" t="n">
        <f aca="false">AU96</f>
        <v>0.786</v>
      </c>
      <c r="U455" s="44"/>
      <c r="V455" s="67" t="n">
        <f aca="false">BH96</f>
        <v>0</v>
      </c>
      <c r="W455" s="67"/>
      <c r="X455" s="67" t="n">
        <f aca="false">BI96</f>
        <v>0</v>
      </c>
      <c r="Y455" s="67"/>
      <c r="Z455" s="68" t="n">
        <f aca="false">BK96</f>
        <v>0</v>
      </c>
      <c r="AA455" s="68"/>
      <c r="AB455" s="68"/>
      <c r="AC455" s="69" t="n">
        <f aca="false">BM96</f>
        <v>0</v>
      </c>
      <c r="AD455" s="69"/>
      <c r="AE455" s="69"/>
      <c r="AF455" s="12"/>
    </row>
    <row r="456" customFormat="false" ht="14.25" hidden="false" customHeight="false" outlineLevel="0" collapsed="false">
      <c r="B456" s="7"/>
      <c r="C456" s="46" t="n">
        <v>15</v>
      </c>
      <c r="D456" s="46"/>
      <c r="E456" s="44" t="n">
        <f aca="false">AI97</f>
        <v>21</v>
      </c>
      <c r="F456" s="44"/>
      <c r="G456" s="44"/>
      <c r="H456" s="41" t="str">
        <f aca="false">AM97</f>
        <v>Clay</v>
      </c>
      <c r="I456" s="41"/>
      <c r="J456" s="41"/>
      <c r="K456" s="42" t="n">
        <f aca="false">AQ97</f>
        <v>257</v>
      </c>
      <c r="L456" s="42"/>
      <c r="M456" s="42"/>
      <c r="N456" s="42" t="n">
        <f aca="false">BC97</f>
        <v>127.607493683403</v>
      </c>
      <c r="O456" s="42"/>
      <c r="P456" s="42"/>
      <c r="Q456" s="55" t="n">
        <f aca="false">BJ97</f>
        <v>863.636363636364</v>
      </c>
      <c r="R456" s="55"/>
      <c r="S456" s="55"/>
      <c r="T456" s="44" t="n">
        <f aca="false">AU97</f>
        <v>0.801</v>
      </c>
      <c r="U456" s="44"/>
      <c r="V456" s="67" t="n">
        <f aca="false">BH97</f>
        <v>0.2052</v>
      </c>
      <c r="W456" s="67"/>
      <c r="X456" s="67" t="n">
        <f aca="false">BI97</f>
        <v>0.04104</v>
      </c>
      <c r="Y456" s="67"/>
      <c r="Z456" s="68" t="n">
        <f aca="false">BK97</f>
        <v>5.98456918988846</v>
      </c>
      <c r="AA456" s="68"/>
      <c r="AB456" s="68"/>
      <c r="AC456" s="69" t="n">
        <f aca="false">BM97</f>
        <v>0.0612179688669496</v>
      </c>
      <c r="AD456" s="69"/>
      <c r="AE456" s="69"/>
      <c r="AF456" s="12"/>
    </row>
    <row r="457" customFormat="false" ht="14.25" hidden="false" customHeight="false" outlineLevel="0" collapsed="false">
      <c r="B457" s="7"/>
      <c r="C457" s="46" t="n">
        <v>16</v>
      </c>
      <c r="D457" s="46"/>
      <c r="E457" s="44" t="n">
        <f aca="false">AI98</f>
        <v>22.5</v>
      </c>
      <c r="F457" s="44"/>
      <c r="G457" s="44"/>
      <c r="H457" s="41" t="str">
        <f aca="false">AM98</f>
        <v>Sand</v>
      </c>
      <c r="I457" s="41"/>
      <c r="J457" s="41"/>
      <c r="K457" s="42" t="n">
        <f aca="false">AQ98</f>
        <v>270.5</v>
      </c>
      <c r="L457" s="42"/>
      <c r="M457" s="42"/>
      <c r="N457" s="42" t="n">
        <f aca="false">BC98</f>
        <v>126.181305793762</v>
      </c>
      <c r="O457" s="42"/>
      <c r="P457" s="42"/>
      <c r="Q457" s="55" t="n">
        <f aca="false">BJ98</f>
        <v>0</v>
      </c>
      <c r="R457" s="55"/>
      <c r="S457" s="55"/>
      <c r="T457" s="44" t="n">
        <f aca="false">AU98</f>
        <v>0.767</v>
      </c>
      <c r="U457" s="44"/>
      <c r="V457" s="67" t="n">
        <f aca="false">BH98</f>
        <v>0</v>
      </c>
      <c r="W457" s="67"/>
      <c r="X457" s="67" t="n">
        <f aca="false">BI98</f>
        <v>0</v>
      </c>
      <c r="Y457" s="67"/>
      <c r="Z457" s="68" t="n">
        <f aca="false">BK98</f>
        <v>0</v>
      </c>
      <c r="AA457" s="68"/>
      <c r="AB457" s="68"/>
      <c r="AC457" s="69" t="n">
        <f aca="false">BM98</f>
        <v>0</v>
      </c>
      <c r="AD457" s="69"/>
      <c r="AE457" s="69"/>
      <c r="AF457" s="12"/>
    </row>
    <row r="458" customFormat="false" ht="14.25" hidden="false" customHeight="false" outlineLevel="0" collapsed="false">
      <c r="B458" s="7"/>
      <c r="C458" s="46" t="n">
        <v>17</v>
      </c>
      <c r="D458" s="46"/>
      <c r="E458" s="44" t="n">
        <f aca="false">AI99</f>
        <v>24</v>
      </c>
      <c r="F458" s="44"/>
      <c r="G458" s="44"/>
      <c r="H458" s="41" t="str">
        <f aca="false">AM99</f>
        <v>Sand</v>
      </c>
      <c r="I458" s="41"/>
      <c r="J458" s="41"/>
      <c r="K458" s="42" t="n">
        <f aca="false">AQ99</f>
        <v>284</v>
      </c>
      <c r="L458" s="42"/>
      <c r="M458" s="42"/>
      <c r="N458" s="42" t="n">
        <f aca="false">BC99</f>
        <v>124.670301678981</v>
      </c>
      <c r="O458" s="42"/>
      <c r="P458" s="42"/>
      <c r="Q458" s="55" t="n">
        <f aca="false">BJ99</f>
        <v>0</v>
      </c>
      <c r="R458" s="55"/>
      <c r="S458" s="55"/>
      <c r="T458" s="44" t="n">
        <f aca="false">AU99</f>
        <v>0.65</v>
      </c>
      <c r="U458" s="44"/>
      <c r="V458" s="67" t="n">
        <f aca="false">BH99</f>
        <v>0</v>
      </c>
      <c r="W458" s="67"/>
      <c r="X458" s="67" t="n">
        <f aca="false">BI99</f>
        <v>0</v>
      </c>
      <c r="Y458" s="67"/>
      <c r="Z458" s="68" t="n">
        <f aca="false">BK99</f>
        <v>0</v>
      </c>
      <c r="AA458" s="68"/>
      <c r="AB458" s="68"/>
      <c r="AC458" s="69" t="n">
        <f aca="false">BM99</f>
        <v>0</v>
      </c>
      <c r="AD458" s="69"/>
      <c r="AE458" s="69"/>
      <c r="AF458" s="12"/>
    </row>
    <row r="459" customFormat="false" ht="14.25" hidden="false" customHeight="false" outlineLevel="0" collapsed="false">
      <c r="B459" s="7"/>
      <c r="C459" s="46" t="n">
        <v>18</v>
      </c>
      <c r="D459" s="46"/>
      <c r="E459" s="44" t="n">
        <f aca="false">AI100</f>
        <v>25.5</v>
      </c>
      <c r="F459" s="44"/>
      <c r="G459" s="44"/>
      <c r="H459" s="41" t="str">
        <f aca="false">AM100</f>
        <v>Sand</v>
      </c>
      <c r="I459" s="41"/>
      <c r="J459" s="41"/>
      <c r="K459" s="42" t="n">
        <f aca="false">AQ100</f>
        <v>297.5</v>
      </c>
      <c r="L459" s="42"/>
      <c r="M459" s="42"/>
      <c r="N459" s="42" t="n">
        <f aca="false">BC100</f>
        <v>123.084711322374</v>
      </c>
      <c r="O459" s="42"/>
      <c r="P459" s="42"/>
      <c r="Q459" s="55" t="n">
        <f aca="false">BJ100</f>
        <v>0</v>
      </c>
      <c r="R459" s="55"/>
      <c r="S459" s="55"/>
      <c r="T459" s="44" t="n">
        <f aca="false">AU100</f>
        <v>0.73</v>
      </c>
      <c r="U459" s="44"/>
      <c r="V459" s="67" t="n">
        <f aca="false">BH100</f>
        <v>0</v>
      </c>
      <c r="W459" s="67"/>
      <c r="X459" s="67" t="n">
        <f aca="false">BI100</f>
        <v>0</v>
      </c>
      <c r="Y459" s="67"/>
      <c r="Z459" s="68" t="n">
        <f aca="false">BK100</f>
        <v>0</v>
      </c>
      <c r="AA459" s="68"/>
      <c r="AB459" s="68"/>
      <c r="AC459" s="69" t="n">
        <f aca="false">BM100</f>
        <v>0</v>
      </c>
      <c r="AD459" s="69"/>
      <c r="AE459" s="69"/>
      <c r="AF459" s="12"/>
    </row>
    <row r="460" customFormat="false" ht="14.25" hidden="false" customHeight="false" outlineLevel="0" collapsed="false">
      <c r="B460" s="7"/>
      <c r="C460" s="46" t="n">
        <v>19</v>
      </c>
      <c r="D460" s="46"/>
      <c r="E460" s="44" t="n">
        <f aca="false">AI101</f>
        <v>27</v>
      </c>
      <c r="F460" s="44"/>
      <c r="G460" s="44"/>
      <c r="H460" s="41" t="str">
        <f aca="false">AM101</f>
        <v>Sand</v>
      </c>
      <c r="I460" s="41"/>
      <c r="J460" s="41"/>
      <c r="K460" s="42" t="n">
        <f aca="false">AQ101</f>
        <v>311</v>
      </c>
      <c r="L460" s="42"/>
      <c r="M460" s="42"/>
      <c r="N460" s="42" t="n">
        <f aca="false">BC101</f>
        <v>121.434759989289</v>
      </c>
      <c r="O460" s="42"/>
      <c r="P460" s="42"/>
      <c r="Q460" s="55" t="n">
        <f aca="false">BJ101</f>
        <v>0</v>
      </c>
      <c r="R460" s="55"/>
      <c r="S460" s="55"/>
      <c r="T460" s="44" t="n">
        <f aca="false">AU101</f>
        <v>0.65</v>
      </c>
      <c r="U460" s="44"/>
      <c r="V460" s="67" t="n">
        <f aca="false">BH101</f>
        <v>0</v>
      </c>
      <c r="W460" s="67"/>
      <c r="X460" s="67" t="n">
        <f aca="false">BI101</f>
        <v>0</v>
      </c>
      <c r="Y460" s="67"/>
      <c r="Z460" s="68" t="n">
        <f aca="false">BK101</f>
        <v>0</v>
      </c>
      <c r="AA460" s="68"/>
      <c r="AB460" s="68"/>
      <c r="AC460" s="69" t="n">
        <f aca="false">BM101</f>
        <v>0</v>
      </c>
      <c r="AD460" s="69"/>
      <c r="AE460" s="69"/>
      <c r="AF460" s="12"/>
    </row>
    <row r="461" customFormat="false" ht="14.25" hidden="false" customHeight="false" outlineLevel="0" collapsed="false">
      <c r="B461" s="7"/>
      <c r="C461" s="46" t="n">
        <v>20</v>
      </c>
      <c r="D461" s="46"/>
      <c r="E461" s="44" t="n">
        <f aca="false">AI102</f>
        <v>28.5</v>
      </c>
      <c r="F461" s="44"/>
      <c r="G461" s="44"/>
      <c r="H461" s="41" t="str">
        <f aca="false">AM102</f>
        <v>Sand</v>
      </c>
      <c r="I461" s="41"/>
      <c r="J461" s="41"/>
      <c r="K461" s="42" t="n">
        <f aca="false">AQ102</f>
        <v>324.5</v>
      </c>
      <c r="L461" s="42"/>
      <c r="M461" s="42"/>
      <c r="N461" s="42" t="n">
        <f aca="false">BC102</f>
        <v>119.73043805321</v>
      </c>
      <c r="O461" s="42"/>
      <c r="P461" s="42"/>
      <c r="Q461" s="55" t="n">
        <f aca="false">BJ102</f>
        <v>0</v>
      </c>
      <c r="R461" s="55"/>
      <c r="S461" s="55"/>
      <c r="T461" s="44" t="n">
        <f aca="false">AU102</f>
        <v>0.65</v>
      </c>
      <c r="U461" s="44"/>
      <c r="V461" s="67" t="n">
        <f aca="false">BH102</f>
        <v>0</v>
      </c>
      <c r="W461" s="67"/>
      <c r="X461" s="67" t="n">
        <f aca="false">BI102</f>
        <v>0</v>
      </c>
      <c r="Y461" s="67"/>
      <c r="Z461" s="68" t="n">
        <f aca="false">BK102</f>
        <v>0</v>
      </c>
      <c r="AA461" s="68"/>
      <c r="AB461" s="68"/>
      <c r="AC461" s="69" t="n">
        <f aca="false">BM102</f>
        <v>0</v>
      </c>
      <c r="AD461" s="69"/>
      <c r="AE461" s="69"/>
      <c r="AF461" s="12"/>
    </row>
    <row r="462" customFormat="false" ht="14.25" hidden="false" customHeight="false" outlineLevel="0" collapsed="false">
      <c r="B462" s="7"/>
      <c r="C462" s="46" t="n">
        <v>21</v>
      </c>
      <c r="D462" s="46"/>
      <c r="E462" s="44" t="n">
        <f aca="false">AI103</f>
        <v>30</v>
      </c>
      <c r="F462" s="44"/>
      <c r="G462" s="44"/>
      <c r="H462" s="41" t="str">
        <f aca="false">AM103</f>
        <v>Sand</v>
      </c>
      <c r="I462" s="41"/>
      <c r="J462" s="41"/>
      <c r="K462" s="42" t="n">
        <f aca="false">AQ103</f>
        <v>338</v>
      </c>
      <c r="L462" s="42"/>
      <c r="M462" s="42"/>
      <c r="N462" s="42" t="n">
        <f aca="false">BC103</f>
        <v>117.981324211207</v>
      </c>
      <c r="O462" s="42"/>
      <c r="P462" s="42"/>
      <c r="Q462" s="55" t="n">
        <f aca="false">BJ103</f>
        <v>0</v>
      </c>
      <c r="R462" s="55"/>
      <c r="S462" s="55"/>
      <c r="T462" s="44" t="n">
        <f aca="false">AU103</f>
        <v>0.65</v>
      </c>
      <c r="U462" s="44"/>
      <c r="V462" s="67" t="n">
        <f aca="false">BH103</f>
        <v>0</v>
      </c>
      <c r="W462" s="67"/>
      <c r="X462" s="67" t="n">
        <f aca="false">BI103</f>
        <v>0</v>
      </c>
      <c r="Y462" s="67"/>
      <c r="Z462" s="68" t="n">
        <f aca="false">BK103</f>
        <v>0</v>
      </c>
      <c r="AA462" s="68"/>
      <c r="AB462" s="68"/>
      <c r="AC462" s="69" t="n">
        <f aca="false">BM103</f>
        <v>0</v>
      </c>
      <c r="AD462" s="69"/>
      <c r="AE462" s="69"/>
      <c r="AF462" s="12"/>
    </row>
    <row r="463" customFormat="false" ht="14.25" hidden="false" customHeight="false" outlineLevel="0" collapsed="false">
      <c r="B463" s="7"/>
      <c r="C463" s="46" t="n">
        <v>22</v>
      </c>
      <c r="D463" s="46"/>
      <c r="E463" s="44" t="n">
        <f aca="false">AI104</f>
        <v>31.5</v>
      </c>
      <c r="F463" s="44"/>
      <c r="G463" s="44"/>
      <c r="H463" s="41" t="str">
        <f aca="false">AM104</f>
        <v>Sand</v>
      </c>
      <c r="I463" s="41"/>
      <c r="J463" s="41"/>
      <c r="K463" s="42" t="n">
        <f aca="false">AQ104</f>
        <v>351.5</v>
      </c>
      <c r="L463" s="42"/>
      <c r="M463" s="42"/>
      <c r="N463" s="42" t="n">
        <f aca="false">BC104</f>
        <v>116.196457021307</v>
      </c>
      <c r="O463" s="42"/>
      <c r="P463" s="42"/>
      <c r="Q463" s="55" t="n">
        <f aca="false">BJ104</f>
        <v>0</v>
      </c>
      <c r="R463" s="55"/>
      <c r="S463" s="55"/>
      <c r="T463" s="44" t="n">
        <f aca="false">AU104</f>
        <v>0.65</v>
      </c>
      <c r="U463" s="44"/>
      <c r="V463" s="67" t="n">
        <f aca="false">BH104</f>
        <v>0</v>
      </c>
      <c r="W463" s="67"/>
      <c r="X463" s="67" t="n">
        <f aca="false">BI104</f>
        <v>0</v>
      </c>
      <c r="Y463" s="67"/>
      <c r="Z463" s="68" t="n">
        <f aca="false">BK104</f>
        <v>0</v>
      </c>
      <c r="AA463" s="68"/>
      <c r="AB463" s="68"/>
      <c r="AC463" s="69" t="n">
        <f aca="false">BM104</f>
        <v>0</v>
      </c>
      <c r="AD463" s="69"/>
      <c r="AE463" s="69"/>
      <c r="AF463" s="12"/>
    </row>
    <row r="464" customFormat="false" ht="14.25" hidden="false" customHeight="false" outlineLevel="0" collapsed="false">
      <c r="B464" s="7"/>
      <c r="C464" s="46" t="n">
        <v>23</v>
      </c>
      <c r="D464" s="46"/>
      <c r="E464" s="44" t="n">
        <f aca="false">AI105</f>
        <v>33</v>
      </c>
      <c r="F464" s="44"/>
      <c r="G464" s="44"/>
      <c r="H464" s="41" t="str">
        <f aca="false">AM105</f>
        <v>Sand</v>
      </c>
      <c r="I464" s="41"/>
      <c r="J464" s="41"/>
      <c r="K464" s="42" t="n">
        <f aca="false">AQ105</f>
        <v>365</v>
      </c>
      <c r="L464" s="42"/>
      <c r="M464" s="42"/>
      <c r="N464" s="42" t="n">
        <f aca="false">BC105</f>
        <v>114.384248493289</v>
      </c>
      <c r="O464" s="42"/>
      <c r="P464" s="42"/>
      <c r="Q464" s="55" t="n">
        <f aca="false">BJ105</f>
        <v>0</v>
      </c>
      <c r="R464" s="55"/>
      <c r="S464" s="55"/>
      <c r="T464" s="44" t="n">
        <f aca="false">AU105</f>
        <v>0.65</v>
      </c>
      <c r="U464" s="44"/>
      <c r="V464" s="67" t="n">
        <f aca="false">BH105</f>
        <v>0</v>
      </c>
      <c r="W464" s="67"/>
      <c r="X464" s="67" t="n">
        <f aca="false">BI105</f>
        <v>0</v>
      </c>
      <c r="Y464" s="67"/>
      <c r="Z464" s="68" t="n">
        <f aca="false">BK105</f>
        <v>0</v>
      </c>
      <c r="AA464" s="68"/>
      <c r="AB464" s="68"/>
      <c r="AC464" s="69" t="n">
        <f aca="false">BM105</f>
        <v>0</v>
      </c>
      <c r="AD464" s="69"/>
      <c r="AE464" s="69"/>
      <c r="AF464" s="12"/>
    </row>
    <row r="465" customFormat="false" ht="14.25" hidden="false" customHeight="false" outlineLevel="0" collapsed="false">
      <c r="B465" s="7"/>
      <c r="C465" s="46" t="n">
        <v>24</v>
      </c>
      <c r="D465" s="46"/>
      <c r="E465" s="44" t="n">
        <f aca="false">AI106</f>
        <v>34.5</v>
      </c>
      <c r="F465" s="44"/>
      <c r="G465" s="44"/>
      <c r="H465" s="41" t="str">
        <f aca="false">AM106</f>
        <v>Sand</v>
      </c>
      <c r="I465" s="41"/>
      <c r="J465" s="41"/>
      <c r="K465" s="42" t="n">
        <f aca="false">AQ106</f>
        <v>378.5</v>
      </c>
      <c r="L465" s="42"/>
      <c r="M465" s="42"/>
      <c r="N465" s="42" t="n">
        <f aca="false">BC106</f>
        <v>112.552433017023</v>
      </c>
      <c r="O465" s="42"/>
      <c r="P465" s="42"/>
      <c r="Q465" s="55" t="n">
        <f aca="false">BJ106</f>
        <v>0</v>
      </c>
      <c r="R465" s="55"/>
      <c r="S465" s="55"/>
      <c r="T465" s="44" t="n">
        <f aca="false">AU106</f>
        <v>0.65</v>
      </c>
      <c r="U465" s="44"/>
      <c r="V465" s="67" t="n">
        <f aca="false">BH106</f>
        <v>0</v>
      </c>
      <c r="W465" s="67"/>
      <c r="X465" s="67" t="n">
        <f aca="false">BI106</f>
        <v>0</v>
      </c>
      <c r="Y465" s="67"/>
      <c r="Z465" s="68" t="n">
        <f aca="false">BK106</f>
        <v>0</v>
      </c>
      <c r="AA465" s="68"/>
      <c r="AB465" s="68"/>
      <c r="AC465" s="69" t="n">
        <f aca="false">BM106</f>
        <v>0</v>
      </c>
      <c r="AD465" s="69"/>
      <c r="AE465" s="69"/>
      <c r="AF465" s="12"/>
    </row>
    <row r="466" customFormat="false" ht="14.25" hidden="false" customHeight="false" outlineLevel="0" collapsed="false">
      <c r="B466" s="7"/>
      <c r="C466" s="46" t="n">
        <v>25</v>
      </c>
      <c r="D466" s="46"/>
      <c r="E466" s="44" t="n">
        <f aca="false">AI107</f>
        <v>36</v>
      </c>
      <c r="F466" s="44"/>
      <c r="G466" s="44"/>
      <c r="H466" s="41" t="str">
        <f aca="false">AM107</f>
        <v>Sand</v>
      </c>
      <c r="I466" s="41"/>
      <c r="J466" s="41"/>
      <c r="K466" s="42" t="n">
        <f aca="false">AQ107</f>
        <v>392</v>
      </c>
      <c r="L466" s="42"/>
      <c r="M466" s="42"/>
      <c r="N466" s="42" t="n">
        <f aca="false">BC107</f>
        <v>110.708045010863</v>
      </c>
      <c r="O466" s="42"/>
      <c r="P466" s="42"/>
      <c r="Q466" s="55" t="n">
        <f aca="false">BJ107</f>
        <v>0</v>
      </c>
      <c r="R466" s="55"/>
      <c r="S466" s="55"/>
      <c r="T466" s="44" t="n">
        <f aca="false">AU107</f>
        <v>0.65</v>
      </c>
      <c r="U466" s="44"/>
      <c r="V466" s="67" t="n">
        <f aca="false">BH107</f>
        <v>0</v>
      </c>
      <c r="W466" s="67"/>
      <c r="X466" s="67" t="n">
        <f aca="false">BI107</f>
        <v>0</v>
      </c>
      <c r="Y466" s="67"/>
      <c r="Z466" s="68" t="n">
        <f aca="false">BK107</f>
        <v>0</v>
      </c>
      <c r="AA466" s="68"/>
      <c r="AB466" s="68"/>
      <c r="AC466" s="69" t="n">
        <f aca="false">BM107</f>
        <v>0</v>
      </c>
      <c r="AD466" s="69"/>
      <c r="AE466" s="69"/>
      <c r="AF466" s="12"/>
    </row>
    <row r="467" customFormat="false" ht="14.25" hidden="false" customHeight="false" outlineLevel="0" collapsed="false">
      <c r="B467" s="7"/>
      <c r="C467" s="46" t="n">
        <v>26</v>
      </c>
      <c r="D467" s="46"/>
      <c r="E467" s="44" t="n">
        <f aca="false">AI108</f>
        <v>37.5</v>
      </c>
      <c r="F467" s="44"/>
      <c r="G467" s="44"/>
      <c r="H467" s="41" t="str">
        <f aca="false">AM108</f>
        <v>Sand</v>
      </c>
      <c r="I467" s="41"/>
      <c r="J467" s="41"/>
      <c r="K467" s="42" t="n">
        <f aca="false">AQ108</f>
        <v>405.5</v>
      </c>
      <c r="L467" s="42"/>
      <c r="M467" s="42"/>
      <c r="N467" s="42" t="n">
        <f aca="false">BC108</f>
        <v>108.857419132691</v>
      </c>
      <c r="O467" s="42"/>
      <c r="P467" s="42"/>
      <c r="Q467" s="55" t="n">
        <f aca="false">BJ108</f>
        <v>0</v>
      </c>
      <c r="R467" s="55"/>
      <c r="S467" s="55"/>
      <c r="T467" s="44" t="n">
        <f aca="false">AU108</f>
        <v>0.746</v>
      </c>
      <c r="U467" s="44"/>
      <c r="V467" s="67" t="n">
        <f aca="false">BH108</f>
        <v>0</v>
      </c>
      <c r="W467" s="67"/>
      <c r="X467" s="67" t="n">
        <f aca="false">BI108</f>
        <v>0</v>
      </c>
      <c r="Y467" s="67"/>
      <c r="Z467" s="68" t="n">
        <f aca="false">BK108</f>
        <v>0</v>
      </c>
      <c r="AA467" s="68"/>
      <c r="AB467" s="68"/>
      <c r="AC467" s="69" t="n">
        <f aca="false">BM108</f>
        <v>0</v>
      </c>
      <c r="AD467" s="69"/>
      <c r="AE467" s="69"/>
      <c r="AF467" s="12"/>
    </row>
    <row r="468" customFormat="false" ht="14.25" hidden="false" customHeight="false" outlineLevel="0" collapsed="false">
      <c r="B468" s="7"/>
      <c r="C468" s="46" t="n">
        <v>27</v>
      </c>
      <c r="D468" s="46"/>
      <c r="E468" s="44" t="n">
        <f aca="false">AI109</f>
        <v>39</v>
      </c>
      <c r="F468" s="44"/>
      <c r="G468" s="44"/>
      <c r="H468" s="41" t="str">
        <f aca="false">AM109</f>
        <v>Sand</v>
      </c>
      <c r="I468" s="41"/>
      <c r="J468" s="41"/>
      <c r="K468" s="42" t="n">
        <f aca="false">AQ109</f>
        <v>419</v>
      </c>
      <c r="L468" s="42"/>
      <c r="M468" s="42"/>
      <c r="N468" s="42" t="n">
        <f aca="false">BC109</f>
        <v>107.006207567439</v>
      </c>
      <c r="O468" s="42"/>
      <c r="P468" s="42"/>
      <c r="Q468" s="55" t="n">
        <f aca="false">BJ109</f>
        <v>0</v>
      </c>
      <c r="R468" s="55"/>
      <c r="S468" s="55"/>
      <c r="T468" s="44" t="n">
        <f aca="false">AU109</f>
        <v>0.65</v>
      </c>
      <c r="U468" s="44"/>
      <c r="V468" s="67" t="n">
        <f aca="false">BH109</f>
        <v>0</v>
      </c>
      <c r="W468" s="67"/>
      <c r="X468" s="67" t="n">
        <f aca="false">BI109</f>
        <v>0</v>
      </c>
      <c r="Y468" s="67"/>
      <c r="Z468" s="68" t="n">
        <f aca="false">BK109</f>
        <v>0</v>
      </c>
      <c r="AA468" s="68"/>
      <c r="AB468" s="68"/>
      <c r="AC468" s="69" t="n">
        <f aca="false">BM109</f>
        <v>0</v>
      </c>
      <c r="AD468" s="69"/>
      <c r="AE468" s="69"/>
      <c r="AF468" s="12"/>
    </row>
    <row r="469" customFormat="false" ht="14.25" hidden="false" customHeight="false" outlineLevel="0" collapsed="false">
      <c r="B469" s="7"/>
      <c r="C469" s="46" t="n">
        <v>28</v>
      </c>
      <c r="D469" s="46"/>
      <c r="E469" s="44" t="n">
        <f aca="false">AI110</f>
        <v>40.5</v>
      </c>
      <c r="F469" s="44"/>
      <c r="G469" s="44"/>
      <c r="H469" s="41" t="str">
        <f aca="false">AM110</f>
        <v>Sand</v>
      </c>
      <c r="I469" s="41"/>
      <c r="J469" s="41"/>
      <c r="K469" s="42" t="n">
        <f aca="false">AQ110</f>
        <v>432.5</v>
      </c>
      <c r="L469" s="42"/>
      <c r="M469" s="42"/>
      <c r="N469" s="42" t="n">
        <f aca="false">BC110</f>
        <v>105.159409672716</v>
      </c>
      <c r="O469" s="42"/>
      <c r="P469" s="42"/>
      <c r="Q469" s="55" t="n">
        <f aca="false">BJ110</f>
        <v>0</v>
      </c>
      <c r="R469" s="55"/>
      <c r="S469" s="55"/>
      <c r="T469" s="44" t="n">
        <f aca="false">AU110</f>
        <v>0.793</v>
      </c>
      <c r="U469" s="44"/>
      <c r="V469" s="67" t="n">
        <f aca="false">BH110</f>
        <v>0</v>
      </c>
      <c r="W469" s="67"/>
      <c r="X469" s="67" t="n">
        <f aca="false">BI110</f>
        <v>0</v>
      </c>
      <c r="Y469" s="67"/>
      <c r="Z469" s="68" t="n">
        <f aca="false">BK110</f>
        <v>0</v>
      </c>
      <c r="AA469" s="68"/>
      <c r="AB469" s="68"/>
      <c r="AC469" s="69" t="n">
        <f aca="false">BM110</f>
        <v>0</v>
      </c>
      <c r="AD469" s="69"/>
      <c r="AE469" s="69"/>
      <c r="AF469" s="12"/>
    </row>
    <row r="470" customFormat="false" ht="14.25" hidden="false" customHeight="false" outlineLevel="0" collapsed="false">
      <c r="B470" s="7"/>
      <c r="C470" s="46" t="n">
        <v>29</v>
      </c>
      <c r="D470" s="46"/>
      <c r="E470" s="44" t="n">
        <f aca="false">AI111</f>
        <v>42</v>
      </c>
      <c r="F470" s="44"/>
      <c r="G470" s="44"/>
      <c r="H470" s="41" t="str">
        <f aca="false">AM111</f>
        <v>Sand</v>
      </c>
      <c r="I470" s="41"/>
      <c r="J470" s="41"/>
      <c r="K470" s="42" t="n">
        <f aca="false">AQ111</f>
        <v>446</v>
      </c>
      <c r="L470" s="42"/>
      <c r="M470" s="42"/>
      <c r="N470" s="42" t="n">
        <f aca="false">BC111</f>
        <v>103.321410046931</v>
      </c>
      <c r="O470" s="42"/>
      <c r="P470" s="42"/>
      <c r="Q470" s="55" t="n">
        <f aca="false">BJ111</f>
        <v>0</v>
      </c>
      <c r="R470" s="55"/>
      <c r="S470" s="55"/>
      <c r="T470" s="44" t="n">
        <f aca="false">AU111</f>
        <v>0.65</v>
      </c>
      <c r="U470" s="44"/>
      <c r="V470" s="67" t="n">
        <f aca="false">BH111</f>
        <v>0</v>
      </c>
      <c r="W470" s="67"/>
      <c r="X470" s="67" t="n">
        <f aca="false">BI111</f>
        <v>0</v>
      </c>
      <c r="Y470" s="67"/>
      <c r="Z470" s="68" t="n">
        <f aca="false">BK111</f>
        <v>0</v>
      </c>
      <c r="AA470" s="68"/>
      <c r="AB470" s="68"/>
      <c r="AC470" s="69" t="n">
        <f aca="false">BM111</f>
        <v>0</v>
      </c>
      <c r="AD470" s="69"/>
      <c r="AE470" s="69"/>
      <c r="AF470" s="12"/>
    </row>
    <row r="471" customFormat="false" ht="14.25" hidden="false" customHeight="false" outlineLevel="0" collapsed="false">
      <c r="B471" s="7"/>
      <c r="C471" s="46" t="n">
        <v>30</v>
      </c>
      <c r="D471" s="46"/>
      <c r="E471" s="44" t="n">
        <f aca="false">AI112</f>
        <v>43.5</v>
      </c>
      <c r="F471" s="44"/>
      <c r="G471" s="44"/>
      <c r="H471" s="41" t="str">
        <f aca="false">AM112</f>
        <v>Sand</v>
      </c>
      <c r="I471" s="41"/>
      <c r="J471" s="41"/>
      <c r="K471" s="42" t="n">
        <f aca="false">AQ112</f>
        <v>459.5</v>
      </c>
      <c r="L471" s="42"/>
      <c r="M471" s="42"/>
      <c r="N471" s="42" t="n">
        <f aca="false">BC112</f>
        <v>101.496021828265</v>
      </c>
      <c r="O471" s="42"/>
      <c r="P471" s="42"/>
      <c r="Q471" s="55" t="n">
        <f aca="false">BJ112</f>
        <v>0</v>
      </c>
      <c r="R471" s="55"/>
      <c r="S471" s="55"/>
      <c r="T471" s="44" t="n">
        <f aca="false">AU112</f>
        <v>0.67</v>
      </c>
      <c r="U471" s="44"/>
      <c r="V471" s="67" t="n">
        <f aca="false">BH112</f>
        <v>0</v>
      </c>
      <c r="W471" s="67"/>
      <c r="X471" s="67" t="n">
        <f aca="false">BI112</f>
        <v>0</v>
      </c>
      <c r="Y471" s="67"/>
      <c r="Z471" s="68" t="n">
        <f aca="false">BK112</f>
        <v>0</v>
      </c>
      <c r="AA471" s="68"/>
      <c r="AB471" s="68"/>
      <c r="AC471" s="69" t="n">
        <f aca="false">BM112</f>
        <v>0</v>
      </c>
      <c r="AD471" s="69"/>
      <c r="AE471" s="69"/>
      <c r="AF471" s="12"/>
    </row>
    <row r="472" customFormat="false" ht="14.25" hidden="false" customHeight="false" outlineLevel="0" collapsed="false">
      <c r="B472" s="7"/>
      <c r="C472" s="46" t="n">
        <v>31</v>
      </c>
      <c r="D472" s="46"/>
      <c r="E472" s="44" t="n">
        <f aca="false">AI113</f>
        <v>45</v>
      </c>
      <c r="F472" s="44"/>
      <c r="G472" s="44"/>
      <c r="H472" s="41" t="str">
        <f aca="false">AM113</f>
        <v>Sand</v>
      </c>
      <c r="I472" s="41"/>
      <c r="J472" s="41"/>
      <c r="K472" s="42" t="n">
        <f aca="false">AQ113</f>
        <v>473</v>
      </c>
      <c r="L472" s="42"/>
      <c r="M472" s="42"/>
      <c r="N472" s="42" t="n">
        <f aca="false">BC113</f>
        <v>99.6865327062518</v>
      </c>
      <c r="O472" s="42"/>
      <c r="P472" s="42"/>
      <c r="Q472" s="55" t="n">
        <f aca="false">BJ113</f>
        <v>0</v>
      </c>
      <c r="R472" s="55"/>
      <c r="S472" s="55"/>
      <c r="T472" s="44" t="n">
        <f aca="false">AU113</f>
        <v>0.65</v>
      </c>
      <c r="U472" s="44"/>
      <c r="V472" s="67" t="n">
        <f aca="false">BH113</f>
        <v>0</v>
      </c>
      <c r="W472" s="67"/>
      <c r="X472" s="67" t="n">
        <f aca="false">BI113</f>
        <v>0</v>
      </c>
      <c r="Y472" s="67"/>
      <c r="Z472" s="68" t="n">
        <f aca="false">BK113</f>
        <v>0</v>
      </c>
      <c r="AA472" s="68"/>
      <c r="AB472" s="68"/>
      <c r="AC472" s="69" t="n">
        <f aca="false">BM113</f>
        <v>0</v>
      </c>
      <c r="AD472" s="69"/>
      <c r="AE472" s="69"/>
      <c r="AF472" s="12"/>
    </row>
    <row r="473" customFormat="false" ht="14.25" hidden="false" customHeight="false" outlineLevel="0" collapsed="false">
      <c r="B473" s="7"/>
      <c r="C473" s="46" t="n">
        <v>32</v>
      </c>
      <c r="D473" s="46"/>
      <c r="E473" s="44" t="n">
        <f aca="false">AI114</f>
        <v>46.5</v>
      </c>
      <c r="F473" s="44"/>
      <c r="G473" s="44"/>
      <c r="H473" s="41" t="str">
        <f aca="false">AM114</f>
        <v>Sand</v>
      </c>
      <c r="I473" s="41"/>
      <c r="J473" s="41"/>
      <c r="K473" s="42" t="n">
        <f aca="false">AQ114</f>
        <v>486.5</v>
      </c>
      <c r="L473" s="42"/>
      <c r="M473" s="42"/>
      <c r="N473" s="42" t="n">
        <f aca="false">BC114</f>
        <v>97.8957517150986</v>
      </c>
      <c r="O473" s="42"/>
      <c r="P473" s="42"/>
      <c r="Q473" s="55" t="n">
        <f aca="false">BJ114</f>
        <v>0</v>
      </c>
      <c r="R473" s="55"/>
      <c r="S473" s="55"/>
      <c r="T473" s="44" t="n">
        <f aca="false">AU114</f>
        <v>0.65</v>
      </c>
      <c r="U473" s="44"/>
      <c r="V473" s="67" t="n">
        <f aca="false">BH114</f>
        <v>0</v>
      </c>
      <c r="W473" s="67"/>
      <c r="X473" s="67" t="n">
        <f aca="false">BI114</f>
        <v>0</v>
      </c>
      <c r="Y473" s="67"/>
      <c r="Z473" s="68" t="n">
        <f aca="false">BK114</f>
        <v>0</v>
      </c>
      <c r="AA473" s="68"/>
      <c r="AB473" s="68"/>
      <c r="AC473" s="69" t="n">
        <f aca="false">BM114</f>
        <v>0</v>
      </c>
      <c r="AD473" s="69"/>
      <c r="AE473" s="69"/>
      <c r="AF473" s="12"/>
    </row>
    <row r="474" customFormat="false" ht="14.25" hidden="false" customHeight="false" outlineLevel="0" collapsed="false">
      <c r="B474" s="7"/>
      <c r="C474" s="46" t="n">
        <v>33</v>
      </c>
      <c r="D474" s="46"/>
      <c r="E474" s="44" t="n">
        <f aca="false">AI115</f>
        <v>48</v>
      </c>
      <c r="F474" s="44"/>
      <c r="G474" s="44"/>
      <c r="H474" s="41" t="str">
        <f aca="false">AM115</f>
        <v>Sand</v>
      </c>
      <c r="I474" s="41"/>
      <c r="J474" s="41"/>
      <c r="K474" s="42" t="n">
        <f aca="false">AQ115</f>
        <v>500</v>
      </c>
      <c r="L474" s="42"/>
      <c r="M474" s="42"/>
      <c r="N474" s="42" t="n">
        <f aca="false">BC115</f>
        <v>96.1260553748583</v>
      </c>
      <c r="O474" s="42"/>
      <c r="P474" s="42"/>
      <c r="Q474" s="55" t="n">
        <f aca="false">BJ115</f>
        <v>0</v>
      </c>
      <c r="R474" s="55"/>
      <c r="S474" s="55"/>
      <c r="T474" s="44" t="n">
        <f aca="false">AU115</f>
        <v>0.65</v>
      </c>
      <c r="U474" s="44"/>
      <c r="V474" s="67" t="n">
        <f aca="false">BH115</f>
        <v>0</v>
      </c>
      <c r="W474" s="67"/>
      <c r="X474" s="67" t="n">
        <f aca="false">BI115</f>
        <v>0</v>
      </c>
      <c r="Y474" s="67"/>
      <c r="Z474" s="68" t="n">
        <f aca="false">BK115</f>
        <v>0</v>
      </c>
      <c r="AA474" s="68"/>
      <c r="AB474" s="68"/>
      <c r="AC474" s="69" t="n">
        <f aca="false">BM115</f>
        <v>0</v>
      </c>
      <c r="AD474" s="69"/>
      <c r="AE474" s="69"/>
      <c r="AF474" s="12"/>
    </row>
    <row r="475" customFormat="false" ht="14.25" hidden="false" customHeight="false" outlineLevel="0" collapsed="false">
      <c r="B475" s="7"/>
      <c r="C475" s="46" t="n">
        <v>34</v>
      </c>
      <c r="D475" s="46"/>
      <c r="E475" s="44" t="n">
        <f aca="false">AI116</f>
        <v>49.5</v>
      </c>
      <c r="F475" s="44"/>
      <c r="G475" s="44"/>
      <c r="H475" s="41" t="str">
        <f aca="false">AM116</f>
        <v>Sand</v>
      </c>
      <c r="I475" s="41"/>
      <c r="J475" s="41"/>
      <c r="K475" s="42" t="n">
        <f aca="false">AQ116</f>
        <v>513.5</v>
      </c>
      <c r="L475" s="42"/>
      <c r="M475" s="42"/>
      <c r="N475" s="42" t="n">
        <f aca="false">BC116</f>
        <v>94.379432156388</v>
      </c>
      <c r="O475" s="42"/>
      <c r="P475" s="42"/>
      <c r="Q475" s="55" t="n">
        <f aca="false">BJ116</f>
        <v>0</v>
      </c>
      <c r="R475" s="55"/>
      <c r="S475" s="55"/>
      <c r="T475" s="44" t="n">
        <f aca="false">AU116</f>
        <v>0.65</v>
      </c>
      <c r="U475" s="44"/>
      <c r="V475" s="67" t="n">
        <f aca="false">BH116</f>
        <v>0</v>
      </c>
      <c r="W475" s="67"/>
      <c r="X475" s="67" t="n">
        <f aca="false">BI116</f>
        <v>0</v>
      </c>
      <c r="Y475" s="67"/>
      <c r="Z475" s="68" t="n">
        <f aca="false">BK116</f>
        <v>0</v>
      </c>
      <c r="AA475" s="68"/>
      <c r="AB475" s="68"/>
      <c r="AC475" s="69" t="n">
        <f aca="false">BM116</f>
        <v>0</v>
      </c>
      <c r="AD475" s="69"/>
      <c r="AE475" s="69"/>
      <c r="AF475" s="12"/>
    </row>
    <row r="476" customFormat="false" ht="14.25" hidden="false" customHeight="false" outlineLevel="0" collapsed="false">
      <c r="B476" s="7"/>
      <c r="C476" s="46" t="n">
        <v>35</v>
      </c>
      <c r="D476" s="46"/>
      <c r="E476" s="44" t="n">
        <f aca="false">AI117</f>
        <v>51</v>
      </c>
      <c r="F476" s="44"/>
      <c r="G476" s="44"/>
      <c r="H476" s="41" t="str">
        <f aca="false">AM117</f>
        <v>Sand</v>
      </c>
      <c r="I476" s="41"/>
      <c r="J476" s="41"/>
      <c r="K476" s="42" t="n">
        <f aca="false">AQ117</f>
        <v>527</v>
      </c>
      <c r="L476" s="42"/>
      <c r="M476" s="42"/>
      <c r="N476" s="42" t="n">
        <f aca="false">BC117</f>
        <v>92.657524576064</v>
      </c>
      <c r="O476" s="42"/>
      <c r="P476" s="42"/>
      <c r="Q476" s="55" t="n">
        <f aca="false">BJ117</f>
        <v>0</v>
      </c>
      <c r="R476" s="55"/>
      <c r="S476" s="55"/>
      <c r="T476" s="44" t="n">
        <f aca="false">AU117</f>
        <v>0.65</v>
      </c>
      <c r="U476" s="44"/>
      <c r="V476" s="67" t="n">
        <f aca="false">BH117</f>
        <v>0</v>
      </c>
      <c r="W476" s="67"/>
      <c r="X476" s="67" t="n">
        <f aca="false">BI117</f>
        <v>0</v>
      </c>
      <c r="Y476" s="67"/>
      <c r="Z476" s="68" t="n">
        <f aca="false">BK117</f>
        <v>0</v>
      </c>
      <c r="AA476" s="68"/>
      <c r="AB476" s="68"/>
      <c r="AC476" s="69" t="n">
        <f aca="false">BM117</f>
        <v>0</v>
      </c>
      <c r="AD476" s="69"/>
      <c r="AE476" s="69"/>
      <c r="AF476" s="12"/>
    </row>
    <row r="477" customFormat="false" ht="14.25" hidden="false" customHeight="false" outlineLevel="0" collapsed="false">
      <c r="B477" s="7"/>
      <c r="C477" s="46" t="n">
        <v>36</v>
      </c>
      <c r="D477" s="46"/>
      <c r="E477" s="44" t="n">
        <f aca="false">AI118</f>
        <v>52.5</v>
      </c>
      <c r="F477" s="44"/>
      <c r="G477" s="44"/>
      <c r="H477" s="41" t="str">
        <f aca="false">AM118</f>
        <v>Sand</v>
      </c>
      <c r="I477" s="41"/>
      <c r="J477" s="41"/>
      <c r="K477" s="42" t="n">
        <f aca="false">AQ118</f>
        <v>540.5</v>
      </c>
      <c r="L477" s="42"/>
      <c r="M477" s="42"/>
      <c r="N477" s="42" t="n">
        <f aca="false">BC118</f>
        <v>90.9616684860851</v>
      </c>
      <c r="O477" s="42"/>
      <c r="P477" s="42"/>
      <c r="Q477" s="55" t="n">
        <f aca="false">BJ118</f>
        <v>0</v>
      </c>
      <c r="R477" s="55"/>
      <c r="S477" s="55"/>
      <c r="T477" s="44" t="n">
        <f aca="false">AU118</f>
        <v>0.65</v>
      </c>
      <c r="U477" s="44"/>
      <c r="V477" s="67" t="n">
        <f aca="false">BH118</f>
        <v>0</v>
      </c>
      <c r="W477" s="67"/>
      <c r="X477" s="67" t="n">
        <f aca="false">BI118</f>
        <v>0</v>
      </c>
      <c r="Y477" s="67"/>
      <c r="Z477" s="68" t="n">
        <f aca="false">BK118</f>
        <v>0</v>
      </c>
      <c r="AA477" s="68"/>
      <c r="AB477" s="68"/>
      <c r="AC477" s="69" t="n">
        <f aca="false">BM118</f>
        <v>0</v>
      </c>
      <c r="AD477" s="69"/>
      <c r="AE477" s="69"/>
      <c r="AF477" s="12"/>
    </row>
    <row r="478" customFormat="false" ht="14.25" hidden="false" customHeight="false" outlineLevel="0" collapsed="false">
      <c r="B478" s="7"/>
      <c r="C478" s="46" t="n">
        <v>37</v>
      </c>
      <c r="D478" s="46"/>
      <c r="E478" s="44" t="n">
        <f aca="false">AI119</f>
        <v>54</v>
      </c>
      <c r="F478" s="44"/>
      <c r="G478" s="44"/>
      <c r="H478" s="41" t="str">
        <f aca="false">AM119</f>
        <v>Sand</v>
      </c>
      <c r="I478" s="41"/>
      <c r="J478" s="41"/>
      <c r="K478" s="42" t="n">
        <f aca="false">AQ119</f>
        <v>554</v>
      </c>
      <c r="L478" s="42"/>
      <c r="M478" s="42"/>
      <c r="N478" s="42" t="n">
        <f aca="false">BC119</f>
        <v>89.2929293261871</v>
      </c>
      <c r="O478" s="42"/>
      <c r="P478" s="42"/>
      <c r="Q478" s="55" t="n">
        <f aca="false">BJ119</f>
        <v>0</v>
      </c>
      <c r="R478" s="55"/>
      <c r="S478" s="55"/>
      <c r="T478" s="44" t="n">
        <f aca="false">AU119</f>
        <v>0.65</v>
      </c>
      <c r="U478" s="44"/>
      <c r="V478" s="67" t="n">
        <f aca="false">BH119</f>
        <v>0</v>
      </c>
      <c r="W478" s="67"/>
      <c r="X478" s="67" t="n">
        <f aca="false">BI119</f>
        <v>0</v>
      </c>
      <c r="Y478" s="67"/>
      <c r="Z478" s="68" t="n">
        <f aca="false">BK119</f>
        <v>0</v>
      </c>
      <c r="AA478" s="68"/>
      <c r="AB478" s="68"/>
      <c r="AC478" s="69" t="n">
        <f aca="false">BM119</f>
        <v>0</v>
      </c>
      <c r="AD478" s="69"/>
      <c r="AE478" s="69"/>
      <c r="AF478" s="12"/>
    </row>
    <row r="479" customFormat="false" ht="14.25" hidden="false" customHeight="false" outlineLevel="0" collapsed="false">
      <c r="B479" s="7"/>
      <c r="C479" s="46" t="n">
        <v>38</v>
      </c>
      <c r="D479" s="46"/>
      <c r="E479" s="44" t="n">
        <f aca="false">AI120</f>
        <v>55.5</v>
      </c>
      <c r="F479" s="44"/>
      <c r="G479" s="44"/>
      <c r="H479" s="41" t="str">
        <f aca="false">AM120</f>
        <v>Sand</v>
      </c>
      <c r="I479" s="41"/>
      <c r="J479" s="41"/>
      <c r="K479" s="42" t="n">
        <f aca="false">AQ120</f>
        <v>567.5</v>
      </c>
      <c r="L479" s="42"/>
      <c r="M479" s="42"/>
      <c r="N479" s="42" t="n">
        <f aca="false">BC120</f>
        <v>87.6521352527307</v>
      </c>
      <c r="O479" s="42"/>
      <c r="P479" s="42"/>
      <c r="Q479" s="55" t="n">
        <f aca="false">BJ120</f>
        <v>0</v>
      </c>
      <c r="R479" s="55"/>
      <c r="S479" s="55"/>
      <c r="T479" s="44" t="n">
        <f aca="false">AU120</f>
        <v>0.65</v>
      </c>
      <c r="U479" s="44"/>
      <c r="V479" s="67" t="n">
        <f aca="false">BH120</f>
        <v>0</v>
      </c>
      <c r="W479" s="67"/>
      <c r="X479" s="67" t="n">
        <f aca="false">BI120</f>
        <v>0</v>
      </c>
      <c r="Y479" s="67"/>
      <c r="Z479" s="68" t="n">
        <f aca="false">BK120</f>
        <v>0</v>
      </c>
      <c r="AA479" s="68"/>
      <c r="AB479" s="68"/>
      <c r="AC479" s="69" t="n">
        <f aca="false">BM120</f>
        <v>0</v>
      </c>
      <c r="AD479" s="69"/>
      <c r="AE479" s="69"/>
      <c r="AF479" s="12"/>
    </row>
    <row r="480" customFormat="false" ht="14.25" hidden="false" customHeight="false" outlineLevel="0" collapsed="false">
      <c r="B480" s="7"/>
      <c r="C480" s="46" t="n">
        <v>39</v>
      </c>
      <c r="D480" s="46"/>
      <c r="E480" s="44" t="n">
        <f aca="false">AI121</f>
        <v>57</v>
      </c>
      <c r="F480" s="44"/>
      <c r="G480" s="44"/>
      <c r="H480" s="41" t="str">
        <f aca="false">AM121</f>
        <v>Sand</v>
      </c>
      <c r="I480" s="41"/>
      <c r="J480" s="41"/>
      <c r="K480" s="42" t="n">
        <f aca="false">AQ121</f>
        <v>581</v>
      </c>
      <c r="L480" s="42"/>
      <c r="M480" s="42"/>
      <c r="N480" s="42" t="n">
        <f aca="false">BC121</f>
        <v>86.0399071706701</v>
      </c>
      <c r="O480" s="42"/>
      <c r="P480" s="42"/>
      <c r="Q480" s="55" t="n">
        <f aca="false">BJ121</f>
        <v>0</v>
      </c>
      <c r="R480" s="55"/>
      <c r="S480" s="55"/>
      <c r="T480" s="44" t="n">
        <f aca="false">AU121</f>
        <v>0.65</v>
      </c>
      <c r="U480" s="44"/>
      <c r="V480" s="67" t="n">
        <f aca="false">BH121</f>
        <v>0</v>
      </c>
      <c r="W480" s="67"/>
      <c r="X480" s="67" t="n">
        <f aca="false">BI121</f>
        <v>0</v>
      </c>
      <c r="Y480" s="67"/>
      <c r="Z480" s="68" t="n">
        <f aca="false">BK121</f>
        <v>0</v>
      </c>
      <c r="AA480" s="68"/>
      <c r="AB480" s="68"/>
      <c r="AC480" s="69" t="n">
        <f aca="false">BM121</f>
        <v>0</v>
      </c>
      <c r="AD480" s="69"/>
      <c r="AE480" s="69"/>
      <c r="AF480" s="12"/>
    </row>
    <row r="481" customFormat="false" ht="14.25" hidden="false" customHeight="false" outlineLevel="0" collapsed="false">
      <c r="B481" s="7"/>
      <c r="C481" s="46" t="n">
        <v>40</v>
      </c>
      <c r="D481" s="46"/>
      <c r="E481" s="44" t="n">
        <f aca="false">AI122</f>
        <v>58.5</v>
      </c>
      <c r="F481" s="44"/>
      <c r="G481" s="44"/>
      <c r="H481" s="41" t="str">
        <f aca="false">AM122</f>
        <v>Sand</v>
      </c>
      <c r="I481" s="41"/>
      <c r="J481" s="41"/>
      <c r="K481" s="42" t="n">
        <f aca="false">AQ122</f>
        <v>592.25</v>
      </c>
      <c r="L481" s="42"/>
      <c r="M481" s="42"/>
      <c r="N481" s="42" t="n">
        <f aca="false">BC122</f>
        <v>84.7185277966616</v>
      </c>
      <c r="O481" s="42"/>
      <c r="P481" s="42"/>
      <c r="Q481" s="55" t="n">
        <f aca="false">BJ122</f>
        <v>0</v>
      </c>
      <c r="R481" s="55"/>
      <c r="S481" s="55"/>
      <c r="T481" s="44" t="n">
        <f aca="false">AU122</f>
        <v>0.65</v>
      </c>
      <c r="U481" s="44"/>
      <c r="V481" s="67" t="n">
        <f aca="false">BH122</f>
        <v>0</v>
      </c>
      <c r="W481" s="67"/>
      <c r="X481" s="67" t="n">
        <f aca="false">BI122</f>
        <v>0</v>
      </c>
      <c r="Y481" s="67"/>
      <c r="Z481" s="68" t="n">
        <f aca="false">BK122</f>
        <v>0</v>
      </c>
      <c r="AA481" s="68"/>
      <c r="AB481" s="68"/>
      <c r="AC481" s="69" t="n">
        <f aca="false">BM122</f>
        <v>0</v>
      </c>
      <c r="AD481" s="69"/>
      <c r="AE481" s="69"/>
      <c r="AF481" s="12"/>
    </row>
    <row r="482" customFormat="false" ht="14.25" hidden="false" customHeight="false" outlineLevel="0" collapsed="false">
      <c r="B482" s="7"/>
      <c r="C482" s="60" t="n">
        <v>41</v>
      </c>
      <c r="D482" s="60"/>
      <c r="E482" s="61" t="n">
        <f aca="false">AI123</f>
        <v>59.5</v>
      </c>
      <c r="F482" s="61"/>
      <c r="G482" s="61"/>
      <c r="H482" s="48" t="str">
        <f aca="false">AM123</f>
        <v>Sand</v>
      </c>
      <c r="I482" s="48"/>
      <c r="J482" s="48"/>
      <c r="K482" s="49" t="n">
        <f aca="false">AQ123</f>
        <v>599</v>
      </c>
      <c r="L482" s="49"/>
      <c r="M482" s="49"/>
      <c r="N482" s="49" t="n">
        <f aca="false">BC123</f>
        <v>83.9354445039259</v>
      </c>
      <c r="O482" s="49"/>
      <c r="P482" s="49"/>
      <c r="Q482" s="62" t="n">
        <f aca="false">BJ123</f>
        <v>0</v>
      </c>
      <c r="R482" s="62"/>
      <c r="S482" s="62"/>
      <c r="T482" s="61" t="n">
        <f aca="false">AU123</f>
        <v>0.65</v>
      </c>
      <c r="U482" s="61"/>
      <c r="V482" s="70" t="n">
        <f aca="false">BH123</f>
        <v>0</v>
      </c>
      <c r="W482" s="70"/>
      <c r="X482" s="70" t="n">
        <f aca="false">BI123</f>
        <v>0</v>
      </c>
      <c r="Y482" s="70"/>
      <c r="Z482" s="71" t="n">
        <f aca="false">BK123</f>
        <v>0</v>
      </c>
      <c r="AA482" s="71"/>
      <c r="AB482" s="71"/>
      <c r="AC482" s="72" t="n">
        <f aca="false">BM123</f>
        <v>0</v>
      </c>
      <c r="AD482" s="72"/>
      <c r="AE482" s="72"/>
      <c r="AF482" s="12"/>
    </row>
    <row r="483" customFormat="false" ht="14.25" hidden="false" customHeight="false" outlineLevel="0" collapsed="false">
      <c r="B483" s="7"/>
      <c r="AF483" s="12"/>
    </row>
    <row r="484" customFormat="false" ht="14.25" hidden="false" customHeight="true" outlineLevel="0" collapsed="false">
      <c r="B484" s="7"/>
      <c r="C484" s="20" t="s">
        <v>305</v>
      </c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1" t="s">
        <v>306</v>
      </c>
      <c r="P484" s="21"/>
      <c r="Q484" s="21"/>
      <c r="R484" s="21"/>
      <c r="S484" s="21"/>
      <c r="T484" s="21"/>
      <c r="U484" s="21"/>
      <c r="V484" s="21"/>
      <c r="W484" s="21"/>
      <c r="X484" s="22" t="s">
        <v>307</v>
      </c>
      <c r="Y484" s="22"/>
      <c r="Z484" s="22"/>
      <c r="AA484" s="24" t="n">
        <f aca="false">SUM(BK83:BK123)</f>
        <v>67.0756461262632</v>
      </c>
      <c r="AB484" s="24"/>
      <c r="AC484" s="24"/>
      <c r="AD484" s="20" t="s">
        <v>45</v>
      </c>
      <c r="AE484" s="20"/>
      <c r="AF484" s="12"/>
    </row>
    <row r="485" customFormat="false" ht="14.25" hidden="false" customHeight="true" outlineLevel="0" collapsed="false">
      <c r="B485" s="7"/>
      <c r="C485" s="20" t="s">
        <v>308</v>
      </c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1" t="s">
        <v>309</v>
      </c>
      <c r="P485" s="21"/>
      <c r="Q485" s="21"/>
      <c r="R485" s="21"/>
      <c r="S485" s="21"/>
      <c r="T485" s="21"/>
      <c r="U485" s="21"/>
      <c r="V485" s="21"/>
      <c r="W485" s="21"/>
      <c r="X485" s="22" t="s">
        <v>310</v>
      </c>
      <c r="Y485" s="22"/>
      <c r="Z485" s="22"/>
      <c r="AA485" s="50" t="n">
        <f aca="false">MAX(BM83:BM123)</f>
        <v>0.0785142858186227</v>
      </c>
      <c r="AB485" s="50"/>
      <c r="AC485" s="50"/>
      <c r="AD485" s="20" t="s">
        <v>124</v>
      </c>
      <c r="AE485" s="20"/>
      <c r="AF485" s="12"/>
    </row>
    <row r="486" customFormat="false" ht="14.25" hidden="false" customHeight="false" outlineLevel="0" collapsed="false">
      <c r="B486" s="7"/>
      <c r="AF486" s="12"/>
    </row>
    <row r="487" customFormat="false" ht="14.25" hidden="false" customHeight="false" outlineLevel="0" collapsed="false">
      <c r="B487" s="7"/>
      <c r="AF487" s="12"/>
    </row>
    <row r="488" customFormat="false" ht="14.25" hidden="false" customHeight="false" outlineLevel="0" collapsed="false">
      <c r="B488" s="7"/>
      <c r="AF488" s="12"/>
    </row>
    <row r="489" customFormat="false" ht="14.25" hidden="false" customHeight="false" outlineLevel="0" collapsed="false">
      <c r="B489" s="7"/>
      <c r="AF489" s="12"/>
    </row>
    <row r="490" customFormat="false" ht="14.25" hidden="false" customHeight="false" outlineLevel="0" collapsed="false">
      <c r="B490" s="7"/>
      <c r="AF490" s="12"/>
    </row>
    <row r="491" customFormat="false" ht="14.25" hidden="false" customHeight="false" outlineLevel="0" collapsed="false">
      <c r="B491" s="7"/>
      <c r="AF491" s="12"/>
    </row>
    <row r="492" customFormat="false" ht="14.25" hidden="false" customHeight="false" outlineLevel="0" collapsed="false">
      <c r="B492" s="7"/>
      <c r="AF492" s="12"/>
    </row>
    <row r="493" customFormat="false" ht="14.25" hidden="false" customHeight="false" outlineLevel="0" collapsed="false">
      <c r="B493" s="7"/>
      <c r="AF493" s="12"/>
    </row>
    <row r="494" customFormat="false" ht="14.25" hidden="false" customHeight="false" outlineLevel="0" collapsed="false">
      <c r="B494" s="7"/>
      <c r="AF494" s="12"/>
    </row>
    <row r="495" customFormat="false" ht="14.25" hidden="false" customHeight="false" outlineLevel="0" collapsed="false">
      <c r="B495" s="7"/>
      <c r="AF495" s="12"/>
    </row>
    <row r="496" customFormat="false" ht="14.25" hidden="false" customHeight="false" outlineLevel="0" collapsed="false">
      <c r="B496" s="7"/>
      <c r="AF496" s="12"/>
    </row>
    <row r="497" customFormat="false" ht="14.25" hidden="false" customHeight="false" outlineLevel="0" collapsed="false">
      <c r="B497" s="7"/>
      <c r="AF497" s="12"/>
    </row>
    <row r="498" customFormat="false" ht="14.25" hidden="false" customHeight="false" outlineLevel="0" collapsed="false">
      <c r="B498" s="7"/>
      <c r="AF498" s="12"/>
    </row>
    <row r="499" customFormat="false" ht="14.25" hidden="false" customHeight="false" outlineLevel="0" collapsed="false">
      <c r="B499" s="7"/>
      <c r="AF499" s="12"/>
    </row>
    <row r="500" customFormat="false" ht="14.25" hidden="false" customHeight="false" outlineLevel="0" collapsed="false">
      <c r="B500" s="7"/>
      <c r="AF500" s="12"/>
    </row>
    <row r="501" customFormat="false" ht="14.25" hidden="false" customHeight="false" outlineLevel="0" collapsed="false">
      <c r="B501" s="7"/>
      <c r="AF501" s="12"/>
    </row>
    <row r="502" customFormat="false" ht="14.25" hidden="false" customHeight="false" outlineLevel="0" collapsed="false">
      <c r="B502" s="7"/>
      <c r="AF502" s="12"/>
    </row>
    <row r="503" customFormat="false" ht="14.25" hidden="false" customHeight="false" outlineLevel="0" collapsed="false">
      <c r="B503" s="7"/>
      <c r="AF503" s="12"/>
    </row>
    <row r="504" customFormat="false" ht="14.25" hidden="false" customHeight="false" outlineLevel="0" collapsed="false">
      <c r="B504" s="7"/>
      <c r="AF504" s="12"/>
    </row>
    <row r="505" customFormat="false" ht="14.25" hidden="false" customHeight="true" outlineLevel="0" collapsed="false">
      <c r="B505" s="36"/>
      <c r="C505" s="37"/>
      <c r="D505" s="37"/>
      <c r="E505" s="37"/>
      <c r="F505" s="37"/>
      <c r="G505" s="37"/>
      <c r="H505" s="37"/>
      <c r="I505" s="37"/>
      <c r="J505" s="37"/>
      <c r="K505" s="37"/>
      <c r="L505" s="37"/>
      <c r="M505" s="37"/>
      <c r="N505" s="37"/>
      <c r="O505" s="37"/>
      <c r="P505" s="37"/>
      <c r="Q505" s="37"/>
      <c r="R505" s="37"/>
      <c r="S505" s="37"/>
      <c r="T505" s="37"/>
      <c r="U505" s="37"/>
      <c r="V505" s="37"/>
      <c r="W505" s="37"/>
      <c r="X505" s="38" t="s">
        <v>93</v>
      </c>
      <c r="Y505" s="38"/>
      <c r="Z505" s="38"/>
      <c r="AA505" s="38"/>
      <c r="AB505" s="38" t="n">
        <v>7</v>
      </c>
      <c r="AC505" s="38"/>
      <c r="AD505" s="38"/>
      <c r="AE505" s="38"/>
      <c r="AF505" s="39"/>
    </row>
    <row r="506" customFormat="false" ht="14.25" hidden="false" customHeight="true" outlineLevel="0" collapsed="false">
      <c r="B506" s="1"/>
      <c r="C506" s="2" t="s">
        <v>0</v>
      </c>
      <c r="D506" s="2"/>
      <c r="E506" s="2"/>
      <c r="F506" s="2"/>
      <c r="G506" s="2"/>
      <c r="H506" s="3" t="s">
        <v>1</v>
      </c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4" t="s">
        <v>2</v>
      </c>
      <c r="Y506" s="4"/>
      <c r="Z506" s="4"/>
      <c r="AA506" s="4"/>
      <c r="AB506" s="5" t="s">
        <v>3</v>
      </c>
      <c r="AC506" s="5"/>
      <c r="AD506" s="5"/>
      <c r="AE506" s="5"/>
      <c r="AF506" s="6"/>
    </row>
    <row r="507" customFormat="false" ht="14.25" hidden="false" customHeight="true" outlineLevel="0" collapsed="false">
      <c r="B507" s="7"/>
      <c r="C507" s="8" t="s">
        <v>4</v>
      </c>
      <c r="D507" s="8"/>
      <c r="E507" s="8"/>
      <c r="F507" s="8"/>
      <c r="G507" s="8"/>
      <c r="H507" s="9" t="s">
        <v>5</v>
      </c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10" t="s">
        <v>6</v>
      </c>
      <c r="Y507" s="10"/>
      <c r="Z507" s="10"/>
      <c r="AA507" s="10"/>
      <c r="AB507" s="11" t="n">
        <v>46301</v>
      </c>
      <c r="AC507" s="11"/>
      <c r="AD507" s="11"/>
      <c r="AE507" s="11"/>
      <c r="AF507" s="12"/>
    </row>
    <row r="508" customFormat="false" ht="14.25" hidden="false" customHeight="true" outlineLevel="0" collapsed="false">
      <c r="B508" s="7"/>
      <c r="C508" s="8" t="s">
        <v>7</v>
      </c>
      <c r="D508" s="8"/>
      <c r="E508" s="8"/>
      <c r="F508" s="8"/>
      <c r="G508" s="8"/>
      <c r="H508" s="9" t="s">
        <v>333</v>
      </c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10" t="s">
        <v>9</v>
      </c>
      <c r="Y508" s="10"/>
      <c r="Z508" s="10"/>
      <c r="AA508" s="10"/>
      <c r="AB508" s="11" t="s">
        <v>3</v>
      </c>
      <c r="AC508" s="11"/>
      <c r="AD508" s="11"/>
      <c r="AE508" s="11"/>
      <c r="AF508" s="12"/>
    </row>
    <row r="509" customFormat="false" ht="14.25" hidden="false" customHeight="true" outlineLevel="0" collapsed="false">
      <c r="B509" s="13"/>
      <c r="C509" s="14" t="s">
        <v>10</v>
      </c>
      <c r="D509" s="14"/>
      <c r="E509" s="14"/>
      <c r="F509" s="14"/>
      <c r="G509" s="14"/>
      <c r="H509" s="15" t="s">
        <v>134</v>
      </c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6" t="s">
        <v>12</v>
      </c>
      <c r="Y509" s="16"/>
      <c r="Z509" s="16"/>
      <c r="AA509" s="16"/>
      <c r="AB509" s="17" t="n">
        <v>46301</v>
      </c>
      <c r="AC509" s="17"/>
      <c r="AD509" s="17"/>
      <c r="AE509" s="17"/>
      <c r="AF509" s="18"/>
    </row>
    <row r="510" customFormat="false" ht="14.25" hidden="false" customHeight="false" outlineLevel="0" collapsed="false">
      <c r="B510" s="7"/>
      <c r="AF510" s="12"/>
    </row>
    <row r="511" customFormat="false" ht="14.25" hidden="false" customHeight="false" outlineLevel="0" collapsed="false">
      <c r="B511" s="7"/>
      <c r="C511" s="9" t="s">
        <v>311</v>
      </c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9"/>
      <c r="AF511" s="12"/>
    </row>
    <row r="512" customFormat="false" ht="14.25" hidden="false" customHeight="false" outlineLevel="0" collapsed="false">
      <c r="B512" s="7"/>
      <c r="AF512" s="12"/>
    </row>
    <row r="513" customFormat="false" ht="14.25" hidden="false" customHeight="true" outlineLevel="0" collapsed="false">
      <c r="B513" s="7"/>
      <c r="C513" s="20" t="s">
        <v>312</v>
      </c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1"/>
      <c r="P513" s="21"/>
      <c r="Q513" s="21"/>
      <c r="R513" s="21"/>
      <c r="S513" s="21"/>
      <c r="T513" s="21"/>
      <c r="U513" s="21"/>
      <c r="V513" s="21"/>
      <c r="W513" s="21"/>
      <c r="X513" s="22" t="s">
        <v>248</v>
      </c>
      <c r="Y513" s="22"/>
      <c r="Z513" s="22"/>
      <c r="AA513" s="51" t="n">
        <f aca="false">$AA$185</f>
        <v>2792.74220809861</v>
      </c>
      <c r="AB513" s="51"/>
      <c r="AC513" s="51"/>
      <c r="AD513" s="20" t="s">
        <v>26</v>
      </c>
      <c r="AE513" s="20"/>
      <c r="AF513" s="12"/>
    </row>
    <row r="514" customFormat="false" ht="14.25" hidden="false" customHeight="false" outlineLevel="0" collapsed="false">
      <c r="B514" s="7"/>
      <c r="C514" s="20" t="s">
        <v>280</v>
      </c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X514" s="73" t="str">
        <f aca="false">$X$189</f>
        <v>qall ≥ q …. OK!!</v>
      </c>
      <c r="Y514" s="73"/>
      <c r="Z514" s="73"/>
      <c r="AA514" s="73"/>
      <c r="AB514" s="73"/>
      <c r="AC514" s="73"/>
      <c r="AD514" s="73"/>
      <c r="AE514" s="73"/>
      <c r="AF514" s="12"/>
    </row>
    <row r="515" customFormat="false" ht="14.25" hidden="false" customHeight="true" outlineLevel="0" collapsed="false">
      <c r="B515" s="7"/>
      <c r="C515" s="20" t="s">
        <v>313</v>
      </c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1" t="s">
        <v>314</v>
      </c>
      <c r="P515" s="21"/>
      <c r="Q515" s="21"/>
      <c r="R515" s="21"/>
      <c r="S515" s="21"/>
      <c r="T515" s="21"/>
      <c r="U515" s="21"/>
      <c r="V515" s="21"/>
      <c r="W515" s="21"/>
      <c r="X515" s="22" t="s">
        <v>248</v>
      </c>
      <c r="Y515" s="22"/>
      <c r="Z515" s="22"/>
      <c r="AA515" s="51" t="n">
        <f aca="false">$AA$204</f>
        <v>2792.74220809861</v>
      </c>
      <c r="AB515" s="51"/>
      <c r="AC515" s="51"/>
      <c r="AD515" s="20" t="s">
        <v>26</v>
      </c>
      <c r="AE515" s="20"/>
      <c r="AF515" s="12"/>
    </row>
    <row r="516" customFormat="false" ht="14.25" hidden="false" customHeight="false" outlineLevel="0" collapsed="false">
      <c r="B516" s="7"/>
      <c r="C516" s="20" t="s">
        <v>280</v>
      </c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X516" s="73" t="str">
        <f aca="false">$X$208</f>
        <v>qall ≥ q …. OK!!</v>
      </c>
      <c r="Y516" s="73"/>
      <c r="Z516" s="73"/>
      <c r="AA516" s="73"/>
      <c r="AB516" s="73"/>
      <c r="AC516" s="73"/>
      <c r="AD516" s="73"/>
      <c r="AE516" s="73"/>
      <c r="AF516" s="12"/>
    </row>
    <row r="517" customFormat="false" ht="14.25" hidden="false" customHeight="true" outlineLevel="0" collapsed="false">
      <c r="B517" s="7"/>
      <c r="C517" s="20" t="s">
        <v>315</v>
      </c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1" t="s">
        <v>316</v>
      </c>
      <c r="P517" s="21"/>
      <c r="Q517" s="21"/>
      <c r="R517" s="21"/>
      <c r="S517" s="21"/>
      <c r="T517" s="21"/>
      <c r="U517" s="21"/>
      <c r="V517" s="21"/>
      <c r="W517" s="21"/>
      <c r="X517" s="22" t="s">
        <v>252</v>
      </c>
      <c r="Y517" s="22"/>
      <c r="Z517" s="22"/>
      <c r="AA517" s="50" t="str">
        <f aca="false">$AA$259</f>
        <v>n/a</v>
      </c>
      <c r="AB517" s="50"/>
      <c r="AC517" s="50"/>
      <c r="AD517" s="20" t="s">
        <v>38</v>
      </c>
      <c r="AE517" s="20"/>
      <c r="AF517" s="12"/>
    </row>
    <row r="518" customFormat="false" ht="14.25" hidden="false" customHeight="false" outlineLevel="0" collapsed="false">
      <c r="B518" s="7"/>
      <c r="C518" s="20" t="s">
        <v>280</v>
      </c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X518" s="73" t="str">
        <f aca="false">$X$260</f>
        <v>No soft layer - n/a</v>
      </c>
      <c r="Y518" s="73"/>
      <c r="Z518" s="73"/>
      <c r="AA518" s="73"/>
      <c r="AB518" s="73"/>
      <c r="AC518" s="73"/>
      <c r="AD518" s="73"/>
      <c r="AE518" s="73"/>
      <c r="AF518" s="12"/>
    </row>
    <row r="519" customFormat="false" ht="14.25" hidden="false" customHeight="true" outlineLevel="0" collapsed="false">
      <c r="B519" s="7"/>
      <c r="C519" s="20" t="s">
        <v>317</v>
      </c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1" t="s">
        <v>318</v>
      </c>
      <c r="P519" s="21"/>
      <c r="Q519" s="21"/>
      <c r="R519" s="21"/>
      <c r="S519" s="21"/>
      <c r="T519" s="21"/>
      <c r="U519" s="21"/>
      <c r="V519" s="21"/>
      <c r="W519" s="21"/>
      <c r="X519" s="22" t="s">
        <v>295</v>
      </c>
      <c r="Y519" s="22"/>
      <c r="Z519" s="22"/>
      <c r="AA519" s="51" t="n">
        <f aca="false">$AA$345</f>
        <v>138.716503245378</v>
      </c>
      <c r="AB519" s="51"/>
      <c r="AC519" s="51"/>
      <c r="AD519" s="20" t="s">
        <v>45</v>
      </c>
      <c r="AE519" s="20"/>
      <c r="AF519" s="12"/>
    </row>
    <row r="520" customFormat="false" ht="14.25" hidden="false" customHeight="true" outlineLevel="0" collapsed="false">
      <c r="B520" s="7"/>
      <c r="C520" s="20" t="s">
        <v>319</v>
      </c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1" t="s">
        <v>320</v>
      </c>
      <c r="P520" s="21"/>
      <c r="Q520" s="21"/>
      <c r="R520" s="21"/>
      <c r="S520" s="21"/>
      <c r="T520" s="21"/>
      <c r="U520" s="21"/>
      <c r="V520" s="21"/>
      <c r="W520" s="21"/>
      <c r="X520" s="22" t="s">
        <v>307</v>
      </c>
      <c r="Y520" s="22"/>
      <c r="Z520" s="22"/>
      <c r="AA520" s="51" t="n">
        <f aca="false">$AA$484</f>
        <v>67.0756461262632</v>
      </c>
      <c r="AB520" s="51"/>
      <c r="AC520" s="51"/>
      <c r="AD520" s="20" t="s">
        <v>45</v>
      </c>
      <c r="AE520" s="20"/>
      <c r="AF520" s="12"/>
    </row>
    <row r="521" customFormat="false" ht="14.25" hidden="false" customHeight="true" outlineLevel="0" collapsed="false">
      <c r="B521" s="7"/>
      <c r="C521" s="20" t="s">
        <v>123</v>
      </c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1" t="s">
        <v>320</v>
      </c>
      <c r="P521" s="21"/>
      <c r="Q521" s="21"/>
      <c r="R521" s="21"/>
      <c r="S521" s="21"/>
      <c r="T521" s="21"/>
      <c r="U521" s="21"/>
      <c r="V521" s="21"/>
      <c r="W521" s="21"/>
      <c r="X521" s="22" t="s">
        <v>310</v>
      </c>
      <c r="Y521" s="22"/>
      <c r="Z521" s="22"/>
      <c r="AA521" s="50" t="n">
        <f aca="false">$AA$485</f>
        <v>0.0785142858186227</v>
      </c>
      <c r="AB521" s="50"/>
      <c r="AC521" s="50"/>
      <c r="AD521" s="20" t="s">
        <v>124</v>
      </c>
      <c r="AE521" s="20"/>
      <c r="AF521" s="12"/>
    </row>
    <row r="522" customFormat="false" ht="14.25" hidden="false" customHeight="true" outlineLevel="0" collapsed="false">
      <c r="B522" s="7"/>
      <c r="C522" s="20" t="s">
        <v>321</v>
      </c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1" t="s">
        <v>322</v>
      </c>
      <c r="P522" s="21"/>
      <c r="Q522" s="21"/>
      <c r="R522" s="21"/>
      <c r="S522" s="21"/>
      <c r="T522" s="21"/>
      <c r="U522" s="21"/>
      <c r="V522" s="21"/>
      <c r="W522" s="21"/>
      <c r="X522" s="22" t="s">
        <v>323</v>
      </c>
      <c r="Y522" s="22"/>
      <c r="Z522" s="22"/>
      <c r="AA522" s="24" t="n">
        <f aca="false">$AA$345+$AA$484</f>
        <v>205.792149371642</v>
      </c>
      <c r="AB522" s="24"/>
      <c r="AC522" s="24"/>
      <c r="AD522" s="20" t="s">
        <v>45</v>
      </c>
      <c r="AE522" s="20"/>
      <c r="AF522" s="12"/>
    </row>
    <row r="523" customFormat="false" ht="14.25" hidden="true" customHeight="false" outlineLevel="0" collapsed="false">
      <c r="B523" s="7"/>
      <c r="C523" s="9" t="s">
        <v>324</v>
      </c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X523" s="64" t="str">
        <f aca="false">IF($AA$522&lt;=Input!$AA$22,"S ≤ S all …. OK!!","S &gt; S all …. NG!!")</f>
        <v>S &gt; S all …. NG!!</v>
      </c>
      <c r="Y523" s="64"/>
      <c r="Z523" s="64"/>
      <c r="AA523" s="64"/>
      <c r="AB523" s="64"/>
      <c r="AC523" s="64"/>
      <c r="AD523" s="64"/>
      <c r="AE523" s="64"/>
      <c r="AF523" s="12"/>
    </row>
    <row r="524" customFormat="false" ht="14.25" hidden="false" customHeight="false" outlineLevel="0" collapsed="false">
      <c r="B524" s="7"/>
      <c r="AF524" s="12"/>
    </row>
    <row r="525" customFormat="false" ht="14.25" hidden="false" customHeight="false" outlineLevel="0" collapsed="false">
      <c r="B525" s="7"/>
      <c r="C525" s="19" t="s">
        <v>325</v>
      </c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  <c r="AA525" s="19"/>
      <c r="AB525" s="19"/>
      <c r="AC525" s="19"/>
      <c r="AD525" s="19"/>
      <c r="AE525" s="19"/>
      <c r="AF525" s="12"/>
    </row>
    <row r="526" customFormat="false" ht="14.25" hidden="false" customHeight="false" outlineLevel="0" collapsed="false">
      <c r="B526" s="7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  <c r="AA526" s="19"/>
      <c r="AB526" s="19"/>
      <c r="AC526" s="19"/>
      <c r="AD526" s="19"/>
      <c r="AE526" s="19"/>
      <c r="AF526" s="12"/>
    </row>
    <row r="527" customFormat="false" ht="14.25" hidden="false" customHeight="false" outlineLevel="0" collapsed="false">
      <c r="B527" s="7"/>
      <c r="AF527" s="12"/>
    </row>
    <row r="528" customFormat="false" ht="14.25" hidden="false" customHeight="false" outlineLevel="0" collapsed="false">
      <c r="B528" s="7"/>
      <c r="C528" s="9" t="s">
        <v>339</v>
      </c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  <c r="AE528" s="9"/>
      <c r="AF528" s="12"/>
    </row>
    <row r="529" customFormat="false" ht="14.25" hidden="false" customHeight="false" outlineLevel="0" collapsed="false">
      <c r="B529" s="7"/>
      <c r="AF529" s="12"/>
    </row>
    <row r="530" customFormat="false" ht="14.25" hidden="false" customHeight="false" outlineLevel="0" collapsed="false">
      <c r="B530" s="7"/>
      <c r="AF530" s="12"/>
    </row>
    <row r="531" customFormat="false" ht="14.25" hidden="false" customHeight="false" outlineLevel="0" collapsed="false">
      <c r="B531" s="7"/>
      <c r="AF531" s="12"/>
    </row>
    <row r="532" customFormat="false" ht="14.25" hidden="false" customHeight="false" outlineLevel="0" collapsed="false">
      <c r="B532" s="7"/>
      <c r="AF532" s="12"/>
    </row>
    <row r="533" customFormat="false" ht="14.25" hidden="false" customHeight="false" outlineLevel="0" collapsed="false">
      <c r="B533" s="7"/>
      <c r="AF533" s="12"/>
    </row>
    <row r="534" customFormat="false" ht="14.25" hidden="false" customHeight="false" outlineLevel="0" collapsed="false">
      <c r="B534" s="7"/>
      <c r="AF534" s="12"/>
    </row>
    <row r="535" customFormat="false" ht="14.25" hidden="false" customHeight="false" outlineLevel="0" collapsed="false">
      <c r="B535" s="7"/>
      <c r="AF535" s="12"/>
    </row>
    <row r="536" customFormat="false" ht="14.25" hidden="false" customHeight="false" outlineLevel="0" collapsed="false">
      <c r="B536" s="7"/>
      <c r="AF536" s="12"/>
    </row>
    <row r="537" customFormat="false" ht="14.25" hidden="false" customHeight="false" outlineLevel="0" collapsed="false">
      <c r="B537" s="7"/>
      <c r="AF537" s="12"/>
    </row>
    <row r="538" customFormat="false" ht="14.25" hidden="false" customHeight="false" outlineLevel="0" collapsed="false">
      <c r="B538" s="7"/>
      <c r="AF538" s="12"/>
    </row>
    <row r="539" customFormat="false" ht="14.25" hidden="false" customHeight="false" outlineLevel="0" collapsed="false">
      <c r="B539" s="7"/>
      <c r="AF539" s="12"/>
    </row>
    <row r="540" customFormat="false" ht="14.25" hidden="false" customHeight="false" outlineLevel="0" collapsed="false">
      <c r="B540" s="7"/>
      <c r="AF540" s="12"/>
    </row>
    <row r="541" customFormat="false" ht="14.25" hidden="false" customHeight="false" outlineLevel="0" collapsed="false">
      <c r="B541" s="7"/>
      <c r="AF541" s="12"/>
    </row>
    <row r="542" customFormat="false" ht="14.25" hidden="false" customHeight="false" outlineLevel="0" collapsed="false">
      <c r="B542" s="7"/>
      <c r="AF542" s="12"/>
    </row>
    <row r="543" customFormat="false" ht="14.25" hidden="false" customHeight="false" outlineLevel="0" collapsed="false">
      <c r="B543" s="7"/>
      <c r="AF543" s="12"/>
    </row>
    <row r="544" customFormat="false" ht="14.25" hidden="false" customHeight="false" outlineLevel="0" collapsed="false">
      <c r="B544" s="7"/>
      <c r="AF544" s="12"/>
    </row>
    <row r="545" customFormat="false" ht="14.25" hidden="false" customHeight="false" outlineLevel="0" collapsed="false">
      <c r="B545" s="7"/>
      <c r="AF545" s="12"/>
    </row>
    <row r="546" customFormat="false" ht="14.25" hidden="false" customHeight="false" outlineLevel="0" collapsed="false">
      <c r="B546" s="7"/>
      <c r="AF546" s="12"/>
    </row>
    <row r="547" customFormat="false" ht="14.25" hidden="false" customHeight="false" outlineLevel="0" collapsed="false">
      <c r="B547" s="7"/>
      <c r="AF547" s="12"/>
    </row>
    <row r="548" customFormat="false" ht="14.25" hidden="false" customHeight="false" outlineLevel="0" collapsed="false">
      <c r="B548" s="7"/>
      <c r="AF548" s="12"/>
    </row>
    <row r="549" customFormat="false" ht="14.25" hidden="false" customHeight="false" outlineLevel="0" collapsed="false">
      <c r="B549" s="7"/>
      <c r="AF549" s="12"/>
    </row>
    <row r="550" customFormat="false" ht="14.25" hidden="false" customHeight="false" outlineLevel="0" collapsed="false">
      <c r="B550" s="7"/>
      <c r="AF550" s="12"/>
    </row>
    <row r="551" customFormat="false" ht="14.25" hidden="false" customHeight="false" outlineLevel="0" collapsed="false">
      <c r="B551" s="7"/>
      <c r="AF551" s="12"/>
    </row>
    <row r="552" customFormat="false" ht="14.25" hidden="false" customHeight="false" outlineLevel="0" collapsed="false">
      <c r="B552" s="7"/>
      <c r="AF552" s="12"/>
    </row>
    <row r="553" customFormat="false" ht="14.25" hidden="false" customHeight="false" outlineLevel="0" collapsed="false">
      <c r="B553" s="7"/>
      <c r="AF553" s="12"/>
    </row>
    <row r="554" customFormat="false" ht="14.25" hidden="false" customHeight="false" outlineLevel="0" collapsed="false">
      <c r="B554" s="7"/>
      <c r="AF554" s="12"/>
    </row>
    <row r="555" customFormat="false" ht="14.25" hidden="false" customHeight="false" outlineLevel="0" collapsed="false">
      <c r="B555" s="7"/>
      <c r="AF555" s="12"/>
    </row>
    <row r="556" customFormat="false" ht="14.25" hidden="false" customHeight="false" outlineLevel="0" collapsed="false">
      <c r="B556" s="7"/>
      <c r="AF556" s="12"/>
    </row>
    <row r="557" customFormat="false" ht="14.25" hidden="false" customHeight="false" outlineLevel="0" collapsed="false">
      <c r="B557" s="7"/>
      <c r="AF557" s="12"/>
    </row>
    <row r="558" customFormat="false" ht="14.25" hidden="false" customHeight="false" outlineLevel="0" collapsed="false">
      <c r="B558" s="7"/>
      <c r="AF558" s="12"/>
    </row>
    <row r="559" customFormat="false" ht="14.25" hidden="false" customHeight="false" outlineLevel="0" collapsed="false">
      <c r="B559" s="7"/>
      <c r="AF559" s="12"/>
    </row>
    <row r="560" customFormat="false" ht="14.25" hidden="false" customHeight="false" outlineLevel="0" collapsed="false">
      <c r="B560" s="7"/>
      <c r="AF560" s="12"/>
    </row>
    <row r="561" customFormat="false" ht="14.25" hidden="false" customHeight="false" outlineLevel="0" collapsed="false">
      <c r="B561" s="7"/>
      <c r="AF561" s="12"/>
    </row>
    <row r="562" customFormat="false" ht="14.25" hidden="false" customHeight="false" outlineLevel="0" collapsed="false">
      <c r="B562" s="7"/>
      <c r="AF562" s="12"/>
    </row>
    <row r="563" customFormat="false" ht="14.25" hidden="false" customHeight="false" outlineLevel="0" collapsed="false">
      <c r="B563" s="7"/>
      <c r="AF563" s="12"/>
    </row>
    <row r="564" customFormat="false" ht="14.25" hidden="false" customHeight="false" outlineLevel="0" collapsed="false">
      <c r="B564" s="7"/>
      <c r="AF564" s="12"/>
    </row>
    <row r="565" customFormat="false" ht="14.25" hidden="false" customHeight="false" outlineLevel="0" collapsed="false">
      <c r="B565" s="7"/>
      <c r="AF565" s="12"/>
    </row>
    <row r="566" customFormat="false" ht="14.25" hidden="false" customHeight="false" outlineLevel="0" collapsed="false">
      <c r="B566" s="7"/>
      <c r="AF566" s="12"/>
    </row>
    <row r="567" customFormat="false" ht="14.25" hidden="false" customHeight="false" outlineLevel="0" collapsed="false">
      <c r="B567" s="7"/>
      <c r="AF567" s="12"/>
    </row>
    <row r="568" customFormat="false" ht="14.25" hidden="false" customHeight="false" outlineLevel="0" collapsed="false">
      <c r="B568" s="7"/>
      <c r="AF568" s="12"/>
    </row>
    <row r="569" customFormat="false" ht="14.25" hidden="false" customHeight="false" outlineLevel="0" collapsed="false">
      <c r="B569" s="7"/>
      <c r="AF569" s="12"/>
    </row>
    <row r="570" customFormat="false" ht="14.25" hidden="false" customHeight="false" outlineLevel="0" collapsed="false">
      <c r="B570" s="7"/>
      <c r="AF570" s="12"/>
    </row>
    <row r="571" customFormat="false" ht="14.25" hidden="false" customHeight="false" outlineLevel="0" collapsed="false">
      <c r="B571" s="7"/>
      <c r="AF571" s="12"/>
    </row>
    <row r="572" customFormat="false" ht="14.25" hidden="false" customHeight="false" outlineLevel="0" collapsed="false">
      <c r="B572" s="7"/>
      <c r="AF572" s="12"/>
    </row>
    <row r="573" customFormat="false" ht="14.25" hidden="false" customHeight="false" outlineLevel="0" collapsed="false">
      <c r="B573" s="7"/>
      <c r="AF573" s="12"/>
    </row>
    <row r="574" customFormat="false" ht="14.25" hidden="false" customHeight="false" outlineLevel="0" collapsed="false">
      <c r="B574" s="7"/>
      <c r="AF574" s="12"/>
    </row>
    <row r="575" customFormat="false" ht="14.25" hidden="false" customHeight="false" outlineLevel="0" collapsed="false">
      <c r="B575" s="7"/>
      <c r="AF575" s="12"/>
    </row>
    <row r="576" customFormat="false" ht="14.25" hidden="false" customHeight="false" outlineLevel="0" collapsed="false">
      <c r="B576" s="7"/>
      <c r="AF576" s="12"/>
    </row>
    <row r="577" customFormat="false" ht="14.25" hidden="false" customHeight="true" outlineLevel="0" collapsed="false">
      <c r="B577" s="36"/>
      <c r="C577" s="37"/>
      <c r="D577" s="37"/>
      <c r="E577" s="37"/>
      <c r="F577" s="37"/>
      <c r="G577" s="37"/>
      <c r="H577" s="37"/>
      <c r="I577" s="37"/>
      <c r="J577" s="37"/>
      <c r="K577" s="37"/>
      <c r="L577" s="37"/>
      <c r="M577" s="37"/>
      <c r="N577" s="37"/>
      <c r="O577" s="37"/>
      <c r="P577" s="37"/>
      <c r="Q577" s="37"/>
      <c r="R577" s="37"/>
      <c r="S577" s="37"/>
      <c r="T577" s="37"/>
      <c r="U577" s="37"/>
      <c r="V577" s="37"/>
      <c r="W577" s="37"/>
      <c r="X577" s="38" t="s">
        <v>93</v>
      </c>
      <c r="Y577" s="38"/>
      <c r="Z577" s="38"/>
      <c r="AA577" s="38"/>
      <c r="AB577" s="38" t="n">
        <v>8</v>
      </c>
      <c r="AC577" s="38"/>
      <c r="AD577" s="38"/>
      <c r="AE577" s="38"/>
      <c r="AF577" s="39"/>
    </row>
  </sheetData>
  <mergeCells count="1932">
    <mergeCell ref="C2:G2"/>
    <mergeCell ref="H2:W2"/>
    <mergeCell ref="X2:AA2"/>
    <mergeCell ref="AB2:AE2"/>
    <mergeCell ref="C3:G3"/>
    <mergeCell ref="H3:W3"/>
    <mergeCell ref="X3:AA3"/>
    <mergeCell ref="AB3:AE3"/>
    <mergeCell ref="C4:G4"/>
    <mergeCell ref="H4:W4"/>
    <mergeCell ref="X4:AA4"/>
    <mergeCell ref="AB4:AE4"/>
    <mergeCell ref="C5:G5"/>
    <mergeCell ref="H5:W5"/>
    <mergeCell ref="X5:AA5"/>
    <mergeCell ref="AB5:AE5"/>
    <mergeCell ref="C7:AE7"/>
    <mergeCell ref="C8:AE8"/>
    <mergeCell ref="C9:AE9"/>
    <mergeCell ref="C11:AE11"/>
    <mergeCell ref="C12:N12"/>
    <mergeCell ref="O12:W12"/>
    <mergeCell ref="X12:Z12"/>
    <mergeCell ref="AA12:AC12"/>
    <mergeCell ref="AD12:AE12"/>
    <mergeCell ref="C13:N13"/>
    <mergeCell ref="O13:W13"/>
    <mergeCell ref="X13:Z13"/>
    <mergeCell ref="AA13:AC13"/>
    <mergeCell ref="AD13:AE13"/>
    <mergeCell ref="C14:N14"/>
    <mergeCell ref="O14:W14"/>
    <mergeCell ref="X14:Z14"/>
    <mergeCell ref="AA14:AC14"/>
    <mergeCell ref="AD14:AE14"/>
    <mergeCell ref="C15:N15"/>
    <mergeCell ref="O15:W15"/>
    <mergeCell ref="X15:Z15"/>
    <mergeCell ref="AA15:AC15"/>
    <mergeCell ref="AD15:AE15"/>
    <mergeCell ref="C16:N16"/>
    <mergeCell ref="O16:W16"/>
    <mergeCell ref="X16:Z16"/>
    <mergeCell ref="AA16:AC16"/>
    <mergeCell ref="AD16:AE16"/>
    <mergeCell ref="C17:N17"/>
    <mergeCell ref="O17:W17"/>
    <mergeCell ref="X17:Z17"/>
    <mergeCell ref="AA17:AC17"/>
    <mergeCell ref="AD17:AE17"/>
    <mergeCell ref="C19:AE19"/>
    <mergeCell ref="C20:N20"/>
    <mergeCell ref="O20:W20"/>
    <mergeCell ref="X20:Z20"/>
    <mergeCell ref="AA20:AC20"/>
    <mergeCell ref="AD20:AE20"/>
    <mergeCell ref="C21:N21"/>
    <mergeCell ref="O21:W21"/>
    <mergeCell ref="X21:Z21"/>
    <mergeCell ref="AA21:AC21"/>
    <mergeCell ref="AD21:AE21"/>
    <mergeCell ref="C22:N22"/>
    <mergeCell ref="O22:W22"/>
    <mergeCell ref="X22:Z22"/>
    <mergeCell ref="AA22:AC22"/>
    <mergeCell ref="AD22:AE22"/>
    <mergeCell ref="C23:N23"/>
    <mergeCell ref="O23:W23"/>
    <mergeCell ref="X23:Z23"/>
    <mergeCell ref="AA23:AC23"/>
    <mergeCell ref="AD23:AE23"/>
    <mergeCell ref="C41:AE41"/>
    <mergeCell ref="X73:AA73"/>
    <mergeCell ref="AB73:AE73"/>
    <mergeCell ref="C74:G74"/>
    <mergeCell ref="H74:W74"/>
    <mergeCell ref="X74:AA74"/>
    <mergeCell ref="AB74:AE74"/>
    <mergeCell ref="C75:G75"/>
    <mergeCell ref="H75:W75"/>
    <mergeCell ref="X75:AA75"/>
    <mergeCell ref="AB75:AE75"/>
    <mergeCell ref="C76:G76"/>
    <mergeCell ref="H76:W76"/>
    <mergeCell ref="X76:AA76"/>
    <mergeCell ref="AB76:AE76"/>
    <mergeCell ref="C77:G77"/>
    <mergeCell ref="H77:W77"/>
    <mergeCell ref="X77:AA77"/>
    <mergeCell ref="AB77:AE77"/>
    <mergeCell ref="C79:AE79"/>
    <mergeCell ref="C80:AE80"/>
    <mergeCell ref="C81:D81"/>
    <mergeCell ref="E81:G81"/>
    <mergeCell ref="H81:J81"/>
    <mergeCell ref="K81:M81"/>
    <mergeCell ref="N81:P81"/>
    <mergeCell ref="Q81:S81"/>
    <mergeCell ref="T81:U81"/>
    <mergeCell ref="V81:W81"/>
    <mergeCell ref="X81:Y81"/>
    <mergeCell ref="Z81:AB81"/>
    <mergeCell ref="AC81:AE81"/>
    <mergeCell ref="C82:D82"/>
    <mergeCell ref="E82:G82"/>
    <mergeCell ref="H82:J82"/>
    <mergeCell ref="K82:M82"/>
    <mergeCell ref="N82:P82"/>
    <mergeCell ref="Q82:S82"/>
    <mergeCell ref="T82:U82"/>
    <mergeCell ref="V82:W82"/>
    <mergeCell ref="X82:Y82"/>
    <mergeCell ref="Z82:AB82"/>
    <mergeCell ref="AC82:AE82"/>
    <mergeCell ref="C83:D83"/>
    <mergeCell ref="E83:G83"/>
    <mergeCell ref="H83:J83"/>
    <mergeCell ref="K83:M83"/>
    <mergeCell ref="N83:P83"/>
    <mergeCell ref="Q83:S83"/>
    <mergeCell ref="T83:U83"/>
    <mergeCell ref="V83:W83"/>
    <mergeCell ref="X83:Y83"/>
    <mergeCell ref="Z83:AB83"/>
    <mergeCell ref="AC83:AE83"/>
    <mergeCell ref="C84:D84"/>
    <mergeCell ref="E84:G84"/>
    <mergeCell ref="H84:J84"/>
    <mergeCell ref="K84:M84"/>
    <mergeCell ref="N84:P84"/>
    <mergeCell ref="Q84:S84"/>
    <mergeCell ref="T84:U84"/>
    <mergeCell ref="V84:W84"/>
    <mergeCell ref="X84:Y84"/>
    <mergeCell ref="Z84:AB84"/>
    <mergeCell ref="AC84:AE84"/>
    <mergeCell ref="C85:D85"/>
    <mergeCell ref="E85:G85"/>
    <mergeCell ref="H85:J85"/>
    <mergeCell ref="K85:M85"/>
    <mergeCell ref="N85:P85"/>
    <mergeCell ref="Q85:S85"/>
    <mergeCell ref="T85:U85"/>
    <mergeCell ref="V85:W85"/>
    <mergeCell ref="X85:Y85"/>
    <mergeCell ref="Z85:AB85"/>
    <mergeCell ref="AC85:AE85"/>
    <mergeCell ref="C86:D86"/>
    <mergeCell ref="E86:G86"/>
    <mergeCell ref="H86:J86"/>
    <mergeCell ref="K86:M86"/>
    <mergeCell ref="N86:P86"/>
    <mergeCell ref="Q86:S86"/>
    <mergeCell ref="T86:U86"/>
    <mergeCell ref="V86:W86"/>
    <mergeCell ref="X86:Y86"/>
    <mergeCell ref="Z86:AB86"/>
    <mergeCell ref="AC86:AE86"/>
    <mergeCell ref="C87:D87"/>
    <mergeCell ref="E87:G87"/>
    <mergeCell ref="H87:J87"/>
    <mergeCell ref="K87:M87"/>
    <mergeCell ref="N87:P87"/>
    <mergeCell ref="Q87:S87"/>
    <mergeCell ref="T87:U87"/>
    <mergeCell ref="V87:W87"/>
    <mergeCell ref="X87:Y87"/>
    <mergeCell ref="Z87:AB87"/>
    <mergeCell ref="AC87:AE87"/>
    <mergeCell ref="C88:D88"/>
    <mergeCell ref="E88:G88"/>
    <mergeCell ref="H88:J88"/>
    <mergeCell ref="K88:M88"/>
    <mergeCell ref="N88:P88"/>
    <mergeCell ref="Q88:S88"/>
    <mergeCell ref="T88:U88"/>
    <mergeCell ref="V88:W88"/>
    <mergeCell ref="X88:Y88"/>
    <mergeCell ref="Z88:AB88"/>
    <mergeCell ref="AC88:AE88"/>
    <mergeCell ref="C89:D89"/>
    <mergeCell ref="E89:G89"/>
    <mergeCell ref="H89:J89"/>
    <mergeCell ref="K89:M89"/>
    <mergeCell ref="N89:P89"/>
    <mergeCell ref="Q89:S89"/>
    <mergeCell ref="T89:U89"/>
    <mergeCell ref="V89:W89"/>
    <mergeCell ref="X89:Y89"/>
    <mergeCell ref="Z89:AB89"/>
    <mergeCell ref="AC89:AE89"/>
    <mergeCell ref="C90:D90"/>
    <mergeCell ref="E90:G90"/>
    <mergeCell ref="H90:J90"/>
    <mergeCell ref="K90:M90"/>
    <mergeCell ref="N90:P90"/>
    <mergeCell ref="Q90:S90"/>
    <mergeCell ref="T90:U90"/>
    <mergeCell ref="V90:W90"/>
    <mergeCell ref="X90:Y90"/>
    <mergeCell ref="Z90:AB90"/>
    <mergeCell ref="AC90:AE90"/>
    <mergeCell ref="C91:D91"/>
    <mergeCell ref="E91:G91"/>
    <mergeCell ref="H91:J91"/>
    <mergeCell ref="K91:M91"/>
    <mergeCell ref="N91:P91"/>
    <mergeCell ref="Q91:S91"/>
    <mergeCell ref="T91:U91"/>
    <mergeCell ref="V91:W91"/>
    <mergeCell ref="X91:Y91"/>
    <mergeCell ref="Z91:AB91"/>
    <mergeCell ref="AC91:AE91"/>
    <mergeCell ref="C92:D92"/>
    <mergeCell ref="E92:G92"/>
    <mergeCell ref="H92:J92"/>
    <mergeCell ref="K92:M92"/>
    <mergeCell ref="N92:P92"/>
    <mergeCell ref="Q92:S92"/>
    <mergeCell ref="T92:U92"/>
    <mergeCell ref="V92:W92"/>
    <mergeCell ref="X92:Y92"/>
    <mergeCell ref="Z92:AB92"/>
    <mergeCell ref="AC92:AE92"/>
    <mergeCell ref="C93:D93"/>
    <mergeCell ref="E93:G93"/>
    <mergeCell ref="H93:J93"/>
    <mergeCell ref="K93:M93"/>
    <mergeCell ref="N93:P93"/>
    <mergeCell ref="Q93:S93"/>
    <mergeCell ref="T93:U93"/>
    <mergeCell ref="V93:W93"/>
    <mergeCell ref="X93:Y93"/>
    <mergeCell ref="Z93:AB93"/>
    <mergeCell ref="AC93:AE93"/>
    <mergeCell ref="C94:D94"/>
    <mergeCell ref="E94:G94"/>
    <mergeCell ref="H94:J94"/>
    <mergeCell ref="K94:M94"/>
    <mergeCell ref="N94:P94"/>
    <mergeCell ref="Q94:S94"/>
    <mergeCell ref="T94:U94"/>
    <mergeCell ref="V94:W94"/>
    <mergeCell ref="X94:Y94"/>
    <mergeCell ref="Z94:AB94"/>
    <mergeCell ref="AC94:AE94"/>
    <mergeCell ref="C95:D95"/>
    <mergeCell ref="E95:G95"/>
    <mergeCell ref="H95:J95"/>
    <mergeCell ref="K95:M95"/>
    <mergeCell ref="N95:P95"/>
    <mergeCell ref="Q95:S95"/>
    <mergeCell ref="T95:U95"/>
    <mergeCell ref="V95:W95"/>
    <mergeCell ref="X95:Y95"/>
    <mergeCell ref="Z95:AB95"/>
    <mergeCell ref="AC95:AE95"/>
    <mergeCell ref="C96:D96"/>
    <mergeCell ref="E96:G96"/>
    <mergeCell ref="H96:J96"/>
    <mergeCell ref="K96:M96"/>
    <mergeCell ref="N96:P96"/>
    <mergeCell ref="Q96:S96"/>
    <mergeCell ref="T96:U96"/>
    <mergeCell ref="V96:W96"/>
    <mergeCell ref="X96:Y96"/>
    <mergeCell ref="Z96:AB96"/>
    <mergeCell ref="AC96:AE96"/>
    <mergeCell ref="C97:D97"/>
    <mergeCell ref="E97:G97"/>
    <mergeCell ref="H97:J97"/>
    <mergeCell ref="K97:M97"/>
    <mergeCell ref="N97:P97"/>
    <mergeCell ref="Q97:S97"/>
    <mergeCell ref="T97:U97"/>
    <mergeCell ref="V97:W97"/>
    <mergeCell ref="X97:Y97"/>
    <mergeCell ref="Z97:AB97"/>
    <mergeCell ref="AC97:AE97"/>
    <mergeCell ref="C98:D98"/>
    <mergeCell ref="E98:G98"/>
    <mergeCell ref="H98:J98"/>
    <mergeCell ref="K98:M98"/>
    <mergeCell ref="N98:P98"/>
    <mergeCell ref="Q98:S98"/>
    <mergeCell ref="T98:U98"/>
    <mergeCell ref="V98:W98"/>
    <mergeCell ref="X98:Y98"/>
    <mergeCell ref="Z98:AB98"/>
    <mergeCell ref="AC98:AE98"/>
    <mergeCell ref="C99:D99"/>
    <mergeCell ref="E99:G99"/>
    <mergeCell ref="H99:J99"/>
    <mergeCell ref="K99:M99"/>
    <mergeCell ref="N99:P99"/>
    <mergeCell ref="Q99:S99"/>
    <mergeCell ref="T99:U99"/>
    <mergeCell ref="V99:W99"/>
    <mergeCell ref="X99:Y99"/>
    <mergeCell ref="Z99:AB99"/>
    <mergeCell ref="AC99:AE99"/>
    <mergeCell ref="C100:D100"/>
    <mergeCell ref="E100:G100"/>
    <mergeCell ref="H100:J100"/>
    <mergeCell ref="K100:M100"/>
    <mergeCell ref="N100:P100"/>
    <mergeCell ref="Q100:S100"/>
    <mergeCell ref="T100:U100"/>
    <mergeCell ref="V100:W100"/>
    <mergeCell ref="X100:Y100"/>
    <mergeCell ref="Z100:AB100"/>
    <mergeCell ref="AC100:AE100"/>
    <mergeCell ref="C101:D101"/>
    <mergeCell ref="E101:G101"/>
    <mergeCell ref="H101:J101"/>
    <mergeCell ref="K101:M101"/>
    <mergeCell ref="N101:P101"/>
    <mergeCell ref="Q101:S101"/>
    <mergeCell ref="T101:U101"/>
    <mergeCell ref="V101:W101"/>
    <mergeCell ref="X101:Y101"/>
    <mergeCell ref="Z101:AB101"/>
    <mergeCell ref="AC101:AE101"/>
    <mergeCell ref="C102:D102"/>
    <mergeCell ref="E102:G102"/>
    <mergeCell ref="H102:J102"/>
    <mergeCell ref="K102:M102"/>
    <mergeCell ref="N102:P102"/>
    <mergeCell ref="Q102:S102"/>
    <mergeCell ref="T102:U102"/>
    <mergeCell ref="V102:W102"/>
    <mergeCell ref="X102:Y102"/>
    <mergeCell ref="Z102:AB102"/>
    <mergeCell ref="AC102:AE102"/>
    <mergeCell ref="C103:D103"/>
    <mergeCell ref="E103:G103"/>
    <mergeCell ref="H103:J103"/>
    <mergeCell ref="K103:M103"/>
    <mergeCell ref="N103:P103"/>
    <mergeCell ref="Q103:S103"/>
    <mergeCell ref="T103:U103"/>
    <mergeCell ref="V103:W103"/>
    <mergeCell ref="X103:Y103"/>
    <mergeCell ref="Z103:AB103"/>
    <mergeCell ref="AC103:AE103"/>
    <mergeCell ref="C104:D104"/>
    <mergeCell ref="E104:G104"/>
    <mergeCell ref="H104:J104"/>
    <mergeCell ref="K104:M104"/>
    <mergeCell ref="N104:P104"/>
    <mergeCell ref="Q104:S104"/>
    <mergeCell ref="T104:U104"/>
    <mergeCell ref="V104:W104"/>
    <mergeCell ref="X104:Y104"/>
    <mergeCell ref="Z104:AB104"/>
    <mergeCell ref="AC104:AE104"/>
    <mergeCell ref="C105:D105"/>
    <mergeCell ref="E105:G105"/>
    <mergeCell ref="H105:J105"/>
    <mergeCell ref="K105:M105"/>
    <mergeCell ref="N105:P105"/>
    <mergeCell ref="Q105:S105"/>
    <mergeCell ref="T105:U105"/>
    <mergeCell ref="V105:W105"/>
    <mergeCell ref="X105:Y105"/>
    <mergeCell ref="Z105:AB105"/>
    <mergeCell ref="AC105:AE105"/>
    <mergeCell ref="C106:D106"/>
    <mergeCell ref="E106:G106"/>
    <mergeCell ref="H106:J106"/>
    <mergeCell ref="K106:M106"/>
    <mergeCell ref="N106:P106"/>
    <mergeCell ref="Q106:S106"/>
    <mergeCell ref="T106:U106"/>
    <mergeCell ref="V106:W106"/>
    <mergeCell ref="X106:Y106"/>
    <mergeCell ref="Z106:AB106"/>
    <mergeCell ref="AC106:AE106"/>
    <mergeCell ref="C107:D107"/>
    <mergeCell ref="E107:G107"/>
    <mergeCell ref="H107:J107"/>
    <mergeCell ref="K107:M107"/>
    <mergeCell ref="N107:P107"/>
    <mergeCell ref="Q107:S107"/>
    <mergeCell ref="T107:U107"/>
    <mergeCell ref="V107:W107"/>
    <mergeCell ref="X107:Y107"/>
    <mergeCell ref="Z107:AB107"/>
    <mergeCell ref="AC107:AE107"/>
    <mergeCell ref="C108:D108"/>
    <mergeCell ref="E108:G108"/>
    <mergeCell ref="H108:J108"/>
    <mergeCell ref="K108:M108"/>
    <mergeCell ref="N108:P108"/>
    <mergeCell ref="Q108:S108"/>
    <mergeCell ref="T108:U108"/>
    <mergeCell ref="V108:W108"/>
    <mergeCell ref="X108:Y108"/>
    <mergeCell ref="Z108:AB108"/>
    <mergeCell ref="AC108:AE108"/>
    <mergeCell ref="C109:D109"/>
    <mergeCell ref="E109:G109"/>
    <mergeCell ref="H109:J109"/>
    <mergeCell ref="K109:M109"/>
    <mergeCell ref="N109:P109"/>
    <mergeCell ref="Q109:S109"/>
    <mergeCell ref="T109:U109"/>
    <mergeCell ref="V109:W109"/>
    <mergeCell ref="X109:Y109"/>
    <mergeCell ref="Z109:AB109"/>
    <mergeCell ref="AC109:AE109"/>
    <mergeCell ref="C110:D110"/>
    <mergeCell ref="E110:G110"/>
    <mergeCell ref="H110:J110"/>
    <mergeCell ref="K110:M110"/>
    <mergeCell ref="N110:P110"/>
    <mergeCell ref="Q110:S110"/>
    <mergeCell ref="T110:U110"/>
    <mergeCell ref="V110:W110"/>
    <mergeCell ref="X110:Y110"/>
    <mergeCell ref="Z110:AB110"/>
    <mergeCell ref="AC110:AE110"/>
    <mergeCell ref="C111:D111"/>
    <mergeCell ref="E111:G111"/>
    <mergeCell ref="H111:J111"/>
    <mergeCell ref="K111:M111"/>
    <mergeCell ref="N111:P111"/>
    <mergeCell ref="Q111:S111"/>
    <mergeCell ref="T111:U111"/>
    <mergeCell ref="V111:W111"/>
    <mergeCell ref="X111:Y111"/>
    <mergeCell ref="Z111:AB111"/>
    <mergeCell ref="AC111:AE111"/>
    <mergeCell ref="C112:D112"/>
    <mergeCell ref="E112:G112"/>
    <mergeCell ref="H112:J112"/>
    <mergeCell ref="K112:M112"/>
    <mergeCell ref="N112:P112"/>
    <mergeCell ref="Q112:S112"/>
    <mergeCell ref="T112:U112"/>
    <mergeCell ref="V112:W112"/>
    <mergeCell ref="X112:Y112"/>
    <mergeCell ref="Z112:AB112"/>
    <mergeCell ref="AC112:AE112"/>
    <mergeCell ref="C113:D113"/>
    <mergeCell ref="E113:G113"/>
    <mergeCell ref="H113:J113"/>
    <mergeCell ref="K113:M113"/>
    <mergeCell ref="N113:P113"/>
    <mergeCell ref="Q113:S113"/>
    <mergeCell ref="T113:U113"/>
    <mergeCell ref="V113:W113"/>
    <mergeCell ref="X113:Y113"/>
    <mergeCell ref="Z113:AB113"/>
    <mergeCell ref="AC113:AE113"/>
    <mergeCell ref="C114:D114"/>
    <mergeCell ref="E114:G114"/>
    <mergeCell ref="H114:J114"/>
    <mergeCell ref="K114:M114"/>
    <mergeCell ref="N114:P114"/>
    <mergeCell ref="Q114:S114"/>
    <mergeCell ref="T114:U114"/>
    <mergeCell ref="V114:W114"/>
    <mergeCell ref="X114:Y114"/>
    <mergeCell ref="Z114:AB114"/>
    <mergeCell ref="AC114:AE114"/>
    <mergeCell ref="C115:D115"/>
    <mergeCell ref="E115:G115"/>
    <mergeCell ref="H115:J115"/>
    <mergeCell ref="K115:M115"/>
    <mergeCell ref="N115:P115"/>
    <mergeCell ref="Q115:S115"/>
    <mergeCell ref="T115:U115"/>
    <mergeCell ref="V115:W115"/>
    <mergeCell ref="X115:Y115"/>
    <mergeCell ref="Z115:AB115"/>
    <mergeCell ref="AC115:AE115"/>
    <mergeCell ref="C116:D116"/>
    <mergeCell ref="E116:G116"/>
    <mergeCell ref="H116:J116"/>
    <mergeCell ref="K116:M116"/>
    <mergeCell ref="N116:P116"/>
    <mergeCell ref="Q116:S116"/>
    <mergeCell ref="T116:U116"/>
    <mergeCell ref="V116:W116"/>
    <mergeCell ref="X116:Y116"/>
    <mergeCell ref="Z116:AB116"/>
    <mergeCell ref="AC116:AE116"/>
    <mergeCell ref="C117:D117"/>
    <mergeCell ref="E117:G117"/>
    <mergeCell ref="H117:J117"/>
    <mergeCell ref="K117:M117"/>
    <mergeCell ref="N117:P117"/>
    <mergeCell ref="Q117:S117"/>
    <mergeCell ref="T117:U117"/>
    <mergeCell ref="V117:W117"/>
    <mergeCell ref="X117:Y117"/>
    <mergeCell ref="Z117:AB117"/>
    <mergeCell ref="AC117:AE117"/>
    <mergeCell ref="C118:D118"/>
    <mergeCell ref="E118:G118"/>
    <mergeCell ref="H118:J118"/>
    <mergeCell ref="K118:M118"/>
    <mergeCell ref="N118:P118"/>
    <mergeCell ref="Q118:S118"/>
    <mergeCell ref="T118:U118"/>
    <mergeCell ref="V118:W118"/>
    <mergeCell ref="X118:Y118"/>
    <mergeCell ref="Z118:AB118"/>
    <mergeCell ref="AC118:AE118"/>
    <mergeCell ref="C119:D119"/>
    <mergeCell ref="E119:G119"/>
    <mergeCell ref="H119:J119"/>
    <mergeCell ref="K119:M119"/>
    <mergeCell ref="N119:P119"/>
    <mergeCell ref="Q119:S119"/>
    <mergeCell ref="T119:U119"/>
    <mergeCell ref="V119:W119"/>
    <mergeCell ref="X119:Y119"/>
    <mergeCell ref="Z119:AB119"/>
    <mergeCell ref="AC119:AE119"/>
    <mergeCell ref="C120:D120"/>
    <mergeCell ref="E120:G120"/>
    <mergeCell ref="H120:J120"/>
    <mergeCell ref="K120:M120"/>
    <mergeCell ref="N120:P120"/>
    <mergeCell ref="Q120:S120"/>
    <mergeCell ref="T120:U120"/>
    <mergeCell ref="V120:W120"/>
    <mergeCell ref="X120:Y120"/>
    <mergeCell ref="Z120:AB120"/>
    <mergeCell ref="AC120:AE120"/>
    <mergeCell ref="C121:D121"/>
    <mergeCell ref="E121:G121"/>
    <mergeCell ref="H121:J121"/>
    <mergeCell ref="K121:M121"/>
    <mergeCell ref="N121:P121"/>
    <mergeCell ref="Q121:S121"/>
    <mergeCell ref="T121:U121"/>
    <mergeCell ref="V121:W121"/>
    <mergeCell ref="X121:Y121"/>
    <mergeCell ref="Z121:AB121"/>
    <mergeCell ref="AC121:AE121"/>
    <mergeCell ref="C122:D122"/>
    <mergeCell ref="E122:G122"/>
    <mergeCell ref="H122:J122"/>
    <mergeCell ref="K122:M122"/>
    <mergeCell ref="N122:P122"/>
    <mergeCell ref="Q122:S122"/>
    <mergeCell ref="T122:U122"/>
    <mergeCell ref="V122:W122"/>
    <mergeCell ref="X122:Y122"/>
    <mergeCell ref="Z122:AB122"/>
    <mergeCell ref="AC122:AE122"/>
    <mergeCell ref="C123:D123"/>
    <mergeCell ref="E123:G123"/>
    <mergeCell ref="H123:J123"/>
    <mergeCell ref="K123:M123"/>
    <mergeCell ref="N123:P123"/>
    <mergeCell ref="Q123:S123"/>
    <mergeCell ref="T123:U123"/>
    <mergeCell ref="V123:W123"/>
    <mergeCell ref="X123:Y123"/>
    <mergeCell ref="Z123:AB123"/>
    <mergeCell ref="AC123:AE123"/>
    <mergeCell ref="C124:AE124"/>
    <mergeCell ref="C125:AE125"/>
    <mergeCell ref="X145:AA145"/>
    <mergeCell ref="AB145:AE145"/>
    <mergeCell ref="C146:G146"/>
    <mergeCell ref="H146:W146"/>
    <mergeCell ref="X146:AA146"/>
    <mergeCell ref="AB146:AE146"/>
    <mergeCell ref="C147:G147"/>
    <mergeCell ref="H147:W147"/>
    <mergeCell ref="X147:AA147"/>
    <mergeCell ref="AB147:AE147"/>
    <mergeCell ref="C148:G148"/>
    <mergeCell ref="H148:W148"/>
    <mergeCell ref="X148:AA148"/>
    <mergeCell ref="AB148:AE148"/>
    <mergeCell ref="C149:G149"/>
    <mergeCell ref="H149:W149"/>
    <mergeCell ref="X149:AA149"/>
    <mergeCell ref="AB149:AE149"/>
    <mergeCell ref="C151:AE151"/>
    <mergeCell ref="C152:AE152"/>
    <mergeCell ref="C153:AE153"/>
    <mergeCell ref="C154:AE154"/>
    <mergeCell ref="C155:AE155"/>
    <mergeCell ref="C156:AE156"/>
    <mergeCell ref="C170:AE170"/>
    <mergeCell ref="C172:AE172"/>
    <mergeCell ref="C173:N173"/>
    <mergeCell ref="O173:W173"/>
    <mergeCell ref="X173:Z173"/>
    <mergeCell ref="AA173:AC173"/>
    <mergeCell ref="AD173:AE173"/>
    <mergeCell ref="C174:N174"/>
    <mergeCell ref="O174:W174"/>
    <mergeCell ref="X174:Z174"/>
    <mergeCell ref="AA174:AC174"/>
    <mergeCell ref="AD174:AE174"/>
    <mergeCell ref="C175:N175"/>
    <mergeCell ref="O175:W175"/>
    <mergeCell ref="X175:Z175"/>
    <mergeCell ref="AA175:AC175"/>
    <mergeCell ref="AD175:AE175"/>
    <mergeCell ref="C176:N176"/>
    <mergeCell ref="O176:W176"/>
    <mergeCell ref="X176:Z176"/>
    <mergeCell ref="AA176:AC176"/>
    <mergeCell ref="AD176:AE176"/>
    <mergeCell ref="C177:N177"/>
    <mergeCell ref="O177:W177"/>
    <mergeCell ref="X177:Z177"/>
    <mergeCell ref="AA177:AC177"/>
    <mergeCell ref="AD177:AE177"/>
    <mergeCell ref="C178:N178"/>
    <mergeCell ref="O178:W178"/>
    <mergeCell ref="X178:Z178"/>
    <mergeCell ref="AA178:AC178"/>
    <mergeCell ref="AD178:AE178"/>
    <mergeCell ref="C179:N179"/>
    <mergeCell ref="O179:W179"/>
    <mergeCell ref="X179:Z179"/>
    <mergeCell ref="AA179:AC179"/>
    <mergeCell ref="AD179:AE179"/>
    <mergeCell ref="C180:N180"/>
    <mergeCell ref="O180:W180"/>
    <mergeCell ref="X180:Z180"/>
    <mergeCell ref="AA180:AC180"/>
    <mergeCell ref="AD180:AE180"/>
    <mergeCell ref="C181:N181"/>
    <mergeCell ref="O181:W181"/>
    <mergeCell ref="X181:Z181"/>
    <mergeCell ref="AA181:AC181"/>
    <mergeCell ref="AD181:AE181"/>
    <mergeCell ref="C182:N182"/>
    <mergeCell ref="O182:W182"/>
    <mergeCell ref="X182:Z182"/>
    <mergeCell ref="AA182:AC182"/>
    <mergeCell ref="AD182:AE182"/>
    <mergeCell ref="C183:N183"/>
    <mergeCell ref="O183:W183"/>
    <mergeCell ref="X183:Z183"/>
    <mergeCell ref="AA183:AC183"/>
    <mergeCell ref="AD183:AE183"/>
    <mergeCell ref="C184:N184"/>
    <mergeCell ref="O184:W184"/>
    <mergeCell ref="X184:Z184"/>
    <mergeCell ref="AA184:AC184"/>
    <mergeCell ref="AD184:AE184"/>
    <mergeCell ref="C185:N185"/>
    <mergeCell ref="O185:W185"/>
    <mergeCell ref="X185:Z185"/>
    <mergeCell ref="AA185:AC185"/>
    <mergeCell ref="AD185:AE185"/>
    <mergeCell ref="C186:N186"/>
    <mergeCell ref="O186:W186"/>
    <mergeCell ref="X186:Z186"/>
    <mergeCell ref="AA186:AC186"/>
    <mergeCell ref="AD186:AE186"/>
    <mergeCell ref="C187:N187"/>
    <mergeCell ref="O187:W187"/>
    <mergeCell ref="X187:Z187"/>
    <mergeCell ref="AA187:AC187"/>
    <mergeCell ref="AD187:AE187"/>
    <mergeCell ref="C188:N188"/>
    <mergeCell ref="O188:W188"/>
    <mergeCell ref="X188:Z188"/>
    <mergeCell ref="AA188:AC188"/>
    <mergeCell ref="AD188:AE188"/>
    <mergeCell ref="C189:N189"/>
    <mergeCell ref="X189:AE189"/>
    <mergeCell ref="C191:AE191"/>
    <mergeCell ref="C192:N192"/>
    <mergeCell ref="O192:W192"/>
    <mergeCell ref="X192:Z192"/>
    <mergeCell ref="AA192:AC192"/>
    <mergeCell ref="AD192:AE192"/>
    <mergeCell ref="C193:N193"/>
    <mergeCell ref="O193:W193"/>
    <mergeCell ref="X193:Z193"/>
    <mergeCell ref="AA193:AC193"/>
    <mergeCell ref="AD193:AE193"/>
    <mergeCell ref="C194:N194"/>
    <mergeCell ref="O194:W194"/>
    <mergeCell ref="X194:Z194"/>
    <mergeCell ref="AA194:AC194"/>
    <mergeCell ref="AD194:AE194"/>
    <mergeCell ref="C195:N195"/>
    <mergeCell ref="O195:W195"/>
    <mergeCell ref="X195:Z195"/>
    <mergeCell ref="AA195:AC195"/>
    <mergeCell ref="AD195:AE195"/>
    <mergeCell ref="C196:N196"/>
    <mergeCell ref="O196:W196"/>
    <mergeCell ref="X196:Z196"/>
    <mergeCell ref="AA196:AC196"/>
    <mergeCell ref="AD196:AE196"/>
    <mergeCell ref="C197:N197"/>
    <mergeCell ref="O197:W197"/>
    <mergeCell ref="X197:Z197"/>
    <mergeCell ref="AA197:AC197"/>
    <mergeCell ref="AD197:AE197"/>
    <mergeCell ref="C198:N198"/>
    <mergeCell ref="O198:W198"/>
    <mergeCell ref="X198:Z198"/>
    <mergeCell ref="AA198:AC198"/>
    <mergeCell ref="AD198:AE198"/>
    <mergeCell ref="C199:N199"/>
    <mergeCell ref="O199:W199"/>
    <mergeCell ref="X199:Z199"/>
    <mergeCell ref="AA199:AC199"/>
    <mergeCell ref="AD199:AE199"/>
    <mergeCell ref="C200:N200"/>
    <mergeCell ref="O200:W200"/>
    <mergeCell ref="X200:Z200"/>
    <mergeCell ref="AA200:AC200"/>
    <mergeCell ref="AD200:AE200"/>
    <mergeCell ref="C201:N201"/>
    <mergeCell ref="O201:W201"/>
    <mergeCell ref="X201:Z201"/>
    <mergeCell ref="AA201:AC201"/>
    <mergeCell ref="AD201:AE201"/>
    <mergeCell ref="C202:N202"/>
    <mergeCell ref="O202:W202"/>
    <mergeCell ref="X202:Z202"/>
    <mergeCell ref="AA202:AC202"/>
    <mergeCell ref="AD202:AE202"/>
    <mergeCell ref="C203:N203"/>
    <mergeCell ref="O203:W203"/>
    <mergeCell ref="X203:Z203"/>
    <mergeCell ref="AA203:AC203"/>
    <mergeCell ref="AD203:AE203"/>
    <mergeCell ref="C204:N204"/>
    <mergeCell ref="O204:W204"/>
    <mergeCell ref="X204:Z204"/>
    <mergeCell ref="AA204:AC204"/>
    <mergeCell ref="AD204:AE204"/>
    <mergeCell ref="C205:N205"/>
    <mergeCell ref="O205:W205"/>
    <mergeCell ref="X205:Z205"/>
    <mergeCell ref="AA205:AC205"/>
    <mergeCell ref="AD205:AE205"/>
    <mergeCell ref="C206:N206"/>
    <mergeCell ref="O206:W206"/>
    <mergeCell ref="X206:Z206"/>
    <mergeCell ref="AA206:AC206"/>
    <mergeCell ref="AD206:AE206"/>
    <mergeCell ref="C207:N207"/>
    <mergeCell ref="O207:W207"/>
    <mergeCell ref="X207:Z207"/>
    <mergeCell ref="AA207:AC207"/>
    <mergeCell ref="AD207:AE207"/>
    <mergeCell ref="C208:N208"/>
    <mergeCell ref="X208:AE208"/>
    <mergeCell ref="X217:AA217"/>
    <mergeCell ref="AB217:AE217"/>
    <mergeCell ref="C218:G218"/>
    <mergeCell ref="H218:W218"/>
    <mergeCell ref="X218:AA218"/>
    <mergeCell ref="AB218:AE218"/>
    <mergeCell ref="C219:G219"/>
    <mergeCell ref="H219:W219"/>
    <mergeCell ref="X219:AA219"/>
    <mergeCell ref="AB219:AE219"/>
    <mergeCell ref="C220:G220"/>
    <mergeCell ref="H220:W220"/>
    <mergeCell ref="X220:AA220"/>
    <mergeCell ref="AB220:AE220"/>
    <mergeCell ref="C221:G221"/>
    <mergeCell ref="H221:W221"/>
    <mergeCell ref="X221:AA221"/>
    <mergeCell ref="AB221:AE221"/>
    <mergeCell ref="C223:AE223"/>
    <mergeCell ref="C224:N224"/>
    <mergeCell ref="O224:W224"/>
    <mergeCell ref="X224:Z224"/>
    <mergeCell ref="AA224:AC224"/>
    <mergeCell ref="AD224:AE224"/>
    <mergeCell ref="C225:N225"/>
    <mergeCell ref="O225:W225"/>
    <mergeCell ref="X225:Z225"/>
    <mergeCell ref="AA225:AC225"/>
    <mergeCell ref="AD225:AE225"/>
    <mergeCell ref="C226:AE226"/>
    <mergeCell ref="C228:AE228"/>
    <mergeCell ref="C229:AE229"/>
    <mergeCell ref="C230:AE230"/>
    <mergeCell ref="C231:AE231"/>
    <mergeCell ref="C251:AE251"/>
    <mergeCell ref="C253:N253"/>
    <mergeCell ref="O253:W253"/>
    <mergeCell ref="X253:Z253"/>
    <mergeCell ref="AA253:AC253"/>
    <mergeCell ref="AD253:AE253"/>
    <mergeCell ref="C254:N254"/>
    <mergeCell ref="O254:W254"/>
    <mergeCell ref="X254:Z254"/>
    <mergeCell ref="AA254:AC254"/>
    <mergeCell ref="AD254:AE254"/>
    <mergeCell ref="C255:N255"/>
    <mergeCell ref="O255:W255"/>
    <mergeCell ref="X255:Z255"/>
    <mergeCell ref="AA255:AC255"/>
    <mergeCell ref="AD255:AE255"/>
    <mergeCell ref="C256:N256"/>
    <mergeCell ref="O256:W256"/>
    <mergeCell ref="X256:Z256"/>
    <mergeCell ref="AA256:AC256"/>
    <mergeCell ref="AD256:AE256"/>
    <mergeCell ref="C257:N257"/>
    <mergeCell ref="X257:AE257"/>
    <mergeCell ref="C258:N258"/>
    <mergeCell ref="O258:W258"/>
    <mergeCell ref="X258:Z258"/>
    <mergeCell ref="AA258:AC258"/>
    <mergeCell ref="AD258:AE258"/>
    <mergeCell ref="C259:N259"/>
    <mergeCell ref="O259:W259"/>
    <mergeCell ref="X259:Z259"/>
    <mergeCell ref="AA259:AC259"/>
    <mergeCell ref="AD259:AE259"/>
    <mergeCell ref="C260:N260"/>
    <mergeCell ref="X260:AE260"/>
    <mergeCell ref="C261:AE261"/>
    <mergeCell ref="X289:AA289"/>
    <mergeCell ref="AB289:AE289"/>
    <mergeCell ref="C290:G290"/>
    <mergeCell ref="H290:W290"/>
    <mergeCell ref="X290:AA290"/>
    <mergeCell ref="AB290:AE290"/>
    <mergeCell ref="C291:G291"/>
    <mergeCell ref="H291:W291"/>
    <mergeCell ref="X291:AA291"/>
    <mergeCell ref="AB291:AE291"/>
    <mergeCell ref="C292:G292"/>
    <mergeCell ref="H292:W292"/>
    <mergeCell ref="X292:AA292"/>
    <mergeCell ref="AB292:AE292"/>
    <mergeCell ref="C293:G293"/>
    <mergeCell ref="H293:W293"/>
    <mergeCell ref="X293:AA293"/>
    <mergeCell ref="AB293:AE293"/>
    <mergeCell ref="C295:AE295"/>
    <mergeCell ref="C296:AE296"/>
    <mergeCell ref="C297:AE297"/>
    <mergeCell ref="C298:AE298"/>
    <mergeCell ref="C299:AE299"/>
    <mergeCell ref="C300:AE300"/>
    <mergeCell ref="C301:D301"/>
    <mergeCell ref="E301:G301"/>
    <mergeCell ref="H301:J301"/>
    <mergeCell ref="K301:M301"/>
    <mergeCell ref="N301:P301"/>
    <mergeCell ref="Q301:R301"/>
    <mergeCell ref="S301:U301"/>
    <mergeCell ref="V301:X301"/>
    <mergeCell ref="Y301:Z301"/>
    <mergeCell ref="AA301:AB301"/>
    <mergeCell ref="AC301:AE301"/>
    <mergeCell ref="C302:D302"/>
    <mergeCell ref="E302:G302"/>
    <mergeCell ref="H302:J302"/>
    <mergeCell ref="K302:M302"/>
    <mergeCell ref="N302:P302"/>
    <mergeCell ref="Q302:R302"/>
    <mergeCell ref="S302:U302"/>
    <mergeCell ref="V302:X302"/>
    <mergeCell ref="Y302:Z302"/>
    <mergeCell ref="AA302:AB302"/>
    <mergeCell ref="AC302:AE302"/>
    <mergeCell ref="C303:D303"/>
    <mergeCell ref="E303:G303"/>
    <mergeCell ref="H303:J303"/>
    <mergeCell ref="K303:M303"/>
    <mergeCell ref="N303:P303"/>
    <mergeCell ref="Q303:R303"/>
    <mergeCell ref="S303:U303"/>
    <mergeCell ref="V303:X303"/>
    <mergeCell ref="Y303:Z303"/>
    <mergeCell ref="AA303:AB303"/>
    <mergeCell ref="AC303:AE303"/>
    <mergeCell ref="C304:D304"/>
    <mergeCell ref="E304:G304"/>
    <mergeCell ref="H304:J304"/>
    <mergeCell ref="K304:M304"/>
    <mergeCell ref="N304:P304"/>
    <mergeCell ref="Q304:R304"/>
    <mergeCell ref="S304:U304"/>
    <mergeCell ref="V304:X304"/>
    <mergeCell ref="Y304:Z304"/>
    <mergeCell ref="AA304:AB304"/>
    <mergeCell ref="AC304:AE304"/>
    <mergeCell ref="C305:D305"/>
    <mergeCell ref="E305:G305"/>
    <mergeCell ref="H305:J305"/>
    <mergeCell ref="K305:M305"/>
    <mergeCell ref="N305:P305"/>
    <mergeCell ref="Q305:R305"/>
    <mergeCell ref="S305:U305"/>
    <mergeCell ref="V305:X305"/>
    <mergeCell ref="Y305:Z305"/>
    <mergeCell ref="AA305:AB305"/>
    <mergeCell ref="AC305:AE305"/>
    <mergeCell ref="C306:D306"/>
    <mergeCell ref="E306:G306"/>
    <mergeCell ref="H306:J306"/>
    <mergeCell ref="K306:M306"/>
    <mergeCell ref="N306:P306"/>
    <mergeCell ref="Q306:R306"/>
    <mergeCell ref="S306:U306"/>
    <mergeCell ref="V306:X306"/>
    <mergeCell ref="Y306:Z306"/>
    <mergeCell ref="AA306:AB306"/>
    <mergeCell ref="AC306:AE306"/>
    <mergeCell ref="C307:D307"/>
    <mergeCell ref="E307:G307"/>
    <mergeCell ref="H307:J307"/>
    <mergeCell ref="K307:M307"/>
    <mergeCell ref="N307:P307"/>
    <mergeCell ref="Q307:R307"/>
    <mergeCell ref="S307:U307"/>
    <mergeCell ref="V307:X307"/>
    <mergeCell ref="Y307:Z307"/>
    <mergeCell ref="AA307:AB307"/>
    <mergeCell ref="AC307:AE307"/>
    <mergeCell ref="C308:D308"/>
    <mergeCell ref="E308:G308"/>
    <mergeCell ref="H308:J308"/>
    <mergeCell ref="K308:M308"/>
    <mergeCell ref="N308:P308"/>
    <mergeCell ref="Q308:R308"/>
    <mergeCell ref="S308:U308"/>
    <mergeCell ref="V308:X308"/>
    <mergeCell ref="Y308:Z308"/>
    <mergeCell ref="AA308:AB308"/>
    <mergeCell ref="AC308:AE308"/>
    <mergeCell ref="C309:D309"/>
    <mergeCell ref="E309:G309"/>
    <mergeCell ref="H309:J309"/>
    <mergeCell ref="K309:M309"/>
    <mergeCell ref="N309:P309"/>
    <mergeCell ref="Q309:R309"/>
    <mergeCell ref="S309:U309"/>
    <mergeCell ref="V309:X309"/>
    <mergeCell ref="Y309:Z309"/>
    <mergeCell ref="AA309:AB309"/>
    <mergeCell ref="AC309:AE309"/>
    <mergeCell ref="C310:D310"/>
    <mergeCell ref="E310:G310"/>
    <mergeCell ref="H310:J310"/>
    <mergeCell ref="K310:M310"/>
    <mergeCell ref="N310:P310"/>
    <mergeCell ref="Q310:R310"/>
    <mergeCell ref="S310:U310"/>
    <mergeCell ref="V310:X310"/>
    <mergeCell ref="Y310:Z310"/>
    <mergeCell ref="AA310:AB310"/>
    <mergeCell ref="AC310:AE310"/>
    <mergeCell ref="C311:D311"/>
    <mergeCell ref="E311:G311"/>
    <mergeCell ref="H311:J311"/>
    <mergeCell ref="K311:M311"/>
    <mergeCell ref="N311:P311"/>
    <mergeCell ref="Q311:R311"/>
    <mergeCell ref="S311:U311"/>
    <mergeCell ref="V311:X311"/>
    <mergeCell ref="Y311:Z311"/>
    <mergeCell ref="AA311:AB311"/>
    <mergeCell ref="AC311:AE311"/>
    <mergeCell ref="C312:D312"/>
    <mergeCell ref="E312:G312"/>
    <mergeCell ref="H312:J312"/>
    <mergeCell ref="K312:M312"/>
    <mergeCell ref="N312:P312"/>
    <mergeCell ref="Q312:R312"/>
    <mergeCell ref="S312:U312"/>
    <mergeCell ref="V312:X312"/>
    <mergeCell ref="Y312:Z312"/>
    <mergeCell ref="AA312:AB312"/>
    <mergeCell ref="AC312:AE312"/>
    <mergeCell ref="C313:D313"/>
    <mergeCell ref="E313:G313"/>
    <mergeCell ref="H313:J313"/>
    <mergeCell ref="K313:M313"/>
    <mergeCell ref="N313:P313"/>
    <mergeCell ref="Q313:R313"/>
    <mergeCell ref="S313:U313"/>
    <mergeCell ref="V313:X313"/>
    <mergeCell ref="Y313:Z313"/>
    <mergeCell ref="AA313:AB313"/>
    <mergeCell ref="AC313:AE313"/>
    <mergeCell ref="C314:D314"/>
    <mergeCell ref="E314:G314"/>
    <mergeCell ref="H314:J314"/>
    <mergeCell ref="K314:M314"/>
    <mergeCell ref="N314:P314"/>
    <mergeCell ref="Q314:R314"/>
    <mergeCell ref="S314:U314"/>
    <mergeCell ref="V314:X314"/>
    <mergeCell ref="Y314:Z314"/>
    <mergeCell ref="AA314:AB314"/>
    <mergeCell ref="AC314:AE314"/>
    <mergeCell ref="C315:D315"/>
    <mergeCell ref="E315:G315"/>
    <mergeCell ref="H315:J315"/>
    <mergeCell ref="K315:M315"/>
    <mergeCell ref="N315:P315"/>
    <mergeCell ref="Q315:R315"/>
    <mergeCell ref="S315:U315"/>
    <mergeCell ref="V315:X315"/>
    <mergeCell ref="Y315:Z315"/>
    <mergeCell ref="AA315:AB315"/>
    <mergeCell ref="AC315:AE315"/>
    <mergeCell ref="C316:D316"/>
    <mergeCell ref="E316:G316"/>
    <mergeCell ref="H316:J316"/>
    <mergeCell ref="K316:M316"/>
    <mergeCell ref="N316:P316"/>
    <mergeCell ref="Q316:R316"/>
    <mergeCell ref="S316:U316"/>
    <mergeCell ref="V316:X316"/>
    <mergeCell ref="Y316:Z316"/>
    <mergeCell ref="AA316:AB316"/>
    <mergeCell ref="AC316:AE316"/>
    <mergeCell ref="C317:D317"/>
    <mergeCell ref="E317:G317"/>
    <mergeCell ref="H317:J317"/>
    <mergeCell ref="K317:M317"/>
    <mergeCell ref="N317:P317"/>
    <mergeCell ref="Q317:R317"/>
    <mergeCell ref="S317:U317"/>
    <mergeCell ref="V317:X317"/>
    <mergeCell ref="Y317:Z317"/>
    <mergeCell ref="AA317:AB317"/>
    <mergeCell ref="AC317:AE317"/>
    <mergeCell ref="C318:D318"/>
    <mergeCell ref="E318:G318"/>
    <mergeCell ref="H318:J318"/>
    <mergeCell ref="K318:M318"/>
    <mergeCell ref="N318:P318"/>
    <mergeCell ref="Q318:R318"/>
    <mergeCell ref="S318:U318"/>
    <mergeCell ref="V318:X318"/>
    <mergeCell ref="Y318:Z318"/>
    <mergeCell ref="AA318:AB318"/>
    <mergeCell ref="AC318:AE318"/>
    <mergeCell ref="C319:D319"/>
    <mergeCell ref="E319:G319"/>
    <mergeCell ref="H319:J319"/>
    <mergeCell ref="K319:M319"/>
    <mergeCell ref="N319:P319"/>
    <mergeCell ref="Q319:R319"/>
    <mergeCell ref="S319:U319"/>
    <mergeCell ref="V319:X319"/>
    <mergeCell ref="Y319:Z319"/>
    <mergeCell ref="AA319:AB319"/>
    <mergeCell ref="AC319:AE319"/>
    <mergeCell ref="C320:D320"/>
    <mergeCell ref="E320:G320"/>
    <mergeCell ref="H320:J320"/>
    <mergeCell ref="K320:M320"/>
    <mergeCell ref="N320:P320"/>
    <mergeCell ref="Q320:R320"/>
    <mergeCell ref="S320:U320"/>
    <mergeCell ref="V320:X320"/>
    <mergeCell ref="Y320:Z320"/>
    <mergeCell ref="AA320:AB320"/>
    <mergeCell ref="AC320:AE320"/>
    <mergeCell ref="C321:D321"/>
    <mergeCell ref="E321:G321"/>
    <mergeCell ref="H321:J321"/>
    <mergeCell ref="K321:M321"/>
    <mergeCell ref="N321:P321"/>
    <mergeCell ref="Q321:R321"/>
    <mergeCell ref="S321:U321"/>
    <mergeCell ref="V321:X321"/>
    <mergeCell ref="Y321:Z321"/>
    <mergeCell ref="AA321:AB321"/>
    <mergeCell ref="AC321:AE321"/>
    <mergeCell ref="C322:D322"/>
    <mergeCell ref="E322:G322"/>
    <mergeCell ref="H322:J322"/>
    <mergeCell ref="K322:M322"/>
    <mergeCell ref="N322:P322"/>
    <mergeCell ref="Q322:R322"/>
    <mergeCell ref="S322:U322"/>
    <mergeCell ref="V322:X322"/>
    <mergeCell ref="Y322:Z322"/>
    <mergeCell ref="AA322:AB322"/>
    <mergeCell ref="AC322:AE322"/>
    <mergeCell ref="C323:D323"/>
    <mergeCell ref="E323:G323"/>
    <mergeCell ref="H323:J323"/>
    <mergeCell ref="K323:M323"/>
    <mergeCell ref="N323:P323"/>
    <mergeCell ref="Q323:R323"/>
    <mergeCell ref="S323:U323"/>
    <mergeCell ref="V323:X323"/>
    <mergeCell ref="Y323:Z323"/>
    <mergeCell ref="AA323:AB323"/>
    <mergeCell ref="AC323:AE323"/>
    <mergeCell ref="C324:D324"/>
    <mergeCell ref="E324:G324"/>
    <mergeCell ref="H324:J324"/>
    <mergeCell ref="K324:M324"/>
    <mergeCell ref="N324:P324"/>
    <mergeCell ref="Q324:R324"/>
    <mergeCell ref="S324:U324"/>
    <mergeCell ref="V324:X324"/>
    <mergeCell ref="Y324:Z324"/>
    <mergeCell ref="AA324:AB324"/>
    <mergeCell ref="AC324:AE324"/>
    <mergeCell ref="C325:D325"/>
    <mergeCell ref="E325:G325"/>
    <mergeCell ref="H325:J325"/>
    <mergeCell ref="K325:M325"/>
    <mergeCell ref="N325:P325"/>
    <mergeCell ref="Q325:R325"/>
    <mergeCell ref="S325:U325"/>
    <mergeCell ref="V325:X325"/>
    <mergeCell ref="Y325:Z325"/>
    <mergeCell ref="AA325:AB325"/>
    <mergeCell ref="AC325:AE325"/>
    <mergeCell ref="C326:D326"/>
    <mergeCell ref="E326:G326"/>
    <mergeCell ref="H326:J326"/>
    <mergeCell ref="K326:M326"/>
    <mergeCell ref="N326:P326"/>
    <mergeCell ref="Q326:R326"/>
    <mergeCell ref="S326:U326"/>
    <mergeCell ref="V326:X326"/>
    <mergeCell ref="Y326:Z326"/>
    <mergeCell ref="AA326:AB326"/>
    <mergeCell ref="AC326:AE326"/>
    <mergeCell ref="C327:D327"/>
    <mergeCell ref="E327:G327"/>
    <mergeCell ref="H327:J327"/>
    <mergeCell ref="K327:M327"/>
    <mergeCell ref="N327:P327"/>
    <mergeCell ref="Q327:R327"/>
    <mergeCell ref="S327:U327"/>
    <mergeCell ref="V327:X327"/>
    <mergeCell ref="Y327:Z327"/>
    <mergeCell ref="AA327:AB327"/>
    <mergeCell ref="AC327:AE327"/>
    <mergeCell ref="C328:D328"/>
    <mergeCell ref="E328:G328"/>
    <mergeCell ref="H328:J328"/>
    <mergeCell ref="K328:M328"/>
    <mergeCell ref="N328:P328"/>
    <mergeCell ref="Q328:R328"/>
    <mergeCell ref="S328:U328"/>
    <mergeCell ref="V328:X328"/>
    <mergeCell ref="Y328:Z328"/>
    <mergeCell ref="AA328:AB328"/>
    <mergeCell ref="AC328:AE328"/>
    <mergeCell ref="C329:D329"/>
    <mergeCell ref="E329:G329"/>
    <mergeCell ref="H329:J329"/>
    <mergeCell ref="K329:M329"/>
    <mergeCell ref="N329:P329"/>
    <mergeCell ref="Q329:R329"/>
    <mergeCell ref="S329:U329"/>
    <mergeCell ref="V329:X329"/>
    <mergeCell ref="Y329:Z329"/>
    <mergeCell ref="AA329:AB329"/>
    <mergeCell ref="AC329:AE329"/>
    <mergeCell ref="C330:D330"/>
    <mergeCell ref="E330:G330"/>
    <mergeCell ref="H330:J330"/>
    <mergeCell ref="K330:M330"/>
    <mergeCell ref="N330:P330"/>
    <mergeCell ref="Q330:R330"/>
    <mergeCell ref="S330:U330"/>
    <mergeCell ref="V330:X330"/>
    <mergeCell ref="Y330:Z330"/>
    <mergeCell ref="AA330:AB330"/>
    <mergeCell ref="AC330:AE330"/>
    <mergeCell ref="C331:D331"/>
    <mergeCell ref="E331:G331"/>
    <mergeCell ref="H331:J331"/>
    <mergeCell ref="K331:M331"/>
    <mergeCell ref="N331:P331"/>
    <mergeCell ref="Q331:R331"/>
    <mergeCell ref="S331:U331"/>
    <mergeCell ref="V331:X331"/>
    <mergeCell ref="Y331:Z331"/>
    <mergeCell ref="AA331:AB331"/>
    <mergeCell ref="AC331:AE331"/>
    <mergeCell ref="C332:D332"/>
    <mergeCell ref="E332:G332"/>
    <mergeCell ref="H332:J332"/>
    <mergeCell ref="K332:M332"/>
    <mergeCell ref="N332:P332"/>
    <mergeCell ref="Q332:R332"/>
    <mergeCell ref="S332:U332"/>
    <mergeCell ref="V332:X332"/>
    <mergeCell ref="Y332:Z332"/>
    <mergeCell ref="AA332:AB332"/>
    <mergeCell ref="AC332:AE332"/>
    <mergeCell ref="C333:D333"/>
    <mergeCell ref="E333:G333"/>
    <mergeCell ref="H333:J333"/>
    <mergeCell ref="K333:M333"/>
    <mergeCell ref="N333:P333"/>
    <mergeCell ref="Q333:R333"/>
    <mergeCell ref="S333:U333"/>
    <mergeCell ref="V333:X333"/>
    <mergeCell ref="Y333:Z333"/>
    <mergeCell ref="AA333:AB333"/>
    <mergeCell ref="AC333:AE333"/>
    <mergeCell ref="C334:D334"/>
    <mergeCell ref="E334:G334"/>
    <mergeCell ref="H334:J334"/>
    <mergeCell ref="K334:M334"/>
    <mergeCell ref="N334:P334"/>
    <mergeCell ref="Q334:R334"/>
    <mergeCell ref="S334:U334"/>
    <mergeCell ref="V334:X334"/>
    <mergeCell ref="Y334:Z334"/>
    <mergeCell ref="AA334:AB334"/>
    <mergeCell ref="AC334:AE334"/>
    <mergeCell ref="C335:D335"/>
    <mergeCell ref="E335:G335"/>
    <mergeCell ref="H335:J335"/>
    <mergeCell ref="K335:M335"/>
    <mergeCell ref="N335:P335"/>
    <mergeCell ref="Q335:R335"/>
    <mergeCell ref="S335:U335"/>
    <mergeCell ref="V335:X335"/>
    <mergeCell ref="Y335:Z335"/>
    <mergeCell ref="AA335:AB335"/>
    <mergeCell ref="AC335:AE335"/>
    <mergeCell ref="C336:D336"/>
    <mergeCell ref="E336:G336"/>
    <mergeCell ref="H336:J336"/>
    <mergeCell ref="K336:M336"/>
    <mergeCell ref="N336:P336"/>
    <mergeCell ref="Q336:R336"/>
    <mergeCell ref="S336:U336"/>
    <mergeCell ref="V336:X336"/>
    <mergeCell ref="Y336:Z336"/>
    <mergeCell ref="AA336:AB336"/>
    <mergeCell ref="AC336:AE336"/>
    <mergeCell ref="C337:D337"/>
    <mergeCell ref="E337:G337"/>
    <mergeCell ref="H337:J337"/>
    <mergeCell ref="K337:M337"/>
    <mergeCell ref="N337:P337"/>
    <mergeCell ref="Q337:R337"/>
    <mergeCell ref="S337:U337"/>
    <mergeCell ref="V337:X337"/>
    <mergeCell ref="Y337:Z337"/>
    <mergeCell ref="AA337:AB337"/>
    <mergeCell ref="AC337:AE337"/>
    <mergeCell ref="C338:D338"/>
    <mergeCell ref="E338:G338"/>
    <mergeCell ref="H338:J338"/>
    <mergeCell ref="K338:M338"/>
    <mergeCell ref="N338:P338"/>
    <mergeCell ref="Q338:R338"/>
    <mergeCell ref="S338:U338"/>
    <mergeCell ref="V338:X338"/>
    <mergeCell ref="Y338:Z338"/>
    <mergeCell ref="AA338:AB338"/>
    <mergeCell ref="AC338:AE338"/>
    <mergeCell ref="C339:D339"/>
    <mergeCell ref="E339:G339"/>
    <mergeCell ref="H339:J339"/>
    <mergeCell ref="K339:M339"/>
    <mergeCell ref="N339:P339"/>
    <mergeCell ref="Q339:R339"/>
    <mergeCell ref="S339:U339"/>
    <mergeCell ref="V339:X339"/>
    <mergeCell ref="Y339:Z339"/>
    <mergeCell ref="AA339:AB339"/>
    <mergeCell ref="AC339:AE339"/>
    <mergeCell ref="C340:D340"/>
    <mergeCell ref="E340:G340"/>
    <mergeCell ref="H340:J340"/>
    <mergeCell ref="K340:M340"/>
    <mergeCell ref="N340:P340"/>
    <mergeCell ref="Q340:R340"/>
    <mergeCell ref="S340:U340"/>
    <mergeCell ref="V340:X340"/>
    <mergeCell ref="Y340:Z340"/>
    <mergeCell ref="AA340:AB340"/>
    <mergeCell ref="AC340:AE340"/>
    <mergeCell ref="C341:D341"/>
    <mergeCell ref="E341:G341"/>
    <mergeCell ref="H341:J341"/>
    <mergeCell ref="K341:M341"/>
    <mergeCell ref="N341:P341"/>
    <mergeCell ref="Q341:R341"/>
    <mergeCell ref="S341:U341"/>
    <mergeCell ref="V341:X341"/>
    <mergeCell ref="Y341:Z341"/>
    <mergeCell ref="AA341:AB341"/>
    <mergeCell ref="AC341:AE341"/>
    <mergeCell ref="C342:D342"/>
    <mergeCell ref="E342:G342"/>
    <mergeCell ref="H342:J342"/>
    <mergeCell ref="K342:M342"/>
    <mergeCell ref="N342:P342"/>
    <mergeCell ref="Q342:R342"/>
    <mergeCell ref="S342:U342"/>
    <mergeCell ref="V342:X342"/>
    <mergeCell ref="Y342:Z342"/>
    <mergeCell ref="AA342:AB342"/>
    <mergeCell ref="AC342:AE342"/>
    <mergeCell ref="C343:D343"/>
    <mergeCell ref="E343:G343"/>
    <mergeCell ref="H343:J343"/>
    <mergeCell ref="K343:M343"/>
    <mergeCell ref="N343:P343"/>
    <mergeCell ref="Q343:R343"/>
    <mergeCell ref="S343:U343"/>
    <mergeCell ref="V343:X343"/>
    <mergeCell ref="Y343:Z343"/>
    <mergeCell ref="AA343:AB343"/>
    <mergeCell ref="AC343:AE343"/>
    <mergeCell ref="C345:N345"/>
    <mergeCell ref="O345:W345"/>
    <mergeCell ref="X345:Z345"/>
    <mergeCell ref="AA345:AC345"/>
    <mergeCell ref="AD345:AE345"/>
    <mergeCell ref="C346:N346"/>
    <mergeCell ref="O346:W346"/>
    <mergeCell ref="X346:Z346"/>
    <mergeCell ref="AA346:AC346"/>
    <mergeCell ref="AD346:AE346"/>
    <mergeCell ref="C347:N347"/>
    <mergeCell ref="O347:W347"/>
    <mergeCell ref="X347:Z347"/>
    <mergeCell ref="AA347:AC347"/>
    <mergeCell ref="AD347:AE347"/>
    <mergeCell ref="X361:AA361"/>
    <mergeCell ref="AB361:AE361"/>
    <mergeCell ref="C362:G362"/>
    <mergeCell ref="H362:W362"/>
    <mergeCell ref="X362:AA362"/>
    <mergeCell ref="AB362:AE362"/>
    <mergeCell ref="C363:G363"/>
    <mergeCell ref="H363:W363"/>
    <mergeCell ref="X363:AA363"/>
    <mergeCell ref="AB363:AE363"/>
    <mergeCell ref="C364:G364"/>
    <mergeCell ref="H364:W364"/>
    <mergeCell ref="X364:AA364"/>
    <mergeCell ref="AB364:AE364"/>
    <mergeCell ref="C365:G365"/>
    <mergeCell ref="H365:W365"/>
    <mergeCell ref="X365:AA365"/>
    <mergeCell ref="AB365:AE365"/>
    <mergeCell ref="C386:AE386"/>
    <mergeCell ref="C388:AE388"/>
    <mergeCell ref="C389:AE389"/>
    <mergeCell ref="C390:AE390"/>
    <mergeCell ref="C407:AE407"/>
    <mergeCell ref="X433:AA433"/>
    <mergeCell ref="AB433:AE433"/>
    <mergeCell ref="C434:G434"/>
    <mergeCell ref="H434:W434"/>
    <mergeCell ref="X434:AA434"/>
    <mergeCell ref="AB434:AE434"/>
    <mergeCell ref="C435:G435"/>
    <mergeCell ref="H435:W435"/>
    <mergeCell ref="X435:AA435"/>
    <mergeCell ref="AB435:AE435"/>
    <mergeCell ref="C436:G436"/>
    <mergeCell ref="H436:W436"/>
    <mergeCell ref="X436:AA436"/>
    <mergeCell ref="AB436:AE436"/>
    <mergeCell ref="C437:G437"/>
    <mergeCell ref="H437:W437"/>
    <mergeCell ref="X437:AA437"/>
    <mergeCell ref="AB437:AE437"/>
    <mergeCell ref="C439:AE439"/>
    <mergeCell ref="C440:D440"/>
    <mergeCell ref="E440:G440"/>
    <mergeCell ref="H440:J440"/>
    <mergeCell ref="K440:M440"/>
    <mergeCell ref="N440:P440"/>
    <mergeCell ref="Q440:S440"/>
    <mergeCell ref="T440:U440"/>
    <mergeCell ref="V440:W440"/>
    <mergeCell ref="X440:Y440"/>
    <mergeCell ref="Z440:AB440"/>
    <mergeCell ref="AC440:AE440"/>
    <mergeCell ref="C441:D441"/>
    <mergeCell ref="E441:G441"/>
    <mergeCell ref="H441:J441"/>
    <mergeCell ref="K441:M441"/>
    <mergeCell ref="N441:P441"/>
    <mergeCell ref="Q441:S441"/>
    <mergeCell ref="T441:U441"/>
    <mergeCell ref="V441:W441"/>
    <mergeCell ref="X441:Y441"/>
    <mergeCell ref="Z441:AB441"/>
    <mergeCell ref="AC441:AE441"/>
    <mergeCell ref="C442:D442"/>
    <mergeCell ref="E442:G442"/>
    <mergeCell ref="H442:J442"/>
    <mergeCell ref="K442:M442"/>
    <mergeCell ref="N442:P442"/>
    <mergeCell ref="Q442:S442"/>
    <mergeCell ref="T442:U442"/>
    <mergeCell ref="V442:W442"/>
    <mergeCell ref="X442:Y442"/>
    <mergeCell ref="Z442:AB442"/>
    <mergeCell ref="AC442:AE442"/>
    <mergeCell ref="C443:D443"/>
    <mergeCell ref="E443:G443"/>
    <mergeCell ref="H443:J443"/>
    <mergeCell ref="K443:M443"/>
    <mergeCell ref="N443:P443"/>
    <mergeCell ref="Q443:S443"/>
    <mergeCell ref="T443:U443"/>
    <mergeCell ref="V443:W443"/>
    <mergeCell ref="X443:Y443"/>
    <mergeCell ref="Z443:AB443"/>
    <mergeCell ref="AC443:AE443"/>
    <mergeCell ref="C444:D444"/>
    <mergeCell ref="E444:G444"/>
    <mergeCell ref="H444:J444"/>
    <mergeCell ref="K444:M444"/>
    <mergeCell ref="N444:P444"/>
    <mergeCell ref="Q444:S444"/>
    <mergeCell ref="T444:U444"/>
    <mergeCell ref="V444:W444"/>
    <mergeCell ref="X444:Y444"/>
    <mergeCell ref="Z444:AB444"/>
    <mergeCell ref="AC444:AE444"/>
    <mergeCell ref="C445:D445"/>
    <mergeCell ref="E445:G445"/>
    <mergeCell ref="H445:J445"/>
    <mergeCell ref="K445:M445"/>
    <mergeCell ref="N445:P445"/>
    <mergeCell ref="Q445:S445"/>
    <mergeCell ref="T445:U445"/>
    <mergeCell ref="V445:W445"/>
    <mergeCell ref="X445:Y445"/>
    <mergeCell ref="Z445:AB445"/>
    <mergeCell ref="AC445:AE445"/>
    <mergeCell ref="C446:D446"/>
    <mergeCell ref="E446:G446"/>
    <mergeCell ref="H446:J446"/>
    <mergeCell ref="K446:M446"/>
    <mergeCell ref="N446:P446"/>
    <mergeCell ref="Q446:S446"/>
    <mergeCell ref="T446:U446"/>
    <mergeCell ref="V446:W446"/>
    <mergeCell ref="X446:Y446"/>
    <mergeCell ref="Z446:AB446"/>
    <mergeCell ref="AC446:AE446"/>
    <mergeCell ref="C447:D447"/>
    <mergeCell ref="E447:G447"/>
    <mergeCell ref="H447:J447"/>
    <mergeCell ref="K447:M447"/>
    <mergeCell ref="N447:P447"/>
    <mergeCell ref="Q447:S447"/>
    <mergeCell ref="T447:U447"/>
    <mergeCell ref="V447:W447"/>
    <mergeCell ref="X447:Y447"/>
    <mergeCell ref="Z447:AB447"/>
    <mergeCell ref="AC447:AE447"/>
    <mergeCell ref="C448:D448"/>
    <mergeCell ref="E448:G448"/>
    <mergeCell ref="H448:J448"/>
    <mergeCell ref="K448:M448"/>
    <mergeCell ref="N448:P448"/>
    <mergeCell ref="Q448:S448"/>
    <mergeCell ref="T448:U448"/>
    <mergeCell ref="V448:W448"/>
    <mergeCell ref="X448:Y448"/>
    <mergeCell ref="Z448:AB448"/>
    <mergeCell ref="AC448:AE448"/>
    <mergeCell ref="C449:D449"/>
    <mergeCell ref="E449:G449"/>
    <mergeCell ref="H449:J449"/>
    <mergeCell ref="K449:M449"/>
    <mergeCell ref="N449:P449"/>
    <mergeCell ref="Q449:S449"/>
    <mergeCell ref="T449:U449"/>
    <mergeCell ref="V449:W449"/>
    <mergeCell ref="X449:Y449"/>
    <mergeCell ref="Z449:AB449"/>
    <mergeCell ref="AC449:AE449"/>
    <mergeCell ref="C450:D450"/>
    <mergeCell ref="E450:G450"/>
    <mergeCell ref="H450:J450"/>
    <mergeCell ref="K450:M450"/>
    <mergeCell ref="N450:P450"/>
    <mergeCell ref="Q450:S450"/>
    <mergeCell ref="T450:U450"/>
    <mergeCell ref="V450:W450"/>
    <mergeCell ref="X450:Y450"/>
    <mergeCell ref="Z450:AB450"/>
    <mergeCell ref="AC450:AE450"/>
    <mergeCell ref="C451:D451"/>
    <mergeCell ref="E451:G451"/>
    <mergeCell ref="H451:J451"/>
    <mergeCell ref="K451:M451"/>
    <mergeCell ref="N451:P451"/>
    <mergeCell ref="Q451:S451"/>
    <mergeCell ref="T451:U451"/>
    <mergeCell ref="V451:W451"/>
    <mergeCell ref="X451:Y451"/>
    <mergeCell ref="Z451:AB451"/>
    <mergeCell ref="AC451:AE451"/>
    <mergeCell ref="C452:D452"/>
    <mergeCell ref="E452:G452"/>
    <mergeCell ref="H452:J452"/>
    <mergeCell ref="K452:M452"/>
    <mergeCell ref="N452:P452"/>
    <mergeCell ref="Q452:S452"/>
    <mergeCell ref="T452:U452"/>
    <mergeCell ref="V452:W452"/>
    <mergeCell ref="X452:Y452"/>
    <mergeCell ref="Z452:AB452"/>
    <mergeCell ref="AC452:AE452"/>
    <mergeCell ref="C453:D453"/>
    <mergeCell ref="E453:G453"/>
    <mergeCell ref="H453:J453"/>
    <mergeCell ref="K453:M453"/>
    <mergeCell ref="N453:P453"/>
    <mergeCell ref="Q453:S453"/>
    <mergeCell ref="T453:U453"/>
    <mergeCell ref="V453:W453"/>
    <mergeCell ref="X453:Y453"/>
    <mergeCell ref="Z453:AB453"/>
    <mergeCell ref="AC453:AE453"/>
    <mergeCell ref="C454:D454"/>
    <mergeCell ref="E454:G454"/>
    <mergeCell ref="H454:J454"/>
    <mergeCell ref="K454:M454"/>
    <mergeCell ref="N454:P454"/>
    <mergeCell ref="Q454:S454"/>
    <mergeCell ref="T454:U454"/>
    <mergeCell ref="V454:W454"/>
    <mergeCell ref="X454:Y454"/>
    <mergeCell ref="Z454:AB454"/>
    <mergeCell ref="AC454:AE454"/>
    <mergeCell ref="C455:D455"/>
    <mergeCell ref="E455:G455"/>
    <mergeCell ref="H455:J455"/>
    <mergeCell ref="K455:M455"/>
    <mergeCell ref="N455:P455"/>
    <mergeCell ref="Q455:S455"/>
    <mergeCell ref="T455:U455"/>
    <mergeCell ref="V455:W455"/>
    <mergeCell ref="X455:Y455"/>
    <mergeCell ref="Z455:AB455"/>
    <mergeCell ref="AC455:AE455"/>
    <mergeCell ref="C456:D456"/>
    <mergeCell ref="E456:G456"/>
    <mergeCell ref="H456:J456"/>
    <mergeCell ref="K456:M456"/>
    <mergeCell ref="N456:P456"/>
    <mergeCell ref="Q456:S456"/>
    <mergeCell ref="T456:U456"/>
    <mergeCell ref="V456:W456"/>
    <mergeCell ref="X456:Y456"/>
    <mergeCell ref="Z456:AB456"/>
    <mergeCell ref="AC456:AE456"/>
    <mergeCell ref="C457:D457"/>
    <mergeCell ref="E457:G457"/>
    <mergeCell ref="H457:J457"/>
    <mergeCell ref="K457:M457"/>
    <mergeCell ref="N457:P457"/>
    <mergeCell ref="Q457:S457"/>
    <mergeCell ref="T457:U457"/>
    <mergeCell ref="V457:W457"/>
    <mergeCell ref="X457:Y457"/>
    <mergeCell ref="Z457:AB457"/>
    <mergeCell ref="AC457:AE457"/>
    <mergeCell ref="C458:D458"/>
    <mergeCell ref="E458:G458"/>
    <mergeCell ref="H458:J458"/>
    <mergeCell ref="K458:M458"/>
    <mergeCell ref="N458:P458"/>
    <mergeCell ref="Q458:S458"/>
    <mergeCell ref="T458:U458"/>
    <mergeCell ref="V458:W458"/>
    <mergeCell ref="X458:Y458"/>
    <mergeCell ref="Z458:AB458"/>
    <mergeCell ref="AC458:AE458"/>
    <mergeCell ref="C459:D459"/>
    <mergeCell ref="E459:G459"/>
    <mergeCell ref="H459:J459"/>
    <mergeCell ref="K459:M459"/>
    <mergeCell ref="N459:P459"/>
    <mergeCell ref="Q459:S459"/>
    <mergeCell ref="T459:U459"/>
    <mergeCell ref="V459:W459"/>
    <mergeCell ref="X459:Y459"/>
    <mergeCell ref="Z459:AB459"/>
    <mergeCell ref="AC459:AE459"/>
    <mergeCell ref="C460:D460"/>
    <mergeCell ref="E460:G460"/>
    <mergeCell ref="H460:J460"/>
    <mergeCell ref="K460:M460"/>
    <mergeCell ref="N460:P460"/>
    <mergeCell ref="Q460:S460"/>
    <mergeCell ref="T460:U460"/>
    <mergeCell ref="V460:W460"/>
    <mergeCell ref="X460:Y460"/>
    <mergeCell ref="Z460:AB460"/>
    <mergeCell ref="AC460:AE460"/>
    <mergeCell ref="C461:D461"/>
    <mergeCell ref="E461:G461"/>
    <mergeCell ref="H461:J461"/>
    <mergeCell ref="K461:M461"/>
    <mergeCell ref="N461:P461"/>
    <mergeCell ref="Q461:S461"/>
    <mergeCell ref="T461:U461"/>
    <mergeCell ref="V461:W461"/>
    <mergeCell ref="X461:Y461"/>
    <mergeCell ref="Z461:AB461"/>
    <mergeCell ref="AC461:AE461"/>
    <mergeCell ref="C462:D462"/>
    <mergeCell ref="E462:G462"/>
    <mergeCell ref="H462:J462"/>
    <mergeCell ref="K462:M462"/>
    <mergeCell ref="N462:P462"/>
    <mergeCell ref="Q462:S462"/>
    <mergeCell ref="T462:U462"/>
    <mergeCell ref="V462:W462"/>
    <mergeCell ref="X462:Y462"/>
    <mergeCell ref="Z462:AB462"/>
    <mergeCell ref="AC462:AE462"/>
    <mergeCell ref="C463:D463"/>
    <mergeCell ref="E463:G463"/>
    <mergeCell ref="H463:J463"/>
    <mergeCell ref="K463:M463"/>
    <mergeCell ref="N463:P463"/>
    <mergeCell ref="Q463:S463"/>
    <mergeCell ref="T463:U463"/>
    <mergeCell ref="V463:W463"/>
    <mergeCell ref="X463:Y463"/>
    <mergeCell ref="Z463:AB463"/>
    <mergeCell ref="AC463:AE463"/>
    <mergeCell ref="C464:D464"/>
    <mergeCell ref="E464:G464"/>
    <mergeCell ref="H464:J464"/>
    <mergeCell ref="K464:M464"/>
    <mergeCell ref="N464:P464"/>
    <mergeCell ref="Q464:S464"/>
    <mergeCell ref="T464:U464"/>
    <mergeCell ref="V464:W464"/>
    <mergeCell ref="X464:Y464"/>
    <mergeCell ref="Z464:AB464"/>
    <mergeCell ref="AC464:AE464"/>
    <mergeCell ref="C465:D465"/>
    <mergeCell ref="E465:G465"/>
    <mergeCell ref="H465:J465"/>
    <mergeCell ref="K465:M465"/>
    <mergeCell ref="N465:P465"/>
    <mergeCell ref="Q465:S465"/>
    <mergeCell ref="T465:U465"/>
    <mergeCell ref="V465:W465"/>
    <mergeCell ref="X465:Y465"/>
    <mergeCell ref="Z465:AB465"/>
    <mergeCell ref="AC465:AE465"/>
    <mergeCell ref="C466:D466"/>
    <mergeCell ref="E466:G466"/>
    <mergeCell ref="H466:J466"/>
    <mergeCell ref="K466:M466"/>
    <mergeCell ref="N466:P466"/>
    <mergeCell ref="Q466:S466"/>
    <mergeCell ref="T466:U466"/>
    <mergeCell ref="V466:W466"/>
    <mergeCell ref="X466:Y466"/>
    <mergeCell ref="Z466:AB466"/>
    <mergeCell ref="AC466:AE466"/>
    <mergeCell ref="C467:D467"/>
    <mergeCell ref="E467:G467"/>
    <mergeCell ref="H467:J467"/>
    <mergeCell ref="K467:M467"/>
    <mergeCell ref="N467:P467"/>
    <mergeCell ref="Q467:S467"/>
    <mergeCell ref="T467:U467"/>
    <mergeCell ref="V467:W467"/>
    <mergeCell ref="X467:Y467"/>
    <mergeCell ref="Z467:AB467"/>
    <mergeCell ref="AC467:AE467"/>
    <mergeCell ref="C468:D468"/>
    <mergeCell ref="E468:G468"/>
    <mergeCell ref="H468:J468"/>
    <mergeCell ref="K468:M468"/>
    <mergeCell ref="N468:P468"/>
    <mergeCell ref="Q468:S468"/>
    <mergeCell ref="T468:U468"/>
    <mergeCell ref="V468:W468"/>
    <mergeCell ref="X468:Y468"/>
    <mergeCell ref="Z468:AB468"/>
    <mergeCell ref="AC468:AE468"/>
    <mergeCell ref="C469:D469"/>
    <mergeCell ref="E469:G469"/>
    <mergeCell ref="H469:J469"/>
    <mergeCell ref="K469:M469"/>
    <mergeCell ref="N469:P469"/>
    <mergeCell ref="Q469:S469"/>
    <mergeCell ref="T469:U469"/>
    <mergeCell ref="V469:W469"/>
    <mergeCell ref="X469:Y469"/>
    <mergeCell ref="Z469:AB469"/>
    <mergeCell ref="AC469:AE469"/>
    <mergeCell ref="C470:D470"/>
    <mergeCell ref="E470:G470"/>
    <mergeCell ref="H470:J470"/>
    <mergeCell ref="K470:M470"/>
    <mergeCell ref="N470:P470"/>
    <mergeCell ref="Q470:S470"/>
    <mergeCell ref="T470:U470"/>
    <mergeCell ref="V470:W470"/>
    <mergeCell ref="X470:Y470"/>
    <mergeCell ref="Z470:AB470"/>
    <mergeCell ref="AC470:AE470"/>
    <mergeCell ref="C471:D471"/>
    <mergeCell ref="E471:G471"/>
    <mergeCell ref="H471:J471"/>
    <mergeCell ref="K471:M471"/>
    <mergeCell ref="N471:P471"/>
    <mergeCell ref="Q471:S471"/>
    <mergeCell ref="T471:U471"/>
    <mergeCell ref="V471:W471"/>
    <mergeCell ref="X471:Y471"/>
    <mergeCell ref="Z471:AB471"/>
    <mergeCell ref="AC471:AE471"/>
    <mergeCell ref="C472:D472"/>
    <mergeCell ref="E472:G472"/>
    <mergeCell ref="H472:J472"/>
    <mergeCell ref="K472:M472"/>
    <mergeCell ref="N472:P472"/>
    <mergeCell ref="Q472:S472"/>
    <mergeCell ref="T472:U472"/>
    <mergeCell ref="V472:W472"/>
    <mergeCell ref="X472:Y472"/>
    <mergeCell ref="Z472:AB472"/>
    <mergeCell ref="AC472:AE472"/>
    <mergeCell ref="C473:D473"/>
    <mergeCell ref="E473:G473"/>
    <mergeCell ref="H473:J473"/>
    <mergeCell ref="K473:M473"/>
    <mergeCell ref="N473:P473"/>
    <mergeCell ref="Q473:S473"/>
    <mergeCell ref="T473:U473"/>
    <mergeCell ref="V473:W473"/>
    <mergeCell ref="X473:Y473"/>
    <mergeCell ref="Z473:AB473"/>
    <mergeCell ref="AC473:AE473"/>
    <mergeCell ref="C474:D474"/>
    <mergeCell ref="E474:G474"/>
    <mergeCell ref="H474:J474"/>
    <mergeCell ref="K474:M474"/>
    <mergeCell ref="N474:P474"/>
    <mergeCell ref="Q474:S474"/>
    <mergeCell ref="T474:U474"/>
    <mergeCell ref="V474:W474"/>
    <mergeCell ref="X474:Y474"/>
    <mergeCell ref="Z474:AB474"/>
    <mergeCell ref="AC474:AE474"/>
    <mergeCell ref="C475:D475"/>
    <mergeCell ref="E475:G475"/>
    <mergeCell ref="H475:J475"/>
    <mergeCell ref="K475:M475"/>
    <mergeCell ref="N475:P475"/>
    <mergeCell ref="Q475:S475"/>
    <mergeCell ref="T475:U475"/>
    <mergeCell ref="V475:W475"/>
    <mergeCell ref="X475:Y475"/>
    <mergeCell ref="Z475:AB475"/>
    <mergeCell ref="AC475:AE475"/>
    <mergeCell ref="C476:D476"/>
    <mergeCell ref="E476:G476"/>
    <mergeCell ref="H476:J476"/>
    <mergeCell ref="K476:M476"/>
    <mergeCell ref="N476:P476"/>
    <mergeCell ref="Q476:S476"/>
    <mergeCell ref="T476:U476"/>
    <mergeCell ref="V476:W476"/>
    <mergeCell ref="X476:Y476"/>
    <mergeCell ref="Z476:AB476"/>
    <mergeCell ref="AC476:AE476"/>
    <mergeCell ref="C477:D477"/>
    <mergeCell ref="E477:G477"/>
    <mergeCell ref="H477:J477"/>
    <mergeCell ref="K477:M477"/>
    <mergeCell ref="N477:P477"/>
    <mergeCell ref="Q477:S477"/>
    <mergeCell ref="T477:U477"/>
    <mergeCell ref="V477:W477"/>
    <mergeCell ref="X477:Y477"/>
    <mergeCell ref="Z477:AB477"/>
    <mergeCell ref="AC477:AE477"/>
    <mergeCell ref="C478:D478"/>
    <mergeCell ref="E478:G478"/>
    <mergeCell ref="H478:J478"/>
    <mergeCell ref="K478:M478"/>
    <mergeCell ref="N478:P478"/>
    <mergeCell ref="Q478:S478"/>
    <mergeCell ref="T478:U478"/>
    <mergeCell ref="V478:W478"/>
    <mergeCell ref="X478:Y478"/>
    <mergeCell ref="Z478:AB478"/>
    <mergeCell ref="AC478:AE478"/>
    <mergeCell ref="C479:D479"/>
    <mergeCell ref="E479:G479"/>
    <mergeCell ref="H479:J479"/>
    <mergeCell ref="K479:M479"/>
    <mergeCell ref="N479:P479"/>
    <mergeCell ref="Q479:S479"/>
    <mergeCell ref="T479:U479"/>
    <mergeCell ref="V479:W479"/>
    <mergeCell ref="X479:Y479"/>
    <mergeCell ref="Z479:AB479"/>
    <mergeCell ref="AC479:AE479"/>
    <mergeCell ref="C480:D480"/>
    <mergeCell ref="E480:G480"/>
    <mergeCell ref="H480:J480"/>
    <mergeCell ref="K480:M480"/>
    <mergeCell ref="N480:P480"/>
    <mergeCell ref="Q480:S480"/>
    <mergeCell ref="T480:U480"/>
    <mergeCell ref="V480:W480"/>
    <mergeCell ref="X480:Y480"/>
    <mergeCell ref="Z480:AB480"/>
    <mergeCell ref="AC480:AE480"/>
    <mergeCell ref="C481:D481"/>
    <mergeCell ref="E481:G481"/>
    <mergeCell ref="H481:J481"/>
    <mergeCell ref="K481:M481"/>
    <mergeCell ref="N481:P481"/>
    <mergeCell ref="Q481:S481"/>
    <mergeCell ref="T481:U481"/>
    <mergeCell ref="V481:W481"/>
    <mergeCell ref="X481:Y481"/>
    <mergeCell ref="Z481:AB481"/>
    <mergeCell ref="AC481:AE481"/>
    <mergeCell ref="C482:D482"/>
    <mergeCell ref="E482:G482"/>
    <mergeCell ref="H482:J482"/>
    <mergeCell ref="K482:M482"/>
    <mergeCell ref="N482:P482"/>
    <mergeCell ref="Q482:S482"/>
    <mergeCell ref="T482:U482"/>
    <mergeCell ref="V482:W482"/>
    <mergeCell ref="X482:Y482"/>
    <mergeCell ref="Z482:AB482"/>
    <mergeCell ref="AC482:AE482"/>
    <mergeCell ref="C484:N484"/>
    <mergeCell ref="O484:W484"/>
    <mergeCell ref="X484:Z484"/>
    <mergeCell ref="AA484:AC484"/>
    <mergeCell ref="AD484:AE484"/>
    <mergeCell ref="C485:N485"/>
    <mergeCell ref="O485:W485"/>
    <mergeCell ref="X485:Z485"/>
    <mergeCell ref="AA485:AC485"/>
    <mergeCell ref="AD485:AE485"/>
    <mergeCell ref="X505:AA505"/>
    <mergeCell ref="AB505:AE505"/>
    <mergeCell ref="C506:G506"/>
    <mergeCell ref="H506:W506"/>
    <mergeCell ref="X506:AA506"/>
    <mergeCell ref="AB506:AE506"/>
    <mergeCell ref="C507:G507"/>
    <mergeCell ref="H507:W507"/>
    <mergeCell ref="X507:AA507"/>
    <mergeCell ref="AB507:AE507"/>
    <mergeCell ref="C508:G508"/>
    <mergeCell ref="H508:W508"/>
    <mergeCell ref="X508:AA508"/>
    <mergeCell ref="AB508:AE508"/>
    <mergeCell ref="C509:G509"/>
    <mergeCell ref="H509:W509"/>
    <mergeCell ref="X509:AA509"/>
    <mergeCell ref="AB509:AE509"/>
    <mergeCell ref="C511:AE511"/>
    <mergeCell ref="C513:N513"/>
    <mergeCell ref="O513:W513"/>
    <mergeCell ref="X513:Z513"/>
    <mergeCell ref="AA513:AC513"/>
    <mergeCell ref="AD513:AE513"/>
    <mergeCell ref="C514:N514"/>
    <mergeCell ref="X514:AE514"/>
    <mergeCell ref="C515:N515"/>
    <mergeCell ref="O515:W515"/>
    <mergeCell ref="X515:Z515"/>
    <mergeCell ref="AA515:AC515"/>
    <mergeCell ref="AD515:AE515"/>
    <mergeCell ref="C516:N516"/>
    <mergeCell ref="X516:AE516"/>
    <mergeCell ref="C517:N517"/>
    <mergeCell ref="O517:W517"/>
    <mergeCell ref="X517:Z517"/>
    <mergeCell ref="AA517:AC517"/>
    <mergeCell ref="AD517:AE517"/>
    <mergeCell ref="C518:N518"/>
    <mergeCell ref="X518:AE518"/>
    <mergeCell ref="C519:N519"/>
    <mergeCell ref="O519:W519"/>
    <mergeCell ref="X519:Z519"/>
    <mergeCell ref="AA519:AC519"/>
    <mergeCell ref="AD519:AE519"/>
    <mergeCell ref="C520:N520"/>
    <mergeCell ref="O520:W520"/>
    <mergeCell ref="X520:Z520"/>
    <mergeCell ref="AA520:AC520"/>
    <mergeCell ref="AD520:AE520"/>
    <mergeCell ref="C521:N521"/>
    <mergeCell ref="O521:W521"/>
    <mergeCell ref="X521:Z521"/>
    <mergeCell ref="AA521:AC521"/>
    <mergeCell ref="AD521:AE521"/>
    <mergeCell ref="C522:N522"/>
    <mergeCell ref="O522:W522"/>
    <mergeCell ref="X522:Z522"/>
    <mergeCell ref="AA522:AC522"/>
    <mergeCell ref="AD522:AE522"/>
    <mergeCell ref="C523:N523"/>
    <mergeCell ref="X523:AE523"/>
    <mergeCell ref="C525:AE525"/>
    <mergeCell ref="C526:AE526"/>
    <mergeCell ref="C528:AE528"/>
    <mergeCell ref="X577:AA577"/>
    <mergeCell ref="AB577:AE577"/>
  </mergeCells>
  <printOptions headings="false" gridLines="false" gridLinesSet="true" horizontalCentered="true" verticalCentered="false"/>
  <pageMargins left="0.5" right="0.5" top="0.6" bottom="0.6" header="0.511811023622047" footer="0.511811023622047"/>
  <pageSetup paperSize="9" scale="66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rowBreaks count="7" manualBreakCount="7">
    <brk id="73" man="true" max="16383" min="0"/>
    <brk id="145" man="true" max="16383" min="0"/>
    <brk id="217" man="true" max="16383" min="0"/>
    <brk id="289" man="true" max="16383" min="0"/>
    <brk id="361" man="true" max="16383" min="0"/>
    <brk id="433" man="true" max="16383" min="0"/>
    <brk id="505" man="true" max="16383" min="0"/>
  </rowBreak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Q577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C39" activeCellId="0" sqref="C39"/>
    </sheetView>
  </sheetViews>
  <sheetFormatPr defaultColWidth="8.5390625" defaultRowHeight="14.25" zeroHeight="false" outlineLevelRow="0" outlineLevelCol="0"/>
  <cols>
    <col collapsed="false" customWidth="true" hidden="false" outlineLevel="0" max="1" min="1" style="0" width="3.44"/>
    <col collapsed="false" customWidth="true" hidden="false" outlineLevel="0" max="2" min="2" style="0" width="4"/>
    <col collapsed="false" customWidth="true" hidden="false" outlineLevel="0" max="9" min="3" style="0" width="3.56"/>
    <col collapsed="false" customWidth="true" hidden="false" outlineLevel="0" max="10" min="10" style="0" width="3.89"/>
    <col collapsed="false" customWidth="true" hidden="false" outlineLevel="0" max="11" min="11" style="0" width="4"/>
    <col collapsed="false" customWidth="true" hidden="false" outlineLevel="0" max="31" min="12" style="0" width="4.56"/>
    <col collapsed="false" customWidth="true" hidden="false" outlineLevel="0" max="32" min="32" style="0" width="3.44"/>
    <col collapsed="false" customWidth="true" hidden="false" outlineLevel="0" max="68" min="35" style="0" width="9"/>
    <col collapsed="false" customWidth="true" hidden="false" outlineLevel="0" max="69" min="69" style="0" width="40"/>
  </cols>
  <sheetData>
    <row r="2" customFormat="false" ht="14.25" hidden="false" customHeight="true" outlineLevel="0" collapsed="false">
      <c r="B2" s="1"/>
      <c r="C2" s="2" t="s">
        <v>0</v>
      </c>
      <c r="D2" s="2"/>
      <c r="E2" s="2"/>
      <c r="F2" s="2"/>
      <c r="G2" s="2"/>
      <c r="H2" s="3" t="s">
        <v>1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4" t="s">
        <v>2</v>
      </c>
      <c r="Y2" s="4"/>
      <c r="Z2" s="4"/>
      <c r="AA2" s="4"/>
      <c r="AB2" s="5" t="s">
        <v>3</v>
      </c>
      <c r="AC2" s="5"/>
      <c r="AD2" s="5"/>
      <c r="AE2" s="5"/>
      <c r="AF2" s="6"/>
    </row>
    <row r="3" customFormat="false" ht="14.25" hidden="false" customHeight="true" outlineLevel="0" collapsed="false">
      <c r="B3" s="7"/>
      <c r="C3" s="8" t="s">
        <v>4</v>
      </c>
      <c r="D3" s="8"/>
      <c r="E3" s="8"/>
      <c r="F3" s="8"/>
      <c r="G3" s="8"/>
      <c r="H3" s="9" t="s">
        <v>5</v>
      </c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10" t="s">
        <v>6</v>
      </c>
      <c r="Y3" s="10"/>
      <c r="Z3" s="10"/>
      <c r="AA3" s="10"/>
      <c r="AB3" s="11" t="n">
        <v>46301</v>
      </c>
      <c r="AC3" s="11"/>
      <c r="AD3" s="11"/>
      <c r="AE3" s="11"/>
      <c r="AF3" s="12"/>
    </row>
    <row r="4" customFormat="false" ht="14.25" hidden="false" customHeight="true" outlineLevel="0" collapsed="false">
      <c r="B4" s="7"/>
      <c r="C4" s="8" t="s">
        <v>7</v>
      </c>
      <c r="D4" s="8"/>
      <c r="E4" s="8"/>
      <c r="F4" s="8"/>
      <c r="G4" s="8"/>
      <c r="H4" s="9" t="s">
        <v>340</v>
      </c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10" t="s">
        <v>9</v>
      </c>
      <c r="Y4" s="10"/>
      <c r="Z4" s="10"/>
      <c r="AA4" s="10"/>
      <c r="AB4" s="11" t="s">
        <v>3</v>
      </c>
      <c r="AC4" s="11"/>
      <c r="AD4" s="11"/>
      <c r="AE4" s="11"/>
      <c r="AF4" s="12"/>
    </row>
    <row r="5" customFormat="false" ht="14.25" hidden="false" customHeight="true" outlineLevel="0" collapsed="false">
      <c r="B5" s="13"/>
      <c r="C5" s="14" t="s">
        <v>10</v>
      </c>
      <c r="D5" s="14"/>
      <c r="E5" s="14"/>
      <c r="F5" s="14"/>
      <c r="G5" s="14"/>
      <c r="H5" s="15" t="s">
        <v>134</v>
      </c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6" t="s">
        <v>12</v>
      </c>
      <c r="Y5" s="16"/>
      <c r="Z5" s="16"/>
      <c r="AA5" s="16"/>
      <c r="AB5" s="17" t="n">
        <v>46301</v>
      </c>
      <c r="AC5" s="17"/>
      <c r="AD5" s="17"/>
      <c r="AE5" s="17"/>
      <c r="AF5" s="18"/>
    </row>
    <row r="6" customFormat="false" ht="14.25" hidden="false" customHeight="false" outlineLevel="0" collapsed="false">
      <c r="B6" s="7"/>
      <c r="AF6" s="12"/>
    </row>
    <row r="7" customFormat="false" ht="14.25" hidden="false" customHeight="false" outlineLevel="0" collapsed="false">
      <c r="B7" s="7"/>
      <c r="C7" s="9" t="s">
        <v>135</v>
      </c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12"/>
    </row>
    <row r="8" customFormat="false" ht="14.25" hidden="false" customHeight="false" outlineLevel="0" collapsed="false">
      <c r="B8" s="7"/>
      <c r="C8" s="20" t="s">
        <v>136</v>
      </c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12"/>
    </row>
    <row r="9" customFormat="false" ht="14.25" hidden="false" customHeight="false" outlineLevel="0" collapsed="false">
      <c r="B9" s="7"/>
      <c r="C9" s="20" t="s">
        <v>137</v>
      </c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12"/>
    </row>
    <row r="10" customFormat="false" ht="14.25" hidden="false" customHeight="false" outlineLevel="0" collapsed="false">
      <c r="B10" s="7"/>
      <c r="AF10" s="12"/>
    </row>
    <row r="11" customFormat="false" ht="14.25" hidden="false" customHeight="false" outlineLevel="0" collapsed="false">
      <c r="B11" s="7"/>
      <c r="C11" s="9" t="s">
        <v>138</v>
      </c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12"/>
    </row>
    <row r="12" customFormat="false" ht="14.25" hidden="false" customHeight="true" outlineLevel="0" collapsed="false">
      <c r="B12" s="7"/>
      <c r="C12" s="20" t="s">
        <v>16</v>
      </c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1"/>
      <c r="P12" s="21"/>
      <c r="Q12" s="21"/>
      <c r="R12" s="21"/>
      <c r="S12" s="21"/>
      <c r="T12" s="21"/>
      <c r="U12" s="21"/>
      <c r="V12" s="21"/>
      <c r="W12" s="21"/>
      <c r="X12" s="22" t="s">
        <v>18</v>
      </c>
      <c r="Y12" s="22"/>
      <c r="Z12" s="22"/>
      <c r="AA12" s="50" t="n">
        <f aca="false">Input!$AA$11</f>
        <v>2</v>
      </c>
      <c r="AB12" s="50"/>
      <c r="AC12" s="50"/>
      <c r="AD12" s="20" t="s">
        <v>19</v>
      </c>
      <c r="AE12" s="20"/>
      <c r="AF12" s="12"/>
    </row>
    <row r="13" customFormat="false" ht="14.25" hidden="false" customHeight="true" outlineLevel="0" collapsed="false">
      <c r="B13" s="7"/>
      <c r="C13" s="20" t="s">
        <v>139</v>
      </c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1"/>
      <c r="P13" s="21"/>
      <c r="Q13" s="21"/>
      <c r="R13" s="21"/>
      <c r="S13" s="21"/>
      <c r="T13" s="21"/>
      <c r="U13" s="21"/>
      <c r="V13" s="21"/>
      <c r="W13" s="21"/>
      <c r="X13" s="22" t="s">
        <v>25</v>
      </c>
      <c r="Y13" s="22"/>
      <c r="Z13" s="22"/>
      <c r="AA13" s="51" t="n">
        <f aca="false">Input!$AA$13</f>
        <v>100</v>
      </c>
      <c r="AB13" s="51"/>
      <c r="AC13" s="51"/>
      <c r="AD13" s="20" t="s">
        <v>26</v>
      </c>
      <c r="AE13" s="20"/>
      <c r="AF13" s="12"/>
    </row>
    <row r="14" customFormat="false" ht="14.25" hidden="false" customHeight="true" outlineLevel="0" collapsed="false">
      <c r="B14" s="7"/>
      <c r="C14" s="20" t="s">
        <v>27</v>
      </c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1" t="s">
        <v>28</v>
      </c>
      <c r="P14" s="21"/>
      <c r="Q14" s="21"/>
      <c r="R14" s="21"/>
      <c r="S14" s="21"/>
      <c r="T14" s="21"/>
      <c r="U14" s="21"/>
      <c r="V14" s="21"/>
      <c r="W14" s="21"/>
      <c r="X14" s="22" t="s">
        <v>29</v>
      </c>
      <c r="Y14" s="22"/>
      <c r="Z14" s="22"/>
      <c r="AA14" s="51" t="n">
        <f aca="false">Input!$AA$14</f>
        <v>136</v>
      </c>
      <c r="AB14" s="51"/>
      <c r="AC14" s="51"/>
      <c r="AD14" s="20" t="s">
        <v>26</v>
      </c>
      <c r="AE14" s="20"/>
      <c r="AF14" s="12"/>
    </row>
    <row r="15" customFormat="false" ht="14.25" hidden="false" customHeight="true" outlineLevel="0" collapsed="false">
      <c r="B15" s="7"/>
      <c r="C15" s="20" t="s">
        <v>140</v>
      </c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1" t="s">
        <v>141</v>
      </c>
      <c r="P15" s="21"/>
      <c r="Q15" s="21"/>
      <c r="R15" s="21"/>
      <c r="S15" s="21"/>
      <c r="T15" s="21"/>
      <c r="U15" s="21"/>
      <c r="V15" s="21"/>
      <c r="W15" s="21"/>
      <c r="X15" s="22" t="s">
        <v>31</v>
      </c>
      <c r="Y15" s="22"/>
      <c r="Z15" s="22"/>
      <c r="AA15" s="51" t="n">
        <f aca="false">Input!$AA$15</f>
        <v>74</v>
      </c>
      <c r="AB15" s="51"/>
      <c r="AC15" s="51"/>
      <c r="AD15" s="20" t="s">
        <v>19</v>
      </c>
      <c r="AE15" s="20"/>
      <c r="AF15" s="12"/>
    </row>
    <row r="16" customFormat="false" ht="14.25" hidden="false" customHeight="true" outlineLevel="0" collapsed="false">
      <c r="B16" s="7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1"/>
      <c r="P16" s="21"/>
      <c r="Q16" s="21"/>
      <c r="R16" s="21"/>
      <c r="S16" s="21"/>
      <c r="T16" s="21"/>
      <c r="U16" s="21"/>
      <c r="V16" s="21"/>
      <c r="W16" s="21"/>
      <c r="X16" s="22" t="s">
        <v>33</v>
      </c>
      <c r="Y16" s="22"/>
      <c r="Z16" s="22"/>
      <c r="AA16" s="51" t="n">
        <f aca="false">Input!$AA$16</f>
        <v>202</v>
      </c>
      <c r="AB16" s="51"/>
      <c r="AC16" s="51"/>
      <c r="AD16" s="20" t="s">
        <v>19</v>
      </c>
      <c r="AE16" s="20"/>
      <c r="AF16" s="12"/>
    </row>
    <row r="17" customFormat="false" ht="14.25" hidden="false" customHeight="true" outlineLevel="0" collapsed="false">
      <c r="B17" s="7"/>
      <c r="C17" s="20" t="s">
        <v>142</v>
      </c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1" t="s">
        <v>47</v>
      </c>
      <c r="P17" s="21"/>
      <c r="Q17" s="21"/>
      <c r="R17" s="21"/>
      <c r="S17" s="21"/>
      <c r="T17" s="21"/>
      <c r="U17" s="21"/>
      <c r="V17" s="21"/>
      <c r="W17" s="21"/>
      <c r="X17" s="22" t="s">
        <v>48</v>
      </c>
      <c r="Y17" s="22"/>
      <c r="Z17" s="22"/>
      <c r="AA17" s="51" t="n">
        <f aca="false">Input!$AA$23</f>
        <v>2</v>
      </c>
      <c r="AB17" s="51"/>
      <c r="AC17" s="51"/>
      <c r="AD17" s="20" t="s">
        <v>38</v>
      </c>
      <c r="AE17" s="20"/>
      <c r="AF17" s="12"/>
    </row>
    <row r="18" customFormat="false" ht="14.25" hidden="false" customHeight="false" outlineLevel="0" collapsed="false">
      <c r="B18" s="7"/>
      <c r="AF18" s="12"/>
    </row>
    <row r="19" customFormat="false" ht="14.25" hidden="false" customHeight="false" outlineLevel="0" collapsed="false">
      <c r="B19" s="7"/>
      <c r="C19" s="9" t="s">
        <v>143</v>
      </c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12"/>
    </row>
    <row r="20" customFormat="false" ht="14.25" hidden="false" customHeight="true" outlineLevel="0" collapsed="false">
      <c r="B20" s="7"/>
      <c r="C20" s="20" t="s">
        <v>144</v>
      </c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1"/>
      <c r="P20" s="21"/>
      <c r="Q20" s="21"/>
      <c r="R20" s="21"/>
      <c r="S20" s="21"/>
      <c r="T20" s="21"/>
      <c r="U20" s="21"/>
      <c r="V20" s="21"/>
      <c r="W20" s="21"/>
      <c r="X20" s="22" t="s">
        <v>145</v>
      </c>
      <c r="Y20" s="22"/>
      <c r="Z20" s="22"/>
      <c r="AA20" s="25" t="n">
        <v>9</v>
      </c>
      <c r="AB20" s="25"/>
      <c r="AC20" s="25"/>
      <c r="AD20" s="20" t="s">
        <v>19</v>
      </c>
      <c r="AE20" s="20"/>
      <c r="AF20" s="12"/>
    </row>
    <row r="21" customFormat="false" ht="14.25" hidden="false" customHeight="true" outlineLevel="0" collapsed="false">
      <c r="B21" s="7"/>
      <c r="C21" s="20" t="s">
        <v>146</v>
      </c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1"/>
      <c r="P21" s="21"/>
      <c r="Q21" s="21"/>
      <c r="R21" s="21"/>
      <c r="S21" s="21"/>
      <c r="T21" s="21"/>
      <c r="U21" s="21"/>
      <c r="V21" s="21"/>
      <c r="W21" s="21"/>
      <c r="X21" s="22" t="s">
        <v>147</v>
      </c>
      <c r="Y21" s="22"/>
      <c r="Z21" s="22"/>
      <c r="AA21" s="25" t="n">
        <v>19.6</v>
      </c>
      <c r="AB21" s="25"/>
      <c r="AC21" s="25"/>
      <c r="AD21" s="20" t="s">
        <v>23</v>
      </c>
      <c r="AE21" s="20"/>
      <c r="AF21" s="12"/>
    </row>
    <row r="22" customFormat="false" ht="14.25" hidden="false" customHeight="true" outlineLevel="0" collapsed="false">
      <c r="B22" s="7"/>
      <c r="C22" s="20" t="s">
        <v>148</v>
      </c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1"/>
      <c r="P22" s="21"/>
      <c r="Q22" s="21"/>
      <c r="R22" s="21"/>
      <c r="S22" s="21"/>
      <c r="T22" s="21"/>
      <c r="U22" s="21"/>
      <c r="V22" s="21"/>
      <c r="W22" s="21"/>
      <c r="X22" s="22" t="s">
        <v>149</v>
      </c>
      <c r="Y22" s="22"/>
      <c r="Z22" s="22"/>
      <c r="AA22" s="25" t="n">
        <v>20.2</v>
      </c>
      <c r="AB22" s="25"/>
      <c r="AC22" s="25"/>
      <c r="AD22" s="20" t="s">
        <v>23</v>
      </c>
      <c r="AE22" s="20"/>
      <c r="AF22" s="12"/>
    </row>
    <row r="23" customFormat="false" ht="14.25" hidden="false" customHeight="true" outlineLevel="0" collapsed="false">
      <c r="B23" s="7"/>
      <c r="C23" s="20" t="s">
        <v>150</v>
      </c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1" t="s">
        <v>151</v>
      </c>
      <c r="P23" s="21"/>
      <c r="Q23" s="21"/>
      <c r="R23" s="21"/>
      <c r="S23" s="21"/>
      <c r="T23" s="21"/>
      <c r="U23" s="21"/>
      <c r="V23" s="21"/>
      <c r="W23" s="21"/>
      <c r="X23" s="22" t="s">
        <v>152</v>
      </c>
      <c r="Y23" s="22"/>
      <c r="Z23" s="22"/>
      <c r="AA23" s="25" t="n">
        <v>1.5</v>
      </c>
      <c r="AB23" s="25"/>
      <c r="AC23" s="25"/>
      <c r="AD23" s="20" t="s">
        <v>19</v>
      </c>
      <c r="AE23" s="20"/>
      <c r="AF23" s="12"/>
    </row>
    <row r="24" customFormat="false" ht="14.25" hidden="false" customHeight="false" outlineLevel="0" collapsed="false">
      <c r="B24" s="7"/>
      <c r="AF24" s="12"/>
    </row>
    <row r="25" customFormat="false" ht="14.25" hidden="false" customHeight="false" outlineLevel="0" collapsed="false">
      <c r="B25" s="7"/>
      <c r="AF25" s="12"/>
    </row>
    <row r="26" customFormat="false" ht="14.25" hidden="false" customHeight="false" outlineLevel="0" collapsed="false">
      <c r="B26" s="7"/>
      <c r="AF26" s="12"/>
    </row>
    <row r="27" customFormat="false" ht="14.25" hidden="false" customHeight="false" outlineLevel="0" collapsed="false">
      <c r="B27" s="7"/>
      <c r="AF27" s="12"/>
    </row>
    <row r="28" customFormat="false" ht="14.25" hidden="false" customHeight="false" outlineLevel="0" collapsed="false">
      <c r="B28" s="7"/>
      <c r="AF28" s="12"/>
    </row>
    <row r="29" customFormat="false" ht="14.25" hidden="false" customHeight="false" outlineLevel="0" collapsed="false">
      <c r="B29" s="7"/>
      <c r="AF29" s="12"/>
    </row>
    <row r="30" customFormat="false" ht="14.25" hidden="false" customHeight="false" outlineLevel="0" collapsed="false">
      <c r="B30" s="7"/>
      <c r="AF30" s="12"/>
    </row>
    <row r="31" customFormat="false" ht="14.25" hidden="false" customHeight="false" outlineLevel="0" collapsed="false">
      <c r="B31" s="7"/>
      <c r="AF31" s="12"/>
    </row>
    <row r="32" customFormat="false" ht="14.25" hidden="false" customHeight="false" outlineLevel="0" collapsed="false">
      <c r="B32" s="7"/>
      <c r="AF32" s="12"/>
    </row>
    <row r="33" customFormat="false" ht="14.25" hidden="false" customHeight="false" outlineLevel="0" collapsed="false">
      <c r="B33" s="7"/>
      <c r="AF33" s="12"/>
    </row>
    <row r="34" customFormat="false" ht="14.25" hidden="false" customHeight="false" outlineLevel="0" collapsed="false">
      <c r="B34" s="7"/>
      <c r="AF34" s="12"/>
    </row>
    <row r="35" customFormat="false" ht="14.25" hidden="false" customHeight="false" outlineLevel="0" collapsed="false">
      <c r="B35" s="7"/>
      <c r="AF35" s="12"/>
    </row>
    <row r="36" customFormat="false" ht="14.25" hidden="false" customHeight="false" outlineLevel="0" collapsed="false">
      <c r="B36" s="7"/>
      <c r="AF36" s="12"/>
    </row>
    <row r="37" customFormat="false" ht="14.25" hidden="false" customHeight="false" outlineLevel="0" collapsed="false">
      <c r="B37" s="7"/>
      <c r="AF37" s="12"/>
    </row>
    <row r="38" customFormat="false" ht="14.25" hidden="false" customHeight="false" outlineLevel="0" collapsed="false">
      <c r="B38" s="7"/>
      <c r="AF38" s="12"/>
    </row>
    <row r="39" customFormat="false" ht="14.25" hidden="false" customHeight="false" outlineLevel="0" collapsed="false">
      <c r="B39" s="7"/>
      <c r="AF39" s="12"/>
    </row>
    <row r="40" customFormat="false" ht="14.25" hidden="false" customHeight="false" outlineLevel="0" collapsed="false">
      <c r="B40" s="7"/>
      <c r="AF40" s="12"/>
    </row>
    <row r="41" customFormat="false" ht="14.25" hidden="false" customHeight="false" outlineLevel="0" collapsed="false">
      <c r="B41" s="7"/>
      <c r="C41" s="52" t="s">
        <v>153</v>
      </c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  <c r="AA41" s="52"/>
      <c r="AB41" s="52"/>
      <c r="AC41" s="52"/>
      <c r="AD41" s="52"/>
      <c r="AE41" s="52"/>
      <c r="AF41" s="12"/>
    </row>
    <row r="42" customFormat="false" ht="14.25" hidden="false" customHeight="false" outlineLevel="0" collapsed="false">
      <c r="B42" s="7"/>
      <c r="AF42" s="12"/>
    </row>
    <row r="43" customFormat="false" ht="14.25" hidden="false" customHeight="false" outlineLevel="0" collapsed="false">
      <c r="B43" s="7"/>
      <c r="AF43" s="12"/>
    </row>
    <row r="44" customFormat="false" ht="14.25" hidden="false" customHeight="false" outlineLevel="0" collapsed="false">
      <c r="B44" s="7"/>
      <c r="AF44" s="12"/>
    </row>
    <row r="45" customFormat="false" ht="14.25" hidden="false" customHeight="false" outlineLevel="0" collapsed="false">
      <c r="B45" s="7"/>
      <c r="AF45" s="12"/>
    </row>
    <row r="46" customFormat="false" ht="14.25" hidden="false" customHeight="false" outlineLevel="0" collapsed="false">
      <c r="B46" s="7"/>
      <c r="AF46" s="12"/>
    </row>
    <row r="47" customFormat="false" ht="14.25" hidden="false" customHeight="false" outlineLevel="0" collapsed="false">
      <c r="B47" s="7"/>
      <c r="AF47" s="12"/>
    </row>
    <row r="48" customFormat="false" ht="14.25" hidden="false" customHeight="false" outlineLevel="0" collapsed="false">
      <c r="B48" s="7"/>
      <c r="AF48" s="12"/>
    </row>
    <row r="49" customFormat="false" ht="14.25" hidden="false" customHeight="false" outlineLevel="0" collapsed="false">
      <c r="B49" s="7"/>
      <c r="AF49" s="12"/>
    </row>
    <row r="50" customFormat="false" ht="14.25" hidden="false" customHeight="false" outlineLevel="0" collapsed="false">
      <c r="B50" s="7"/>
      <c r="AF50" s="12"/>
    </row>
    <row r="51" customFormat="false" ht="14.25" hidden="false" customHeight="false" outlineLevel="0" collapsed="false">
      <c r="B51" s="7"/>
      <c r="AF51" s="12"/>
    </row>
    <row r="52" customFormat="false" ht="14.25" hidden="false" customHeight="false" outlineLevel="0" collapsed="false">
      <c r="B52" s="7"/>
      <c r="AF52" s="12"/>
    </row>
    <row r="53" customFormat="false" ht="14.25" hidden="false" customHeight="false" outlineLevel="0" collapsed="false">
      <c r="B53" s="7"/>
      <c r="AF53" s="12"/>
    </row>
    <row r="54" customFormat="false" ht="14.25" hidden="false" customHeight="false" outlineLevel="0" collapsed="false">
      <c r="B54" s="7"/>
      <c r="AF54" s="12"/>
    </row>
    <row r="55" customFormat="false" ht="14.25" hidden="false" customHeight="false" outlineLevel="0" collapsed="false">
      <c r="B55" s="7"/>
      <c r="AF55" s="12"/>
    </row>
    <row r="56" customFormat="false" ht="14.25" hidden="false" customHeight="false" outlineLevel="0" collapsed="false">
      <c r="B56" s="7"/>
      <c r="AF56" s="12"/>
    </row>
    <row r="57" customFormat="false" ht="14.25" hidden="false" customHeight="false" outlineLevel="0" collapsed="false">
      <c r="B57" s="7"/>
      <c r="AF57" s="12"/>
    </row>
    <row r="58" customFormat="false" ht="14.25" hidden="false" customHeight="false" outlineLevel="0" collapsed="false">
      <c r="B58" s="7"/>
      <c r="AF58" s="12"/>
    </row>
    <row r="59" customFormat="false" ht="14.25" hidden="false" customHeight="false" outlineLevel="0" collapsed="false">
      <c r="B59" s="7"/>
      <c r="AF59" s="12"/>
    </row>
    <row r="60" customFormat="false" ht="14.25" hidden="false" customHeight="false" outlineLevel="0" collapsed="false">
      <c r="B60" s="7"/>
      <c r="AF60" s="12"/>
    </row>
    <row r="61" customFormat="false" ht="14.25" hidden="false" customHeight="false" outlineLevel="0" collapsed="false">
      <c r="B61" s="7"/>
      <c r="AF61" s="12"/>
    </row>
    <row r="62" customFormat="false" ht="14.25" hidden="false" customHeight="false" outlineLevel="0" collapsed="false">
      <c r="B62" s="7"/>
      <c r="AF62" s="12"/>
    </row>
    <row r="63" customFormat="false" ht="14.25" hidden="false" customHeight="false" outlineLevel="0" collapsed="false">
      <c r="B63" s="7"/>
      <c r="AF63" s="12"/>
    </row>
    <row r="64" customFormat="false" ht="14.25" hidden="false" customHeight="false" outlineLevel="0" collapsed="false">
      <c r="B64" s="7"/>
      <c r="AF64" s="12"/>
    </row>
    <row r="65" customFormat="false" ht="14.25" hidden="false" customHeight="false" outlineLevel="0" collapsed="false">
      <c r="B65" s="7"/>
      <c r="AF65" s="12"/>
    </row>
    <row r="66" customFormat="false" ht="14.25" hidden="false" customHeight="false" outlineLevel="0" collapsed="false">
      <c r="B66" s="7"/>
      <c r="AF66" s="12"/>
    </row>
    <row r="67" customFormat="false" ht="14.25" hidden="false" customHeight="false" outlineLevel="0" collapsed="false">
      <c r="B67" s="7"/>
      <c r="AF67" s="12"/>
    </row>
    <row r="68" customFormat="false" ht="14.25" hidden="false" customHeight="false" outlineLevel="0" collapsed="false">
      <c r="B68" s="7"/>
      <c r="AF68" s="12"/>
    </row>
    <row r="69" customFormat="false" ht="14.25" hidden="false" customHeight="false" outlineLevel="0" collapsed="false">
      <c r="B69" s="7"/>
      <c r="AF69" s="12"/>
    </row>
    <row r="70" customFormat="false" ht="14.25" hidden="false" customHeight="false" outlineLevel="0" collapsed="false">
      <c r="B70" s="7"/>
      <c r="AF70" s="12"/>
    </row>
    <row r="71" customFormat="false" ht="14.25" hidden="false" customHeight="false" outlineLevel="0" collapsed="false">
      <c r="B71" s="7"/>
      <c r="AF71" s="12"/>
    </row>
    <row r="72" customFormat="false" ht="14.25" hidden="false" customHeight="false" outlineLevel="0" collapsed="false">
      <c r="B72" s="7"/>
      <c r="AF72" s="12"/>
    </row>
    <row r="73" customFormat="false" ht="14.25" hidden="false" customHeight="true" outlineLevel="0" collapsed="false">
      <c r="B73" s="36"/>
      <c r="C73" s="37"/>
      <c r="D73" s="37"/>
      <c r="E73" s="37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8" t="s">
        <v>93</v>
      </c>
      <c r="Y73" s="38"/>
      <c r="Z73" s="38"/>
      <c r="AA73" s="38"/>
      <c r="AB73" s="38" t="n">
        <v>1</v>
      </c>
      <c r="AC73" s="38"/>
      <c r="AD73" s="38"/>
      <c r="AE73" s="38"/>
      <c r="AF73" s="39"/>
    </row>
    <row r="74" customFormat="false" ht="14.25" hidden="false" customHeight="true" outlineLevel="0" collapsed="false">
      <c r="B74" s="1"/>
      <c r="C74" s="2" t="s">
        <v>0</v>
      </c>
      <c r="D74" s="2"/>
      <c r="E74" s="2"/>
      <c r="F74" s="2"/>
      <c r="G74" s="2"/>
      <c r="H74" s="3" t="s">
        <v>1</v>
      </c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4" t="s">
        <v>2</v>
      </c>
      <c r="Y74" s="4"/>
      <c r="Z74" s="4"/>
      <c r="AA74" s="4"/>
      <c r="AB74" s="5" t="s">
        <v>3</v>
      </c>
      <c r="AC74" s="5"/>
      <c r="AD74" s="5"/>
      <c r="AE74" s="5"/>
      <c r="AF74" s="6"/>
    </row>
    <row r="75" customFormat="false" ht="14.25" hidden="false" customHeight="true" outlineLevel="0" collapsed="false">
      <c r="B75" s="7"/>
      <c r="C75" s="8" t="s">
        <v>4</v>
      </c>
      <c r="D75" s="8"/>
      <c r="E75" s="8"/>
      <c r="F75" s="8"/>
      <c r="G75" s="8"/>
      <c r="H75" s="9" t="s">
        <v>5</v>
      </c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10" t="s">
        <v>6</v>
      </c>
      <c r="Y75" s="10"/>
      <c r="Z75" s="10"/>
      <c r="AA75" s="10"/>
      <c r="AB75" s="11" t="n">
        <v>46301</v>
      </c>
      <c r="AC75" s="11"/>
      <c r="AD75" s="11"/>
      <c r="AE75" s="11"/>
      <c r="AF75" s="12"/>
    </row>
    <row r="76" customFormat="false" ht="14.25" hidden="false" customHeight="true" outlineLevel="0" collapsed="false">
      <c r="B76" s="7"/>
      <c r="C76" s="8" t="s">
        <v>7</v>
      </c>
      <c r="D76" s="8"/>
      <c r="E76" s="8"/>
      <c r="F76" s="8"/>
      <c r="G76" s="8"/>
      <c r="H76" s="9" t="s">
        <v>340</v>
      </c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10" t="s">
        <v>9</v>
      </c>
      <c r="Y76" s="10"/>
      <c r="Z76" s="10"/>
      <c r="AA76" s="10"/>
      <c r="AB76" s="11" t="s">
        <v>3</v>
      </c>
      <c r="AC76" s="11"/>
      <c r="AD76" s="11"/>
      <c r="AE76" s="11"/>
      <c r="AF76" s="12"/>
    </row>
    <row r="77" customFormat="false" ht="14.25" hidden="false" customHeight="true" outlineLevel="0" collapsed="false">
      <c r="B77" s="13"/>
      <c r="C77" s="14" t="s">
        <v>10</v>
      </c>
      <c r="D77" s="14"/>
      <c r="E77" s="14"/>
      <c r="F77" s="14"/>
      <c r="G77" s="14"/>
      <c r="H77" s="15" t="s">
        <v>134</v>
      </c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6" t="s">
        <v>12</v>
      </c>
      <c r="Y77" s="16"/>
      <c r="Z77" s="16"/>
      <c r="AA77" s="16"/>
      <c r="AB77" s="17" t="n">
        <v>46301</v>
      </c>
      <c r="AC77" s="17"/>
      <c r="AD77" s="17"/>
      <c r="AE77" s="17"/>
      <c r="AF77" s="18"/>
    </row>
    <row r="78" customFormat="false" ht="14.25" hidden="false" customHeight="false" outlineLevel="0" collapsed="false">
      <c r="B78" s="7"/>
      <c r="AF78" s="12"/>
    </row>
    <row r="79" customFormat="false" ht="14.25" hidden="false" customHeight="false" outlineLevel="0" collapsed="false">
      <c r="B79" s="7"/>
      <c r="C79" s="9" t="s">
        <v>154</v>
      </c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12"/>
    </row>
    <row r="80" customFormat="false" ht="14.25" hidden="false" customHeight="false" outlineLevel="0" collapsed="false">
      <c r="B80" s="7"/>
      <c r="C80" s="20" t="s">
        <v>341</v>
      </c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12"/>
      <c r="AI80" s="53" t="s">
        <v>156</v>
      </c>
    </row>
    <row r="81" customFormat="false" ht="27" hidden="false" customHeight="true" outlineLevel="0" collapsed="false">
      <c r="B81" s="7"/>
      <c r="C81" s="28" t="s">
        <v>157</v>
      </c>
      <c r="D81" s="28"/>
      <c r="E81" s="28" t="s">
        <v>158</v>
      </c>
      <c r="F81" s="28"/>
      <c r="G81" s="28"/>
      <c r="H81" s="28" t="s">
        <v>159</v>
      </c>
      <c r="I81" s="28"/>
      <c r="J81" s="28"/>
      <c r="K81" s="28" t="s">
        <v>160</v>
      </c>
      <c r="L81" s="28"/>
      <c r="M81" s="28"/>
      <c r="N81" s="28" t="s">
        <v>161</v>
      </c>
      <c r="O81" s="28"/>
      <c r="P81" s="28"/>
      <c r="Q81" s="28" t="s">
        <v>162</v>
      </c>
      <c r="R81" s="28"/>
      <c r="S81" s="28"/>
      <c r="T81" s="28" t="s">
        <v>88</v>
      </c>
      <c r="U81" s="28"/>
      <c r="V81" s="28" t="s">
        <v>163</v>
      </c>
      <c r="W81" s="28"/>
      <c r="X81" s="28" t="s">
        <v>164</v>
      </c>
      <c r="Y81" s="28"/>
      <c r="Z81" s="28" t="s">
        <v>165</v>
      </c>
      <c r="AA81" s="28"/>
      <c r="AB81" s="28"/>
      <c r="AC81" s="28" t="s">
        <v>166</v>
      </c>
      <c r="AD81" s="28"/>
      <c r="AE81" s="28"/>
      <c r="AF81" s="12"/>
      <c r="AI81" s="54" t="s">
        <v>167</v>
      </c>
      <c r="AJ81" s="54" t="s">
        <v>168</v>
      </c>
      <c r="AK81" s="54" t="s">
        <v>169</v>
      </c>
      <c r="AL81" s="54" t="s">
        <v>170</v>
      </c>
      <c r="AM81" s="54" t="s">
        <v>171</v>
      </c>
      <c r="AN81" s="54" t="s">
        <v>172</v>
      </c>
      <c r="AO81" s="54" t="s">
        <v>173</v>
      </c>
      <c r="AP81" s="54" t="s">
        <v>174</v>
      </c>
      <c r="AQ81" s="54" t="s">
        <v>175</v>
      </c>
      <c r="AR81" s="54" t="s">
        <v>88</v>
      </c>
      <c r="AS81" s="54" t="s">
        <v>176</v>
      </c>
      <c r="AT81" s="54" t="s">
        <v>163</v>
      </c>
      <c r="AU81" s="54" t="s">
        <v>164</v>
      </c>
      <c r="AV81" s="54" t="s">
        <v>165</v>
      </c>
      <c r="AW81" s="54" t="s">
        <v>177</v>
      </c>
      <c r="AX81" s="54" t="s">
        <v>178</v>
      </c>
      <c r="AY81" s="54" t="s">
        <v>179</v>
      </c>
      <c r="AZ81" s="54" t="s">
        <v>19</v>
      </c>
      <c r="BA81" s="54" t="s">
        <v>180</v>
      </c>
      <c r="BB81" s="54" t="s">
        <v>181</v>
      </c>
      <c r="BC81" s="54" t="s">
        <v>182</v>
      </c>
      <c r="BD81" s="54" t="s">
        <v>183</v>
      </c>
      <c r="BE81" s="54" t="s">
        <v>184</v>
      </c>
      <c r="BF81" s="54" t="s">
        <v>185</v>
      </c>
      <c r="BG81" s="54" t="s">
        <v>186</v>
      </c>
      <c r="BH81" s="54" t="s">
        <v>187</v>
      </c>
      <c r="BI81" s="54" t="s">
        <v>188</v>
      </c>
      <c r="BJ81" s="54" t="s">
        <v>189</v>
      </c>
      <c r="BK81" s="54" t="s">
        <v>190</v>
      </c>
      <c r="BL81" s="54" t="s">
        <v>89</v>
      </c>
      <c r="BM81" s="54" t="s">
        <v>191</v>
      </c>
      <c r="BN81" s="54" t="s">
        <v>192</v>
      </c>
      <c r="BO81" s="54" t="s">
        <v>193</v>
      </c>
      <c r="BP81" s="54" t="s">
        <v>194</v>
      </c>
      <c r="BQ81" s="54" t="s">
        <v>195</v>
      </c>
    </row>
    <row r="82" customFormat="false" ht="14.25" hidden="false" customHeight="true" outlineLevel="0" collapsed="false">
      <c r="B82" s="7"/>
      <c r="C82" s="29"/>
      <c r="D82" s="29"/>
      <c r="E82" s="29" t="s">
        <v>19</v>
      </c>
      <c r="F82" s="29"/>
      <c r="G82" s="29"/>
      <c r="H82" s="29" t="s">
        <v>19</v>
      </c>
      <c r="I82" s="29"/>
      <c r="J82" s="29"/>
      <c r="K82" s="29"/>
      <c r="L82" s="29"/>
      <c r="M82" s="29"/>
      <c r="N82" s="29"/>
      <c r="O82" s="29"/>
      <c r="P82" s="29"/>
      <c r="Q82" s="29" t="s">
        <v>23</v>
      </c>
      <c r="R82" s="29"/>
      <c r="S82" s="29"/>
      <c r="T82" s="29" t="s">
        <v>91</v>
      </c>
      <c r="U82" s="29"/>
      <c r="V82" s="29" t="s">
        <v>91</v>
      </c>
      <c r="W82" s="29"/>
      <c r="X82" s="29" t="s">
        <v>38</v>
      </c>
      <c r="Y82" s="29"/>
      <c r="Z82" s="29" t="s">
        <v>26</v>
      </c>
      <c r="AA82" s="29"/>
      <c r="AB82" s="29"/>
      <c r="AC82" s="29" t="s">
        <v>60</v>
      </c>
      <c r="AD82" s="29"/>
      <c r="AE82" s="29"/>
      <c r="AF82" s="12"/>
    </row>
    <row r="83" customFormat="false" ht="14.25" hidden="false" customHeight="false" outlineLevel="0" collapsed="false">
      <c r="B83" s="7"/>
      <c r="C83" s="46" t="n">
        <v>1</v>
      </c>
      <c r="D83" s="46"/>
      <c r="E83" s="44" t="n">
        <f aca="false">AI83</f>
        <v>0</v>
      </c>
      <c r="F83" s="44"/>
      <c r="G83" s="44"/>
      <c r="H83" s="44" t="n">
        <f aca="false">AJ83</f>
        <v>1.5</v>
      </c>
      <c r="I83" s="44"/>
      <c r="J83" s="44"/>
      <c r="K83" s="41" t="str">
        <f aca="false">AM83</f>
        <v>Silt</v>
      </c>
      <c r="L83" s="41"/>
      <c r="M83" s="41"/>
      <c r="N83" s="46" t="n">
        <f aca="false">AN83</f>
        <v>5</v>
      </c>
      <c r="O83" s="46"/>
      <c r="P83" s="46"/>
      <c r="Q83" s="42" t="n">
        <f aca="false">AO83</f>
        <v>19.6</v>
      </c>
      <c r="R83" s="42"/>
      <c r="S83" s="42"/>
      <c r="T83" s="46" t="n">
        <f aca="false">IF(AR83="","-",AR83)</f>
        <v>28.071</v>
      </c>
      <c r="U83" s="46"/>
      <c r="V83" s="46" t="n">
        <f aca="false">IF(AT83="","-",AT83)</f>
        <v>9.239</v>
      </c>
      <c r="W83" s="46"/>
      <c r="X83" s="44" t="n">
        <f aca="false">AU83</f>
        <v>0.59</v>
      </c>
      <c r="Y83" s="44"/>
      <c r="Z83" s="55" t="n">
        <f aca="false">AV83</f>
        <v>25</v>
      </c>
      <c r="AA83" s="55"/>
      <c r="AB83" s="55"/>
      <c r="AC83" s="42" t="n">
        <f aca="false">AW83</f>
        <v>30</v>
      </c>
      <c r="AD83" s="42"/>
      <c r="AE83" s="42"/>
      <c r="AF83" s="12"/>
      <c r="AI83" s="56" t="n">
        <v>0</v>
      </c>
      <c r="AJ83" s="56" t="n">
        <v>1.5</v>
      </c>
      <c r="AK83" s="57" t="n">
        <f aca="false">AJ83-AI83</f>
        <v>1.5</v>
      </c>
      <c r="AL83" s="57" t="n">
        <f aca="false">(AI83+AJ83)/2</f>
        <v>0.75</v>
      </c>
      <c r="AM83" s="56" t="s">
        <v>200</v>
      </c>
      <c r="AN83" s="56" t="n">
        <v>5</v>
      </c>
      <c r="AO83" s="58" t="n">
        <f aca="false">IF(AL83&gt;$AA$20,$AA$22,$AA$21)</f>
        <v>19.6</v>
      </c>
      <c r="AP83" s="57" t="n">
        <f aca="false">AO83*AK83</f>
        <v>29.4</v>
      </c>
      <c r="AQ83" s="57" t="n">
        <f aca="false">AP83-AO83*AK83/2-10*MAX(AL83-$AA$20,0)</f>
        <v>14.7</v>
      </c>
      <c r="AR83" s="56" t="n">
        <v>28.071</v>
      </c>
      <c r="AS83" s="56" t="n">
        <v>18.832</v>
      </c>
      <c r="AT83" s="57" t="n">
        <f aca="false">IF(AR83="","",AR83-AS83)</f>
        <v>9.239</v>
      </c>
      <c r="AU83" s="56" t="n">
        <v>0.59</v>
      </c>
      <c r="AV83" s="57" t="n">
        <f aca="false">IF(AM83="Sand",0,Input!$AA$34*AN83)</f>
        <v>25</v>
      </c>
      <c r="AW83" s="57" t="n">
        <f aca="false">IF(AM83="Sand",27.1+0.3*MIN(Input!$AA$35*AN83,60)-0.00054*MIN(Input!$AA$35*AN83,60)^2,MIN(MAX(DEGREES(ASIN(0.8-0.094*LN(MAX(IF(AT83="",10,AT83),5)))),20),30))</f>
        <v>30</v>
      </c>
      <c r="AX83" s="57" t="n">
        <f aca="false">IF(AM83="Sand",Input!$AA$36*Input!$AA$35*AN83,Input!$AA$37*AV83)</f>
        <v>12500</v>
      </c>
      <c r="AY83" s="57" t="n">
        <f aca="false">IF(AM83="Sand",Input!$AA$38,0.5)</f>
        <v>0.5</v>
      </c>
      <c r="AZ83" s="57" t="n">
        <f aca="false">Input!$AA$15/2/AL83</f>
        <v>49.3333333333333</v>
      </c>
      <c r="BA83" s="57" t="n">
        <f aca="false">Input!$AA$16/2/AL83</f>
        <v>134.666666666667</v>
      </c>
      <c r="BB83" s="57" t="n">
        <f aca="false">1/(4*PI())*(2*AZ83*BA83*SQRT(AZ83^2+BA83^2+1)/(AZ83^2+BA83^2+1+AZ83^2*BA83^2)*(AZ83^2+BA83^2+2)/(AZ83^2+BA83^2+1)+ATAN2(AZ83^2+BA83^2+1-AZ83^2*BA83^2,2*AZ83*BA83*SQRT(AZ83^2+BA83^2+1)))</f>
        <v>0.249999100034729</v>
      </c>
      <c r="BC83" s="57" t="n">
        <f aca="false">4*Input!$AA$14*BB83</f>
        <v>135.999510418892</v>
      </c>
      <c r="BD83" s="57" t="n">
        <f aca="false">((Input!$AA$16/Input!$AA$15)*LN((1+SQRT((Input!$AA$16/Input!$AA$15)^2+1))*SQRT((Input!$AA$16/Input!$AA$15)^2+(AJ83/(Input!$AA$15/2))^2)/((Input!$AA$16/Input!$AA$15)*(1+SQRT((Input!$AA$16/Input!$AA$15)^2+(AJ83/(Input!$AA$15/2))^2+1))))+LN(((Input!$AA$16/Input!$AA$15)+SQRT((Input!$AA$16/Input!$AA$15)^2+1))*SQRT(1+(AJ83/(Input!$AA$15/2))^2)/((Input!$AA$16/Input!$AA$15)+SQRT((Input!$AA$16/Input!$AA$15)^2+(AJ83/(Input!$AA$15/2))^2+1))))/PI()</f>
        <v>0.000278357738281407</v>
      </c>
      <c r="BE83" s="57" t="n">
        <f aca="false">(AJ83/(Input!$AA$15/2))/(2*PI())*ATAN((Input!$AA$16/Input!$AA$15)/((AJ83/(Input!$AA$15/2))*SQRT((Input!$AA$16/Input!$AA$15)^2+(AJ83/(Input!$AA$15/2))^2+1)))</f>
        <v>0.00985670448566872</v>
      </c>
      <c r="BF83" s="57" t="n">
        <f aca="false">MAX(0,AJ83-MAX(AI83,$AA$23))/AK83*IF(BC83&gt;=Input!$AA$21*AQ83,1,0)</f>
        <v>0.666666666666667</v>
      </c>
      <c r="BG83" s="57" t="n">
        <f aca="false">4*Input!$AA$14*(Input!$AA$15/2)*(1-AY83^2)/AX83*((BD83-0)+(1-2*AY83)/(1-AY83)*(BE83-0))*1000*BF83</f>
        <v>0.224111382245126</v>
      </c>
      <c r="BH83" s="57" t="n">
        <f aca="false">IF(AM83="Sand",0,0.009*(AR83-10))</f>
        <v>0.162639</v>
      </c>
      <c r="BI83" s="57" t="n">
        <f aca="false">BH83*Input!$AA$39</f>
        <v>0.0325278</v>
      </c>
      <c r="BJ83" s="57" t="n">
        <f aca="false">IF(AM83="Sand",0,MAX(AV83/Input!$AA$40,AQ83))</f>
        <v>113.636363636364</v>
      </c>
      <c r="BK83" s="57" t="n">
        <f aca="false">IF(AM83="Sand",0,1000*AK83/(1+AU83)*IF(AQ83+BC83&lt;=BJ83,BI83*LOG10((AQ83+BC83)/AQ83),BI83*LOG10(BJ83/AQ83)+BH83*LOG10((AQ83+BC83)/BJ83)))*BF83</f>
        <v>30.7105917152086</v>
      </c>
      <c r="BL83" s="57" t="n">
        <f aca="false">IF(AM83="Sand",0,10^(INDEX(Input!$Q$51:$Q$57,MIN(MATCH(MIN(MAX(AR83,30),120),Input!$C$51:$C$57,1),6))+(MIN(MAX(AR83,30),120)-INDEX(Input!$C$51:$C$57,MIN(MATCH(MIN(MAX(AR83,30),120),Input!$C$51:$C$57,1),6)))/(INDEX(Input!$C$51:$C$57,MIN(MATCH(MIN(MAX(AR83,30),120),Input!$C$51:$C$57,1),6)+1)-INDEX(Input!$C$51:$C$57,MIN(MATCH(MIN(MAX(AR83,30),120),Input!$C$51:$C$57,1),6)))*(INDEX(Input!$Q$51:$Q$57,MIN(MATCH(MIN(MAX(AR83,30),120),Input!$C$51:$C$57,1),6)+1)-INDEX(Input!$Q$51:$Q$57,MIN(MATCH(MIN(MAX(AR83,30),120),Input!$C$51:$C$57,1),6)))))</f>
        <v>0.003</v>
      </c>
      <c r="BM83" s="57" t="n">
        <f aca="false">IF(OR(AM83="Sand",BF83=0),0,Input!$AA$41*(AK83/2)^2/(BL83*0.0001*31536000))</f>
        <v>0.0504185692541857</v>
      </c>
      <c r="BN83" s="57" t="n">
        <f aca="false">MAX(0,MIN(AJ83,Input!$AA$20)-AI83)</f>
        <v>1.5</v>
      </c>
      <c r="BO83" s="57" t="n">
        <f aca="false">MAX(0,MIN(AJ83,Input!$AA$20)-MAX(AI83,$AA$23))</f>
        <v>1</v>
      </c>
      <c r="BP83" s="57" t="n">
        <f aca="false">BG83+BK83</f>
        <v>30.9347030974538</v>
      </c>
      <c r="BQ83" s="57" t="s">
        <v>197</v>
      </c>
    </row>
    <row r="84" customFormat="false" ht="14.25" hidden="false" customHeight="false" outlineLevel="0" collapsed="false">
      <c r="B84" s="7"/>
      <c r="C84" s="46" t="n">
        <v>2</v>
      </c>
      <c r="D84" s="46"/>
      <c r="E84" s="44" t="n">
        <f aca="false">AI84</f>
        <v>1.5</v>
      </c>
      <c r="F84" s="44"/>
      <c r="G84" s="44"/>
      <c r="H84" s="44" t="n">
        <f aca="false">AJ84</f>
        <v>3</v>
      </c>
      <c r="I84" s="44"/>
      <c r="J84" s="44"/>
      <c r="K84" s="41" t="str">
        <f aca="false">AM84</f>
        <v>Silt</v>
      </c>
      <c r="L84" s="41"/>
      <c r="M84" s="41"/>
      <c r="N84" s="46" t="n">
        <f aca="false">AN84</f>
        <v>5</v>
      </c>
      <c r="O84" s="46"/>
      <c r="P84" s="46"/>
      <c r="Q84" s="42" t="n">
        <f aca="false">AO84</f>
        <v>19.6</v>
      </c>
      <c r="R84" s="42"/>
      <c r="S84" s="42"/>
      <c r="T84" s="46" t="n">
        <f aca="false">IF(AR84="","-",AR84)</f>
        <v>28.11</v>
      </c>
      <c r="U84" s="46"/>
      <c r="V84" s="46" t="n">
        <f aca="false">IF(AT84="","-",AT84)</f>
        <v>6.46</v>
      </c>
      <c r="W84" s="46"/>
      <c r="X84" s="44" t="n">
        <f aca="false">AU84</f>
        <v>0.495</v>
      </c>
      <c r="Y84" s="44"/>
      <c r="Z84" s="55" t="n">
        <f aca="false">AV84</f>
        <v>25</v>
      </c>
      <c r="AA84" s="55"/>
      <c r="AB84" s="55"/>
      <c r="AC84" s="42" t="n">
        <f aca="false">AW84</f>
        <v>30</v>
      </c>
      <c r="AD84" s="42"/>
      <c r="AE84" s="42"/>
      <c r="AF84" s="12"/>
      <c r="AI84" s="56" t="n">
        <v>1.5</v>
      </c>
      <c r="AJ84" s="56" t="n">
        <v>3</v>
      </c>
      <c r="AK84" s="57" t="n">
        <f aca="false">AJ84-AI84</f>
        <v>1.5</v>
      </c>
      <c r="AL84" s="57" t="n">
        <f aca="false">(AI84+AJ84)/2</f>
        <v>2.25</v>
      </c>
      <c r="AM84" s="56" t="s">
        <v>200</v>
      </c>
      <c r="AN84" s="56" t="n">
        <v>5</v>
      </c>
      <c r="AO84" s="58" t="n">
        <f aca="false">IF(AL84&gt;$AA$20,$AA$22,$AA$21)</f>
        <v>19.6</v>
      </c>
      <c r="AP84" s="57" t="n">
        <f aca="false">AP83+AO84*AK84</f>
        <v>58.8</v>
      </c>
      <c r="AQ84" s="57" t="n">
        <f aca="false">AP84-AO84*AK84/2-10*MAX(AL84-$AA$20,0)</f>
        <v>44.1</v>
      </c>
      <c r="AR84" s="56" t="n">
        <v>28.11</v>
      </c>
      <c r="AS84" s="56" t="n">
        <v>21.65</v>
      </c>
      <c r="AT84" s="57" t="n">
        <f aca="false">IF(AR84="","",AR84-AS84)</f>
        <v>6.46</v>
      </c>
      <c r="AU84" s="56" t="n">
        <v>0.495</v>
      </c>
      <c r="AV84" s="57" t="n">
        <f aca="false">IF(AM84="Sand",0,Input!$AA$34*AN84)</f>
        <v>25</v>
      </c>
      <c r="AW84" s="57" t="n">
        <f aca="false">IF(AM84="Sand",27.1+0.3*MIN(Input!$AA$35*AN84,60)-0.00054*MIN(Input!$AA$35*AN84,60)^2,MIN(MAX(DEGREES(ASIN(0.8-0.094*LN(MAX(IF(AT84="",10,AT84),5)))),20),30))</f>
        <v>30</v>
      </c>
      <c r="AX84" s="57" t="n">
        <f aca="false">IF(AM84="Sand",Input!$AA$36*Input!$AA$35*AN84,Input!$AA$37*AV84)</f>
        <v>12500</v>
      </c>
      <c r="AY84" s="57" t="n">
        <f aca="false">IF(AM84="Sand",Input!$AA$38,0.5)</f>
        <v>0.5</v>
      </c>
      <c r="AZ84" s="57" t="n">
        <f aca="false">Input!$AA$15/2/AL84</f>
        <v>16.4444444444444</v>
      </c>
      <c r="BA84" s="57" t="n">
        <f aca="false">Input!$AA$16/2/AL84</f>
        <v>44.8888888888889</v>
      </c>
      <c r="BB84" s="57" t="n">
        <f aca="false">1/(4*PI())*(2*AZ84*BA84*SQRT(AZ84^2+BA84^2+1)/(AZ84^2+BA84^2+1+AZ84^2*BA84^2)*(AZ84^2+BA84^2+2)/(AZ84^2+BA84^2+1)+ATAN2(AZ84^2+BA84^2+1-AZ84^2*BA84^2,2*AZ84*BA84*SQRT(AZ84^2+BA84^2+1)))</f>
        <v>0.249975794959289</v>
      </c>
      <c r="BC84" s="57" t="n">
        <f aca="false">4*Input!$AA$14*BB84</f>
        <v>135.986832457853</v>
      </c>
      <c r="BD84" s="57" t="n">
        <f aca="false">((Input!$AA$16/Input!$AA$15)*LN((1+SQRT((Input!$AA$16/Input!$AA$15)^2+1))*SQRT((Input!$AA$16/Input!$AA$15)^2+(AJ84/(Input!$AA$15/2))^2)/((Input!$AA$16/Input!$AA$15)*(1+SQRT((Input!$AA$16/Input!$AA$15)^2+(AJ84/(Input!$AA$15/2))^2+1))))+LN(((Input!$AA$16/Input!$AA$15)+SQRT((Input!$AA$16/Input!$AA$15)^2+1))*SQRT(1+(AJ84/(Input!$AA$15/2))^2)/((Input!$AA$16/Input!$AA$15)+SQRT((Input!$AA$16/Input!$AA$15)^2+(AJ84/(Input!$AA$15/2))^2+1))))/PI()</f>
        <v>0.0011108168584366</v>
      </c>
      <c r="BE84" s="57" t="n">
        <f aca="false">(AJ84/(Input!$AA$15/2))/(2*PI())*ATAN((Input!$AA$16/Input!$AA$15)/((AJ84/(Input!$AA$15/2))*SQRT((Input!$AA$16/Input!$AA$15)^2+(AJ84/(Input!$AA$15/2))^2+1)))</f>
        <v>0.0191582913405592</v>
      </c>
      <c r="BF84" s="57" t="n">
        <f aca="false">MAX(0,AJ84-MAX(AI84,$AA$23))/AK84*IF(BC84&gt;=Input!$AA$21*AQ84,1,0)</f>
        <v>1</v>
      </c>
      <c r="BG84" s="57" t="n">
        <f aca="false">4*Input!$AA$14*(Input!$AA$15/2)*(1-AY84^2)/AX84*((BD84-BD83)+(1-2*AY84)/(1-AY84)*(BE84-BE83))*1000*BF84</f>
        <v>1.00534423022902</v>
      </c>
      <c r="BH84" s="57" t="n">
        <f aca="false">IF(AM84="Sand",0,0.009*(AR84-10))</f>
        <v>0.16299</v>
      </c>
      <c r="BI84" s="57" t="n">
        <f aca="false">BH84*Input!$AA$39</f>
        <v>0.032598</v>
      </c>
      <c r="BJ84" s="57" t="n">
        <f aca="false">IF(AM84="Sand",0,MAX(AV84/Input!$AA$40,AQ84))</f>
        <v>113.636363636364</v>
      </c>
      <c r="BK84" s="57" t="n">
        <f aca="false">IF(AM84="Sand",0,1000*AK84/(1+AU84)*IF(AQ84+BC84&lt;=BJ84,BI84*LOG10((AQ84+BC84)/AQ84),BI84*LOG10(BJ84/AQ84)+BH84*LOG10((AQ84+BC84)/BJ84)))*BF84</f>
        <v>46.1464013397047</v>
      </c>
      <c r="BL84" s="57" t="n">
        <f aca="false">IF(AM84="Sand",0,10^(INDEX(Input!$Q$51:$Q$57,MIN(MATCH(MIN(MAX(AR84,30),120),Input!$C$51:$C$57,1),6))+(MIN(MAX(AR84,30),120)-INDEX(Input!$C$51:$C$57,MIN(MATCH(MIN(MAX(AR84,30),120),Input!$C$51:$C$57,1),6)))/(INDEX(Input!$C$51:$C$57,MIN(MATCH(MIN(MAX(AR84,30),120),Input!$C$51:$C$57,1),6)+1)-INDEX(Input!$C$51:$C$57,MIN(MATCH(MIN(MAX(AR84,30),120),Input!$C$51:$C$57,1),6)))*(INDEX(Input!$Q$51:$Q$57,MIN(MATCH(MIN(MAX(AR84,30),120),Input!$C$51:$C$57,1),6)+1)-INDEX(Input!$Q$51:$Q$57,MIN(MATCH(MIN(MAX(AR84,30),120),Input!$C$51:$C$57,1),6)))))</f>
        <v>0.003</v>
      </c>
      <c r="BM84" s="57" t="n">
        <f aca="false">IF(OR(AM84="Sand",BF84=0),0,Input!$AA$41*(AK84/2)^2/(BL84*0.0001*31536000))</f>
        <v>0.0504185692541857</v>
      </c>
      <c r="BN84" s="57" t="n">
        <f aca="false">MAX(0,MIN(AJ84,Input!$AA$20)-AI84)</f>
        <v>1.5</v>
      </c>
      <c r="BO84" s="57" t="n">
        <f aca="false">MAX(0,MIN(AJ84,Input!$AA$20)-MAX(AI84,$AA$23))</f>
        <v>1.5</v>
      </c>
      <c r="BP84" s="57" t="n">
        <f aca="false">BG84+BK84</f>
        <v>47.1517455699337</v>
      </c>
      <c r="BQ84" s="57"/>
    </row>
    <row r="85" customFormat="false" ht="14.25" hidden="false" customHeight="false" outlineLevel="0" collapsed="false">
      <c r="B85" s="7"/>
      <c r="C85" s="46" t="n">
        <v>3</v>
      </c>
      <c r="D85" s="46"/>
      <c r="E85" s="44" t="n">
        <f aca="false">AI85</f>
        <v>3</v>
      </c>
      <c r="F85" s="44"/>
      <c r="G85" s="44"/>
      <c r="H85" s="44" t="n">
        <f aca="false">AJ85</f>
        <v>5.5</v>
      </c>
      <c r="I85" s="44"/>
      <c r="J85" s="44"/>
      <c r="K85" s="41" t="str">
        <f aca="false">AM85</f>
        <v>Sand</v>
      </c>
      <c r="L85" s="41"/>
      <c r="M85" s="41"/>
      <c r="N85" s="46" t="n">
        <f aca="false">AN85</f>
        <v>49</v>
      </c>
      <c r="O85" s="46"/>
      <c r="P85" s="46"/>
      <c r="Q85" s="42" t="n">
        <f aca="false">AO85</f>
        <v>19.6</v>
      </c>
      <c r="R85" s="42"/>
      <c r="S85" s="42"/>
      <c r="T85" s="46" t="str">
        <f aca="false">IF(AR85="","-",AR85)</f>
        <v>-</v>
      </c>
      <c r="U85" s="46"/>
      <c r="V85" s="46" t="str">
        <f aca="false">IF(AT85="","-",AT85)</f>
        <v>-</v>
      </c>
      <c r="W85" s="46"/>
      <c r="X85" s="44" t="n">
        <f aca="false">AU85</f>
        <v>0.65</v>
      </c>
      <c r="Y85" s="44"/>
      <c r="Z85" s="55" t="n">
        <f aca="false">AV85</f>
        <v>0</v>
      </c>
      <c r="AA85" s="55"/>
      <c r="AB85" s="55"/>
      <c r="AC85" s="42" t="n">
        <f aca="false">AW85</f>
        <v>41.49940249594</v>
      </c>
      <c r="AD85" s="42"/>
      <c r="AE85" s="42"/>
      <c r="AF85" s="12"/>
      <c r="AI85" s="56" t="n">
        <v>3</v>
      </c>
      <c r="AJ85" s="56" t="n">
        <v>5.5</v>
      </c>
      <c r="AK85" s="57" t="n">
        <f aca="false">AJ85-AI85</f>
        <v>2.5</v>
      </c>
      <c r="AL85" s="57" t="n">
        <f aca="false">(AI85+AJ85)/2</f>
        <v>4.25</v>
      </c>
      <c r="AM85" s="56" t="s">
        <v>199</v>
      </c>
      <c r="AN85" s="56" t="n">
        <v>49</v>
      </c>
      <c r="AO85" s="58" t="n">
        <f aca="false">IF(AL85&gt;$AA$20,$AA$22,$AA$21)</f>
        <v>19.6</v>
      </c>
      <c r="AP85" s="57" t="n">
        <f aca="false">AP84+AO85*AK85</f>
        <v>107.8</v>
      </c>
      <c r="AQ85" s="57" t="n">
        <f aca="false">AP85-AO85*AK85/2-10*MAX(AL85-$AA$20,0)</f>
        <v>83.3</v>
      </c>
      <c r="AR85" s="56"/>
      <c r="AS85" s="56"/>
      <c r="AT85" s="57" t="str">
        <f aca="false">IF(AR85="","",AR85-AS85)</f>
        <v/>
      </c>
      <c r="AU85" s="56" t="n">
        <v>0.65</v>
      </c>
      <c r="AV85" s="57" t="n">
        <f aca="false">IF(AM85="Sand",0,Input!$AA$34*AN85)</f>
        <v>0</v>
      </c>
      <c r="AW85" s="57" t="n">
        <f aca="false">IF(AM85="Sand",27.1+0.3*MIN(Input!$AA$35*AN85,60)-0.00054*MIN(Input!$AA$35*AN85,60)^2,MIN(MAX(DEGREES(ASIN(0.8-0.094*LN(MAX(IF(AT85="",10,AT85),5)))),20),30))</f>
        <v>41.49940249594</v>
      </c>
      <c r="AX85" s="57" t="n">
        <f aca="false">IF(AM85="Sand",Input!$AA$36*Input!$AA$35*AN85,Input!$AA$37*AV85)</f>
        <v>53067</v>
      </c>
      <c r="AY85" s="59" t="n">
        <f aca="false">IF(AM85="Sand",Input!$AA$38,0.5)</f>
        <v>0.3</v>
      </c>
      <c r="AZ85" s="57" t="n">
        <f aca="false">Input!$AA$15/2/AL85</f>
        <v>8.70588235294118</v>
      </c>
      <c r="BA85" s="57" t="n">
        <f aca="false">Input!$AA$16/2/AL85</f>
        <v>23.7647058823529</v>
      </c>
      <c r="BB85" s="57" t="n">
        <f aca="false">1/(4*PI())*(2*AZ85*BA85*SQRT(AZ85^2+BA85^2+1)/(AZ85^2+BA85^2+1+AZ85^2*BA85^2)*(AZ85^2+BA85^2+2)/(AZ85^2+BA85^2+1)+ATAN2(AZ85^2+BA85^2+1-AZ85^2*BA85^2,2*AZ85*BA85*SQRT(AZ85^2+BA85^2+1)))</f>
        <v>0.249838679167168</v>
      </c>
      <c r="BC85" s="57" t="n">
        <f aca="false">4*Input!$AA$14*BB85</f>
        <v>135.912241466939</v>
      </c>
      <c r="BD85" s="57" t="n">
        <f aca="false">((Input!$AA$16/Input!$AA$15)*LN((1+SQRT((Input!$AA$16/Input!$AA$15)^2+1))*SQRT((Input!$AA$16/Input!$AA$15)^2+(AJ85/(Input!$AA$15/2))^2)/((Input!$AA$16/Input!$AA$15)*(1+SQRT((Input!$AA$16/Input!$AA$15)^2+(AJ85/(Input!$AA$15/2))^2+1))))+LN(((Input!$AA$16/Input!$AA$15)+SQRT((Input!$AA$16/Input!$AA$15)^2+1))*SQRT(1+(AJ85/(Input!$AA$15/2))^2)/((Input!$AA$16/Input!$AA$15)+SQRT((Input!$AA$16/Input!$AA$15)^2+(AJ85/(Input!$AA$15/2))^2+1))))/PI()</f>
        <v>0.00370628354440385</v>
      </c>
      <c r="BE85" s="57" t="n">
        <f aca="false">(AJ85/(Input!$AA$15/2))/(2*PI())*ATAN((Input!$AA$16/Input!$AA$15)/((AJ85/(Input!$AA$15/2))*SQRT((Input!$AA$16/Input!$AA$15)^2+(AJ85/(Input!$AA$15/2))^2+1)))</f>
        <v>0.0334429083554106</v>
      </c>
      <c r="BF85" s="57" t="n">
        <f aca="false">MAX(0,AJ85-MAX(AI85,$AA$23))/AK85*IF(BC85&gt;=Input!$AA$21*AQ85,1,0)</f>
        <v>1</v>
      </c>
      <c r="BG85" s="57" t="n">
        <f aca="false">4*Input!$AA$14*(Input!$AA$15/2)*(1-AY85^2)/AX85*((BD85-BD84)+(1-2*AY85)/(1-AY85)*(BE85-BE84))*1000*BF85</f>
        <v>3.71324202813703</v>
      </c>
      <c r="BH85" s="57" t="n">
        <f aca="false">IF(AM85="Sand",0,0.009*(AR85-10))</f>
        <v>0</v>
      </c>
      <c r="BI85" s="57" t="n">
        <f aca="false">BH85*Input!$AA$39</f>
        <v>0</v>
      </c>
      <c r="BJ85" s="57" t="n">
        <f aca="false">IF(AM85="Sand",0,MAX(AV85/Input!$AA$40,AQ85))</f>
        <v>0</v>
      </c>
      <c r="BK85" s="57" t="n">
        <f aca="false">IF(AM85="Sand",0,1000*AK85/(1+AU85)*IF(AQ85+BC85&lt;=BJ85,BI85*LOG10((AQ85+BC85)/AQ85),BI85*LOG10(BJ85/AQ85)+BH85*LOG10((AQ85+BC85)/BJ85)))*BF85</f>
        <v>0</v>
      </c>
      <c r="BL85" s="57" t="n">
        <f aca="false">IF(AM85="Sand",0,10^(INDEX(Input!$Q$51:$Q$57,MIN(MATCH(MIN(MAX(AR85,30),120),Input!$C$51:$C$57,1),6))+(MIN(MAX(AR85,30),120)-INDEX(Input!$C$51:$C$57,MIN(MATCH(MIN(MAX(AR85,30),120),Input!$C$51:$C$57,1),6)))/(INDEX(Input!$C$51:$C$57,MIN(MATCH(MIN(MAX(AR85,30),120),Input!$C$51:$C$57,1),6)+1)-INDEX(Input!$C$51:$C$57,MIN(MATCH(MIN(MAX(AR85,30),120),Input!$C$51:$C$57,1),6)))*(INDEX(Input!$Q$51:$Q$57,MIN(MATCH(MIN(MAX(AR85,30),120),Input!$C$51:$C$57,1),6)+1)-INDEX(Input!$Q$51:$Q$57,MIN(MATCH(MIN(MAX(AR85,30),120),Input!$C$51:$C$57,1),6)))))</f>
        <v>0</v>
      </c>
      <c r="BM85" s="57" t="n">
        <f aca="false">IF(OR(AM85="Sand",BF85=0),0,Input!$AA$41*(AK85/2)^2/(BL85*0.0001*31536000))</f>
        <v>0</v>
      </c>
      <c r="BN85" s="57" t="n">
        <f aca="false">MAX(0,MIN(AJ85,Input!$AA$20)-AI85)</f>
        <v>2</v>
      </c>
      <c r="BO85" s="57" t="n">
        <f aca="false">MAX(0,MIN(AJ85,Input!$AA$20)-MAX(AI85,$AA$23))</f>
        <v>2</v>
      </c>
      <c r="BP85" s="57" t="n">
        <f aca="false">BG85+BK85</f>
        <v>3.71324202813703</v>
      </c>
      <c r="BQ85" s="57"/>
    </row>
    <row r="86" customFormat="false" ht="14.25" hidden="false" customHeight="false" outlineLevel="0" collapsed="false">
      <c r="B86" s="7"/>
      <c r="C86" s="46" t="n">
        <v>4</v>
      </c>
      <c r="D86" s="46"/>
      <c r="E86" s="44" t="n">
        <f aca="false">AI86</f>
        <v>5.5</v>
      </c>
      <c r="F86" s="44"/>
      <c r="G86" s="44"/>
      <c r="H86" s="44" t="n">
        <f aca="false">AJ86</f>
        <v>6</v>
      </c>
      <c r="I86" s="44"/>
      <c r="J86" s="44"/>
      <c r="K86" s="41" t="str">
        <f aca="false">AM86</f>
        <v>Sand</v>
      </c>
      <c r="L86" s="41"/>
      <c r="M86" s="41"/>
      <c r="N86" s="46" t="n">
        <f aca="false">AN86</f>
        <v>44</v>
      </c>
      <c r="O86" s="46"/>
      <c r="P86" s="46"/>
      <c r="Q86" s="42" t="n">
        <f aca="false">AO86</f>
        <v>19.6</v>
      </c>
      <c r="R86" s="42"/>
      <c r="S86" s="42"/>
      <c r="T86" s="46" t="str">
        <f aca="false">IF(AR86="","-",AR86)</f>
        <v>-</v>
      </c>
      <c r="U86" s="46"/>
      <c r="V86" s="46" t="str">
        <f aca="false">IF(AT86="","-",AT86)</f>
        <v>-</v>
      </c>
      <c r="W86" s="46"/>
      <c r="X86" s="44" t="n">
        <f aca="false">AU86</f>
        <v>0.65</v>
      </c>
      <c r="Y86" s="44"/>
      <c r="Z86" s="55" t="n">
        <f aca="false">AV86</f>
        <v>0</v>
      </c>
      <c r="AA86" s="55"/>
      <c r="AB86" s="55"/>
      <c r="AC86" s="42" t="n">
        <f aca="false">AW86</f>
        <v>40.16941492384</v>
      </c>
      <c r="AD86" s="42"/>
      <c r="AE86" s="42"/>
      <c r="AF86" s="12"/>
      <c r="AI86" s="56" t="n">
        <v>5.5</v>
      </c>
      <c r="AJ86" s="56" t="n">
        <v>6</v>
      </c>
      <c r="AK86" s="57" t="n">
        <f aca="false">AJ86-AI86</f>
        <v>0.5</v>
      </c>
      <c r="AL86" s="57" t="n">
        <f aca="false">(AI86+AJ86)/2</f>
        <v>5.75</v>
      </c>
      <c r="AM86" s="56" t="s">
        <v>199</v>
      </c>
      <c r="AN86" s="56" t="n">
        <v>44</v>
      </c>
      <c r="AO86" s="58" t="n">
        <f aca="false">IF(AL86&gt;$AA$20,$AA$22,$AA$21)</f>
        <v>19.6</v>
      </c>
      <c r="AP86" s="57" t="n">
        <f aca="false">AP85+AO86*AK86</f>
        <v>117.6</v>
      </c>
      <c r="AQ86" s="57" t="n">
        <f aca="false">AP86-AO86*AK86/2-10*MAX(AL86-$AA$20,0)</f>
        <v>112.7</v>
      </c>
      <c r="AR86" s="56"/>
      <c r="AS86" s="56"/>
      <c r="AT86" s="57" t="str">
        <f aca="false">IF(AR86="","",AR86-AS86)</f>
        <v/>
      </c>
      <c r="AU86" s="56" t="n">
        <v>0.65</v>
      </c>
      <c r="AV86" s="57" t="n">
        <f aca="false">IF(AM86="Sand",0,Input!$AA$34*AN86)</f>
        <v>0</v>
      </c>
      <c r="AW86" s="57" t="n">
        <f aca="false">IF(AM86="Sand",27.1+0.3*MIN(Input!$AA$35*AN86,60)-0.00054*MIN(Input!$AA$35*AN86,60)^2,MIN(MAX(DEGREES(ASIN(0.8-0.094*LN(MAX(IF(AT86="",10,AT86),5)))),20),30))</f>
        <v>40.16941492384</v>
      </c>
      <c r="AX86" s="57" t="n">
        <f aca="false">IF(AM86="Sand",Input!$AA$36*Input!$AA$35*AN86,Input!$AA$37*AV86)</f>
        <v>47652</v>
      </c>
      <c r="AY86" s="59" t="n">
        <f aca="false">IF(AM86="Sand",Input!$AA$38,0.5)</f>
        <v>0.3</v>
      </c>
      <c r="AZ86" s="57" t="n">
        <f aca="false">Input!$AA$15/2/AL86</f>
        <v>6.43478260869565</v>
      </c>
      <c r="BA86" s="57" t="n">
        <f aca="false">Input!$AA$16/2/AL86</f>
        <v>17.5652173913043</v>
      </c>
      <c r="BB86" s="57" t="n">
        <f aca="false">1/(4*PI())*(2*AZ86*BA86*SQRT(AZ86^2+BA86^2+1)/(AZ86^2+BA86^2+1+AZ86^2*BA86^2)*(AZ86^2+BA86^2+2)/(AZ86^2+BA86^2+1)+ATAN2(AZ86^2+BA86^2+1-AZ86^2*BA86^2,2*AZ86*BA86*SQRT(AZ86^2+BA86^2+1)))</f>
        <v>0.249605540605244</v>
      </c>
      <c r="BC86" s="57" t="n">
        <f aca="false">4*Input!$AA$14*BB86</f>
        <v>135.785414089253</v>
      </c>
      <c r="BD86" s="57" t="n">
        <f aca="false">((Input!$AA$16/Input!$AA$15)*LN((1+SQRT((Input!$AA$16/Input!$AA$15)^2+1))*SQRT((Input!$AA$16/Input!$AA$15)^2+(AJ86/(Input!$AA$15/2))^2)/((Input!$AA$16/Input!$AA$15)*(1+SQRT((Input!$AA$16/Input!$AA$15)^2+(AJ86/(Input!$AA$15/2))^2+1))))+LN(((Input!$AA$16/Input!$AA$15)+SQRT((Input!$AA$16/Input!$AA$15)^2+1))*SQRT(1+(AJ86/(Input!$AA$15/2))^2)/((Input!$AA$16/Input!$AA$15)+SQRT((Input!$AA$16/Input!$AA$15)^2+(AJ86/(Input!$AA$15/2))^2+1))))/PI()</f>
        <v>0.00440210534422831</v>
      </c>
      <c r="BE86" s="57" t="n">
        <f aca="false">(AJ86/(Input!$AA$15/2))/(2*PI())*ATAN((Input!$AA$16/Input!$AA$15)/((AJ86/(Input!$AA$15/2))*SQRT((Input!$AA$16/Input!$AA$15)^2+(AJ86/(Input!$AA$15/2))^2+1)))</f>
        <v>0.0361201249719141</v>
      </c>
      <c r="BF86" s="57" t="n">
        <f aca="false">MAX(0,AJ86-MAX(AI86,$AA$23))/AK86*IF(BC86&gt;=Input!$AA$21*AQ86,1,0)</f>
        <v>1</v>
      </c>
      <c r="BG86" s="57" t="n">
        <f aca="false">4*Input!$AA$14*(Input!$AA$15/2)*(1-AY86^2)/AX86*((BD86-BD85)+(1-2*AY86)/(1-AY86)*(BE86-BE85))*1000*BF86</f>
        <v>0.855499337481735</v>
      </c>
      <c r="BH86" s="57" t="n">
        <f aca="false">IF(AM86="Sand",0,0.009*(AR86-10))</f>
        <v>0</v>
      </c>
      <c r="BI86" s="57" t="n">
        <f aca="false">BH86*Input!$AA$39</f>
        <v>0</v>
      </c>
      <c r="BJ86" s="57" t="n">
        <f aca="false">IF(AM86="Sand",0,MAX(AV86/Input!$AA$40,AQ86))</f>
        <v>0</v>
      </c>
      <c r="BK86" s="57" t="n">
        <f aca="false">IF(AM86="Sand",0,1000*AK86/(1+AU86)*IF(AQ86+BC86&lt;=BJ86,BI86*LOG10((AQ86+BC86)/AQ86),BI86*LOG10(BJ86/AQ86)+BH86*LOG10((AQ86+BC86)/BJ86)))*BF86</f>
        <v>0</v>
      </c>
      <c r="BL86" s="57" t="n">
        <f aca="false">IF(AM86="Sand",0,10^(INDEX(Input!$Q$51:$Q$57,MIN(MATCH(MIN(MAX(AR86,30),120),Input!$C$51:$C$57,1),6))+(MIN(MAX(AR86,30),120)-INDEX(Input!$C$51:$C$57,MIN(MATCH(MIN(MAX(AR86,30),120),Input!$C$51:$C$57,1),6)))/(INDEX(Input!$C$51:$C$57,MIN(MATCH(MIN(MAX(AR86,30),120),Input!$C$51:$C$57,1),6)+1)-INDEX(Input!$C$51:$C$57,MIN(MATCH(MIN(MAX(AR86,30),120),Input!$C$51:$C$57,1),6)))*(INDEX(Input!$Q$51:$Q$57,MIN(MATCH(MIN(MAX(AR86,30),120),Input!$C$51:$C$57,1),6)+1)-INDEX(Input!$Q$51:$Q$57,MIN(MATCH(MIN(MAX(AR86,30),120),Input!$C$51:$C$57,1),6)))))</f>
        <v>0</v>
      </c>
      <c r="BM86" s="57" t="n">
        <f aca="false">IF(OR(AM86="Sand",BF86=0),0,Input!$AA$41*(AK86/2)^2/(BL86*0.0001*31536000))</f>
        <v>0</v>
      </c>
      <c r="BN86" s="57" t="n">
        <f aca="false">MAX(0,MIN(AJ86,Input!$AA$20)-AI86)</f>
        <v>0</v>
      </c>
      <c r="BO86" s="57" t="n">
        <f aca="false">MAX(0,MIN(AJ86,Input!$AA$20)-MAX(AI86,$AA$23))</f>
        <v>0</v>
      </c>
      <c r="BP86" s="57" t="n">
        <f aca="false">BG86+BK86</f>
        <v>0.855499337481735</v>
      </c>
      <c r="BQ86" s="57"/>
    </row>
    <row r="87" customFormat="false" ht="14.25" hidden="false" customHeight="false" outlineLevel="0" collapsed="false">
      <c r="B87" s="7"/>
      <c r="C87" s="46" t="n">
        <v>5</v>
      </c>
      <c r="D87" s="46"/>
      <c r="E87" s="44" t="n">
        <f aca="false">AI87</f>
        <v>6</v>
      </c>
      <c r="F87" s="44"/>
      <c r="G87" s="44"/>
      <c r="H87" s="44" t="n">
        <f aca="false">AJ87</f>
        <v>7.5</v>
      </c>
      <c r="I87" s="44"/>
      <c r="J87" s="44"/>
      <c r="K87" s="41" t="str">
        <f aca="false">AM87</f>
        <v>Clay</v>
      </c>
      <c r="L87" s="41"/>
      <c r="M87" s="41"/>
      <c r="N87" s="46" t="n">
        <f aca="false">AN87</f>
        <v>30</v>
      </c>
      <c r="O87" s="46"/>
      <c r="P87" s="46"/>
      <c r="Q87" s="42" t="n">
        <f aca="false">AO87</f>
        <v>19.6</v>
      </c>
      <c r="R87" s="42"/>
      <c r="S87" s="42"/>
      <c r="T87" s="46" t="n">
        <f aca="false">IF(AR87="","-",AR87)</f>
        <v>28.071</v>
      </c>
      <c r="U87" s="46"/>
      <c r="V87" s="46" t="n">
        <f aca="false">IF(AT87="","-",AT87)</f>
        <v>9.239</v>
      </c>
      <c r="W87" s="46"/>
      <c r="X87" s="44" t="n">
        <f aca="false">AU87</f>
        <v>0.59</v>
      </c>
      <c r="Y87" s="44"/>
      <c r="Z87" s="55" t="n">
        <f aca="false">AV87</f>
        <v>150</v>
      </c>
      <c r="AA87" s="55"/>
      <c r="AB87" s="55"/>
      <c r="AC87" s="42" t="n">
        <f aca="false">AW87</f>
        <v>30</v>
      </c>
      <c r="AD87" s="42"/>
      <c r="AE87" s="42"/>
      <c r="AF87" s="12"/>
      <c r="AI87" s="56" t="n">
        <v>6</v>
      </c>
      <c r="AJ87" s="56" t="n">
        <v>7.5</v>
      </c>
      <c r="AK87" s="57" t="n">
        <f aca="false">AJ87-AI87</f>
        <v>1.5</v>
      </c>
      <c r="AL87" s="57" t="n">
        <f aca="false">(AI87+AJ87)/2</f>
        <v>6.75</v>
      </c>
      <c r="AM87" s="56" t="s">
        <v>196</v>
      </c>
      <c r="AN87" s="56" t="n">
        <v>30</v>
      </c>
      <c r="AO87" s="58" t="n">
        <f aca="false">IF(AL87&gt;$AA$20,$AA$22,$AA$21)</f>
        <v>19.6</v>
      </c>
      <c r="AP87" s="57" t="n">
        <f aca="false">AP86+AO87*AK87</f>
        <v>147</v>
      </c>
      <c r="AQ87" s="57" t="n">
        <f aca="false">AP87-AO87*AK87/2-10*MAX(AL87-$AA$20,0)</f>
        <v>132.3</v>
      </c>
      <c r="AR87" s="56" t="n">
        <v>28.071</v>
      </c>
      <c r="AS87" s="56" t="n">
        <v>18.832</v>
      </c>
      <c r="AT87" s="57" t="n">
        <f aca="false">IF(AR87="","",AR87-AS87)</f>
        <v>9.239</v>
      </c>
      <c r="AU87" s="56" t="n">
        <v>0.59</v>
      </c>
      <c r="AV87" s="57" t="n">
        <f aca="false">IF(AM87="Sand",0,Input!$AA$34*AN87)</f>
        <v>150</v>
      </c>
      <c r="AW87" s="57" t="n">
        <f aca="false">IF(AM87="Sand",27.1+0.3*MIN(Input!$AA$35*AN87,60)-0.00054*MIN(Input!$AA$35*AN87,60)^2,MIN(MAX(DEGREES(ASIN(0.8-0.094*LN(MAX(IF(AT87="",10,AT87),5)))),20),30))</f>
        <v>30</v>
      </c>
      <c r="AX87" s="57" t="n">
        <f aca="false">IF(AM87="Sand",Input!$AA$36*Input!$AA$35*AN87,Input!$AA$37*AV87)</f>
        <v>75000</v>
      </c>
      <c r="AY87" s="57" t="n">
        <f aca="false">IF(AM87="Sand",Input!$AA$38,0.5)</f>
        <v>0.5</v>
      </c>
      <c r="AZ87" s="57" t="n">
        <f aca="false">Input!$AA$15/2/AL87</f>
        <v>5.48148148148148</v>
      </c>
      <c r="BA87" s="57" t="n">
        <f aca="false">Input!$AA$16/2/AL87</f>
        <v>14.962962962963</v>
      </c>
      <c r="BB87" s="57" t="n">
        <f aca="false">1/(4*PI())*(2*AZ87*BA87*SQRT(AZ87^2+BA87^2+1)/(AZ87^2+BA87^2+1+AZ87^2*BA87^2)*(AZ87^2+BA87^2+2)/(AZ87^2+BA87^2+1)+ATAN2(AZ87^2+BA87^2+1-AZ87^2*BA87^2,2*AZ87*BA87*SQRT(AZ87^2+BA87^2+1)))</f>
        <v>0.249368535461671</v>
      </c>
      <c r="BC87" s="57" t="n">
        <f aca="false">4*Input!$AA$14*BB87</f>
        <v>135.656483291149</v>
      </c>
      <c r="BD87" s="57" t="n">
        <f aca="false">((Input!$AA$16/Input!$AA$15)*LN((1+SQRT((Input!$AA$16/Input!$AA$15)^2+1))*SQRT((Input!$AA$16/Input!$AA$15)^2+(AJ87/(Input!$AA$15/2))^2)/((Input!$AA$16/Input!$AA$15)*(1+SQRT((Input!$AA$16/Input!$AA$15)^2+(AJ87/(Input!$AA$15/2))^2+1))))+LN(((Input!$AA$16/Input!$AA$15)+SQRT((Input!$AA$16/Input!$AA$15)^2+1))*SQRT(1+(AJ87/(Input!$AA$15/2))^2)/((Input!$AA$16/Input!$AA$15)+SQRT((Input!$AA$16/Input!$AA$15)^2+(AJ87/(Input!$AA$15/2))^2+1))))/PI()</f>
        <v>0.00683111017475556</v>
      </c>
      <c r="BE87" s="57" t="n">
        <f aca="false">(AJ87/(Input!$AA$15/2))/(2*PI())*ATAN((Input!$AA$16/Input!$AA$15)/((AJ87/(Input!$AA$15/2))*SQRT((Input!$AA$16/Input!$AA$15)^2+(AJ87/(Input!$AA$15/2))^2+1)))</f>
        <v>0.0438003669964678</v>
      </c>
      <c r="BF87" s="57" t="n">
        <f aca="false">MAX(0,AJ87-MAX(AI87,$AA$23))/AK87*IF(BC87&gt;=Input!$AA$21*AQ87,1,0)</f>
        <v>1</v>
      </c>
      <c r="BG87" s="57" t="n">
        <f aca="false">4*Input!$AA$14*(Input!$AA$15/2)*(1-AY87^2)/AX87*((BD87-BD86)+(1-2*AY87)/(1-AY87)*(BE87-BE86))*1000*BF87</f>
        <v>0.488910092288526</v>
      </c>
      <c r="BH87" s="57" t="n">
        <f aca="false">IF(AM87="Sand",0,0.009*(AR87-10))</f>
        <v>0.162639</v>
      </c>
      <c r="BI87" s="57" t="n">
        <f aca="false">BH87*Input!$AA$39</f>
        <v>0.0325278</v>
      </c>
      <c r="BJ87" s="57" t="n">
        <f aca="false">IF(AM87="Sand",0,MAX(AV87/Input!$AA$40,AQ87))</f>
        <v>681.818181818182</v>
      </c>
      <c r="BK87" s="57" t="n">
        <f aca="false">IF(AM87="Sand",0,1000*AK87/(1+AU87)*IF(AQ87+BC87&lt;=BJ87,BI87*LOG10((AQ87+BC87)/AQ87),BI87*LOG10(BJ87/AQ87)+BH87*LOG10((AQ87+BC87)/BJ87)))*BF87</f>
        <v>9.40557985128329</v>
      </c>
      <c r="BL87" s="57" t="n">
        <f aca="false">IF(AM87="Sand",0,10^(INDEX(Input!$Q$51:$Q$57,MIN(MATCH(MIN(MAX(AR87,30),120),Input!$C$51:$C$57,1),6))+(MIN(MAX(AR87,30),120)-INDEX(Input!$C$51:$C$57,MIN(MATCH(MIN(MAX(AR87,30),120),Input!$C$51:$C$57,1),6)))/(INDEX(Input!$C$51:$C$57,MIN(MATCH(MIN(MAX(AR87,30),120),Input!$C$51:$C$57,1),6)+1)-INDEX(Input!$C$51:$C$57,MIN(MATCH(MIN(MAX(AR87,30),120),Input!$C$51:$C$57,1),6)))*(INDEX(Input!$Q$51:$Q$57,MIN(MATCH(MIN(MAX(AR87,30),120),Input!$C$51:$C$57,1),6)+1)-INDEX(Input!$Q$51:$Q$57,MIN(MATCH(MIN(MAX(AR87,30),120),Input!$C$51:$C$57,1),6)))))</f>
        <v>0.003</v>
      </c>
      <c r="BM87" s="57" t="n">
        <f aca="false">IF(OR(AM87="Sand",BF87=0),0,Input!$AA$41*(AK87/2)^2/(BL87*0.0001*31536000))</f>
        <v>0.0504185692541857</v>
      </c>
      <c r="BN87" s="57" t="n">
        <f aca="false">MAX(0,MIN(AJ87,Input!$AA$20)-AI87)</f>
        <v>0</v>
      </c>
      <c r="BO87" s="57" t="n">
        <f aca="false">MAX(0,MIN(AJ87,Input!$AA$20)-MAX(AI87,$AA$23))</f>
        <v>0</v>
      </c>
      <c r="BP87" s="57" t="n">
        <f aca="false">BG87+BK87</f>
        <v>9.89448994357181</v>
      </c>
      <c r="BQ87" s="57" t="s">
        <v>198</v>
      </c>
    </row>
    <row r="88" customFormat="false" ht="14.25" hidden="false" customHeight="false" outlineLevel="0" collapsed="false">
      <c r="B88" s="7"/>
      <c r="C88" s="46" t="n">
        <v>6</v>
      </c>
      <c r="D88" s="46"/>
      <c r="E88" s="44" t="n">
        <f aca="false">AI88</f>
        <v>7.5</v>
      </c>
      <c r="F88" s="44"/>
      <c r="G88" s="44"/>
      <c r="H88" s="44" t="n">
        <f aca="false">AJ88</f>
        <v>9</v>
      </c>
      <c r="I88" s="44"/>
      <c r="J88" s="44"/>
      <c r="K88" s="41" t="str">
        <f aca="false">AM88</f>
        <v>Clay</v>
      </c>
      <c r="L88" s="41"/>
      <c r="M88" s="41"/>
      <c r="N88" s="46" t="n">
        <f aca="false">AN88</f>
        <v>14</v>
      </c>
      <c r="O88" s="46"/>
      <c r="P88" s="46"/>
      <c r="Q88" s="42" t="n">
        <f aca="false">AO88</f>
        <v>19.6</v>
      </c>
      <c r="R88" s="42"/>
      <c r="S88" s="42"/>
      <c r="T88" s="46" t="n">
        <f aca="false">IF(AR88="","-",AR88)</f>
        <v>35.93</v>
      </c>
      <c r="U88" s="46"/>
      <c r="V88" s="46" t="n">
        <f aca="false">IF(AT88="","-",AT88)</f>
        <v>14.52</v>
      </c>
      <c r="W88" s="46"/>
      <c r="X88" s="44" t="n">
        <f aca="false">AU88</f>
        <v>0.732</v>
      </c>
      <c r="Y88" s="44"/>
      <c r="Z88" s="55" t="n">
        <f aca="false">AV88</f>
        <v>70</v>
      </c>
      <c r="AA88" s="55"/>
      <c r="AB88" s="55"/>
      <c r="AC88" s="42" t="n">
        <f aca="false">AW88</f>
        <v>30</v>
      </c>
      <c r="AD88" s="42"/>
      <c r="AE88" s="42"/>
      <c r="AF88" s="12"/>
      <c r="AI88" s="56" t="n">
        <v>7.5</v>
      </c>
      <c r="AJ88" s="56" t="n">
        <v>9</v>
      </c>
      <c r="AK88" s="57" t="n">
        <f aca="false">AJ88-AI88</f>
        <v>1.5</v>
      </c>
      <c r="AL88" s="57" t="n">
        <f aca="false">(AI88+AJ88)/2</f>
        <v>8.25</v>
      </c>
      <c r="AM88" s="56" t="s">
        <v>196</v>
      </c>
      <c r="AN88" s="56" t="n">
        <v>14</v>
      </c>
      <c r="AO88" s="58" t="n">
        <f aca="false">IF(AL88&gt;$AA$20,$AA$22,$AA$21)</f>
        <v>19.6</v>
      </c>
      <c r="AP88" s="57" t="n">
        <f aca="false">AP87+AO88*AK88</f>
        <v>176.4</v>
      </c>
      <c r="AQ88" s="57" t="n">
        <f aca="false">AP88-AO88*AK88/2-10*MAX(AL88-$AA$20,0)</f>
        <v>161.7</v>
      </c>
      <c r="AR88" s="56" t="n">
        <v>35.93</v>
      </c>
      <c r="AS88" s="56" t="n">
        <v>21.41</v>
      </c>
      <c r="AT88" s="57" t="n">
        <f aca="false">IF(AR88="","",AR88-AS88)</f>
        <v>14.52</v>
      </c>
      <c r="AU88" s="56" t="n">
        <v>0.732</v>
      </c>
      <c r="AV88" s="57" t="n">
        <f aca="false">IF(AM88="Sand",0,Input!$AA$34*AN88)</f>
        <v>70</v>
      </c>
      <c r="AW88" s="57" t="n">
        <f aca="false">IF(AM88="Sand",27.1+0.3*MIN(Input!$AA$35*AN88,60)-0.00054*MIN(Input!$AA$35*AN88,60)^2,MIN(MAX(DEGREES(ASIN(0.8-0.094*LN(MAX(IF(AT88="",10,AT88),5)))),20),30))</f>
        <v>30</v>
      </c>
      <c r="AX88" s="57" t="n">
        <f aca="false">IF(AM88="Sand",Input!$AA$36*Input!$AA$35*AN88,Input!$AA$37*AV88)</f>
        <v>35000</v>
      </c>
      <c r="AY88" s="57" t="n">
        <f aca="false">IF(AM88="Sand",Input!$AA$38,0.5)</f>
        <v>0.5</v>
      </c>
      <c r="AZ88" s="57" t="n">
        <f aca="false">Input!$AA$15/2/AL88</f>
        <v>4.48484848484848</v>
      </c>
      <c r="BA88" s="57" t="n">
        <f aca="false">Input!$AA$16/2/AL88</f>
        <v>12.2424242424242</v>
      </c>
      <c r="BB88" s="57" t="n">
        <f aca="false">1/(4*PI())*(2*AZ88*BA88*SQRT(AZ88^2+BA88^2+1)/(AZ88^2+BA88^2+1+AZ88^2*BA88^2)*(AZ88^2+BA88^2+2)/(AZ88^2+BA88^2+1)+ATAN2(AZ88^2+BA88^2+1-AZ88^2*BA88^2,2*AZ88*BA88*SQRT(AZ88^2+BA88^2+1)))</f>
        <v>0.248868419003298</v>
      </c>
      <c r="BC88" s="57" t="n">
        <f aca="false">4*Input!$AA$14*BB88</f>
        <v>135.384419937794</v>
      </c>
      <c r="BD88" s="57" t="n">
        <f aca="false">((Input!$AA$16/Input!$AA$15)*LN((1+SQRT((Input!$AA$16/Input!$AA$15)^2+1))*SQRT((Input!$AA$16/Input!$AA$15)^2+(AJ88/(Input!$AA$15/2))^2)/((Input!$AA$16/Input!$AA$15)*(1+SQRT((Input!$AA$16/Input!$AA$15)^2+(AJ88/(Input!$AA$15/2))^2+1))))+LN(((Input!$AA$16/Input!$AA$15)+SQRT((Input!$AA$16/Input!$AA$15)^2+1))*SQRT(1+(AJ88/(Input!$AA$15/2))^2)/((Input!$AA$16/Input!$AA$15)+SQRT((Input!$AA$16/Input!$AA$15)^2+(AJ88/(Input!$AA$15/2))^2+1))))/PI()</f>
        <v>0.00975546893705105</v>
      </c>
      <c r="BE88" s="57" t="n">
        <f aca="false">(AJ88/(Input!$AA$15/2))/(2*PI())*ATAN((Input!$AA$16/Input!$AA$15)/((AJ88/(Input!$AA$15/2))*SQRT((Input!$AA$16/Input!$AA$15)^2+(AJ88/(Input!$AA$15/2))^2+1)))</f>
        <v>0.0509649376512068</v>
      </c>
      <c r="BF88" s="57" t="n">
        <f aca="false">MAX(0,AJ88-MAX(AI88,$AA$23))/AK88*IF(BC88&gt;=Input!$AA$21*AQ88,1,0)</f>
        <v>1</v>
      </c>
      <c r="BG88" s="57" t="n">
        <f aca="false">4*Input!$AA$14*(Input!$AA$15/2)*(1-AY88^2)/AX88*((BD88-BD87)+(1-2*AY88)/(1-AY88)*(BE88-BE87))*1000*BF88</f>
        <v>1.26131771073179</v>
      </c>
      <c r="BH88" s="57" t="n">
        <f aca="false">IF(AM88="Sand",0,0.009*(AR88-10))</f>
        <v>0.23337</v>
      </c>
      <c r="BI88" s="57" t="n">
        <f aca="false">BH88*Input!$AA$39</f>
        <v>0.046674</v>
      </c>
      <c r="BJ88" s="57" t="n">
        <f aca="false">IF(AM88="Sand",0,MAX(AV88/Input!$AA$40,AQ88))</f>
        <v>318.181818181818</v>
      </c>
      <c r="BK88" s="57" t="n">
        <f aca="false">IF(AM88="Sand",0,1000*AK88/(1+AU88)*IF(AQ88+BC88&lt;=BJ88,BI88*LOG10((AQ88+BC88)/AQ88),BI88*LOG10(BJ88/AQ88)+BH88*LOG10((AQ88+BC88)/BJ88)))*BF88</f>
        <v>10.6782885895518</v>
      </c>
      <c r="BL88" s="57" t="n">
        <f aca="false">IF(AM88="Sand",0,10^(INDEX(Input!$Q$51:$Q$57,MIN(MATCH(MIN(MAX(AR88,30),120),Input!$C$51:$C$57,1),6))+(MIN(MAX(AR88,30),120)-INDEX(Input!$C$51:$C$57,MIN(MATCH(MIN(MAX(AR88,30),120),Input!$C$51:$C$57,1),6)))/(INDEX(Input!$C$51:$C$57,MIN(MATCH(MIN(MAX(AR88,30),120),Input!$C$51:$C$57,1),6)+1)-INDEX(Input!$C$51:$C$57,MIN(MATCH(MIN(MAX(AR88,30),120),Input!$C$51:$C$57,1),6)))*(INDEX(Input!$Q$51:$Q$57,MIN(MATCH(MIN(MAX(AR88,30),120),Input!$C$51:$C$57,1),6)+1)-INDEX(Input!$Q$51:$Q$57,MIN(MATCH(MIN(MAX(AR88,30),120),Input!$C$51:$C$57,1),6)))))</f>
        <v>0.00198888864044799</v>
      </c>
      <c r="BM88" s="57" t="n">
        <f aca="false">IF(OR(AM88="Sand",BF88=0),0,Input!$AA$41*(AK88/2)^2/(BL88*0.0001*31536000))</f>
        <v>0.0760503653580562</v>
      </c>
      <c r="BN88" s="57" t="n">
        <f aca="false">MAX(0,MIN(AJ88,Input!$AA$20)-AI88)</f>
        <v>0</v>
      </c>
      <c r="BO88" s="57" t="n">
        <f aca="false">MAX(0,MIN(AJ88,Input!$AA$20)-MAX(AI88,$AA$23))</f>
        <v>0</v>
      </c>
      <c r="BP88" s="57" t="n">
        <f aca="false">BG88+BK88</f>
        <v>11.9396063002836</v>
      </c>
      <c r="BQ88" s="57"/>
    </row>
    <row r="89" customFormat="false" ht="14.25" hidden="false" customHeight="false" outlineLevel="0" collapsed="false">
      <c r="B89" s="7"/>
      <c r="C89" s="46" t="n">
        <v>7</v>
      </c>
      <c r="D89" s="46"/>
      <c r="E89" s="44" t="n">
        <f aca="false">AI89</f>
        <v>9</v>
      </c>
      <c r="F89" s="44"/>
      <c r="G89" s="44"/>
      <c r="H89" s="44" t="n">
        <f aca="false">AJ89</f>
        <v>10.5</v>
      </c>
      <c r="I89" s="44"/>
      <c r="J89" s="44"/>
      <c r="K89" s="41" t="str">
        <f aca="false">AM89</f>
        <v>Clay</v>
      </c>
      <c r="L89" s="41"/>
      <c r="M89" s="41"/>
      <c r="N89" s="46" t="n">
        <f aca="false">AN89</f>
        <v>12</v>
      </c>
      <c r="O89" s="46"/>
      <c r="P89" s="46"/>
      <c r="Q89" s="42" t="n">
        <f aca="false">AO89</f>
        <v>20.2</v>
      </c>
      <c r="R89" s="42"/>
      <c r="S89" s="42"/>
      <c r="T89" s="46" t="n">
        <f aca="false">IF(AR89="","-",AR89)</f>
        <v>28.071</v>
      </c>
      <c r="U89" s="46"/>
      <c r="V89" s="46" t="n">
        <f aca="false">IF(AT89="","-",AT89)</f>
        <v>9.239</v>
      </c>
      <c r="W89" s="46"/>
      <c r="X89" s="44" t="n">
        <f aca="false">AU89</f>
        <v>0.59</v>
      </c>
      <c r="Y89" s="44"/>
      <c r="Z89" s="55" t="n">
        <f aca="false">AV89</f>
        <v>60</v>
      </c>
      <c r="AA89" s="55"/>
      <c r="AB89" s="55"/>
      <c r="AC89" s="42" t="n">
        <f aca="false">AW89</f>
        <v>30</v>
      </c>
      <c r="AD89" s="42"/>
      <c r="AE89" s="42"/>
      <c r="AF89" s="12"/>
      <c r="AI89" s="56" t="n">
        <v>9</v>
      </c>
      <c r="AJ89" s="56" t="n">
        <v>10.5</v>
      </c>
      <c r="AK89" s="57" t="n">
        <f aca="false">AJ89-AI89</f>
        <v>1.5</v>
      </c>
      <c r="AL89" s="57" t="n">
        <f aca="false">(AI89+AJ89)/2</f>
        <v>9.75</v>
      </c>
      <c r="AM89" s="56" t="s">
        <v>196</v>
      </c>
      <c r="AN89" s="56" t="n">
        <v>12</v>
      </c>
      <c r="AO89" s="58" t="n">
        <f aca="false">IF(AL89&gt;$AA$20,$AA$22,$AA$21)</f>
        <v>20.2</v>
      </c>
      <c r="AP89" s="57" t="n">
        <f aca="false">AP88+AO89*AK89</f>
        <v>206.7</v>
      </c>
      <c r="AQ89" s="57" t="n">
        <f aca="false">AP89-AO89*AK89/2-10*MAX(AL89-$AA$20,0)</f>
        <v>184.05</v>
      </c>
      <c r="AR89" s="56" t="n">
        <v>28.071</v>
      </c>
      <c r="AS89" s="56" t="n">
        <v>18.832</v>
      </c>
      <c r="AT89" s="57" t="n">
        <f aca="false">IF(AR89="","",AR89-AS89)</f>
        <v>9.239</v>
      </c>
      <c r="AU89" s="56" t="n">
        <v>0.59</v>
      </c>
      <c r="AV89" s="57" t="n">
        <f aca="false">IF(AM89="Sand",0,Input!$AA$34*AN89)</f>
        <v>60</v>
      </c>
      <c r="AW89" s="57" t="n">
        <f aca="false">IF(AM89="Sand",27.1+0.3*MIN(Input!$AA$35*AN89,60)-0.00054*MIN(Input!$AA$35*AN89,60)^2,MIN(MAX(DEGREES(ASIN(0.8-0.094*LN(MAX(IF(AT89="",10,AT89),5)))),20),30))</f>
        <v>30</v>
      </c>
      <c r="AX89" s="57" t="n">
        <f aca="false">IF(AM89="Sand",Input!$AA$36*Input!$AA$35*AN89,Input!$AA$37*AV89)</f>
        <v>30000</v>
      </c>
      <c r="AY89" s="57" t="n">
        <f aca="false">IF(AM89="Sand",Input!$AA$38,0.5)</f>
        <v>0.5</v>
      </c>
      <c r="AZ89" s="57" t="n">
        <f aca="false">Input!$AA$15/2/AL89</f>
        <v>3.79487179487179</v>
      </c>
      <c r="BA89" s="57" t="n">
        <f aca="false">Input!$AA$16/2/AL89</f>
        <v>10.3589743589744</v>
      </c>
      <c r="BB89" s="57" t="n">
        <f aca="false">1/(4*PI())*(2*AZ89*BA89*SQRT(AZ89^2+BA89^2+1)/(AZ89^2+BA89^2+1+AZ89^2*BA89^2)*(AZ89^2+BA89^2+2)/(AZ89^2+BA89^2+1)+ATAN2(AZ89^2+BA89^2+1-AZ89^2*BA89^2,2*AZ89*BA89*SQRT(AZ89^2+BA89^2+1)))</f>
        <v>0.248172910952305</v>
      </c>
      <c r="BC89" s="57" t="n">
        <f aca="false">4*Input!$AA$14*BB89</f>
        <v>135.006063558054</v>
      </c>
      <c r="BD89" s="57" t="n">
        <f aca="false">((Input!$AA$16/Input!$AA$15)*LN((1+SQRT((Input!$AA$16/Input!$AA$15)^2+1))*SQRT((Input!$AA$16/Input!$AA$15)^2+(AJ89/(Input!$AA$15/2))^2)/((Input!$AA$16/Input!$AA$15)*(1+SQRT((Input!$AA$16/Input!$AA$15)^2+(AJ89/(Input!$AA$15/2))^2+1))))+LN(((Input!$AA$16/Input!$AA$15)+SQRT((Input!$AA$16/Input!$AA$15)^2+1))*SQRT(1+(AJ89/(Input!$AA$15/2))^2)/((Input!$AA$16/Input!$AA$15)+SQRT((Input!$AA$16/Input!$AA$15)^2+(AJ89/(Input!$AA$15/2))^2+1))))/PI()</f>
        <v>0.0131506198333031</v>
      </c>
      <c r="BE89" s="57" t="n">
        <f aca="false">(AJ89/(Input!$AA$15/2))/(2*PI())*ATAN((Input!$AA$16/Input!$AA$15)/((AJ89/(Input!$AA$15/2))*SQRT((Input!$AA$16/Input!$AA$15)^2+(AJ89/(Input!$AA$15/2))^2+1)))</f>
        <v>0.0576304881402393</v>
      </c>
      <c r="BF89" s="57" t="n">
        <f aca="false">MAX(0,AJ89-MAX(AI89,$AA$23))/AK89*IF(BC89&gt;=Input!$AA$21*AQ89,1,0)</f>
        <v>1</v>
      </c>
      <c r="BG89" s="57" t="n">
        <f aca="false">4*Input!$AA$14*(Input!$AA$15/2)*(1-AY89^2)/AX89*((BD89-BD88)+(1-2*AY89)/(1-AY89)*(BE89-BE88))*1000*BF89</f>
        <v>1.70843993099401</v>
      </c>
      <c r="BH89" s="57" t="n">
        <f aca="false">IF(AM89="Sand",0,0.009*(AR89-10))</f>
        <v>0.162639</v>
      </c>
      <c r="BI89" s="57" t="n">
        <f aca="false">BH89*Input!$AA$39</f>
        <v>0.0325278</v>
      </c>
      <c r="BJ89" s="57" t="n">
        <f aca="false">IF(AM89="Sand",0,MAX(AV89/Input!$AA$40,AQ89))</f>
        <v>272.727272727273</v>
      </c>
      <c r="BK89" s="57" t="n">
        <f aca="false">IF(AM89="Sand",0,1000*AK89/(1+AU89)*IF(AQ89+BC89&lt;=BJ89,BI89*LOG10((AQ89+BC89)/AQ89),BI89*LOG10(BJ89/AQ89)+BH89*LOG10((AQ89+BC89)/BJ89)))*BF89</f>
        <v>15.6957348703504</v>
      </c>
      <c r="BL89" s="57" t="n">
        <f aca="false">IF(AM89="Sand",0,10^(INDEX(Input!$Q$51:$Q$57,MIN(MATCH(MIN(MAX(AR89,30),120),Input!$C$51:$C$57,1),6))+(MIN(MAX(AR89,30),120)-INDEX(Input!$C$51:$C$57,MIN(MATCH(MIN(MAX(AR89,30),120),Input!$C$51:$C$57,1),6)))/(INDEX(Input!$C$51:$C$57,MIN(MATCH(MIN(MAX(AR89,30),120),Input!$C$51:$C$57,1),6)+1)-INDEX(Input!$C$51:$C$57,MIN(MATCH(MIN(MAX(AR89,30),120),Input!$C$51:$C$57,1),6)))*(INDEX(Input!$Q$51:$Q$57,MIN(MATCH(MIN(MAX(AR89,30),120),Input!$C$51:$C$57,1),6)+1)-INDEX(Input!$Q$51:$Q$57,MIN(MATCH(MIN(MAX(AR89,30),120),Input!$C$51:$C$57,1),6)))))</f>
        <v>0.003</v>
      </c>
      <c r="BM89" s="57" t="n">
        <f aca="false">IF(OR(AM89="Sand",BF89=0),0,Input!$AA$41*(AK89/2)^2/(BL89*0.0001*31536000))</f>
        <v>0.0504185692541857</v>
      </c>
      <c r="BN89" s="57" t="n">
        <f aca="false">MAX(0,MIN(AJ89,Input!$AA$20)-AI89)</f>
        <v>0</v>
      </c>
      <c r="BO89" s="57" t="n">
        <f aca="false">MAX(0,MIN(AJ89,Input!$AA$20)-MAX(AI89,$AA$23))</f>
        <v>0</v>
      </c>
      <c r="BP89" s="57" t="n">
        <f aca="false">BG89+BK89</f>
        <v>17.4041748013444</v>
      </c>
      <c r="BQ89" s="57" t="s">
        <v>198</v>
      </c>
    </row>
    <row r="90" customFormat="false" ht="14.25" hidden="false" customHeight="false" outlineLevel="0" collapsed="false">
      <c r="B90" s="7"/>
      <c r="C90" s="46" t="n">
        <v>8</v>
      </c>
      <c r="D90" s="46"/>
      <c r="E90" s="44" t="n">
        <f aca="false">AI90</f>
        <v>10.5</v>
      </c>
      <c r="F90" s="44"/>
      <c r="G90" s="44"/>
      <c r="H90" s="44" t="n">
        <f aca="false">AJ90</f>
        <v>12</v>
      </c>
      <c r="I90" s="44"/>
      <c r="J90" s="44"/>
      <c r="K90" s="41" t="str">
        <f aca="false">AM90</f>
        <v>Sand</v>
      </c>
      <c r="L90" s="41"/>
      <c r="M90" s="41"/>
      <c r="N90" s="46" t="n">
        <f aca="false">AN90</f>
        <v>18</v>
      </c>
      <c r="O90" s="46"/>
      <c r="P90" s="46"/>
      <c r="Q90" s="42" t="n">
        <f aca="false">AO90</f>
        <v>20.2</v>
      </c>
      <c r="R90" s="42"/>
      <c r="S90" s="42"/>
      <c r="T90" s="46" t="str">
        <f aca="false">IF(AR90="","-",AR90)</f>
        <v>-</v>
      </c>
      <c r="U90" s="46"/>
      <c r="V90" s="46" t="str">
        <f aca="false">IF(AT90="","-",AT90)</f>
        <v>-</v>
      </c>
      <c r="W90" s="46"/>
      <c r="X90" s="44" t="n">
        <f aca="false">AU90</f>
        <v>0.435</v>
      </c>
      <c r="Y90" s="44"/>
      <c r="Z90" s="55" t="n">
        <f aca="false">AV90</f>
        <v>0</v>
      </c>
      <c r="AA90" s="55"/>
      <c r="AB90" s="55"/>
      <c r="AC90" s="42" t="n">
        <f aca="false">AW90</f>
        <v>32.74299134056</v>
      </c>
      <c r="AD90" s="42"/>
      <c r="AE90" s="42"/>
      <c r="AF90" s="12"/>
      <c r="AI90" s="56" t="n">
        <v>10.5</v>
      </c>
      <c r="AJ90" s="56" t="n">
        <v>12</v>
      </c>
      <c r="AK90" s="57" t="n">
        <f aca="false">AJ90-AI90</f>
        <v>1.5</v>
      </c>
      <c r="AL90" s="57" t="n">
        <f aca="false">(AI90+AJ90)/2</f>
        <v>11.25</v>
      </c>
      <c r="AM90" s="56" t="s">
        <v>199</v>
      </c>
      <c r="AN90" s="56" t="n">
        <v>18</v>
      </c>
      <c r="AO90" s="58" t="n">
        <f aca="false">IF(AL90&gt;$AA$20,$AA$22,$AA$21)</f>
        <v>20.2</v>
      </c>
      <c r="AP90" s="57" t="n">
        <f aca="false">AP89+AO90*AK90</f>
        <v>237</v>
      </c>
      <c r="AQ90" s="57" t="n">
        <f aca="false">AP90-AO90*AK90/2-10*MAX(AL90-$AA$20,0)</f>
        <v>199.35</v>
      </c>
      <c r="AR90" s="56"/>
      <c r="AS90" s="56"/>
      <c r="AT90" s="57" t="str">
        <f aca="false">IF(AR90="","",AR90-AS90)</f>
        <v/>
      </c>
      <c r="AU90" s="56" t="n">
        <v>0.435</v>
      </c>
      <c r="AV90" s="57" t="n">
        <f aca="false">IF(AM90="Sand",0,Input!$AA$34*AN90)</f>
        <v>0</v>
      </c>
      <c r="AW90" s="57" t="n">
        <f aca="false">IF(AM90="Sand",27.1+0.3*MIN(Input!$AA$35*AN90,60)-0.00054*MIN(Input!$AA$35*AN90,60)^2,MIN(MAX(DEGREES(ASIN(0.8-0.094*LN(MAX(IF(AT90="",10,AT90),5)))),20),30))</f>
        <v>32.74299134056</v>
      </c>
      <c r="AX90" s="57" t="n">
        <f aca="false">IF(AM90="Sand",Input!$AA$36*Input!$AA$35*AN90,Input!$AA$37*AV90)</f>
        <v>19494</v>
      </c>
      <c r="AY90" s="59" t="n">
        <f aca="false">IF(AM90="Sand",Input!$AA$38,0.5)</f>
        <v>0.3</v>
      </c>
      <c r="AZ90" s="57" t="n">
        <f aca="false">Input!$AA$15/2/AL90</f>
        <v>3.28888888888889</v>
      </c>
      <c r="BA90" s="57" t="n">
        <f aca="false">Input!$AA$16/2/AL90</f>
        <v>8.97777777777778</v>
      </c>
      <c r="BB90" s="57" t="n">
        <f aca="false">1/(4*PI())*(2*AZ90*BA90*SQRT(AZ90^2+BA90^2+1)/(AZ90^2+BA90^2+1+AZ90^2*BA90^2)*(AZ90^2+BA90^2+2)/(AZ90^2+BA90^2+1)+ATAN2(AZ90^2+BA90^2+1-AZ90^2*BA90^2,2*AZ90*BA90*SQRT(AZ90^2+BA90^2+1)))</f>
        <v>0.247263218088384</v>
      </c>
      <c r="BC90" s="57" t="n">
        <f aca="false">4*Input!$AA$14*BB90</f>
        <v>134.511190640081</v>
      </c>
      <c r="BD90" s="57" t="n">
        <f aca="false">((Input!$AA$16/Input!$AA$15)*LN((1+SQRT((Input!$AA$16/Input!$AA$15)^2+1))*SQRT((Input!$AA$16/Input!$AA$15)^2+(AJ90/(Input!$AA$15/2))^2)/((Input!$AA$16/Input!$AA$15)*(1+SQRT((Input!$AA$16/Input!$AA$15)^2+(AJ90/(Input!$AA$15/2))^2+1))))+LN(((Input!$AA$16/Input!$AA$15)+SQRT((Input!$AA$16/Input!$AA$15)^2+1))*SQRT(1+(AJ90/(Input!$AA$15/2))^2)/((Input!$AA$16/Input!$AA$15)+SQRT((Input!$AA$16/Input!$AA$15)^2+(AJ90/(Input!$AA$15/2))^2+1))))/PI()</f>
        <v>0.0169892586870808</v>
      </c>
      <c r="BE90" s="57" t="n">
        <f aca="false">(AJ90/(Input!$AA$15/2))/(2*PI())*ATAN((Input!$AA$16/Input!$AA$15)/((AJ90/(Input!$AA$15/2))*SQRT((Input!$AA$16/Input!$AA$15)^2+(AJ90/(Input!$AA$15/2))^2+1)))</f>
        <v>0.063815650361614</v>
      </c>
      <c r="BF90" s="57" t="n">
        <f aca="false">MAX(0,AJ90-MAX(AI90,$AA$23))/AK90*IF(BC90&gt;=Input!$AA$21*AQ90,1,0)</f>
        <v>1</v>
      </c>
      <c r="BG90" s="57" t="n">
        <f aca="false">4*Input!$AA$14*(Input!$AA$15/2)*(1-AY90^2)/AX90*((BD90-BD89)+(1-2*AY90)/(1-AY90)*(BE90-BE89))*1000*BF90</f>
        <v>6.92765585781236</v>
      </c>
      <c r="BH90" s="57" t="n">
        <f aca="false">IF(AM90="Sand",0,0.009*(AR90-10))</f>
        <v>0</v>
      </c>
      <c r="BI90" s="57" t="n">
        <f aca="false">BH90*Input!$AA$39</f>
        <v>0</v>
      </c>
      <c r="BJ90" s="57" t="n">
        <f aca="false">IF(AM90="Sand",0,MAX(AV90/Input!$AA$40,AQ90))</f>
        <v>0</v>
      </c>
      <c r="BK90" s="57" t="n">
        <f aca="false">IF(AM90="Sand",0,1000*AK90/(1+AU90)*IF(AQ90+BC90&lt;=BJ90,BI90*LOG10((AQ90+BC90)/AQ90),BI90*LOG10(BJ90/AQ90)+BH90*LOG10((AQ90+BC90)/BJ90)))*BF90</f>
        <v>0</v>
      </c>
      <c r="BL90" s="57" t="n">
        <f aca="false">IF(AM90="Sand",0,10^(INDEX(Input!$Q$51:$Q$57,MIN(MATCH(MIN(MAX(AR90,30),120),Input!$C$51:$C$57,1),6))+(MIN(MAX(AR90,30),120)-INDEX(Input!$C$51:$C$57,MIN(MATCH(MIN(MAX(AR90,30),120),Input!$C$51:$C$57,1),6)))/(INDEX(Input!$C$51:$C$57,MIN(MATCH(MIN(MAX(AR90,30),120),Input!$C$51:$C$57,1),6)+1)-INDEX(Input!$C$51:$C$57,MIN(MATCH(MIN(MAX(AR90,30),120),Input!$C$51:$C$57,1),6)))*(INDEX(Input!$Q$51:$Q$57,MIN(MATCH(MIN(MAX(AR90,30),120),Input!$C$51:$C$57,1),6)+1)-INDEX(Input!$Q$51:$Q$57,MIN(MATCH(MIN(MAX(AR90,30),120),Input!$C$51:$C$57,1),6)))))</f>
        <v>0</v>
      </c>
      <c r="BM90" s="57" t="n">
        <f aca="false">IF(OR(AM90="Sand",BF90=0),0,Input!$AA$41*(AK90/2)^2/(BL90*0.0001*31536000))</f>
        <v>0</v>
      </c>
      <c r="BN90" s="57" t="n">
        <f aca="false">MAX(0,MIN(AJ90,Input!$AA$20)-AI90)</f>
        <v>0</v>
      </c>
      <c r="BO90" s="57" t="n">
        <f aca="false">MAX(0,MIN(AJ90,Input!$AA$20)-MAX(AI90,$AA$23))</f>
        <v>0</v>
      </c>
      <c r="BP90" s="57" t="n">
        <f aca="false">BG90+BK90</f>
        <v>6.92765585781236</v>
      </c>
      <c r="BQ90" s="57"/>
    </row>
    <row r="91" customFormat="false" ht="14.25" hidden="false" customHeight="false" outlineLevel="0" collapsed="false">
      <c r="B91" s="7"/>
      <c r="C91" s="46" t="n">
        <v>9</v>
      </c>
      <c r="D91" s="46"/>
      <c r="E91" s="44" t="n">
        <f aca="false">AI91</f>
        <v>12</v>
      </c>
      <c r="F91" s="44"/>
      <c r="G91" s="44"/>
      <c r="H91" s="44" t="n">
        <f aca="false">AJ91</f>
        <v>13.5</v>
      </c>
      <c r="I91" s="44"/>
      <c r="J91" s="44"/>
      <c r="K91" s="41" t="str">
        <f aca="false">AM91</f>
        <v>Sand</v>
      </c>
      <c r="L91" s="41"/>
      <c r="M91" s="41"/>
      <c r="N91" s="46" t="n">
        <f aca="false">AN91</f>
        <v>26</v>
      </c>
      <c r="O91" s="46"/>
      <c r="P91" s="46"/>
      <c r="Q91" s="42" t="n">
        <f aca="false">AO91</f>
        <v>20.2</v>
      </c>
      <c r="R91" s="42"/>
      <c r="S91" s="42"/>
      <c r="T91" s="46" t="str">
        <f aca="false">IF(AR91="","-",AR91)</f>
        <v>-</v>
      </c>
      <c r="U91" s="46"/>
      <c r="V91" s="46" t="str">
        <f aca="false">IF(AT91="","-",AT91)</f>
        <v>-</v>
      </c>
      <c r="W91" s="46"/>
      <c r="X91" s="44" t="n">
        <f aca="false">AU91</f>
        <v>0.65</v>
      </c>
      <c r="Y91" s="44"/>
      <c r="Z91" s="55" t="n">
        <f aca="false">AV91</f>
        <v>0</v>
      </c>
      <c r="AA91" s="55"/>
      <c r="AB91" s="55"/>
      <c r="AC91" s="42" t="n">
        <f aca="false">AW91</f>
        <v>35.11924859944</v>
      </c>
      <c r="AD91" s="42"/>
      <c r="AE91" s="42"/>
      <c r="AF91" s="12"/>
      <c r="AI91" s="56" t="n">
        <v>12</v>
      </c>
      <c r="AJ91" s="56" t="n">
        <v>13.5</v>
      </c>
      <c r="AK91" s="57" t="n">
        <f aca="false">AJ91-AI91</f>
        <v>1.5</v>
      </c>
      <c r="AL91" s="57" t="n">
        <f aca="false">(AI91+AJ91)/2</f>
        <v>12.75</v>
      </c>
      <c r="AM91" s="56" t="s">
        <v>199</v>
      </c>
      <c r="AN91" s="56" t="n">
        <v>26</v>
      </c>
      <c r="AO91" s="58" t="n">
        <f aca="false">IF(AL91&gt;$AA$20,$AA$22,$AA$21)</f>
        <v>20.2</v>
      </c>
      <c r="AP91" s="57" t="n">
        <f aca="false">AP90+AO91*AK91</f>
        <v>267.3</v>
      </c>
      <c r="AQ91" s="57" t="n">
        <f aca="false">AP91-AO91*AK91/2-10*MAX(AL91-$AA$20,0)</f>
        <v>214.65</v>
      </c>
      <c r="AR91" s="56"/>
      <c r="AS91" s="56"/>
      <c r="AT91" s="57" t="str">
        <f aca="false">IF(AR91="","",AR91-AS91)</f>
        <v/>
      </c>
      <c r="AU91" s="56" t="n">
        <v>0.65</v>
      </c>
      <c r="AV91" s="57" t="n">
        <f aca="false">IF(AM91="Sand",0,Input!$AA$34*AN91)</f>
        <v>0</v>
      </c>
      <c r="AW91" s="57" t="n">
        <f aca="false">IF(AM91="Sand",27.1+0.3*MIN(Input!$AA$35*AN91,60)-0.00054*MIN(Input!$AA$35*AN91,60)^2,MIN(MAX(DEGREES(ASIN(0.8-0.094*LN(MAX(IF(AT91="",10,AT91),5)))),20),30))</f>
        <v>35.11924859944</v>
      </c>
      <c r="AX91" s="57" t="n">
        <f aca="false">IF(AM91="Sand",Input!$AA$36*Input!$AA$35*AN91,Input!$AA$37*AV91)</f>
        <v>28158</v>
      </c>
      <c r="AY91" s="59" t="n">
        <f aca="false">IF(AM91="Sand",Input!$AA$38,0.5)</f>
        <v>0.3</v>
      </c>
      <c r="AZ91" s="57" t="n">
        <f aca="false">Input!$AA$15/2/AL91</f>
        <v>2.90196078431373</v>
      </c>
      <c r="BA91" s="57" t="n">
        <f aca="false">Input!$AA$16/2/AL91</f>
        <v>7.92156862745098</v>
      </c>
      <c r="BB91" s="57" t="n">
        <f aca="false">1/(4*PI())*(2*AZ91*BA91*SQRT(AZ91^2+BA91^2+1)/(AZ91^2+BA91^2+1+AZ91^2*BA91^2)*(AZ91^2+BA91^2+2)/(AZ91^2+BA91^2+1)+ATAN2(AZ91^2+BA91^2+1-AZ91^2*BA91^2,2*AZ91*BA91*SQRT(AZ91^2+BA91^2+1)))</f>
        <v>0.246126971244543</v>
      </c>
      <c r="BC91" s="57" t="n">
        <f aca="false">4*Input!$AA$14*BB91</f>
        <v>133.893072357031</v>
      </c>
      <c r="BD91" s="57" t="n">
        <f aca="false">((Input!$AA$16/Input!$AA$15)*LN((1+SQRT((Input!$AA$16/Input!$AA$15)^2+1))*SQRT((Input!$AA$16/Input!$AA$15)^2+(AJ91/(Input!$AA$15/2))^2)/((Input!$AA$16/Input!$AA$15)*(1+SQRT((Input!$AA$16/Input!$AA$15)^2+(AJ91/(Input!$AA$15/2))^2+1))))+LN(((Input!$AA$16/Input!$AA$15)+SQRT((Input!$AA$16/Input!$AA$15)^2+1))*SQRT(1+(AJ91/(Input!$AA$15/2))^2)/((Input!$AA$16/Input!$AA$15)+SQRT((Input!$AA$16/Input!$AA$15)^2+(AJ91/(Input!$AA$15/2))^2+1))))/PI()</f>
        <v>0.0212420151090567</v>
      </c>
      <c r="BE91" s="57" t="n">
        <f aca="false">(AJ91/(Input!$AA$15/2))/(2*PI())*ATAN((Input!$AA$16/Input!$AA$15)/((AJ91/(Input!$AA$15/2))*SQRT((Input!$AA$16/Input!$AA$15)^2+(AJ91/(Input!$AA$15/2))^2+1)))</f>
        <v>0.0695406206380035</v>
      </c>
      <c r="BF91" s="57" t="n">
        <f aca="false">MAX(0,AJ91-MAX(AI91,$AA$23))/AK91*IF(BC91&gt;=Input!$AA$21*AQ91,1,0)</f>
        <v>1</v>
      </c>
      <c r="BG91" s="57" t="n">
        <f aca="false">4*Input!$AA$14*(Input!$AA$15/2)*(1-AY91^2)/AX91*((BD91-BD90)+(1-2*AY91)/(1-AY91)*(BE91-BE90))*1000*BF91</f>
        <v>4.89439139299811</v>
      </c>
      <c r="BH91" s="57" t="n">
        <f aca="false">IF(AM91="Sand",0,0.009*(AR91-10))</f>
        <v>0</v>
      </c>
      <c r="BI91" s="57" t="n">
        <f aca="false">BH91*Input!$AA$39</f>
        <v>0</v>
      </c>
      <c r="BJ91" s="57" t="n">
        <f aca="false">IF(AM91="Sand",0,MAX(AV91/Input!$AA$40,AQ91))</f>
        <v>0</v>
      </c>
      <c r="BK91" s="57" t="n">
        <f aca="false">IF(AM91="Sand",0,1000*AK91/(1+AU91)*IF(AQ91+BC91&lt;=BJ91,BI91*LOG10((AQ91+BC91)/AQ91),BI91*LOG10(BJ91/AQ91)+BH91*LOG10((AQ91+BC91)/BJ91)))*BF91</f>
        <v>0</v>
      </c>
      <c r="BL91" s="57" t="n">
        <f aca="false">IF(AM91="Sand",0,10^(INDEX(Input!$Q$51:$Q$57,MIN(MATCH(MIN(MAX(AR91,30),120),Input!$C$51:$C$57,1),6))+(MIN(MAX(AR91,30),120)-INDEX(Input!$C$51:$C$57,MIN(MATCH(MIN(MAX(AR91,30),120),Input!$C$51:$C$57,1),6)))/(INDEX(Input!$C$51:$C$57,MIN(MATCH(MIN(MAX(AR91,30),120),Input!$C$51:$C$57,1),6)+1)-INDEX(Input!$C$51:$C$57,MIN(MATCH(MIN(MAX(AR91,30),120),Input!$C$51:$C$57,1),6)))*(INDEX(Input!$Q$51:$Q$57,MIN(MATCH(MIN(MAX(AR91,30),120),Input!$C$51:$C$57,1),6)+1)-INDEX(Input!$Q$51:$Q$57,MIN(MATCH(MIN(MAX(AR91,30),120),Input!$C$51:$C$57,1),6)))))</f>
        <v>0</v>
      </c>
      <c r="BM91" s="57" t="n">
        <f aca="false">IF(OR(AM91="Sand",BF91=0),0,Input!$AA$41*(AK91/2)^2/(BL91*0.0001*31536000))</f>
        <v>0</v>
      </c>
      <c r="BN91" s="57" t="n">
        <f aca="false">MAX(0,MIN(AJ91,Input!$AA$20)-AI91)</f>
        <v>0</v>
      </c>
      <c r="BO91" s="57" t="n">
        <f aca="false">MAX(0,MIN(AJ91,Input!$AA$20)-MAX(AI91,$AA$23))</f>
        <v>0</v>
      </c>
      <c r="BP91" s="57" t="n">
        <f aca="false">BG91+BK91</f>
        <v>4.89439139299811</v>
      </c>
      <c r="BQ91" s="57"/>
    </row>
    <row r="92" customFormat="false" ht="14.25" hidden="false" customHeight="false" outlineLevel="0" collapsed="false">
      <c r="B92" s="7"/>
      <c r="C92" s="46" t="n">
        <v>10</v>
      </c>
      <c r="D92" s="46"/>
      <c r="E92" s="44" t="n">
        <f aca="false">AI92</f>
        <v>13.5</v>
      </c>
      <c r="F92" s="44"/>
      <c r="G92" s="44"/>
      <c r="H92" s="44" t="n">
        <f aca="false">AJ92</f>
        <v>15</v>
      </c>
      <c r="I92" s="44"/>
      <c r="J92" s="44"/>
      <c r="K92" s="41" t="str">
        <f aca="false">AM92</f>
        <v>Clay</v>
      </c>
      <c r="L92" s="41"/>
      <c r="M92" s="41"/>
      <c r="N92" s="46" t="n">
        <f aca="false">AN92</f>
        <v>15</v>
      </c>
      <c r="O92" s="46"/>
      <c r="P92" s="46"/>
      <c r="Q92" s="42" t="n">
        <f aca="false">AO92</f>
        <v>20.2</v>
      </c>
      <c r="R92" s="42"/>
      <c r="S92" s="42"/>
      <c r="T92" s="46" t="n">
        <f aca="false">IF(AR92="","-",AR92)</f>
        <v>27.215</v>
      </c>
      <c r="U92" s="46"/>
      <c r="V92" s="46" t="n">
        <f aca="false">IF(AT92="","-",AT92)</f>
        <v>10.23</v>
      </c>
      <c r="W92" s="46"/>
      <c r="X92" s="44" t="n">
        <f aca="false">AU92</f>
        <v>0.572</v>
      </c>
      <c r="Y92" s="44"/>
      <c r="Z92" s="55" t="n">
        <f aca="false">AV92</f>
        <v>75</v>
      </c>
      <c r="AA92" s="55"/>
      <c r="AB92" s="55"/>
      <c r="AC92" s="42" t="n">
        <f aca="false">AW92</f>
        <v>30</v>
      </c>
      <c r="AD92" s="42"/>
      <c r="AE92" s="42"/>
      <c r="AF92" s="12"/>
      <c r="AI92" s="56" t="n">
        <v>13.5</v>
      </c>
      <c r="AJ92" s="56" t="n">
        <v>15</v>
      </c>
      <c r="AK92" s="57" t="n">
        <f aca="false">AJ92-AI92</f>
        <v>1.5</v>
      </c>
      <c r="AL92" s="57" t="n">
        <f aca="false">(AI92+AJ92)/2</f>
        <v>14.25</v>
      </c>
      <c r="AM92" s="56" t="s">
        <v>196</v>
      </c>
      <c r="AN92" s="56" t="n">
        <v>15</v>
      </c>
      <c r="AO92" s="58" t="n">
        <f aca="false">IF(AL92&gt;$AA$20,$AA$22,$AA$21)</f>
        <v>20.2</v>
      </c>
      <c r="AP92" s="57" t="n">
        <f aca="false">AP91+AO92*AK92</f>
        <v>297.6</v>
      </c>
      <c r="AQ92" s="57" t="n">
        <f aca="false">AP92-AO92*AK92/2-10*MAX(AL92-$AA$20,0)</f>
        <v>229.95</v>
      </c>
      <c r="AR92" s="56" t="n">
        <v>27.215</v>
      </c>
      <c r="AS92" s="56" t="n">
        <v>16.985</v>
      </c>
      <c r="AT92" s="57" t="n">
        <f aca="false">IF(AR92="","",AR92-AS92)</f>
        <v>10.23</v>
      </c>
      <c r="AU92" s="56" t="n">
        <v>0.572</v>
      </c>
      <c r="AV92" s="57" t="n">
        <f aca="false">IF(AM92="Sand",0,Input!$AA$34*AN92)</f>
        <v>75</v>
      </c>
      <c r="AW92" s="57" t="n">
        <f aca="false">IF(AM92="Sand",27.1+0.3*MIN(Input!$AA$35*AN92,60)-0.00054*MIN(Input!$AA$35*AN92,60)^2,MIN(MAX(DEGREES(ASIN(0.8-0.094*LN(MAX(IF(AT92="",10,AT92),5)))),20),30))</f>
        <v>30</v>
      </c>
      <c r="AX92" s="57" t="n">
        <f aca="false">IF(AM92="Sand",Input!$AA$36*Input!$AA$35*AN92,Input!$AA$37*AV92)</f>
        <v>37500</v>
      </c>
      <c r="AY92" s="57" t="n">
        <f aca="false">IF(AM92="Sand",Input!$AA$38,0.5)</f>
        <v>0.5</v>
      </c>
      <c r="AZ92" s="57" t="n">
        <f aca="false">Input!$AA$15/2/AL92</f>
        <v>2.59649122807018</v>
      </c>
      <c r="BA92" s="57" t="n">
        <f aca="false">Input!$AA$16/2/AL92</f>
        <v>7.08771929824561</v>
      </c>
      <c r="BB92" s="57" t="n">
        <f aca="false">1/(4*PI())*(2*AZ92*BA92*SQRT(AZ92^2+BA92^2+1)/(AZ92^2+BA92^2+1+AZ92^2*BA92^2)*(AZ92^2+BA92^2+2)/(AZ92^2+BA92^2+1)+ATAN2(AZ92^2+BA92^2+1-AZ92^2*BA92^2,2*AZ92*BA92*SQRT(AZ92^2+BA92^2+1)))</f>
        <v>0.244758030634215</v>
      </c>
      <c r="BC92" s="57" t="n">
        <f aca="false">4*Input!$AA$14*BB92</f>
        <v>133.148368665013</v>
      </c>
      <c r="BD92" s="57" t="n">
        <f aca="false">((Input!$AA$16/Input!$AA$15)*LN((1+SQRT((Input!$AA$16/Input!$AA$15)^2+1))*SQRT((Input!$AA$16/Input!$AA$15)^2+(AJ92/(Input!$AA$15/2))^2)/((Input!$AA$16/Input!$AA$15)*(1+SQRT((Input!$AA$16/Input!$AA$15)^2+(AJ92/(Input!$AA$15/2))^2+1))))+LN(((Input!$AA$16/Input!$AA$15)+SQRT((Input!$AA$16/Input!$AA$15)^2+1))*SQRT(1+(AJ92/(Input!$AA$15/2))^2)/((Input!$AA$16/Input!$AA$15)+SQRT((Input!$AA$16/Input!$AA$15)^2+(AJ92/(Input!$AA$15/2))^2+1))))/PI()</f>
        <v>0.0258781185005073</v>
      </c>
      <c r="BE92" s="57" t="n">
        <f aca="false">(AJ92/(Input!$AA$15/2))/(2*PI())*ATAN((Input!$AA$16/Input!$AA$15)/((AJ92/(Input!$AA$15/2))*SQRT((Input!$AA$16/Input!$AA$15)^2+(AJ92/(Input!$AA$15/2))^2+1)))</f>
        <v>0.0748267458113844</v>
      </c>
      <c r="BF92" s="57" t="n">
        <f aca="false">MAX(0,AJ92-MAX(AI92,$AA$23))/AK92*IF(BC92&gt;=Input!$AA$21*AQ92,1,0)</f>
        <v>1</v>
      </c>
      <c r="BG92" s="57" t="n">
        <f aca="false">4*Input!$AA$14*(Input!$AA$15/2)*(1-AY92^2)/AX92*((BD92-BD91)+(1-2*AY92)/(1-AY92)*(BE92-BE91))*1000*BF92</f>
        <v>1.86630978126234</v>
      </c>
      <c r="BH92" s="57" t="n">
        <f aca="false">IF(AM92="Sand",0,0.009*(AR92-10))</f>
        <v>0.154935</v>
      </c>
      <c r="BI92" s="57" t="n">
        <f aca="false">BH92*Input!$AA$39</f>
        <v>0.030987</v>
      </c>
      <c r="BJ92" s="57" t="n">
        <f aca="false">IF(AM92="Sand",0,MAX(AV92/Input!$AA$40,AQ92))</f>
        <v>340.909090909091</v>
      </c>
      <c r="BK92" s="57" t="n">
        <f aca="false">IF(AM92="Sand",0,1000*AK92/(1+AU92)*IF(AQ92+BC92&lt;=BJ92,BI92*LOG10((AQ92+BC92)/AQ92),BI92*LOG10(BJ92/AQ92)+BH92*LOG10((AQ92+BC92)/BJ92)))*BF92</f>
        <v>9.10490738235985</v>
      </c>
      <c r="BL92" s="57" t="n">
        <f aca="false">IF(AM92="Sand",0,10^(INDEX(Input!$Q$51:$Q$57,MIN(MATCH(MIN(MAX(AR92,30),120),Input!$C$51:$C$57,1),6))+(MIN(MAX(AR92,30),120)-INDEX(Input!$C$51:$C$57,MIN(MATCH(MIN(MAX(AR92,30),120),Input!$C$51:$C$57,1),6)))/(INDEX(Input!$C$51:$C$57,MIN(MATCH(MIN(MAX(AR92,30),120),Input!$C$51:$C$57,1),6)+1)-INDEX(Input!$C$51:$C$57,MIN(MATCH(MIN(MAX(AR92,30),120),Input!$C$51:$C$57,1),6)))*(INDEX(Input!$Q$51:$Q$57,MIN(MATCH(MIN(MAX(AR92,30),120),Input!$C$51:$C$57,1),6)+1)-INDEX(Input!$Q$51:$Q$57,MIN(MATCH(MIN(MAX(AR92,30),120),Input!$C$51:$C$57,1),6)))))</f>
        <v>0.003</v>
      </c>
      <c r="BM92" s="57" t="n">
        <f aca="false">IF(OR(AM92="Sand",BF92=0),0,Input!$AA$41*(AK92/2)^2/(BL92*0.0001*31536000))</f>
        <v>0.0504185692541857</v>
      </c>
      <c r="BN92" s="57" t="n">
        <f aca="false">MAX(0,MIN(AJ92,Input!$AA$20)-AI92)</f>
        <v>0</v>
      </c>
      <c r="BO92" s="57" t="n">
        <f aca="false">MAX(0,MIN(AJ92,Input!$AA$20)-MAX(AI92,$AA$23))</f>
        <v>0</v>
      </c>
      <c r="BP92" s="57" t="n">
        <f aca="false">BG92+BK92</f>
        <v>10.9712171636222</v>
      </c>
      <c r="BQ92" s="57"/>
    </row>
    <row r="93" customFormat="false" ht="14.25" hidden="false" customHeight="false" outlineLevel="0" collapsed="false">
      <c r="B93" s="7"/>
      <c r="C93" s="46" t="n">
        <v>11</v>
      </c>
      <c r="D93" s="46"/>
      <c r="E93" s="44" t="n">
        <f aca="false">AI93</f>
        <v>15</v>
      </c>
      <c r="F93" s="44"/>
      <c r="G93" s="44"/>
      <c r="H93" s="44" t="n">
        <f aca="false">AJ93</f>
        <v>16.5</v>
      </c>
      <c r="I93" s="44"/>
      <c r="J93" s="44"/>
      <c r="K93" s="41" t="str">
        <f aca="false">AM93</f>
        <v>Clay</v>
      </c>
      <c r="L93" s="41"/>
      <c r="M93" s="41"/>
      <c r="N93" s="46" t="n">
        <f aca="false">AN93</f>
        <v>15</v>
      </c>
      <c r="O93" s="46"/>
      <c r="P93" s="46"/>
      <c r="Q93" s="42" t="n">
        <f aca="false">AO93</f>
        <v>20.2</v>
      </c>
      <c r="R93" s="42"/>
      <c r="S93" s="42"/>
      <c r="T93" s="46" t="n">
        <f aca="false">IF(AR93="","-",AR93)</f>
        <v>28.071</v>
      </c>
      <c r="U93" s="46"/>
      <c r="V93" s="46" t="n">
        <f aca="false">IF(AT93="","-",AT93)</f>
        <v>9.239</v>
      </c>
      <c r="W93" s="46"/>
      <c r="X93" s="44" t="n">
        <f aca="false">AU93</f>
        <v>0.59</v>
      </c>
      <c r="Y93" s="44"/>
      <c r="Z93" s="55" t="n">
        <f aca="false">AV93</f>
        <v>75</v>
      </c>
      <c r="AA93" s="55"/>
      <c r="AB93" s="55"/>
      <c r="AC93" s="42" t="n">
        <f aca="false">AW93</f>
        <v>30</v>
      </c>
      <c r="AD93" s="42"/>
      <c r="AE93" s="42"/>
      <c r="AF93" s="12"/>
      <c r="AI93" s="56" t="n">
        <v>15</v>
      </c>
      <c r="AJ93" s="56" t="n">
        <v>16.5</v>
      </c>
      <c r="AK93" s="57" t="n">
        <f aca="false">AJ93-AI93</f>
        <v>1.5</v>
      </c>
      <c r="AL93" s="57" t="n">
        <f aca="false">(AI93+AJ93)/2</f>
        <v>15.75</v>
      </c>
      <c r="AM93" s="56" t="s">
        <v>196</v>
      </c>
      <c r="AN93" s="56" t="n">
        <v>15</v>
      </c>
      <c r="AO93" s="58" t="n">
        <f aca="false">IF(AL93&gt;$AA$20,$AA$22,$AA$21)</f>
        <v>20.2</v>
      </c>
      <c r="AP93" s="57" t="n">
        <f aca="false">AP92+AO93*AK93</f>
        <v>327.9</v>
      </c>
      <c r="AQ93" s="57" t="n">
        <f aca="false">AP93-AO93*AK93/2-10*MAX(AL93-$AA$20,0)</f>
        <v>245.25</v>
      </c>
      <c r="AR93" s="56" t="n">
        <v>28.071</v>
      </c>
      <c r="AS93" s="56" t="n">
        <v>18.832</v>
      </c>
      <c r="AT93" s="57" t="n">
        <f aca="false">IF(AR93="","",AR93-AS93)</f>
        <v>9.239</v>
      </c>
      <c r="AU93" s="56" t="n">
        <v>0.59</v>
      </c>
      <c r="AV93" s="57" t="n">
        <f aca="false">IF(AM93="Sand",0,Input!$AA$34*AN93)</f>
        <v>75</v>
      </c>
      <c r="AW93" s="57" t="n">
        <f aca="false">IF(AM93="Sand",27.1+0.3*MIN(Input!$AA$35*AN93,60)-0.00054*MIN(Input!$AA$35*AN93,60)^2,MIN(MAX(DEGREES(ASIN(0.8-0.094*LN(MAX(IF(AT93="",10,AT93),5)))),20),30))</f>
        <v>30</v>
      </c>
      <c r="AX93" s="57" t="n">
        <f aca="false">IF(AM93="Sand",Input!$AA$36*Input!$AA$35*AN93,Input!$AA$37*AV93)</f>
        <v>37500</v>
      </c>
      <c r="AY93" s="57" t="n">
        <f aca="false">IF(AM93="Sand",Input!$AA$38,0.5)</f>
        <v>0.5</v>
      </c>
      <c r="AZ93" s="57" t="n">
        <f aca="false">Input!$AA$15/2/AL93</f>
        <v>2.34920634920635</v>
      </c>
      <c r="BA93" s="57" t="n">
        <f aca="false">Input!$AA$16/2/AL93</f>
        <v>6.41269841269841</v>
      </c>
      <c r="BB93" s="57" t="n">
        <f aca="false">1/(4*PI())*(2*AZ93*BA93*SQRT(AZ93^2+BA93^2+1)/(AZ93^2+BA93^2+1+AZ93^2*BA93^2)*(AZ93^2+BA93^2+2)/(AZ93^2+BA93^2+1)+ATAN2(AZ93^2+BA93^2+1-AZ93^2*BA93^2,2*AZ93*BA93*SQRT(AZ93^2+BA93^2+1)))</f>
        <v>0.243156029012353</v>
      </c>
      <c r="BC93" s="57" t="n">
        <f aca="false">4*Input!$AA$14*BB93</f>
        <v>132.27687978272</v>
      </c>
      <c r="BD93" s="57" t="n">
        <f aca="false">((Input!$AA$16/Input!$AA$15)*LN((1+SQRT((Input!$AA$16/Input!$AA$15)^2+1))*SQRT((Input!$AA$16/Input!$AA$15)^2+(AJ93/(Input!$AA$15/2))^2)/((Input!$AA$16/Input!$AA$15)*(1+SQRT((Input!$AA$16/Input!$AA$15)^2+(AJ93/(Input!$AA$15/2))^2+1))))+LN(((Input!$AA$16/Input!$AA$15)+SQRT((Input!$AA$16/Input!$AA$15)^2+1))*SQRT(1+(AJ93/(Input!$AA$15/2))^2)/((Input!$AA$16/Input!$AA$15)+SQRT((Input!$AA$16/Input!$AA$15)^2+(AJ93/(Input!$AA$15/2))^2+1))))/PI()</f>
        <v>0.0308660275726865</v>
      </c>
      <c r="BE93" s="57" t="n">
        <f aca="false">(AJ93/(Input!$AA$15/2))/(2*PI())*ATAN((Input!$AA$16/Input!$AA$15)/((AJ93/(Input!$AA$15/2))*SQRT((Input!$AA$16/Input!$AA$15)^2+(AJ93/(Input!$AA$15/2))^2+1)))</f>
        <v>0.0796961274153755</v>
      </c>
      <c r="BF93" s="57" t="n">
        <f aca="false">MAX(0,AJ93-MAX(AI93,$AA$23))/AK93*IF(BC93&gt;=Input!$AA$21*AQ93,1,0)</f>
        <v>1</v>
      </c>
      <c r="BG93" s="57" t="n">
        <f aca="false">4*Input!$AA$14*(Input!$AA$15/2)*(1-AY93^2)/AX93*((BD93-BD92)+(1-2*AY93)/(1-AY93)*(BE93-BE92))*1000*BF93</f>
        <v>2.00793267609646</v>
      </c>
      <c r="BH93" s="57" t="n">
        <f aca="false">IF(AM93="Sand",0,0.009*(AR93-10))</f>
        <v>0.162639</v>
      </c>
      <c r="BI93" s="57" t="n">
        <f aca="false">BH93*Input!$AA$39</f>
        <v>0.0325278</v>
      </c>
      <c r="BJ93" s="57" t="n">
        <f aca="false">IF(AM93="Sand",0,MAX(AV93/Input!$AA$40,AQ93))</f>
        <v>340.909090909091</v>
      </c>
      <c r="BK93" s="57" t="n">
        <f aca="false">IF(AM93="Sand",0,1000*AK93/(1+AU93)*IF(AQ93+BC93&lt;=BJ93,BI93*LOG10((AQ93+BC93)/AQ93),BI93*LOG10(BJ93/AQ93)+BH93*LOG10((AQ93+BC93)/BJ93)))*BF93</f>
        <v>11.1876007021369</v>
      </c>
      <c r="BL93" s="57" t="n">
        <f aca="false">IF(AM93="Sand",0,10^(INDEX(Input!$Q$51:$Q$57,MIN(MATCH(MIN(MAX(AR93,30),120),Input!$C$51:$C$57,1),6))+(MIN(MAX(AR93,30),120)-INDEX(Input!$C$51:$C$57,MIN(MATCH(MIN(MAX(AR93,30),120),Input!$C$51:$C$57,1),6)))/(INDEX(Input!$C$51:$C$57,MIN(MATCH(MIN(MAX(AR93,30),120),Input!$C$51:$C$57,1),6)+1)-INDEX(Input!$C$51:$C$57,MIN(MATCH(MIN(MAX(AR93,30),120),Input!$C$51:$C$57,1),6)))*(INDEX(Input!$Q$51:$Q$57,MIN(MATCH(MIN(MAX(AR93,30),120),Input!$C$51:$C$57,1),6)+1)-INDEX(Input!$Q$51:$Q$57,MIN(MATCH(MIN(MAX(AR93,30),120),Input!$C$51:$C$57,1),6)))))</f>
        <v>0.003</v>
      </c>
      <c r="BM93" s="57" t="n">
        <f aca="false">IF(OR(AM93="Sand",BF93=0),0,Input!$AA$41*(AK93/2)^2/(BL93*0.0001*31536000))</f>
        <v>0.0504185692541857</v>
      </c>
      <c r="BN93" s="57" t="n">
        <f aca="false">MAX(0,MIN(AJ93,Input!$AA$20)-AI93)</f>
        <v>0</v>
      </c>
      <c r="BO93" s="57" t="n">
        <f aca="false">MAX(0,MIN(AJ93,Input!$AA$20)-MAX(AI93,$AA$23))</f>
        <v>0</v>
      </c>
      <c r="BP93" s="57" t="n">
        <f aca="false">BG93+BK93</f>
        <v>13.1955333782334</v>
      </c>
      <c r="BQ93" s="57" t="s">
        <v>198</v>
      </c>
    </row>
    <row r="94" customFormat="false" ht="14.25" hidden="false" customHeight="false" outlineLevel="0" collapsed="false">
      <c r="B94" s="7"/>
      <c r="C94" s="46" t="n">
        <v>12</v>
      </c>
      <c r="D94" s="46"/>
      <c r="E94" s="44" t="n">
        <f aca="false">AI94</f>
        <v>16.5</v>
      </c>
      <c r="F94" s="44"/>
      <c r="G94" s="44"/>
      <c r="H94" s="44" t="n">
        <f aca="false">AJ94</f>
        <v>18</v>
      </c>
      <c r="I94" s="44"/>
      <c r="J94" s="44"/>
      <c r="K94" s="41" t="str">
        <f aca="false">AM94</f>
        <v>Silt</v>
      </c>
      <c r="L94" s="41"/>
      <c r="M94" s="41"/>
      <c r="N94" s="46" t="n">
        <f aca="false">AN94</f>
        <v>21</v>
      </c>
      <c r="O94" s="46"/>
      <c r="P94" s="46"/>
      <c r="Q94" s="42" t="n">
        <f aca="false">AO94</f>
        <v>20.2</v>
      </c>
      <c r="R94" s="42"/>
      <c r="S94" s="42"/>
      <c r="T94" s="46" t="n">
        <f aca="false">IF(AR94="","-",AR94)</f>
        <v>22.65</v>
      </c>
      <c r="U94" s="46"/>
      <c r="V94" s="46" t="n">
        <f aca="false">IF(AT94="","-",AT94)</f>
        <v>6.28</v>
      </c>
      <c r="W94" s="46"/>
      <c r="X94" s="44" t="n">
        <f aca="false">AU94</f>
        <v>0.571</v>
      </c>
      <c r="Y94" s="44"/>
      <c r="Z94" s="55" t="n">
        <f aca="false">AV94</f>
        <v>105</v>
      </c>
      <c r="AA94" s="55"/>
      <c r="AB94" s="55"/>
      <c r="AC94" s="42" t="n">
        <f aca="false">AW94</f>
        <v>30</v>
      </c>
      <c r="AD94" s="42"/>
      <c r="AE94" s="42"/>
      <c r="AF94" s="12"/>
      <c r="AI94" s="56" t="n">
        <v>16.5</v>
      </c>
      <c r="AJ94" s="56" t="n">
        <v>18</v>
      </c>
      <c r="AK94" s="57" t="n">
        <f aca="false">AJ94-AI94</f>
        <v>1.5</v>
      </c>
      <c r="AL94" s="57" t="n">
        <f aca="false">(AI94+AJ94)/2</f>
        <v>17.25</v>
      </c>
      <c r="AM94" s="56" t="s">
        <v>200</v>
      </c>
      <c r="AN94" s="56" t="n">
        <v>21</v>
      </c>
      <c r="AO94" s="58" t="n">
        <f aca="false">IF(AL94&gt;$AA$20,$AA$22,$AA$21)</f>
        <v>20.2</v>
      </c>
      <c r="AP94" s="57" t="n">
        <f aca="false">AP93+AO94*AK94</f>
        <v>358.2</v>
      </c>
      <c r="AQ94" s="57" t="n">
        <f aca="false">AP94-AO94*AK94/2-10*MAX(AL94-$AA$20,0)</f>
        <v>260.55</v>
      </c>
      <c r="AR94" s="56" t="n">
        <v>22.65</v>
      </c>
      <c r="AS94" s="56" t="n">
        <v>16.37</v>
      </c>
      <c r="AT94" s="57" t="n">
        <f aca="false">IF(AR94="","",AR94-AS94)</f>
        <v>6.28</v>
      </c>
      <c r="AU94" s="56" t="n">
        <v>0.571</v>
      </c>
      <c r="AV94" s="57" t="n">
        <f aca="false">IF(AM94="Sand",0,Input!$AA$34*AN94)</f>
        <v>105</v>
      </c>
      <c r="AW94" s="57" t="n">
        <f aca="false">IF(AM94="Sand",27.1+0.3*MIN(Input!$AA$35*AN94,60)-0.00054*MIN(Input!$AA$35*AN94,60)^2,MIN(MAX(DEGREES(ASIN(0.8-0.094*LN(MAX(IF(AT94="",10,AT94),5)))),20),30))</f>
        <v>30</v>
      </c>
      <c r="AX94" s="57" t="n">
        <f aca="false">IF(AM94="Sand",Input!$AA$36*Input!$AA$35*AN94,Input!$AA$37*AV94)</f>
        <v>52500</v>
      </c>
      <c r="AY94" s="57" t="n">
        <f aca="false">IF(AM94="Sand",Input!$AA$38,0.5)</f>
        <v>0.5</v>
      </c>
      <c r="AZ94" s="57" t="n">
        <f aca="false">Input!$AA$15/2/AL94</f>
        <v>2.14492753623188</v>
      </c>
      <c r="BA94" s="57" t="n">
        <f aca="false">Input!$AA$16/2/AL94</f>
        <v>5.85507246376812</v>
      </c>
      <c r="BB94" s="57" t="n">
        <f aca="false">1/(4*PI())*(2*AZ94*BA94*SQRT(AZ94^2+BA94^2+1)/(AZ94^2+BA94^2+1+AZ94^2*BA94^2)*(AZ94^2+BA94^2+2)/(AZ94^2+BA94^2+1)+ATAN2(AZ94^2+BA94^2+1-AZ94^2*BA94^2,2*AZ94*BA94*SQRT(AZ94^2+BA94^2+1)))</f>
        <v>0.2413257195439</v>
      </c>
      <c r="BC94" s="57" t="n">
        <f aca="false">4*Input!$AA$14*BB94</f>
        <v>131.281191431882</v>
      </c>
      <c r="BD94" s="57" t="n">
        <f aca="false">((Input!$AA$16/Input!$AA$15)*LN((1+SQRT((Input!$AA$16/Input!$AA$15)^2+1))*SQRT((Input!$AA$16/Input!$AA$15)^2+(AJ94/(Input!$AA$15/2))^2)/((Input!$AA$16/Input!$AA$15)*(1+SQRT((Input!$AA$16/Input!$AA$15)^2+(AJ94/(Input!$AA$15/2))^2+1))))+LN(((Input!$AA$16/Input!$AA$15)+SQRT((Input!$AA$16/Input!$AA$15)^2+1))*SQRT(1+(AJ94/(Input!$AA$15/2))^2)/((Input!$AA$16/Input!$AA$15)+SQRT((Input!$AA$16/Input!$AA$15)^2+(AJ94/(Input!$AA$15/2))^2+1))))/PI()</f>
        <v>0.0361740031105239</v>
      </c>
      <c r="BE94" s="57" t="n">
        <f aca="false">(AJ94/(Input!$AA$15/2))/(2*PI())*ATAN((Input!$AA$16/Input!$AA$15)/((AJ94/(Input!$AA$15/2))*SQRT((Input!$AA$16/Input!$AA$15)^2+(AJ94/(Input!$AA$15/2))^2+1)))</f>
        <v>0.0841712562846844</v>
      </c>
      <c r="BF94" s="57" t="n">
        <f aca="false">MAX(0,AJ94-MAX(AI94,$AA$23))/AK94*IF(BC94&gt;=Input!$AA$21*AQ94,1,0)</f>
        <v>1</v>
      </c>
      <c r="BG94" s="57" t="n">
        <f aca="false">4*Input!$AA$14*(Input!$AA$15/2)*(1-AY94^2)/AX94*((BD94-BD93)+(1-2*AY94)/(1-AY94)*(BE94-BE93))*1000*BF94</f>
        <v>1.52627045179416</v>
      </c>
      <c r="BH94" s="57" t="n">
        <f aca="false">IF(AM94="Sand",0,0.009*(AR94-10))</f>
        <v>0.11385</v>
      </c>
      <c r="BI94" s="57" t="n">
        <f aca="false">BH94*Input!$AA$39</f>
        <v>0.02277</v>
      </c>
      <c r="BJ94" s="57" t="n">
        <f aca="false">IF(AM94="Sand",0,MAX(AV94/Input!$AA$40,AQ94))</f>
        <v>477.272727272727</v>
      </c>
      <c r="BK94" s="57" t="n">
        <f aca="false">IF(AM94="Sand",0,1000*AK94/(1+AU94)*IF(AQ94+BC94&lt;=BJ94,BI94*LOG10((AQ94+BC94)/AQ94),BI94*LOG10(BJ94/AQ94)+BH94*LOG10((AQ94+BC94)/BJ94)))*BF94</f>
        <v>3.85266502501077</v>
      </c>
      <c r="BL94" s="57" t="n">
        <f aca="false">IF(AM94="Sand",0,10^(INDEX(Input!$Q$51:$Q$57,MIN(MATCH(MIN(MAX(AR94,30),120),Input!$C$51:$C$57,1),6))+(MIN(MAX(AR94,30),120)-INDEX(Input!$C$51:$C$57,MIN(MATCH(MIN(MAX(AR94,30),120),Input!$C$51:$C$57,1),6)))/(INDEX(Input!$C$51:$C$57,MIN(MATCH(MIN(MAX(AR94,30),120),Input!$C$51:$C$57,1),6)+1)-INDEX(Input!$C$51:$C$57,MIN(MATCH(MIN(MAX(AR94,30),120),Input!$C$51:$C$57,1),6)))*(INDEX(Input!$Q$51:$Q$57,MIN(MATCH(MIN(MAX(AR94,30),120),Input!$C$51:$C$57,1),6)+1)-INDEX(Input!$Q$51:$Q$57,MIN(MATCH(MIN(MAX(AR94,30),120),Input!$C$51:$C$57,1),6)))))</f>
        <v>0.003</v>
      </c>
      <c r="BM94" s="57" t="n">
        <f aca="false">IF(OR(AM94="Sand",BF94=0),0,Input!$AA$41*(AK94/2)^2/(BL94*0.0001*31536000))</f>
        <v>0.0504185692541857</v>
      </c>
      <c r="BN94" s="57" t="n">
        <f aca="false">MAX(0,MIN(AJ94,Input!$AA$20)-AI94)</f>
        <v>0</v>
      </c>
      <c r="BO94" s="57" t="n">
        <f aca="false">MAX(0,MIN(AJ94,Input!$AA$20)-MAX(AI94,$AA$23))</f>
        <v>0</v>
      </c>
      <c r="BP94" s="57" t="n">
        <f aca="false">BG94+BK94</f>
        <v>5.37893547680492</v>
      </c>
      <c r="BQ94" s="57"/>
    </row>
    <row r="95" customFormat="false" ht="14.25" hidden="false" customHeight="false" outlineLevel="0" collapsed="false">
      <c r="B95" s="7"/>
      <c r="C95" s="46" t="n">
        <v>13</v>
      </c>
      <c r="D95" s="46"/>
      <c r="E95" s="44" t="n">
        <f aca="false">AI95</f>
        <v>18</v>
      </c>
      <c r="F95" s="44"/>
      <c r="G95" s="44"/>
      <c r="H95" s="44" t="n">
        <f aca="false">AJ95</f>
        <v>19.5</v>
      </c>
      <c r="I95" s="44"/>
      <c r="J95" s="44"/>
      <c r="K95" s="41" t="str">
        <f aca="false">AM95</f>
        <v>Sand</v>
      </c>
      <c r="L95" s="41"/>
      <c r="M95" s="41"/>
      <c r="N95" s="46" t="n">
        <f aca="false">AN95</f>
        <v>18</v>
      </c>
      <c r="O95" s="46"/>
      <c r="P95" s="46"/>
      <c r="Q95" s="42" t="n">
        <f aca="false">AO95</f>
        <v>20.2</v>
      </c>
      <c r="R95" s="42"/>
      <c r="S95" s="42"/>
      <c r="T95" s="46" t="str">
        <f aca="false">IF(AR95="","-",AR95)</f>
        <v>-</v>
      </c>
      <c r="U95" s="46"/>
      <c r="V95" s="46" t="str">
        <f aca="false">IF(AT95="","-",AT95)</f>
        <v>-</v>
      </c>
      <c r="W95" s="46"/>
      <c r="X95" s="44" t="n">
        <f aca="false">AU95</f>
        <v>0.497</v>
      </c>
      <c r="Y95" s="44"/>
      <c r="Z95" s="55" t="n">
        <f aca="false">AV95</f>
        <v>0</v>
      </c>
      <c r="AA95" s="55"/>
      <c r="AB95" s="55"/>
      <c r="AC95" s="42" t="n">
        <f aca="false">AW95</f>
        <v>32.74299134056</v>
      </c>
      <c r="AD95" s="42"/>
      <c r="AE95" s="42"/>
      <c r="AF95" s="12"/>
      <c r="AI95" s="56" t="n">
        <v>18</v>
      </c>
      <c r="AJ95" s="56" t="n">
        <v>19.5</v>
      </c>
      <c r="AK95" s="57" t="n">
        <f aca="false">AJ95-AI95</f>
        <v>1.5</v>
      </c>
      <c r="AL95" s="57" t="n">
        <f aca="false">(AI95+AJ95)/2</f>
        <v>18.75</v>
      </c>
      <c r="AM95" s="56" t="s">
        <v>199</v>
      </c>
      <c r="AN95" s="56" t="n">
        <v>18</v>
      </c>
      <c r="AO95" s="58" t="n">
        <f aca="false">IF(AL95&gt;$AA$20,$AA$22,$AA$21)</f>
        <v>20.2</v>
      </c>
      <c r="AP95" s="57" t="n">
        <f aca="false">AP94+AO95*AK95</f>
        <v>388.5</v>
      </c>
      <c r="AQ95" s="57" t="n">
        <f aca="false">AP95-AO95*AK95/2-10*MAX(AL95-$AA$20,0)</f>
        <v>275.85</v>
      </c>
      <c r="AR95" s="56"/>
      <c r="AS95" s="56"/>
      <c r="AT95" s="57" t="str">
        <f aca="false">IF(AR95="","",AR95-AS95)</f>
        <v/>
      </c>
      <c r="AU95" s="56" t="n">
        <v>0.497</v>
      </c>
      <c r="AV95" s="57" t="n">
        <f aca="false">IF(AM95="Sand",0,Input!$AA$34*AN95)</f>
        <v>0</v>
      </c>
      <c r="AW95" s="57" t="n">
        <f aca="false">IF(AM95="Sand",27.1+0.3*MIN(Input!$AA$35*AN95,60)-0.00054*MIN(Input!$AA$35*AN95,60)^2,MIN(MAX(DEGREES(ASIN(0.8-0.094*LN(MAX(IF(AT95="",10,AT95),5)))),20),30))</f>
        <v>32.74299134056</v>
      </c>
      <c r="AX95" s="57" t="n">
        <f aca="false">IF(AM95="Sand",Input!$AA$36*Input!$AA$35*AN95,Input!$AA$37*AV95)</f>
        <v>19494</v>
      </c>
      <c r="AY95" s="59" t="n">
        <f aca="false">IF(AM95="Sand",Input!$AA$38,0.5)</f>
        <v>0.3</v>
      </c>
      <c r="AZ95" s="57" t="n">
        <f aca="false">Input!$AA$15/2/AL95</f>
        <v>1.97333333333333</v>
      </c>
      <c r="BA95" s="57" t="n">
        <f aca="false">Input!$AA$16/2/AL95</f>
        <v>5.38666666666667</v>
      </c>
      <c r="BB95" s="57" t="n">
        <f aca="false">1/(4*PI())*(2*AZ95*BA95*SQRT(AZ95^2+BA95^2+1)/(AZ95^2+BA95^2+1+AZ95^2*BA95^2)*(AZ95^2+BA95^2+2)/(AZ95^2+BA95^2+1)+ATAN2(AZ95^2+BA95^2+1-AZ95^2*BA95^2,2*AZ95*BA95*SQRT(AZ95^2+BA95^2+1)))</f>
        <v>0.239276198425064</v>
      </c>
      <c r="BC95" s="57" t="n">
        <f aca="false">4*Input!$AA$14*BB95</f>
        <v>130.166251943235</v>
      </c>
      <c r="BD95" s="57" t="n">
        <f aca="false">((Input!$AA$16/Input!$AA$15)*LN((1+SQRT((Input!$AA$16/Input!$AA$15)^2+1))*SQRT((Input!$AA$16/Input!$AA$15)^2+(AJ95/(Input!$AA$15/2))^2)/((Input!$AA$16/Input!$AA$15)*(1+SQRT((Input!$AA$16/Input!$AA$15)^2+(AJ95/(Input!$AA$15/2))^2+1))))+LN(((Input!$AA$16/Input!$AA$15)+SQRT((Input!$AA$16/Input!$AA$15)^2+1))*SQRT(1+(AJ95/(Input!$AA$15/2))^2)/((Input!$AA$16/Input!$AA$15)+SQRT((Input!$AA$16/Input!$AA$15)^2+(AJ95/(Input!$AA$15/2))^2+1))))/PI()</f>
        <v>0.0417706101655238</v>
      </c>
      <c r="BE95" s="57" t="n">
        <f aca="false">(AJ95/(Input!$AA$15/2))/(2*PI())*ATAN((Input!$AA$16/Input!$AA$15)/((AJ95/(Input!$AA$15/2))*SQRT((Input!$AA$16/Input!$AA$15)^2+(AJ95/(Input!$AA$15/2))^2+1)))</f>
        <v>0.0882746863320375</v>
      </c>
      <c r="BF95" s="57" t="n">
        <f aca="false">MAX(0,AJ95-MAX(AI95,$AA$23))/AK95*IF(BC95&gt;=Input!$AA$21*AQ95,1,0)</f>
        <v>1</v>
      </c>
      <c r="BG95" s="57" t="n">
        <f aca="false">4*Input!$AA$14*(Input!$AA$15/2)*(1-AY95^2)/AX95*((BD95-BD94)+(1-2*AY95)/(1-AY95)*(BE95-BE94))*1000*BF95</f>
        <v>7.46172863379453</v>
      </c>
      <c r="BH95" s="57" t="n">
        <f aca="false">IF(AM95="Sand",0,0.009*(AR95-10))</f>
        <v>0</v>
      </c>
      <c r="BI95" s="57" t="n">
        <f aca="false">BH95*Input!$AA$39</f>
        <v>0</v>
      </c>
      <c r="BJ95" s="57" t="n">
        <f aca="false">IF(AM95="Sand",0,MAX(AV95/Input!$AA$40,AQ95))</f>
        <v>0</v>
      </c>
      <c r="BK95" s="57" t="n">
        <f aca="false">IF(AM95="Sand",0,1000*AK95/(1+AU95)*IF(AQ95+BC95&lt;=BJ95,BI95*LOG10((AQ95+BC95)/AQ95),BI95*LOG10(BJ95/AQ95)+BH95*LOG10((AQ95+BC95)/BJ95)))*BF95</f>
        <v>0</v>
      </c>
      <c r="BL95" s="57" t="n">
        <f aca="false">IF(AM95="Sand",0,10^(INDEX(Input!$Q$51:$Q$57,MIN(MATCH(MIN(MAX(AR95,30),120),Input!$C$51:$C$57,1),6))+(MIN(MAX(AR95,30),120)-INDEX(Input!$C$51:$C$57,MIN(MATCH(MIN(MAX(AR95,30),120),Input!$C$51:$C$57,1),6)))/(INDEX(Input!$C$51:$C$57,MIN(MATCH(MIN(MAX(AR95,30),120),Input!$C$51:$C$57,1),6)+1)-INDEX(Input!$C$51:$C$57,MIN(MATCH(MIN(MAX(AR95,30),120),Input!$C$51:$C$57,1),6)))*(INDEX(Input!$Q$51:$Q$57,MIN(MATCH(MIN(MAX(AR95,30),120),Input!$C$51:$C$57,1),6)+1)-INDEX(Input!$Q$51:$Q$57,MIN(MATCH(MIN(MAX(AR95,30),120),Input!$C$51:$C$57,1),6)))))</f>
        <v>0</v>
      </c>
      <c r="BM95" s="57" t="n">
        <f aca="false">IF(OR(AM95="Sand",BF95=0),0,Input!$AA$41*(AK95/2)^2/(BL95*0.0001*31536000))</f>
        <v>0</v>
      </c>
      <c r="BN95" s="57" t="n">
        <f aca="false">MAX(0,MIN(AJ95,Input!$AA$20)-AI95)</f>
        <v>0</v>
      </c>
      <c r="BO95" s="57" t="n">
        <f aca="false">MAX(0,MIN(AJ95,Input!$AA$20)-MAX(AI95,$AA$23))</f>
        <v>0</v>
      </c>
      <c r="BP95" s="57" t="n">
        <f aca="false">BG95+BK95</f>
        <v>7.46172863379453</v>
      </c>
      <c r="BQ95" s="57"/>
    </row>
    <row r="96" customFormat="false" ht="14.25" hidden="false" customHeight="false" outlineLevel="0" collapsed="false">
      <c r="B96" s="7"/>
      <c r="C96" s="46" t="n">
        <v>14</v>
      </c>
      <c r="D96" s="46"/>
      <c r="E96" s="44" t="n">
        <f aca="false">AI96</f>
        <v>19.5</v>
      </c>
      <c r="F96" s="44"/>
      <c r="G96" s="44"/>
      <c r="H96" s="44" t="n">
        <f aca="false">AJ96</f>
        <v>21</v>
      </c>
      <c r="I96" s="44"/>
      <c r="J96" s="44"/>
      <c r="K96" s="41" t="str">
        <f aca="false">AM96</f>
        <v>Sand</v>
      </c>
      <c r="L96" s="41"/>
      <c r="M96" s="41"/>
      <c r="N96" s="46" t="n">
        <f aca="false">AN96</f>
        <v>41</v>
      </c>
      <c r="O96" s="46"/>
      <c r="P96" s="46"/>
      <c r="Q96" s="42" t="n">
        <f aca="false">AO96</f>
        <v>20.2</v>
      </c>
      <c r="R96" s="42"/>
      <c r="S96" s="42"/>
      <c r="T96" s="46" t="str">
        <f aca="false">IF(AR96="","-",AR96)</f>
        <v>-</v>
      </c>
      <c r="U96" s="46"/>
      <c r="V96" s="46" t="str">
        <f aca="false">IF(AT96="","-",AT96)</f>
        <v>-</v>
      </c>
      <c r="W96" s="46"/>
      <c r="X96" s="44" t="n">
        <f aca="false">AU96</f>
        <v>0.476</v>
      </c>
      <c r="Y96" s="44"/>
      <c r="Z96" s="55" t="n">
        <f aca="false">AV96</f>
        <v>0</v>
      </c>
      <c r="AA96" s="55"/>
      <c r="AB96" s="55"/>
      <c r="AC96" s="42" t="n">
        <f aca="false">AW96</f>
        <v>39.35622173914</v>
      </c>
      <c r="AD96" s="42"/>
      <c r="AE96" s="42"/>
      <c r="AF96" s="12"/>
      <c r="AI96" s="56" t="n">
        <v>19.5</v>
      </c>
      <c r="AJ96" s="56" t="n">
        <v>21</v>
      </c>
      <c r="AK96" s="57" t="n">
        <f aca="false">AJ96-AI96</f>
        <v>1.5</v>
      </c>
      <c r="AL96" s="57" t="n">
        <f aca="false">(AI96+AJ96)/2</f>
        <v>20.25</v>
      </c>
      <c r="AM96" s="56" t="s">
        <v>199</v>
      </c>
      <c r="AN96" s="56" t="n">
        <v>41</v>
      </c>
      <c r="AO96" s="58" t="n">
        <f aca="false">IF(AL96&gt;$AA$20,$AA$22,$AA$21)</f>
        <v>20.2</v>
      </c>
      <c r="AP96" s="57" t="n">
        <f aca="false">AP95+AO96*AK96</f>
        <v>418.8</v>
      </c>
      <c r="AQ96" s="57" t="n">
        <f aca="false">AP96-AO96*AK96/2-10*MAX(AL96-$AA$20,0)</f>
        <v>291.15</v>
      </c>
      <c r="AR96" s="56"/>
      <c r="AS96" s="56"/>
      <c r="AT96" s="57" t="str">
        <f aca="false">IF(AR96="","",AR96-AS96)</f>
        <v/>
      </c>
      <c r="AU96" s="56" t="n">
        <v>0.476</v>
      </c>
      <c r="AV96" s="57" t="n">
        <f aca="false">IF(AM96="Sand",0,Input!$AA$34*AN96)</f>
        <v>0</v>
      </c>
      <c r="AW96" s="57" t="n">
        <f aca="false">IF(AM96="Sand",27.1+0.3*MIN(Input!$AA$35*AN96,60)-0.00054*MIN(Input!$AA$35*AN96,60)^2,MIN(MAX(DEGREES(ASIN(0.8-0.094*LN(MAX(IF(AT96="",10,AT96),5)))),20),30))</f>
        <v>39.35622173914</v>
      </c>
      <c r="AX96" s="57" t="n">
        <f aca="false">IF(AM96="Sand",Input!$AA$36*Input!$AA$35*AN96,Input!$AA$37*AV96)</f>
        <v>44403</v>
      </c>
      <c r="AY96" s="59" t="n">
        <f aca="false">IF(AM96="Sand",Input!$AA$38,0.5)</f>
        <v>0.3</v>
      </c>
      <c r="AZ96" s="57" t="n">
        <f aca="false">Input!$AA$15/2/AL96</f>
        <v>1.82716049382716</v>
      </c>
      <c r="BA96" s="57" t="n">
        <f aca="false">Input!$AA$16/2/AL96</f>
        <v>4.98765432098765</v>
      </c>
      <c r="BB96" s="57" t="n">
        <f aca="false">1/(4*PI())*(2*AZ96*BA96*SQRT(AZ96^2+BA96^2+1)/(AZ96^2+BA96^2+1+AZ96^2*BA96^2)*(AZ96^2+BA96^2+2)/(AZ96^2+BA96^2+1)+ATAN2(AZ96^2+BA96^2+1-AZ96^2*BA96^2,2*AZ96*BA96*SQRT(AZ96^2+BA96^2+1)))</f>
        <v>0.237020068220603</v>
      </c>
      <c r="BC96" s="57" t="n">
        <f aca="false">4*Input!$AA$14*BB96</f>
        <v>128.938917112008</v>
      </c>
      <c r="BD96" s="57" t="n">
        <f aca="false">((Input!$AA$16/Input!$AA$15)*LN((1+SQRT((Input!$AA$16/Input!$AA$15)^2+1))*SQRT((Input!$AA$16/Input!$AA$15)^2+(AJ96/(Input!$AA$15/2))^2)/((Input!$AA$16/Input!$AA$15)*(1+SQRT((Input!$AA$16/Input!$AA$15)^2+(AJ96/(Input!$AA$15/2))^2+1))))+LN(((Input!$AA$16/Input!$AA$15)+SQRT((Input!$AA$16/Input!$AA$15)^2+1))*SQRT(1+(AJ96/(Input!$AA$15/2))^2)/((Input!$AA$16/Input!$AA$15)+SQRT((Input!$AA$16/Input!$AA$15)^2+(AJ96/(Input!$AA$15/2))^2+1))))/PI()</f>
        <v>0.0476251420550853</v>
      </c>
      <c r="BE96" s="57" t="n">
        <f aca="false">(AJ96/(Input!$AA$15/2))/(2*PI())*ATAN((Input!$AA$16/Input!$AA$15)/((AJ96/(Input!$AA$15/2))*SQRT((Input!$AA$16/Input!$AA$15)^2+(AJ96/(Input!$AA$15/2))^2+1)))</f>
        <v>0.0920287526961581</v>
      </c>
      <c r="BF96" s="57" t="n">
        <f aca="false">MAX(0,AJ96-MAX(AI96,$AA$23))/AK96*IF(BC96&gt;=Input!$AA$21*AQ96,1,0)</f>
        <v>1</v>
      </c>
      <c r="BG96" s="57" t="n">
        <f aca="false">4*Input!$AA$14*(Input!$AA$15/2)*(1-AY96^2)/AX96*((BD96-BD95)+(1-2*AY96)/(1-AY96)*(BE96-BE95))*1000*BF96</f>
        <v>3.2999251651592</v>
      </c>
      <c r="BH96" s="57" t="n">
        <f aca="false">IF(AM96="Sand",0,0.009*(AR96-10))</f>
        <v>0</v>
      </c>
      <c r="BI96" s="57" t="n">
        <f aca="false">BH96*Input!$AA$39</f>
        <v>0</v>
      </c>
      <c r="BJ96" s="57" t="n">
        <f aca="false">IF(AM96="Sand",0,MAX(AV96/Input!$AA$40,AQ96))</f>
        <v>0</v>
      </c>
      <c r="BK96" s="57" t="n">
        <f aca="false">IF(AM96="Sand",0,1000*AK96/(1+AU96)*IF(AQ96+BC96&lt;=BJ96,BI96*LOG10((AQ96+BC96)/AQ96),BI96*LOG10(BJ96/AQ96)+BH96*LOG10((AQ96+BC96)/BJ96)))*BF96</f>
        <v>0</v>
      </c>
      <c r="BL96" s="57" t="n">
        <f aca="false">IF(AM96="Sand",0,10^(INDEX(Input!$Q$51:$Q$57,MIN(MATCH(MIN(MAX(AR96,30),120),Input!$C$51:$C$57,1),6))+(MIN(MAX(AR96,30),120)-INDEX(Input!$C$51:$C$57,MIN(MATCH(MIN(MAX(AR96,30),120),Input!$C$51:$C$57,1),6)))/(INDEX(Input!$C$51:$C$57,MIN(MATCH(MIN(MAX(AR96,30),120),Input!$C$51:$C$57,1),6)+1)-INDEX(Input!$C$51:$C$57,MIN(MATCH(MIN(MAX(AR96,30),120),Input!$C$51:$C$57,1),6)))*(INDEX(Input!$Q$51:$Q$57,MIN(MATCH(MIN(MAX(AR96,30),120),Input!$C$51:$C$57,1),6)+1)-INDEX(Input!$Q$51:$Q$57,MIN(MATCH(MIN(MAX(AR96,30),120),Input!$C$51:$C$57,1),6)))))</f>
        <v>0</v>
      </c>
      <c r="BM96" s="57" t="n">
        <f aca="false">IF(OR(AM96="Sand",BF96=0),0,Input!$AA$41*(AK96/2)^2/(BL96*0.0001*31536000))</f>
        <v>0</v>
      </c>
      <c r="BN96" s="57" t="n">
        <f aca="false">MAX(0,MIN(AJ96,Input!$AA$20)-AI96)</f>
        <v>0</v>
      </c>
      <c r="BO96" s="57" t="n">
        <f aca="false">MAX(0,MIN(AJ96,Input!$AA$20)-MAX(AI96,$AA$23))</f>
        <v>0</v>
      </c>
      <c r="BP96" s="57" t="n">
        <f aca="false">BG96+BK96</f>
        <v>3.2999251651592</v>
      </c>
      <c r="BQ96" s="57"/>
    </row>
    <row r="97" customFormat="false" ht="14.25" hidden="false" customHeight="false" outlineLevel="0" collapsed="false">
      <c r="B97" s="7"/>
      <c r="C97" s="46" t="n">
        <v>15</v>
      </c>
      <c r="D97" s="46"/>
      <c r="E97" s="44" t="n">
        <f aca="false">AI97</f>
        <v>21</v>
      </c>
      <c r="F97" s="44"/>
      <c r="G97" s="44"/>
      <c r="H97" s="44" t="n">
        <f aca="false">AJ97</f>
        <v>22.5</v>
      </c>
      <c r="I97" s="44"/>
      <c r="J97" s="44"/>
      <c r="K97" s="41" t="str">
        <f aca="false">AM97</f>
        <v>Sand</v>
      </c>
      <c r="L97" s="41"/>
      <c r="M97" s="41"/>
      <c r="N97" s="46" t="n">
        <f aca="false">AN97</f>
        <v>36</v>
      </c>
      <c r="O97" s="46"/>
      <c r="P97" s="46"/>
      <c r="Q97" s="42" t="n">
        <f aca="false">AO97</f>
        <v>20.2</v>
      </c>
      <c r="R97" s="42"/>
      <c r="S97" s="42"/>
      <c r="T97" s="46" t="str">
        <f aca="false">IF(AR97="","-",AR97)</f>
        <v>-</v>
      </c>
      <c r="U97" s="46"/>
      <c r="V97" s="46" t="str">
        <f aca="false">IF(AT97="","-",AT97)</f>
        <v>-</v>
      </c>
      <c r="W97" s="46"/>
      <c r="X97" s="44" t="n">
        <f aca="false">AU97</f>
        <v>0.65</v>
      </c>
      <c r="Y97" s="44"/>
      <c r="Z97" s="55" t="n">
        <f aca="false">AV97</f>
        <v>0</v>
      </c>
      <c r="AA97" s="55"/>
      <c r="AB97" s="55"/>
      <c r="AC97" s="42" t="n">
        <f aca="false">AW97</f>
        <v>37.97556536224</v>
      </c>
      <c r="AD97" s="42"/>
      <c r="AE97" s="42"/>
      <c r="AF97" s="12"/>
      <c r="AI97" s="56" t="n">
        <v>21</v>
      </c>
      <c r="AJ97" s="56" t="n">
        <v>22.5</v>
      </c>
      <c r="AK97" s="57" t="n">
        <f aca="false">AJ97-AI97</f>
        <v>1.5</v>
      </c>
      <c r="AL97" s="57" t="n">
        <f aca="false">(AI97+AJ97)/2</f>
        <v>21.75</v>
      </c>
      <c r="AM97" s="56" t="s">
        <v>199</v>
      </c>
      <c r="AN97" s="56" t="n">
        <v>36</v>
      </c>
      <c r="AO97" s="58" t="n">
        <f aca="false">IF(AL97&gt;$AA$20,$AA$22,$AA$21)</f>
        <v>20.2</v>
      </c>
      <c r="AP97" s="57" t="n">
        <f aca="false">AP96+AO97*AK97</f>
        <v>449.1</v>
      </c>
      <c r="AQ97" s="57" t="n">
        <f aca="false">AP97-AO97*AK97/2-10*MAX(AL97-$AA$20,0)</f>
        <v>306.45</v>
      </c>
      <c r="AR97" s="56"/>
      <c r="AS97" s="56"/>
      <c r="AT97" s="57" t="str">
        <f aca="false">IF(AR97="","",AR97-AS97)</f>
        <v/>
      </c>
      <c r="AU97" s="56" t="n">
        <v>0.65</v>
      </c>
      <c r="AV97" s="57" t="n">
        <f aca="false">IF(AM97="Sand",0,Input!$AA$34*AN97)</f>
        <v>0</v>
      </c>
      <c r="AW97" s="57" t="n">
        <f aca="false">IF(AM97="Sand",27.1+0.3*MIN(Input!$AA$35*AN97,60)-0.00054*MIN(Input!$AA$35*AN97,60)^2,MIN(MAX(DEGREES(ASIN(0.8-0.094*LN(MAX(IF(AT97="",10,AT97),5)))),20),30))</f>
        <v>37.97556536224</v>
      </c>
      <c r="AX97" s="57" t="n">
        <f aca="false">IF(AM97="Sand",Input!$AA$36*Input!$AA$35*AN97,Input!$AA$37*AV97)</f>
        <v>38988</v>
      </c>
      <c r="AY97" s="59" t="n">
        <f aca="false">IF(AM97="Sand",Input!$AA$38,0.5)</f>
        <v>0.3</v>
      </c>
      <c r="AZ97" s="57" t="n">
        <f aca="false">Input!$AA$15/2/AL97</f>
        <v>1.70114942528736</v>
      </c>
      <c r="BA97" s="57" t="n">
        <f aca="false">Input!$AA$16/2/AL97</f>
        <v>4.64367816091954</v>
      </c>
      <c r="BB97" s="57" t="n">
        <f aca="false">1/(4*PI())*(2*AZ97*BA97*SQRT(AZ97^2+BA97^2+1)/(AZ97^2+BA97^2+1+AZ97^2*BA97^2)*(AZ97^2+BA97^2+2)/(AZ97^2+BA97^2+1)+ATAN2(AZ97^2+BA97^2+1-AZ97^2*BA97^2,2*AZ97*BA97*SQRT(AZ97^2+BA97^2+1)))</f>
        <v>0.234572598682726</v>
      </c>
      <c r="BC97" s="57" t="n">
        <f aca="false">4*Input!$AA$14*BB97</f>
        <v>127.607493683403</v>
      </c>
      <c r="BD97" s="57" t="n">
        <f aca="false">((Input!$AA$16/Input!$AA$15)*LN((1+SQRT((Input!$AA$16/Input!$AA$15)^2+1))*SQRT((Input!$AA$16/Input!$AA$15)^2+(AJ97/(Input!$AA$15/2))^2)/((Input!$AA$16/Input!$AA$15)*(1+SQRT((Input!$AA$16/Input!$AA$15)^2+(AJ97/(Input!$AA$15/2))^2+1))))+LN(((Input!$AA$16/Input!$AA$15)+SQRT((Input!$AA$16/Input!$AA$15)^2+1))*SQRT(1+(AJ97/(Input!$AA$15/2))^2)/((Input!$AA$16/Input!$AA$15)+SQRT((Input!$AA$16/Input!$AA$15)^2+(AJ97/(Input!$AA$15/2))^2+1))))/PI()</f>
        <v>0.0537079639877145</v>
      </c>
      <c r="BE97" s="57" t="n">
        <f aca="false">(AJ97/(Input!$AA$15/2))/(2*PI())*ATAN((Input!$AA$16/Input!$AA$15)/((AJ97/(Input!$AA$15/2))*SQRT((Input!$AA$16/Input!$AA$15)^2+(AJ97/(Input!$AA$15/2))^2+1)))</f>
        <v>0.0954553363186186</v>
      </c>
      <c r="BF97" s="57" t="n">
        <f aca="false">MAX(0,AJ97-MAX(AI97,$AA$23))/AK97*IF(BC97&gt;=Input!$AA$21*AQ97,1,0)</f>
        <v>1</v>
      </c>
      <c r="BG97" s="57" t="n">
        <f aca="false">4*Input!$AA$14*(Input!$AA$15/2)*(1-AY97^2)/AX97*((BD97-BD96)+(1-2*AY97)/(1-AY97)*(BE97-BE96))*1000*BF97</f>
        <v>3.77758359885262</v>
      </c>
      <c r="BH97" s="57" t="n">
        <f aca="false">IF(AM97="Sand",0,0.009*(AR97-10))</f>
        <v>0</v>
      </c>
      <c r="BI97" s="57" t="n">
        <f aca="false">BH97*Input!$AA$39</f>
        <v>0</v>
      </c>
      <c r="BJ97" s="57" t="n">
        <f aca="false">IF(AM97="Sand",0,MAX(AV97/Input!$AA$40,AQ97))</f>
        <v>0</v>
      </c>
      <c r="BK97" s="57" t="n">
        <f aca="false">IF(AM97="Sand",0,1000*AK97/(1+AU97)*IF(AQ97+BC97&lt;=BJ97,BI97*LOG10((AQ97+BC97)/AQ97),BI97*LOG10(BJ97/AQ97)+BH97*LOG10((AQ97+BC97)/BJ97)))*BF97</f>
        <v>0</v>
      </c>
      <c r="BL97" s="57" t="n">
        <f aca="false">IF(AM97="Sand",0,10^(INDEX(Input!$Q$51:$Q$57,MIN(MATCH(MIN(MAX(AR97,30),120),Input!$C$51:$C$57,1),6))+(MIN(MAX(AR97,30),120)-INDEX(Input!$C$51:$C$57,MIN(MATCH(MIN(MAX(AR97,30),120),Input!$C$51:$C$57,1),6)))/(INDEX(Input!$C$51:$C$57,MIN(MATCH(MIN(MAX(AR97,30),120),Input!$C$51:$C$57,1),6)+1)-INDEX(Input!$C$51:$C$57,MIN(MATCH(MIN(MAX(AR97,30),120),Input!$C$51:$C$57,1),6)))*(INDEX(Input!$Q$51:$Q$57,MIN(MATCH(MIN(MAX(AR97,30),120),Input!$C$51:$C$57,1),6)+1)-INDEX(Input!$Q$51:$Q$57,MIN(MATCH(MIN(MAX(AR97,30),120),Input!$C$51:$C$57,1),6)))))</f>
        <v>0</v>
      </c>
      <c r="BM97" s="57" t="n">
        <f aca="false">IF(OR(AM97="Sand",BF97=0),0,Input!$AA$41*(AK97/2)^2/(BL97*0.0001*31536000))</f>
        <v>0</v>
      </c>
      <c r="BN97" s="57" t="n">
        <f aca="false">MAX(0,MIN(AJ97,Input!$AA$20)-AI97)</f>
        <v>0</v>
      </c>
      <c r="BO97" s="57" t="n">
        <f aca="false">MAX(0,MIN(AJ97,Input!$AA$20)-MAX(AI97,$AA$23))</f>
        <v>0</v>
      </c>
      <c r="BP97" s="57" t="n">
        <f aca="false">BG97+BK97</f>
        <v>3.77758359885262</v>
      </c>
      <c r="BQ97" s="57"/>
    </row>
    <row r="98" customFormat="false" ht="14.25" hidden="false" customHeight="false" outlineLevel="0" collapsed="false">
      <c r="B98" s="7"/>
      <c r="C98" s="46" t="n">
        <v>16</v>
      </c>
      <c r="D98" s="46"/>
      <c r="E98" s="44" t="n">
        <f aca="false">AI98</f>
        <v>22.5</v>
      </c>
      <c r="F98" s="44"/>
      <c r="G98" s="44"/>
      <c r="H98" s="44" t="n">
        <f aca="false">AJ98</f>
        <v>24</v>
      </c>
      <c r="I98" s="44"/>
      <c r="J98" s="44"/>
      <c r="K98" s="41" t="str">
        <f aca="false">AM98</f>
        <v>Clay</v>
      </c>
      <c r="L98" s="41"/>
      <c r="M98" s="41"/>
      <c r="N98" s="46" t="n">
        <f aca="false">AN98</f>
        <v>35</v>
      </c>
      <c r="O98" s="46"/>
      <c r="P98" s="46"/>
      <c r="Q98" s="42" t="n">
        <f aca="false">AO98</f>
        <v>20.2</v>
      </c>
      <c r="R98" s="42"/>
      <c r="S98" s="42"/>
      <c r="T98" s="46" t="n">
        <f aca="false">IF(AR98="","-",AR98)</f>
        <v>33.79</v>
      </c>
      <c r="U98" s="46"/>
      <c r="V98" s="46" t="n">
        <f aca="false">IF(AT98="","-",AT98)</f>
        <v>9.46</v>
      </c>
      <c r="W98" s="46"/>
      <c r="X98" s="44" t="n">
        <f aca="false">AU98</f>
        <v>0.715</v>
      </c>
      <c r="Y98" s="44"/>
      <c r="Z98" s="55" t="n">
        <f aca="false">AV98</f>
        <v>175</v>
      </c>
      <c r="AA98" s="55"/>
      <c r="AB98" s="55"/>
      <c r="AC98" s="42" t="n">
        <f aca="false">AW98</f>
        <v>30</v>
      </c>
      <c r="AD98" s="42"/>
      <c r="AE98" s="42"/>
      <c r="AF98" s="12"/>
      <c r="AI98" s="56" t="n">
        <v>22.5</v>
      </c>
      <c r="AJ98" s="56" t="n">
        <v>24</v>
      </c>
      <c r="AK98" s="57" t="n">
        <f aca="false">AJ98-AI98</f>
        <v>1.5</v>
      </c>
      <c r="AL98" s="57" t="n">
        <f aca="false">(AI98+AJ98)/2</f>
        <v>23.25</v>
      </c>
      <c r="AM98" s="56" t="s">
        <v>196</v>
      </c>
      <c r="AN98" s="56" t="n">
        <v>35</v>
      </c>
      <c r="AO98" s="58" t="n">
        <f aca="false">IF(AL98&gt;$AA$20,$AA$22,$AA$21)</f>
        <v>20.2</v>
      </c>
      <c r="AP98" s="57" t="n">
        <f aca="false">AP97+AO98*AK98</f>
        <v>479.4</v>
      </c>
      <c r="AQ98" s="57" t="n">
        <f aca="false">AP98-AO98*AK98/2-10*MAX(AL98-$AA$20,0)</f>
        <v>321.75</v>
      </c>
      <c r="AR98" s="56" t="n">
        <v>33.79</v>
      </c>
      <c r="AS98" s="56" t="n">
        <v>24.33</v>
      </c>
      <c r="AT98" s="57" t="n">
        <f aca="false">IF(AR98="","",AR98-AS98)</f>
        <v>9.46</v>
      </c>
      <c r="AU98" s="56" t="n">
        <v>0.715</v>
      </c>
      <c r="AV98" s="57" t="n">
        <f aca="false">IF(AM98="Sand",0,Input!$AA$34*AN98)</f>
        <v>175</v>
      </c>
      <c r="AW98" s="57" t="n">
        <f aca="false">IF(AM98="Sand",27.1+0.3*MIN(Input!$AA$35*AN98,60)-0.00054*MIN(Input!$AA$35*AN98,60)^2,MIN(MAX(DEGREES(ASIN(0.8-0.094*LN(MAX(IF(AT98="",10,AT98),5)))),20),30))</f>
        <v>30</v>
      </c>
      <c r="AX98" s="57" t="n">
        <f aca="false">IF(AM98="Sand",Input!$AA$36*Input!$AA$35*AN98,Input!$AA$37*AV98)</f>
        <v>87500</v>
      </c>
      <c r="AY98" s="57" t="n">
        <f aca="false">IF(AM98="Sand",Input!$AA$38,0.5)</f>
        <v>0.5</v>
      </c>
      <c r="AZ98" s="57" t="n">
        <f aca="false">Input!$AA$15/2/AL98</f>
        <v>1.59139784946237</v>
      </c>
      <c r="BA98" s="57" t="n">
        <f aca="false">Input!$AA$16/2/AL98</f>
        <v>4.34408602150538</v>
      </c>
      <c r="BB98" s="57" t="n">
        <f aca="false">1/(4*PI())*(2*AZ98*BA98*SQRT(AZ98^2+BA98^2+1)/(AZ98^2+BA98^2+1+AZ98^2*BA98^2)*(AZ98^2+BA98^2+2)/(AZ98^2+BA98^2+1)+ATAN2(AZ98^2+BA98^2+1-AZ98^2*BA98^2,2*AZ98*BA98*SQRT(AZ98^2+BA98^2+1)))</f>
        <v>0.231950929767946</v>
      </c>
      <c r="BC98" s="57" t="n">
        <f aca="false">4*Input!$AA$14*BB98</f>
        <v>126.181305793762</v>
      </c>
      <c r="BD98" s="57" t="n">
        <f aca="false">((Input!$AA$16/Input!$AA$15)*LN((1+SQRT((Input!$AA$16/Input!$AA$15)^2+1))*SQRT((Input!$AA$16/Input!$AA$15)^2+(AJ98/(Input!$AA$15/2))^2)/((Input!$AA$16/Input!$AA$15)*(1+SQRT((Input!$AA$16/Input!$AA$15)^2+(AJ98/(Input!$AA$15/2))^2+1))))+LN(((Input!$AA$16/Input!$AA$15)+SQRT((Input!$AA$16/Input!$AA$15)^2+1))*SQRT(1+(AJ98/(Input!$AA$15/2))^2)/((Input!$AA$16/Input!$AA$15)+SQRT((Input!$AA$16/Input!$AA$15)^2+(AJ98/(Input!$AA$15/2))^2+1))))/PI()</f>
        <v>0.0599907785392672</v>
      </c>
      <c r="BE98" s="57" t="n">
        <f aca="false">(AJ98/(Input!$AA$15/2))/(2*PI())*ATAN((Input!$AA$16/Input!$AA$15)/((AJ98/(Input!$AA$15/2))*SQRT((Input!$AA$16/Input!$AA$15)^2+(AJ98/(Input!$AA$15/2))^2+1)))</f>
        <v>0.0985756744132035</v>
      </c>
      <c r="BF98" s="57" t="n">
        <f aca="false">MAX(0,AJ98-MAX(AI98,$AA$23))/AK98*IF(BC98&gt;=Input!$AA$21*AQ98,1,0)</f>
        <v>1</v>
      </c>
      <c r="BG98" s="57" t="n">
        <f aca="false">4*Input!$AA$14*(Input!$AA$15/2)*(1-AY98^2)/AX98*((BD98-BD97)+(1-2*AY98)/(1-AY98)*(BE98-BE97))*1000*BF98</f>
        <v>1.0839470682313</v>
      </c>
      <c r="BH98" s="57" t="n">
        <f aca="false">IF(AM98="Sand",0,0.009*(AR98-10))</f>
        <v>0.21411</v>
      </c>
      <c r="BI98" s="57" t="n">
        <f aca="false">BH98*Input!$AA$39</f>
        <v>0.042822</v>
      </c>
      <c r="BJ98" s="57" t="n">
        <f aca="false">IF(AM98="Sand",0,MAX(AV98/Input!$AA$40,AQ98))</f>
        <v>795.454545454546</v>
      </c>
      <c r="BK98" s="57" t="n">
        <f aca="false">IF(AM98="Sand",0,1000*AK98/(1+AU98)*IF(AQ98+BC98&lt;=BJ98,BI98*LOG10((AQ98+BC98)/AQ98),BI98*LOG10(BJ98/AQ98)+BH98*LOG10((AQ98+BC98)/BJ98)))*BF98</f>
        <v>5.38182129333129</v>
      </c>
      <c r="BL98" s="57" t="n">
        <f aca="false">IF(AM98="Sand",0,10^(INDEX(Input!$Q$51:$Q$57,MIN(MATCH(MIN(MAX(AR98,30),120),Input!$C$51:$C$57,1),6))+(MIN(MAX(AR98,30),120)-INDEX(Input!$C$51:$C$57,MIN(MATCH(MIN(MAX(AR98,30),120),Input!$C$51:$C$57,1),6)))/(INDEX(Input!$C$51:$C$57,MIN(MATCH(MIN(MAX(AR98,30),120),Input!$C$51:$C$57,1),6)+1)-INDEX(Input!$C$51:$C$57,MIN(MATCH(MIN(MAX(AR98,30),120),Input!$C$51:$C$57,1),6)))*(INDEX(Input!$Q$51:$Q$57,MIN(MATCH(MIN(MAX(AR98,30),120),Input!$C$51:$C$57,1),6)+1)-INDEX(Input!$Q$51:$Q$57,MIN(MATCH(MIN(MAX(AR98,30),120),Input!$C$51:$C$57,1),6)))))</f>
        <v>0.0023069112469054</v>
      </c>
      <c r="BM98" s="57" t="n">
        <f aca="false">IF(OR(AM98="Sand",BF98=0),0,Input!$AA$41*(AK98/2)^2/(BL98*0.0001*31536000))</f>
        <v>0.0655663315896779</v>
      </c>
      <c r="BN98" s="57" t="n">
        <f aca="false">MAX(0,MIN(AJ98,Input!$AA$20)-AI98)</f>
        <v>0</v>
      </c>
      <c r="BO98" s="57" t="n">
        <f aca="false">MAX(0,MIN(AJ98,Input!$AA$20)-MAX(AI98,$AA$23))</f>
        <v>0</v>
      </c>
      <c r="BP98" s="57" t="n">
        <f aca="false">BG98+BK98</f>
        <v>6.46576836156259</v>
      </c>
      <c r="BQ98" s="57"/>
    </row>
    <row r="99" customFormat="false" ht="14.25" hidden="false" customHeight="false" outlineLevel="0" collapsed="false">
      <c r="B99" s="7"/>
      <c r="C99" s="46" t="n">
        <v>17</v>
      </c>
      <c r="D99" s="46"/>
      <c r="E99" s="44" t="n">
        <f aca="false">AI99</f>
        <v>24</v>
      </c>
      <c r="F99" s="44"/>
      <c r="G99" s="44"/>
      <c r="H99" s="44" t="n">
        <f aca="false">AJ99</f>
        <v>25.5</v>
      </c>
      <c r="I99" s="44"/>
      <c r="J99" s="44"/>
      <c r="K99" s="41" t="str">
        <f aca="false">AM99</f>
        <v>Clay</v>
      </c>
      <c r="L99" s="41"/>
      <c r="M99" s="41"/>
      <c r="N99" s="46" t="n">
        <f aca="false">AN99</f>
        <v>24</v>
      </c>
      <c r="O99" s="46"/>
      <c r="P99" s="46"/>
      <c r="Q99" s="42" t="n">
        <f aca="false">AO99</f>
        <v>20.2</v>
      </c>
      <c r="R99" s="42"/>
      <c r="S99" s="42"/>
      <c r="T99" s="46" t="n">
        <f aca="false">IF(AR99="","-",AR99)</f>
        <v>28.071</v>
      </c>
      <c r="U99" s="46"/>
      <c r="V99" s="46" t="n">
        <f aca="false">IF(AT99="","-",AT99)</f>
        <v>9.239</v>
      </c>
      <c r="W99" s="46"/>
      <c r="X99" s="44" t="n">
        <f aca="false">AU99</f>
        <v>0.59</v>
      </c>
      <c r="Y99" s="44"/>
      <c r="Z99" s="55" t="n">
        <f aca="false">AV99</f>
        <v>120</v>
      </c>
      <c r="AA99" s="55"/>
      <c r="AB99" s="55"/>
      <c r="AC99" s="42" t="n">
        <f aca="false">AW99</f>
        <v>30</v>
      </c>
      <c r="AD99" s="42"/>
      <c r="AE99" s="42"/>
      <c r="AF99" s="12"/>
      <c r="AI99" s="56" t="n">
        <v>24</v>
      </c>
      <c r="AJ99" s="56" t="n">
        <v>25.5</v>
      </c>
      <c r="AK99" s="57" t="n">
        <f aca="false">AJ99-AI99</f>
        <v>1.5</v>
      </c>
      <c r="AL99" s="57" t="n">
        <f aca="false">(AI99+AJ99)/2</f>
        <v>24.75</v>
      </c>
      <c r="AM99" s="56" t="s">
        <v>196</v>
      </c>
      <c r="AN99" s="56" t="n">
        <v>24</v>
      </c>
      <c r="AO99" s="58" t="n">
        <f aca="false">IF(AL99&gt;$AA$20,$AA$22,$AA$21)</f>
        <v>20.2</v>
      </c>
      <c r="AP99" s="57" t="n">
        <f aca="false">AP98+AO99*AK99</f>
        <v>509.7</v>
      </c>
      <c r="AQ99" s="57" t="n">
        <f aca="false">AP99-AO99*AK99/2-10*MAX(AL99-$AA$20,0)</f>
        <v>337.05</v>
      </c>
      <c r="AR99" s="56" t="n">
        <v>28.071</v>
      </c>
      <c r="AS99" s="56" t="n">
        <v>18.832</v>
      </c>
      <c r="AT99" s="57" t="n">
        <f aca="false">IF(AR99="","",AR99-AS99)</f>
        <v>9.239</v>
      </c>
      <c r="AU99" s="56" t="n">
        <v>0.59</v>
      </c>
      <c r="AV99" s="57" t="n">
        <f aca="false">IF(AM99="Sand",0,Input!$AA$34*AN99)</f>
        <v>120</v>
      </c>
      <c r="AW99" s="57" t="n">
        <f aca="false">IF(AM99="Sand",27.1+0.3*MIN(Input!$AA$35*AN99,60)-0.00054*MIN(Input!$AA$35*AN99,60)^2,MIN(MAX(DEGREES(ASIN(0.8-0.094*LN(MAX(IF(AT99="",10,AT99),5)))),20),30))</f>
        <v>30</v>
      </c>
      <c r="AX99" s="57" t="n">
        <f aca="false">IF(AM99="Sand",Input!$AA$36*Input!$AA$35*AN99,Input!$AA$37*AV99)</f>
        <v>60000</v>
      </c>
      <c r="AY99" s="57" t="n">
        <f aca="false">IF(AM99="Sand",Input!$AA$38,0.5)</f>
        <v>0.5</v>
      </c>
      <c r="AZ99" s="57" t="n">
        <f aca="false">Input!$AA$15/2/AL99</f>
        <v>1.4949494949495</v>
      </c>
      <c r="BA99" s="57" t="n">
        <f aca="false">Input!$AA$16/2/AL99</f>
        <v>4.08080808080808</v>
      </c>
      <c r="BB99" s="57" t="n">
        <f aca="false">1/(4*PI())*(2*AZ99*BA99*SQRT(AZ99^2+BA99^2+1)/(AZ99^2+BA99^2+1+AZ99^2*BA99^2)*(AZ99^2+BA99^2+2)/(AZ99^2+BA99^2+1)+ATAN2(AZ99^2+BA99^2+1-AZ99^2*BA99^2,2*AZ99*BA99*SQRT(AZ99^2+BA99^2+1)))</f>
        <v>0.229173348674597</v>
      </c>
      <c r="BC99" s="57" t="n">
        <f aca="false">4*Input!$AA$14*BB99</f>
        <v>124.670301678981</v>
      </c>
      <c r="BD99" s="57" t="n">
        <f aca="false">((Input!$AA$16/Input!$AA$15)*LN((1+SQRT((Input!$AA$16/Input!$AA$15)^2+1))*SQRT((Input!$AA$16/Input!$AA$15)^2+(AJ99/(Input!$AA$15/2))^2)/((Input!$AA$16/Input!$AA$15)*(1+SQRT((Input!$AA$16/Input!$AA$15)^2+(AJ99/(Input!$AA$15/2))^2+1))))+LN(((Input!$AA$16/Input!$AA$15)+SQRT((Input!$AA$16/Input!$AA$15)^2+1))*SQRT(1+(AJ99/(Input!$AA$15/2))^2)/((Input!$AA$16/Input!$AA$15)+SQRT((Input!$AA$16/Input!$AA$15)^2+(AJ99/(Input!$AA$15/2))^2+1))))/PI()</f>
        <v>0.0664468184683822</v>
      </c>
      <c r="BE99" s="57" t="n">
        <f aca="false">(AJ99/(Input!$AA$15/2))/(2*PI())*ATAN((Input!$AA$16/Input!$AA$15)/((AJ99/(Input!$AA$15/2))*SQRT((Input!$AA$16/Input!$AA$15)^2+(AJ99/(Input!$AA$15/2))^2+1)))</f>
        <v>0.101410214319719</v>
      </c>
      <c r="BF99" s="57" t="n">
        <f aca="false">MAX(0,AJ99-MAX(AI99,$AA$23))/AK99*IF(BC99&gt;=Input!$AA$21*AQ99,1,0)</f>
        <v>1</v>
      </c>
      <c r="BG99" s="57" t="n">
        <f aca="false">4*Input!$AA$14*(Input!$AA$15/2)*(1-AY99^2)/AX99*((BD99-BD98)+(1-2*AY99)/(1-AY99)*(BE99-BE98))*1000*BF99</f>
        <v>1.62433964616534</v>
      </c>
      <c r="BH99" s="57" t="n">
        <f aca="false">IF(AM99="Sand",0,0.009*(AR99-10))</f>
        <v>0.162639</v>
      </c>
      <c r="BI99" s="57" t="n">
        <f aca="false">BH99*Input!$AA$39</f>
        <v>0.0325278</v>
      </c>
      <c r="BJ99" s="57" t="n">
        <f aca="false">IF(AM99="Sand",0,MAX(AV99/Input!$AA$40,AQ99))</f>
        <v>545.454545454546</v>
      </c>
      <c r="BK99" s="57" t="n">
        <f aca="false">IF(AM99="Sand",0,1000*AK99/(1+AU99)*IF(AQ99+BC99&lt;=BJ99,BI99*LOG10((AQ99+BC99)/AQ99),BI99*LOG10(BJ99/AQ99)+BH99*LOG10((AQ99+BC99)/BJ99)))*BF99</f>
        <v>4.19438736726019</v>
      </c>
      <c r="BL99" s="57" t="n">
        <f aca="false">IF(AM99="Sand",0,10^(INDEX(Input!$Q$51:$Q$57,MIN(MATCH(MIN(MAX(AR99,30),120),Input!$C$51:$C$57,1),6))+(MIN(MAX(AR99,30),120)-INDEX(Input!$C$51:$C$57,MIN(MATCH(MIN(MAX(AR99,30),120),Input!$C$51:$C$57,1),6)))/(INDEX(Input!$C$51:$C$57,MIN(MATCH(MIN(MAX(AR99,30),120),Input!$C$51:$C$57,1),6)+1)-INDEX(Input!$C$51:$C$57,MIN(MATCH(MIN(MAX(AR99,30),120),Input!$C$51:$C$57,1),6)))*(INDEX(Input!$Q$51:$Q$57,MIN(MATCH(MIN(MAX(AR99,30),120),Input!$C$51:$C$57,1),6)+1)-INDEX(Input!$Q$51:$Q$57,MIN(MATCH(MIN(MAX(AR99,30),120),Input!$C$51:$C$57,1),6)))))</f>
        <v>0.003</v>
      </c>
      <c r="BM99" s="57" t="n">
        <f aca="false">IF(OR(AM99="Sand",BF99=0),0,Input!$AA$41*(AK99/2)^2/(BL99*0.0001*31536000))</f>
        <v>0.0504185692541857</v>
      </c>
      <c r="BN99" s="57" t="n">
        <f aca="false">MAX(0,MIN(AJ99,Input!$AA$20)-AI99)</f>
        <v>0</v>
      </c>
      <c r="BO99" s="57" t="n">
        <f aca="false">MAX(0,MIN(AJ99,Input!$AA$20)-MAX(AI99,$AA$23))</f>
        <v>0</v>
      </c>
      <c r="BP99" s="57" t="n">
        <f aca="false">BG99+BK99</f>
        <v>5.81872701342553</v>
      </c>
      <c r="BQ99" s="57" t="s">
        <v>198</v>
      </c>
    </row>
    <row r="100" customFormat="false" ht="14.25" hidden="false" customHeight="false" outlineLevel="0" collapsed="false">
      <c r="B100" s="7"/>
      <c r="C100" s="46" t="n">
        <v>18</v>
      </c>
      <c r="D100" s="46"/>
      <c r="E100" s="44" t="n">
        <f aca="false">AI100</f>
        <v>25.5</v>
      </c>
      <c r="F100" s="44"/>
      <c r="G100" s="44"/>
      <c r="H100" s="44" t="n">
        <f aca="false">AJ100</f>
        <v>27</v>
      </c>
      <c r="I100" s="44"/>
      <c r="J100" s="44"/>
      <c r="K100" s="41" t="str">
        <f aca="false">AM100</f>
        <v>Clay</v>
      </c>
      <c r="L100" s="41"/>
      <c r="M100" s="41"/>
      <c r="N100" s="46" t="n">
        <f aca="false">AN100</f>
        <v>21</v>
      </c>
      <c r="O100" s="46"/>
      <c r="P100" s="46"/>
      <c r="Q100" s="42" t="n">
        <f aca="false">AO100</f>
        <v>20.2</v>
      </c>
      <c r="R100" s="42"/>
      <c r="S100" s="42"/>
      <c r="T100" s="46" t="n">
        <f aca="false">IF(AR100="","-",AR100)</f>
        <v>28.071</v>
      </c>
      <c r="U100" s="46"/>
      <c r="V100" s="46" t="n">
        <f aca="false">IF(AT100="","-",AT100)</f>
        <v>9.239</v>
      </c>
      <c r="W100" s="46"/>
      <c r="X100" s="44" t="n">
        <f aca="false">AU100</f>
        <v>0.401</v>
      </c>
      <c r="Y100" s="44"/>
      <c r="Z100" s="55" t="n">
        <f aca="false">AV100</f>
        <v>105</v>
      </c>
      <c r="AA100" s="55"/>
      <c r="AB100" s="55"/>
      <c r="AC100" s="42" t="n">
        <f aca="false">AW100</f>
        <v>30</v>
      </c>
      <c r="AD100" s="42"/>
      <c r="AE100" s="42"/>
      <c r="AF100" s="12"/>
      <c r="AI100" s="56" t="n">
        <v>25.5</v>
      </c>
      <c r="AJ100" s="56" t="n">
        <v>27</v>
      </c>
      <c r="AK100" s="57" t="n">
        <f aca="false">AJ100-AI100</f>
        <v>1.5</v>
      </c>
      <c r="AL100" s="57" t="n">
        <f aca="false">(AI100+AJ100)/2</f>
        <v>26.25</v>
      </c>
      <c r="AM100" s="56" t="s">
        <v>196</v>
      </c>
      <c r="AN100" s="56" t="n">
        <v>21</v>
      </c>
      <c r="AO100" s="58" t="n">
        <f aca="false">IF(AL100&gt;$AA$20,$AA$22,$AA$21)</f>
        <v>20.2</v>
      </c>
      <c r="AP100" s="57" t="n">
        <f aca="false">AP99+AO100*AK100</f>
        <v>540</v>
      </c>
      <c r="AQ100" s="57" t="n">
        <f aca="false">AP100-AO100*AK100/2-10*MAX(AL100-$AA$20,0)</f>
        <v>352.35</v>
      </c>
      <c r="AR100" s="56" t="n">
        <v>28.071</v>
      </c>
      <c r="AS100" s="56" t="n">
        <v>18.832</v>
      </c>
      <c r="AT100" s="57" t="n">
        <f aca="false">IF(AR100="","",AR100-AS100)</f>
        <v>9.239</v>
      </c>
      <c r="AU100" s="56" t="n">
        <v>0.401</v>
      </c>
      <c r="AV100" s="57" t="n">
        <f aca="false">IF(AM100="Sand",0,Input!$AA$34*AN100)</f>
        <v>105</v>
      </c>
      <c r="AW100" s="57" t="n">
        <f aca="false">IF(AM100="Sand",27.1+0.3*MIN(Input!$AA$35*AN100,60)-0.00054*MIN(Input!$AA$35*AN100,60)^2,MIN(MAX(DEGREES(ASIN(0.8-0.094*LN(MAX(IF(AT100="",10,AT100),5)))),20),30))</f>
        <v>30</v>
      </c>
      <c r="AX100" s="57" t="n">
        <f aca="false">IF(AM100="Sand",Input!$AA$36*Input!$AA$35*AN100,Input!$AA$37*AV100)</f>
        <v>52500</v>
      </c>
      <c r="AY100" s="57" t="n">
        <f aca="false">IF(AM100="Sand",Input!$AA$38,0.5)</f>
        <v>0.5</v>
      </c>
      <c r="AZ100" s="57" t="n">
        <f aca="false">Input!$AA$15/2/AL100</f>
        <v>1.40952380952381</v>
      </c>
      <c r="BA100" s="57" t="n">
        <f aca="false">Input!$AA$16/2/AL100</f>
        <v>3.84761904761905</v>
      </c>
      <c r="BB100" s="57" t="n">
        <f aca="false">1/(4*PI())*(2*AZ100*BA100*SQRT(AZ100^2+BA100^2+1)/(AZ100^2+BA100^2+1+AZ100^2*BA100^2)*(AZ100^2+BA100^2+2)/(AZ100^2+BA100^2+1)+ATAN2(AZ100^2+BA100^2+1-AZ100^2*BA100^2,2*AZ100*BA100*SQRT(AZ100^2+BA100^2+1)))</f>
        <v>0.226258660519071</v>
      </c>
      <c r="BC100" s="57" t="n">
        <f aca="false">4*Input!$AA$14*BB100</f>
        <v>123.084711322374</v>
      </c>
      <c r="BD100" s="57" t="n">
        <f aca="false">((Input!$AA$16/Input!$AA$15)*LN((1+SQRT((Input!$AA$16/Input!$AA$15)^2+1))*SQRT((Input!$AA$16/Input!$AA$15)^2+(AJ100/(Input!$AA$15/2))^2)/((Input!$AA$16/Input!$AA$15)*(1+SQRT((Input!$AA$16/Input!$AA$15)^2+(AJ100/(Input!$AA$15/2))^2+1))))+LN(((Input!$AA$16/Input!$AA$15)+SQRT((Input!$AA$16/Input!$AA$15)^2+1))*SQRT(1+(AJ100/(Input!$AA$15/2))^2)/((Input!$AA$16/Input!$AA$15)+SQRT((Input!$AA$16/Input!$AA$15)^2+(AJ100/(Input!$AA$15/2))^2+1))))/PI()</f>
        <v>0.0730509745149719</v>
      </c>
      <c r="BE100" s="57" t="n">
        <f aca="false">(AJ100/(Input!$AA$15/2))/(2*PI())*ATAN((Input!$AA$16/Input!$AA$15)/((AJ100/(Input!$AA$15/2))*SQRT((Input!$AA$16/Input!$AA$15)^2+(AJ100/(Input!$AA$15/2))^2+1)))</f>
        <v>0.103978506876715</v>
      </c>
      <c r="BF100" s="57" t="n">
        <f aca="false">MAX(0,AJ100-MAX(AI100,$AA$23))/AK100*IF(BC100&gt;=Input!$AA$21*AQ100,1,0)</f>
        <v>1</v>
      </c>
      <c r="BG100" s="57" t="n">
        <f aca="false">4*Input!$AA$14*(Input!$AA$15/2)*(1-AY100^2)/AX100*((BD100-BD99)+(1-2*AY100)/(1-AY100)*(BE100-BE99))*1000*BF100</f>
        <v>1.89897789865368</v>
      </c>
      <c r="BH100" s="57" t="n">
        <f aca="false">IF(AM100="Sand",0,0.009*(AR100-10))</f>
        <v>0.162639</v>
      </c>
      <c r="BI100" s="57" t="n">
        <f aca="false">BH100*Input!$AA$39</f>
        <v>0.0325278</v>
      </c>
      <c r="BJ100" s="57" t="n">
        <f aca="false">IF(AM100="Sand",0,MAX(AV100/Input!$AA$40,AQ100))</f>
        <v>477.272727272727</v>
      </c>
      <c r="BK100" s="57" t="n">
        <f aca="false">IF(AM100="Sand",0,1000*AK100/(1+AU100)*IF(AQ100+BC100&lt;=BJ100,BI100*LOG10((AQ100+BC100)/AQ100),BI100*LOG10(BJ100/AQ100)+BH100*LOG10((AQ100+BC100)/BJ100)))*BF100</f>
        <v>4.53148509628649</v>
      </c>
      <c r="BL100" s="57" t="n">
        <f aca="false">IF(AM100="Sand",0,10^(INDEX(Input!$Q$51:$Q$57,MIN(MATCH(MIN(MAX(AR100,30),120),Input!$C$51:$C$57,1),6))+(MIN(MAX(AR100,30),120)-INDEX(Input!$C$51:$C$57,MIN(MATCH(MIN(MAX(AR100,30),120),Input!$C$51:$C$57,1),6)))/(INDEX(Input!$C$51:$C$57,MIN(MATCH(MIN(MAX(AR100,30),120),Input!$C$51:$C$57,1),6)+1)-INDEX(Input!$C$51:$C$57,MIN(MATCH(MIN(MAX(AR100,30),120),Input!$C$51:$C$57,1),6)))*(INDEX(Input!$Q$51:$Q$57,MIN(MATCH(MIN(MAX(AR100,30),120),Input!$C$51:$C$57,1),6)+1)-INDEX(Input!$Q$51:$Q$57,MIN(MATCH(MIN(MAX(AR100,30),120),Input!$C$51:$C$57,1),6)))))</f>
        <v>0.003</v>
      </c>
      <c r="BM100" s="57" t="n">
        <f aca="false">IF(OR(AM100="Sand",BF100=0),0,Input!$AA$41*(AK100/2)^2/(BL100*0.0001*31536000))</f>
        <v>0.0504185692541857</v>
      </c>
      <c r="BN100" s="57" t="n">
        <f aca="false">MAX(0,MIN(AJ100,Input!$AA$20)-AI100)</f>
        <v>0</v>
      </c>
      <c r="BO100" s="57" t="n">
        <f aca="false">MAX(0,MIN(AJ100,Input!$AA$20)-MAX(AI100,$AA$23))</f>
        <v>0</v>
      </c>
      <c r="BP100" s="57" t="n">
        <f aca="false">BG100+BK100</f>
        <v>6.43046299494017</v>
      </c>
      <c r="BQ100" s="57" t="s">
        <v>342</v>
      </c>
    </row>
    <row r="101" customFormat="false" ht="14.25" hidden="false" customHeight="false" outlineLevel="0" collapsed="false">
      <c r="B101" s="7"/>
      <c r="C101" s="46" t="n">
        <v>19</v>
      </c>
      <c r="D101" s="46"/>
      <c r="E101" s="44" t="n">
        <f aca="false">AI101</f>
        <v>27</v>
      </c>
      <c r="F101" s="44"/>
      <c r="G101" s="44"/>
      <c r="H101" s="44" t="n">
        <f aca="false">AJ101</f>
        <v>28.5</v>
      </c>
      <c r="I101" s="44"/>
      <c r="J101" s="44"/>
      <c r="K101" s="41" t="str">
        <f aca="false">AM101</f>
        <v>Sand</v>
      </c>
      <c r="L101" s="41"/>
      <c r="M101" s="41"/>
      <c r="N101" s="46" t="n">
        <f aca="false">AN101</f>
        <v>21</v>
      </c>
      <c r="O101" s="46"/>
      <c r="P101" s="46"/>
      <c r="Q101" s="42" t="n">
        <f aca="false">AO101</f>
        <v>20.2</v>
      </c>
      <c r="R101" s="42"/>
      <c r="S101" s="42"/>
      <c r="T101" s="46" t="str">
        <f aca="false">IF(AR101="","-",AR101)</f>
        <v>-</v>
      </c>
      <c r="U101" s="46"/>
      <c r="V101" s="46" t="str">
        <f aca="false">IF(AT101="","-",AT101)</f>
        <v>-</v>
      </c>
      <c r="W101" s="46"/>
      <c r="X101" s="44" t="n">
        <f aca="false">AU101</f>
        <v>0.474</v>
      </c>
      <c r="Y101" s="44"/>
      <c r="Z101" s="55" t="n">
        <f aca="false">AV101</f>
        <v>0</v>
      </c>
      <c r="AA101" s="55"/>
      <c r="AB101" s="55"/>
      <c r="AC101" s="42" t="n">
        <f aca="false">AW101</f>
        <v>33.64358821354</v>
      </c>
      <c r="AD101" s="42"/>
      <c r="AE101" s="42"/>
      <c r="AF101" s="12"/>
      <c r="AI101" s="56" t="n">
        <v>27</v>
      </c>
      <c r="AJ101" s="56" t="n">
        <v>28.5</v>
      </c>
      <c r="AK101" s="57" t="n">
        <f aca="false">AJ101-AI101</f>
        <v>1.5</v>
      </c>
      <c r="AL101" s="57" t="n">
        <f aca="false">(AI101+AJ101)/2</f>
        <v>27.75</v>
      </c>
      <c r="AM101" s="56" t="s">
        <v>199</v>
      </c>
      <c r="AN101" s="56" t="n">
        <v>21</v>
      </c>
      <c r="AO101" s="58" t="n">
        <f aca="false">IF(AL101&gt;$AA$20,$AA$22,$AA$21)</f>
        <v>20.2</v>
      </c>
      <c r="AP101" s="57" t="n">
        <f aca="false">AP100+AO101*AK101</f>
        <v>570.3</v>
      </c>
      <c r="AQ101" s="57" t="n">
        <f aca="false">AP101-AO101*AK101/2-10*MAX(AL101-$AA$20,0)</f>
        <v>367.65</v>
      </c>
      <c r="AR101" s="56"/>
      <c r="AS101" s="56"/>
      <c r="AT101" s="57" t="str">
        <f aca="false">IF(AR101="","",AR101-AS101)</f>
        <v/>
      </c>
      <c r="AU101" s="56" t="n">
        <v>0.474</v>
      </c>
      <c r="AV101" s="57" t="n">
        <f aca="false">IF(AM101="Sand",0,Input!$AA$34*AN101)</f>
        <v>0</v>
      </c>
      <c r="AW101" s="57" t="n">
        <f aca="false">IF(AM101="Sand",27.1+0.3*MIN(Input!$AA$35*AN101,60)-0.00054*MIN(Input!$AA$35*AN101,60)^2,MIN(MAX(DEGREES(ASIN(0.8-0.094*LN(MAX(IF(AT101="",10,AT101),5)))),20),30))</f>
        <v>33.64358821354</v>
      </c>
      <c r="AX101" s="57" t="n">
        <f aca="false">IF(AM101="Sand",Input!$AA$36*Input!$AA$35*AN101,Input!$AA$37*AV101)</f>
        <v>22743</v>
      </c>
      <c r="AY101" s="59" t="n">
        <f aca="false">IF(AM101="Sand",Input!$AA$38,0.5)</f>
        <v>0.3</v>
      </c>
      <c r="AZ101" s="57" t="n">
        <f aca="false">Input!$AA$15/2/AL101</f>
        <v>1.33333333333333</v>
      </c>
      <c r="BA101" s="57" t="n">
        <f aca="false">Input!$AA$16/2/AL101</f>
        <v>3.63963963963964</v>
      </c>
      <c r="BB101" s="57" t="n">
        <f aca="false">1/(4*PI())*(2*AZ101*BA101*SQRT(AZ101^2+BA101^2+1)/(AZ101^2+BA101^2+1+AZ101^2*BA101^2)*(AZ101^2+BA101^2+2)/(AZ101^2+BA101^2+1)+ATAN2(AZ101^2+BA101^2+1-AZ101^2*BA101^2,2*AZ101*BA101*SQRT(AZ101^2+BA101^2+1)))</f>
        <v>0.223225661745017</v>
      </c>
      <c r="BC101" s="57" t="n">
        <f aca="false">4*Input!$AA$14*BB101</f>
        <v>121.434759989289</v>
      </c>
      <c r="BD101" s="57" t="n">
        <f aca="false">((Input!$AA$16/Input!$AA$15)*LN((1+SQRT((Input!$AA$16/Input!$AA$15)^2+1))*SQRT((Input!$AA$16/Input!$AA$15)^2+(AJ101/(Input!$AA$15/2))^2)/((Input!$AA$16/Input!$AA$15)*(1+SQRT((Input!$AA$16/Input!$AA$15)^2+(AJ101/(Input!$AA$15/2))^2+1))))+LN(((Input!$AA$16/Input!$AA$15)+SQRT((Input!$AA$16/Input!$AA$15)^2+1))*SQRT(1+(AJ101/(Input!$AA$15/2))^2)/((Input!$AA$16/Input!$AA$15)+SQRT((Input!$AA$16/Input!$AA$15)^2+(AJ101/(Input!$AA$15/2))^2+1))))/PI()</f>
        <v>0.0797798670040491</v>
      </c>
      <c r="BE101" s="57" t="n">
        <f aca="false">(AJ101/(Input!$AA$15/2))/(2*PI())*ATAN((Input!$AA$16/Input!$AA$15)/((AJ101/(Input!$AA$15/2))*SQRT((Input!$AA$16/Input!$AA$15)^2+(AJ101/(Input!$AA$15/2))^2+1)))</f>
        <v>0.106299134641581</v>
      </c>
      <c r="BF101" s="57" t="n">
        <f aca="false">MAX(0,AJ101-MAX(AI101,$AA$23))/AK101*IF(BC101&gt;=Input!$AA$21*AQ101,1,0)</f>
        <v>1</v>
      </c>
      <c r="BG101" s="57" t="n">
        <f aca="false">4*Input!$AA$14*(Input!$AA$15/2)*(1-AY101^2)/AX101*((BD101-BD100)+(1-2*AY101)/(1-AY101)*(BE101-BE100))*1000*BF101</f>
        <v>6.48720988598545</v>
      </c>
      <c r="BH101" s="57" t="n">
        <f aca="false">IF(AM101="Sand",0,0.009*(AR101-10))</f>
        <v>0</v>
      </c>
      <c r="BI101" s="57" t="n">
        <f aca="false">BH101*Input!$AA$39</f>
        <v>0</v>
      </c>
      <c r="BJ101" s="57" t="n">
        <f aca="false">IF(AM101="Sand",0,MAX(AV101/Input!$AA$40,AQ101))</f>
        <v>0</v>
      </c>
      <c r="BK101" s="57" t="n">
        <f aca="false">IF(AM101="Sand",0,1000*AK101/(1+AU101)*IF(AQ101+BC101&lt;=BJ101,BI101*LOG10((AQ101+BC101)/AQ101),BI101*LOG10(BJ101/AQ101)+BH101*LOG10((AQ101+BC101)/BJ101)))*BF101</f>
        <v>0</v>
      </c>
      <c r="BL101" s="57" t="n">
        <f aca="false">IF(AM101="Sand",0,10^(INDEX(Input!$Q$51:$Q$57,MIN(MATCH(MIN(MAX(AR101,30),120),Input!$C$51:$C$57,1),6))+(MIN(MAX(AR101,30),120)-INDEX(Input!$C$51:$C$57,MIN(MATCH(MIN(MAX(AR101,30),120),Input!$C$51:$C$57,1),6)))/(INDEX(Input!$C$51:$C$57,MIN(MATCH(MIN(MAX(AR101,30),120),Input!$C$51:$C$57,1),6)+1)-INDEX(Input!$C$51:$C$57,MIN(MATCH(MIN(MAX(AR101,30),120),Input!$C$51:$C$57,1),6)))*(INDEX(Input!$Q$51:$Q$57,MIN(MATCH(MIN(MAX(AR101,30),120),Input!$C$51:$C$57,1),6)+1)-INDEX(Input!$Q$51:$Q$57,MIN(MATCH(MIN(MAX(AR101,30),120),Input!$C$51:$C$57,1),6)))))</f>
        <v>0</v>
      </c>
      <c r="BM101" s="57" t="n">
        <f aca="false">IF(OR(AM101="Sand",BF101=0),0,Input!$AA$41*(AK101/2)^2/(BL101*0.0001*31536000))</f>
        <v>0</v>
      </c>
      <c r="BN101" s="57" t="n">
        <f aca="false">MAX(0,MIN(AJ101,Input!$AA$20)-AI101)</f>
        <v>0</v>
      </c>
      <c r="BO101" s="57" t="n">
        <f aca="false">MAX(0,MIN(AJ101,Input!$AA$20)-MAX(AI101,$AA$23))</f>
        <v>0</v>
      </c>
      <c r="BP101" s="57" t="n">
        <f aca="false">BG101+BK101</f>
        <v>6.48720988598545</v>
      </c>
      <c r="BQ101" s="57" t="s">
        <v>343</v>
      </c>
    </row>
    <row r="102" customFormat="false" ht="14.25" hidden="false" customHeight="false" outlineLevel="0" collapsed="false">
      <c r="B102" s="7"/>
      <c r="C102" s="46" t="n">
        <v>20</v>
      </c>
      <c r="D102" s="46"/>
      <c r="E102" s="44" t="n">
        <f aca="false">AI102</f>
        <v>28.5</v>
      </c>
      <c r="F102" s="44"/>
      <c r="G102" s="44"/>
      <c r="H102" s="44" t="n">
        <f aca="false">AJ102</f>
        <v>30</v>
      </c>
      <c r="I102" s="44"/>
      <c r="J102" s="44"/>
      <c r="K102" s="41" t="str">
        <f aca="false">AM102</f>
        <v>Clay</v>
      </c>
      <c r="L102" s="41"/>
      <c r="M102" s="41"/>
      <c r="N102" s="46" t="n">
        <f aca="false">AN102</f>
        <v>48</v>
      </c>
      <c r="O102" s="46"/>
      <c r="P102" s="46"/>
      <c r="Q102" s="42" t="n">
        <f aca="false">AO102</f>
        <v>20.2</v>
      </c>
      <c r="R102" s="42"/>
      <c r="S102" s="42"/>
      <c r="T102" s="46" t="n">
        <f aca="false">IF(AR102="","-",AR102)</f>
        <v>37.95</v>
      </c>
      <c r="U102" s="46"/>
      <c r="V102" s="46" t="n">
        <f aca="false">IF(AT102="","-",AT102)</f>
        <v>17.38</v>
      </c>
      <c r="W102" s="46"/>
      <c r="X102" s="44" t="n">
        <f aca="false">AU102</f>
        <v>0.745</v>
      </c>
      <c r="Y102" s="44"/>
      <c r="Z102" s="55" t="n">
        <f aca="false">AV102</f>
        <v>240</v>
      </c>
      <c r="AA102" s="55"/>
      <c r="AB102" s="55"/>
      <c r="AC102" s="42" t="n">
        <f aca="false">AW102</f>
        <v>30</v>
      </c>
      <c r="AD102" s="42"/>
      <c r="AE102" s="42"/>
      <c r="AF102" s="12"/>
      <c r="AI102" s="56" t="n">
        <v>28.5</v>
      </c>
      <c r="AJ102" s="56" t="n">
        <v>30</v>
      </c>
      <c r="AK102" s="57" t="n">
        <f aca="false">AJ102-AI102</f>
        <v>1.5</v>
      </c>
      <c r="AL102" s="57" t="n">
        <f aca="false">(AI102+AJ102)/2</f>
        <v>29.25</v>
      </c>
      <c r="AM102" s="56" t="s">
        <v>196</v>
      </c>
      <c r="AN102" s="56" t="n">
        <v>48</v>
      </c>
      <c r="AO102" s="58" t="n">
        <f aca="false">IF(AL102&gt;$AA$20,$AA$22,$AA$21)</f>
        <v>20.2</v>
      </c>
      <c r="AP102" s="57" t="n">
        <f aca="false">AP101+AO102*AK102</f>
        <v>600.6</v>
      </c>
      <c r="AQ102" s="57" t="n">
        <f aca="false">AP102-AO102*AK102/2-10*MAX(AL102-$AA$20,0)</f>
        <v>382.95</v>
      </c>
      <c r="AR102" s="56" t="n">
        <v>37.95</v>
      </c>
      <c r="AS102" s="56" t="n">
        <v>20.57</v>
      </c>
      <c r="AT102" s="57" t="n">
        <f aca="false">IF(AR102="","",AR102-AS102)</f>
        <v>17.38</v>
      </c>
      <c r="AU102" s="56" t="n">
        <v>0.745</v>
      </c>
      <c r="AV102" s="57" t="n">
        <f aca="false">IF(AM102="Sand",0,Input!$AA$34*AN102)</f>
        <v>240</v>
      </c>
      <c r="AW102" s="57" t="n">
        <f aca="false">IF(AM102="Sand",27.1+0.3*MIN(Input!$AA$35*AN102,60)-0.00054*MIN(Input!$AA$35*AN102,60)^2,MIN(MAX(DEGREES(ASIN(0.8-0.094*LN(MAX(IF(AT102="",10,AT102),5)))),20),30))</f>
        <v>30</v>
      </c>
      <c r="AX102" s="57" t="n">
        <f aca="false">IF(AM102="Sand",Input!$AA$36*Input!$AA$35*AN102,Input!$AA$37*AV102)</f>
        <v>120000</v>
      </c>
      <c r="AY102" s="57" t="n">
        <f aca="false">IF(AM102="Sand",Input!$AA$38,0.5)</f>
        <v>0.5</v>
      </c>
      <c r="AZ102" s="57" t="n">
        <f aca="false">Input!$AA$15/2/AL102</f>
        <v>1.26495726495727</v>
      </c>
      <c r="BA102" s="57" t="n">
        <f aca="false">Input!$AA$16/2/AL102</f>
        <v>3.45299145299145</v>
      </c>
      <c r="BB102" s="57" t="n">
        <f aca="false">1/(4*PI())*(2*AZ102*BA102*SQRT(AZ102^2+BA102^2+1)/(AZ102^2+BA102^2+1+AZ102^2*BA102^2)*(AZ102^2+BA102^2+2)/(AZ102^2+BA102^2+1)+ATAN2(AZ102^2+BA102^2+1-AZ102^2*BA102^2,2*AZ102*BA102*SQRT(AZ102^2+BA102^2+1)))</f>
        <v>0.220092717009578</v>
      </c>
      <c r="BC102" s="57" t="n">
        <f aca="false">4*Input!$AA$14*BB102</f>
        <v>119.73043805321</v>
      </c>
      <c r="BD102" s="57" t="n">
        <f aca="false">((Input!$AA$16/Input!$AA$15)*LN((1+SQRT((Input!$AA$16/Input!$AA$15)^2+1))*SQRT((Input!$AA$16/Input!$AA$15)^2+(AJ102/(Input!$AA$15/2))^2)/((Input!$AA$16/Input!$AA$15)*(1+SQRT((Input!$AA$16/Input!$AA$15)^2+(AJ102/(Input!$AA$15/2))^2+1))))+LN(((Input!$AA$16/Input!$AA$15)+SQRT((Input!$AA$16/Input!$AA$15)^2+1))*SQRT(1+(AJ102/(Input!$AA$15/2))^2)/((Input!$AA$16/Input!$AA$15)+SQRT((Input!$AA$16/Input!$AA$15)^2+(AJ102/(Input!$AA$15/2))^2+1))))/PI()</f>
        <v>0.0866118704592208</v>
      </c>
      <c r="BE102" s="57" t="n">
        <f aca="false">(AJ102/(Input!$AA$15/2))/(2*PI())*ATAN((Input!$AA$16/Input!$AA$15)/((AJ102/(Input!$AA$15/2))*SQRT((Input!$AA$16/Input!$AA$15)^2+(AJ102/(Input!$AA$15/2))^2+1)))</f>
        <v>0.108389669938441</v>
      </c>
      <c r="BF102" s="57" t="n">
        <f aca="false">MAX(0,AJ102-MAX(AI102,$AA$23))/AK102*IF(BC102&gt;=Input!$AA$21*AQ102,1,0)</f>
        <v>1</v>
      </c>
      <c r="BG102" s="57" t="n">
        <f aca="false">4*Input!$AA$14*(Input!$AA$15/2)*(1-AY102^2)/AX102*((BD102-BD101)+(1-2*AY102)/(1-AY102)*(BE102-BE101))*1000*BF102</f>
        <v>0.859466034660599</v>
      </c>
      <c r="BH102" s="57" t="n">
        <f aca="false">IF(AM102="Sand",0,0.009*(AR102-10))</f>
        <v>0.25155</v>
      </c>
      <c r="BI102" s="57" t="n">
        <f aca="false">BH102*Input!$AA$39</f>
        <v>0.05031</v>
      </c>
      <c r="BJ102" s="57" t="n">
        <f aca="false">IF(AM102="Sand",0,MAX(AV102/Input!$AA$40,AQ102))</f>
        <v>1090.90909090909</v>
      </c>
      <c r="BK102" s="57" t="n">
        <f aca="false">IF(AM102="Sand",0,1000*AK102/(1+AU102)*IF(AQ102+BC102&lt;=BJ102,BI102*LOG10((AQ102+BC102)/AQ102),BI102*LOG10(BJ102/AQ102)+BH102*LOG10((AQ102+BC102)/BJ102)))*BF102</f>
        <v>5.10956047807909</v>
      </c>
      <c r="BL102" s="57" t="n">
        <f aca="false">IF(AM102="Sand",0,10^(INDEX(Input!$Q$51:$Q$57,MIN(MATCH(MIN(MAX(AR102,30),120),Input!$C$51:$C$57,1),6))+(MIN(MAX(AR102,30),120)-INDEX(Input!$C$51:$C$57,MIN(MATCH(MIN(MAX(AR102,30),120),Input!$C$51:$C$57,1),6)))/(INDEX(Input!$C$51:$C$57,MIN(MATCH(MIN(MAX(AR102,30),120),Input!$C$51:$C$57,1),6)+1)-INDEX(Input!$C$51:$C$57,MIN(MATCH(MIN(MAX(AR102,30),120),Input!$C$51:$C$57,1),6)))*(INDEX(Input!$Q$51:$Q$57,MIN(MATCH(MIN(MAX(AR102,30),120),Input!$C$51:$C$57,1),6)+1)-INDEX(Input!$Q$51:$Q$57,MIN(MATCH(MIN(MAX(AR102,30),120),Input!$C$51:$C$57,1),6)))))</f>
        <v>0.0017290295201983</v>
      </c>
      <c r="BM102" s="57" t="n">
        <f aca="false">IF(OR(AM102="Sand",BF102=0),0,Input!$AA$41*(AK102/2)^2/(BL102*0.0001*31536000))</f>
        <v>0.0874801187577237</v>
      </c>
      <c r="BN102" s="57" t="n">
        <f aca="false">MAX(0,MIN(AJ102,Input!$AA$20)-AI102)</f>
        <v>0</v>
      </c>
      <c r="BO102" s="57" t="n">
        <f aca="false">MAX(0,MIN(AJ102,Input!$AA$20)-MAX(AI102,$AA$23))</f>
        <v>0</v>
      </c>
      <c r="BP102" s="57" t="n">
        <f aca="false">BG102+BK102</f>
        <v>5.96902651273969</v>
      </c>
      <c r="BQ102" s="57" t="s">
        <v>343</v>
      </c>
    </row>
    <row r="103" customFormat="false" ht="14.25" hidden="false" customHeight="false" outlineLevel="0" collapsed="false">
      <c r="B103" s="7"/>
      <c r="C103" s="46" t="n">
        <v>21</v>
      </c>
      <c r="D103" s="46"/>
      <c r="E103" s="44" t="n">
        <f aca="false">AI103</f>
        <v>30</v>
      </c>
      <c r="F103" s="44"/>
      <c r="G103" s="44"/>
      <c r="H103" s="44" t="n">
        <f aca="false">AJ103</f>
        <v>31.5</v>
      </c>
      <c r="I103" s="44"/>
      <c r="J103" s="44"/>
      <c r="K103" s="41" t="str">
        <f aca="false">AM103</f>
        <v>Clay</v>
      </c>
      <c r="L103" s="41"/>
      <c r="M103" s="41"/>
      <c r="N103" s="46" t="n">
        <f aca="false">AN103</f>
        <v>50</v>
      </c>
      <c r="O103" s="46"/>
      <c r="P103" s="46"/>
      <c r="Q103" s="42" t="n">
        <f aca="false">AO103</f>
        <v>20.2</v>
      </c>
      <c r="R103" s="42"/>
      <c r="S103" s="42"/>
      <c r="T103" s="46" t="n">
        <f aca="false">IF(AR103="","-",AR103)</f>
        <v>28.071</v>
      </c>
      <c r="U103" s="46"/>
      <c r="V103" s="46" t="n">
        <f aca="false">IF(AT103="","-",AT103)</f>
        <v>9.239</v>
      </c>
      <c r="W103" s="46"/>
      <c r="X103" s="44" t="n">
        <f aca="false">AU103</f>
        <v>0.59</v>
      </c>
      <c r="Y103" s="44"/>
      <c r="Z103" s="55" t="n">
        <f aca="false">AV103</f>
        <v>250</v>
      </c>
      <c r="AA103" s="55"/>
      <c r="AB103" s="55"/>
      <c r="AC103" s="42" t="n">
        <f aca="false">AW103</f>
        <v>30</v>
      </c>
      <c r="AD103" s="42"/>
      <c r="AE103" s="42"/>
      <c r="AF103" s="12"/>
      <c r="AI103" s="56" t="n">
        <v>30</v>
      </c>
      <c r="AJ103" s="56" t="n">
        <v>31.5</v>
      </c>
      <c r="AK103" s="57" t="n">
        <f aca="false">AJ103-AI103</f>
        <v>1.5</v>
      </c>
      <c r="AL103" s="57" t="n">
        <f aca="false">(AI103+AJ103)/2</f>
        <v>30.75</v>
      </c>
      <c r="AM103" s="56" t="s">
        <v>196</v>
      </c>
      <c r="AN103" s="56" t="n">
        <v>50</v>
      </c>
      <c r="AO103" s="58" t="n">
        <f aca="false">IF(AL103&gt;$AA$20,$AA$22,$AA$21)</f>
        <v>20.2</v>
      </c>
      <c r="AP103" s="57" t="n">
        <f aca="false">AP102+AO103*AK103</f>
        <v>630.9</v>
      </c>
      <c r="AQ103" s="57" t="n">
        <f aca="false">AP103-AO103*AK103/2-10*MAX(AL103-$AA$20,0)</f>
        <v>398.25</v>
      </c>
      <c r="AR103" s="56" t="n">
        <v>28.071</v>
      </c>
      <c r="AS103" s="56" t="n">
        <v>18.832</v>
      </c>
      <c r="AT103" s="57" t="n">
        <f aca="false">IF(AR103="","",AR103-AS103)</f>
        <v>9.239</v>
      </c>
      <c r="AU103" s="56" t="n">
        <v>0.59</v>
      </c>
      <c r="AV103" s="57" t="n">
        <f aca="false">IF(AM103="Sand",0,Input!$AA$34*AN103)</f>
        <v>250</v>
      </c>
      <c r="AW103" s="57" t="n">
        <f aca="false">IF(AM103="Sand",27.1+0.3*MIN(Input!$AA$35*AN103,60)-0.00054*MIN(Input!$AA$35*AN103,60)^2,MIN(MAX(DEGREES(ASIN(0.8-0.094*LN(MAX(IF(AT103="",10,AT103),5)))),20),30))</f>
        <v>30</v>
      </c>
      <c r="AX103" s="57" t="n">
        <f aca="false">IF(AM103="Sand",Input!$AA$36*Input!$AA$35*AN103,Input!$AA$37*AV103)</f>
        <v>125000</v>
      </c>
      <c r="AY103" s="57" t="n">
        <f aca="false">IF(AM103="Sand",Input!$AA$38,0.5)</f>
        <v>0.5</v>
      </c>
      <c r="AZ103" s="57" t="n">
        <f aca="false">Input!$AA$15/2/AL103</f>
        <v>1.20325203252033</v>
      </c>
      <c r="BA103" s="57" t="n">
        <f aca="false">Input!$AA$16/2/AL103</f>
        <v>3.28455284552846</v>
      </c>
      <c r="BB103" s="57" t="n">
        <f aca="false">1/(4*PI())*(2*AZ103*BA103*SQRT(AZ103^2+BA103^2+1)/(AZ103^2+BA103^2+1+AZ103^2*BA103^2)*(AZ103^2+BA103^2+2)/(AZ103^2+BA103^2+1)+ATAN2(AZ103^2+BA103^2+1-AZ103^2*BA103^2,2*AZ103*BA103*SQRT(AZ103^2+BA103^2+1)))</f>
        <v>0.216877434211778</v>
      </c>
      <c r="BC103" s="57" t="n">
        <f aca="false">4*Input!$AA$14*BB103</f>
        <v>117.981324211207</v>
      </c>
      <c r="BD103" s="57" t="n">
        <f aca="false">((Input!$AA$16/Input!$AA$15)*LN((1+SQRT((Input!$AA$16/Input!$AA$15)^2+1))*SQRT((Input!$AA$16/Input!$AA$15)^2+(AJ103/(Input!$AA$15/2))^2)/((Input!$AA$16/Input!$AA$15)*(1+SQRT((Input!$AA$16/Input!$AA$15)^2+(AJ103/(Input!$AA$15/2))^2+1))))+LN(((Input!$AA$16/Input!$AA$15)+SQRT((Input!$AA$16/Input!$AA$15)^2+1))*SQRT(1+(AJ103/(Input!$AA$15/2))^2)/((Input!$AA$16/Input!$AA$15)+SQRT((Input!$AA$16/Input!$AA$15)^2+(AJ103/(Input!$AA$15/2))^2+1))))/PI()</f>
        <v>0.0935271002119951</v>
      </c>
      <c r="BE103" s="57" t="n">
        <f aca="false">(AJ103/(Input!$AA$15/2))/(2*PI())*ATAN((Input!$AA$16/Input!$AA$15)/((AJ103/(Input!$AA$15/2))*SQRT((Input!$AA$16/Input!$AA$15)^2+(AJ103/(Input!$AA$15/2))^2+1)))</f>
        <v>0.11026665771977</v>
      </c>
      <c r="BF103" s="57" t="n">
        <f aca="false">MAX(0,AJ103-MAX(AI103,$AA$23))/AK103*IF(BC103&gt;=Input!$AA$21*AQ103,1,0)</f>
        <v>1</v>
      </c>
      <c r="BG103" s="57" t="n">
        <f aca="false">4*Input!$AA$14*(Input!$AA$15/2)*(1-AY103^2)/AX103*((BD103-BD102)+(1-2*AY103)/(1-AY103)*(BE103-BE102))*1000*BF103</f>
        <v>0.835138466783045</v>
      </c>
      <c r="BH103" s="57" t="n">
        <f aca="false">IF(AM103="Sand",0,0.009*(AR103-10))</f>
        <v>0.162639</v>
      </c>
      <c r="BI103" s="57" t="n">
        <f aca="false">BH103*Input!$AA$39</f>
        <v>0.0325278</v>
      </c>
      <c r="BJ103" s="57" t="n">
        <f aca="false">IF(AM103="Sand",0,MAX(AV103/Input!$AA$40,AQ103))</f>
        <v>1136.36363636364</v>
      </c>
      <c r="BK103" s="57" t="n">
        <f aca="false">IF(AM103="Sand",0,1000*AK103/(1+AU103)*IF(AQ103+BC103&lt;=BJ103,BI103*LOG10((AQ103+BC103)/AQ103),BI103*LOG10(BJ103/AQ103)+BH103*LOG10((AQ103+BC103)/BJ103)))*BF103</f>
        <v>3.45802946456195</v>
      </c>
      <c r="BL103" s="57" t="n">
        <f aca="false">IF(AM103="Sand",0,10^(INDEX(Input!$Q$51:$Q$57,MIN(MATCH(MIN(MAX(AR103,30),120),Input!$C$51:$C$57,1),6))+(MIN(MAX(AR103,30),120)-INDEX(Input!$C$51:$C$57,MIN(MATCH(MIN(MAX(AR103,30),120),Input!$C$51:$C$57,1),6)))/(INDEX(Input!$C$51:$C$57,MIN(MATCH(MIN(MAX(AR103,30),120),Input!$C$51:$C$57,1),6)+1)-INDEX(Input!$C$51:$C$57,MIN(MATCH(MIN(MAX(AR103,30),120),Input!$C$51:$C$57,1),6)))*(INDEX(Input!$Q$51:$Q$57,MIN(MATCH(MIN(MAX(AR103,30),120),Input!$C$51:$C$57,1),6)+1)-INDEX(Input!$Q$51:$Q$57,MIN(MATCH(MIN(MAX(AR103,30),120),Input!$C$51:$C$57,1),6)))))</f>
        <v>0.003</v>
      </c>
      <c r="BM103" s="57" t="n">
        <f aca="false">IF(OR(AM103="Sand",BF103=0),0,Input!$AA$41*(AK103/2)^2/(BL103*0.0001*31536000))</f>
        <v>0.0504185692541857</v>
      </c>
      <c r="BN103" s="57" t="n">
        <f aca="false">MAX(0,MIN(AJ103,Input!$AA$20)-AI103)</f>
        <v>0</v>
      </c>
      <c r="BO103" s="57" t="n">
        <f aca="false">MAX(0,MIN(AJ103,Input!$AA$20)-MAX(AI103,$AA$23))</f>
        <v>0</v>
      </c>
      <c r="BP103" s="57" t="n">
        <f aca="false">BG103+BK103</f>
        <v>4.293167931345</v>
      </c>
      <c r="BQ103" s="57" t="s">
        <v>342</v>
      </c>
    </row>
    <row r="104" customFormat="false" ht="14.25" hidden="false" customHeight="false" outlineLevel="0" collapsed="false">
      <c r="B104" s="7"/>
      <c r="C104" s="46" t="n">
        <v>22</v>
      </c>
      <c r="D104" s="46"/>
      <c r="E104" s="44" t="n">
        <f aca="false">AI104</f>
        <v>31.5</v>
      </c>
      <c r="F104" s="44"/>
      <c r="G104" s="44"/>
      <c r="H104" s="44" t="n">
        <f aca="false">AJ104</f>
        <v>33</v>
      </c>
      <c r="I104" s="44"/>
      <c r="J104" s="44"/>
      <c r="K104" s="41" t="str">
        <f aca="false">AM104</f>
        <v>Clay</v>
      </c>
      <c r="L104" s="41"/>
      <c r="M104" s="41"/>
      <c r="N104" s="46" t="n">
        <f aca="false">AN104</f>
        <v>50</v>
      </c>
      <c r="O104" s="46"/>
      <c r="P104" s="46"/>
      <c r="Q104" s="42" t="n">
        <f aca="false">AO104</f>
        <v>20.2</v>
      </c>
      <c r="R104" s="42"/>
      <c r="S104" s="42"/>
      <c r="T104" s="46" t="n">
        <f aca="false">IF(AR104="","-",AR104)</f>
        <v>28.071</v>
      </c>
      <c r="U104" s="46"/>
      <c r="V104" s="46" t="n">
        <f aca="false">IF(AT104="","-",AT104)</f>
        <v>9.239</v>
      </c>
      <c r="W104" s="46"/>
      <c r="X104" s="44" t="n">
        <f aca="false">AU104</f>
        <v>0.59</v>
      </c>
      <c r="Y104" s="44"/>
      <c r="Z104" s="55" t="n">
        <f aca="false">AV104</f>
        <v>250</v>
      </c>
      <c r="AA104" s="55"/>
      <c r="AB104" s="55"/>
      <c r="AC104" s="42" t="n">
        <f aca="false">AW104</f>
        <v>30</v>
      </c>
      <c r="AD104" s="42"/>
      <c r="AE104" s="42"/>
      <c r="AF104" s="12"/>
      <c r="AI104" s="56" t="n">
        <v>31.5</v>
      </c>
      <c r="AJ104" s="56" t="n">
        <v>33</v>
      </c>
      <c r="AK104" s="57" t="n">
        <f aca="false">AJ104-AI104</f>
        <v>1.5</v>
      </c>
      <c r="AL104" s="57" t="n">
        <f aca="false">(AI104+AJ104)/2</f>
        <v>32.25</v>
      </c>
      <c r="AM104" s="56" t="s">
        <v>196</v>
      </c>
      <c r="AN104" s="56" t="n">
        <v>50</v>
      </c>
      <c r="AO104" s="58" t="n">
        <f aca="false">IF(AL104&gt;$AA$20,$AA$22,$AA$21)</f>
        <v>20.2</v>
      </c>
      <c r="AP104" s="57" t="n">
        <f aca="false">AP103+AO104*AK104</f>
        <v>661.2</v>
      </c>
      <c r="AQ104" s="57" t="n">
        <f aca="false">AP104-AO104*AK104/2-10*MAX(AL104-$AA$20,0)</f>
        <v>413.55</v>
      </c>
      <c r="AR104" s="56" t="n">
        <v>28.071</v>
      </c>
      <c r="AS104" s="56" t="n">
        <v>18.832</v>
      </c>
      <c r="AT104" s="57" t="n">
        <f aca="false">IF(AR104="","",AR104-AS104)</f>
        <v>9.239</v>
      </c>
      <c r="AU104" s="56" t="n">
        <v>0.59</v>
      </c>
      <c r="AV104" s="57" t="n">
        <f aca="false">IF(AM104="Sand",0,Input!$AA$34*AN104)</f>
        <v>250</v>
      </c>
      <c r="AW104" s="57" t="n">
        <f aca="false">IF(AM104="Sand",27.1+0.3*MIN(Input!$AA$35*AN104,60)-0.00054*MIN(Input!$AA$35*AN104,60)^2,MIN(MAX(DEGREES(ASIN(0.8-0.094*LN(MAX(IF(AT104="",10,AT104),5)))),20),30))</f>
        <v>30</v>
      </c>
      <c r="AX104" s="57" t="n">
        <f aca="false">IF(AM104="Sand",Input!$AA$36*Input!$AA$35*AN104,Input!$AA$37*AV104)</f>
        <v>125000</v>
      </c>
      <c r="AY104" s="57" t="n">
        <f aca="false">IF(AM104="Sand",Input!$AA$38,0.5)</f>
        <v>0.5</v>
      </c>
      <c r="AZ104" s="57" t="n">
        <f aca="false">Input!$AA$15/2/AL104</f>
        <v>1.14728682170543</v>
      </c>
      <c r="BA104" s="57" t="n">
        <f aca="false">Input!$AA$16/2/AL104</f>
        <v>3.13178294573643</v>
      </c>
      <c r="BB104" s="57" t="n">
        <f aca="false">1/(4*PI())*(2*AZ104*BA104*SQRT(AZ104^2+BA104^2+1)/(AZ104^2+BA104^2+1+AZ104^2*BA104^2)*(AZ104^2+BA104^2+2)/(AZ104^2+BA104^2+1)+ATAN2(AZ104^2+BA104^2+1-AZ104^2*BA104^2,2*AZ104*BA104*SQRT(AZ104^2+BA104^2+1)))</f>
        <v>0.213596428347991</v>
      </c>
      <c r="BC104" s="57" t="n">
        <f aca="false">4*Input!$AA$14*BB104</f>
        <v>116.196457021307</v>
      </c>
      <c r="BD104" s="57" t="n">
        <f aca="false">((Input!$AA$16/Input!$AA$15)*LN((1+SQRT((Input!$AA$16/Input!$AA$15)^2+1))*SQRT((Input!$AA$16/Input!$AA$15)^2+(AJ104/(Input!$AA$15/2))^2)/((Input!$AA$16/Input!$AA$15)*(1+SQRT((Input!$AA$16/Input!$AA$15)^2+(AJ104/(Input!$AA$15/2))^2+1))))+LN(((Input!$AA$16/Input!$AA$15)+SQRT((Input!$AA$16/Input!$AA$15)^2+1))*SQRT(1+(AJ104/(Input!$AA$15/2))^2)/((Input!$AA$16/Input!$AA$15)+SQRT((Input!$AA$16/Input!$AA$15)^2+(AJ104/(Input!$AA$15/2))^2+1))))/PI()</f>
        <v>0.100507369360851</v>
      </c>
      <c r="BE104" s="57" t="n">
        <f aca="false">(AJ104/(Input!$AA$15/2))/(2*PI())*ATAN((Input!$AA$16/Input!$AA$15)/((AJ104/(Input!$AA$15/2))*SQRT((Input!$AA$16/Input!$AA$15)^2+(AJ104/(Input!$AA$15/2))^2+1)))</f>
        <v>0.111945618485189</v>
      </c>
      <c r="BF104" s="57" t="n">
        <f aca="false">MAX(0,AJ104-MAX(AI104,$AA$23))/AK104*IF(BC104&gt;=Input!$AA$21*AQ104,1,0)</f>
        <v>1</v>
      </c>
      <c r="BG104" s="57" t="n">
        <f aca="false">4*Input!$AA$14*(Input!$AA$15/2)*(1-AY104^2)/AX104*((BD104-BD103)+(1-2*AY104)/(1-AY104)*(BE104-BE103))*1000*BF104</f>
        <v>0.842993144568987</v>
      </c>
      <c r="BH104" s="57" t="n">
        <f aca="false">IF(AM104="Sand",0,0.009*(AR104-10))</f>
        <v>0.162639</v>
      </c>
      <c r="BI104" s="57" t="n">
        <f aca="false">BH104*Input!$AA$39</f>
        <v>0.0325278</v>
      </c>
      <c r="BJ104" s="57" t="n">
        <f aca="false">IF(AM104="Sand",0,MAX(AV104/Input!$AA$40,AQ104))</f>
        <v>1136.36363636364</v>
      </c>
      <c r="BK104" s="57" t="n">
        <f aca="false">IF(AM104="Sand",0,1000*AK104/(1+AU104)*IF(AQ104+BC104&lt;=BJ104,BI104*LOG10((AQ104+BC104)/AQ104),BI104*LOG10(BJ104/AQ104)+BH104*LOG10((AQ104+BC104)/BJ104)))*BF104</f>
        <v>3.30003846352494</v>
      </c>
      <c r="BL104" s="57" t="n">
        <f aca="false">IF(AM104="Sand",0,10^(INDEX(Input!$Q$51:$Q$57,MIN(MATCH(MIN(MAX(AR104,30),120),Input!$C$51:$C$57,1),6))+(MIN(MAX(AR104,30),120)-INDEX(Input!$C$51:$C$57,MIN(MATCH(MIN(MAX(AR104,30),120),Input!$C$51:$C$57,1),6)))/(INDEX(Input!$C$51:$C$57,MIN(MATCH(MIN(MAX(AR104,30),120),Input!$C$51:$C$57,1),6)+1)-INDEX(Input!$C$51:$C$57,MIN(MATCH(MIN(MAX(AR104,30),120),Input!$C$51:$C$57,1),6)))*(INDEX(Input!$Q$51:$Q$57,MIN(MATCH(MIN(MAX(AR104,30),120),Input!$C$51:$C$57,1),6)+1)-INDEX(Input!$Q$51:$Q$57,MIN(MATCH(MIN(MAX(AR104,30),120),Input!$C$51:$C$57,1),6)))))</f>
        <v>0.003</v>
      </c>
      <c r="BM104" s="57" t="n">
        <f aca="false">IF(OR(AM104="Sand",BF104=0),0,Input!$AA$41*(AK104/2)^2/(BL104*0.0001*31536000))</f>
        <v>0.0504185692541857</v>
      </c>
      <c r="BN104" s="57" t="n">
        <f aca="false">MAX(0,MIN(AJ104,Input!$AA$20)-AI104)</f>
        <v>0</v>
      </c>
      <c r="BO104" s="57" t="n">
        <f aca="false">MAX(0,MIN(AJ104,Input!$AA$20)-MAX(AI104,$AA$23))</f>
        <v>0</v>
      </c>
      <c r="BP104" s="57" t="n">
        <f aca="false">BG104+BK104</f>
        <v>4.14303160809392</v>
      </c>
      <c r="BQ104" s="57" t="s">
        <v>342</v>
      </c>
    </row>
    <row r="105" customFormat="false" ht="14.25" hidden="false" customHeight="false" outlineLevel="0" collapsed="false">
      <c r="B105" s="7"/>
      <c r="C105" s="46" t="n">
        <v>23</v>
      </c>
      <c r="D105" s="46"/>
      <c r="E105" s="44" t="n">
        <f aca="false">AI105</f>
        <v>33</v>
      </c>
      <c r="F105" s="44"/>
      <c r="G105" s="44"/>
      <c r="H105" s="44" t="n">
        <f aca="false">AJ105</f>
        <v>34.5</v>
      </c>
      <c r="I105" s="44"/>
      <c r="J105" s="44"/>
      <c r="K105" s="41" t="str">
        <f aca="false">AM105</f>
        <v>Clay</v>
      </c>
      <c r="L105" s="41"/>
      <c r="M105" s="41"/>
      <c r="N105" s="46" t="n">
        <f aca="false">AN105</f>
        <v>50</v>
      </c>
      <c r="O105" s="46"/>
      <c r="P105" s="46"/>
      <c r="Q105" s="42" t="n">
        <f aca="false">AO105</f>
        <v>20.2</v>
      </c>
      <c r="R105" s="42"/>
      <c r="S105" s="42"/>
      <c r="T105" s="46" t="n">
        <f aca="false">IF(AR105="","-",AR105)</f>
        <v>28.071</v>
      </c>
      <c r="U105" s="46"/>
      <c r="V105" s="46" t="n">
        <f aca="false">IF(AT105="","-",AT105)</f>
        <v>9.239</v>
      </c>
      <c r="W105" s="46"/>
      <c r="X105" s="44" t="n">
        <f aca="false">AU105</f>
        <v>0.59</v>
      </c>
      <c r="Y105" s="44"/>
      <c r="Z105" s="55" t="n">
        <f aca="false">AV105</f>
        <v>250</v>
      </c>
      <c r="AA105" s="55"/>
      <c r="AB105" s="55"/>
      <c r="AC105" s="42" t="n">
        <f aca="false">AW105</f>
        <v>30</v>
      </c>
      <c r="AD105" s="42"/>
      <c r="AE105" s="42"/>
      <c r="AF105" s="12"/>
      <c r="AI105" s="56" t="n">
        <v>33</v>
      </c>
      <c r="AJ105" s="56" t="n">
        <v>34.5</v>
      </c>
      <c r="AK105" s="57" t="n">
        <f aca="false">AJ105-AI105</f>
        <v>1.5</v>
      </c>
      <c r="AL105" s="57" t="n">
        <f aca="false">(AI105+AJ105)/2</f>
        <v>33.75</v>
      </c>
      <c r="AM105" s="56" t="s">
        <v>196</v>
      </c>
      <c r="AN105" s="56" t="n">
        <v>50</v>
      </c>
      <c r="AO105" s="58" t="n">
        <f aca="false">IF(AL105&gt;$AA$20,$AA$22,$AA$21)</f>
        <v>20.2</v>
      </c>
      <c r="AP105" s="57" t="n">
        <f aca="false">AP104+AO105*AK105</f>
        <v>691.5</v>
      </c>
      <c r="AQ105" s="57" t="n">
        <f aca="false">AP105-AO105*AK105/2-10*MAX(AL105-$AA$20,0)</f>
        <v>428.85</v>
      </c>
      <c r="AR105" s="56" t="n">
        <v>28.071</v>
      </c>
      <c r="AS105" s="56" t="n">
        <v>18.832</v>
      </c>
      <c r="AT105" s="57" t="n">
        <f aca="false">IF(AR105="","",AR105-AS105)</f>
        <v>9.239</v>
      </c>
      <c r="AU105" s="56" t="n">
        <v>0.59</v>
      </c>
      <c r="AV105" s="57" t="n">
        <f aca="false">IF(AM105="Sand",0,Input!$AA$34*AN105)</f>
        <v>250</v>
      </c>
      <c r="AW105" s="57" t="n">
        <f aca="false">IF(AM105="Sand",27.1+0.3*MIN(Input!$AA$35*AN105,60)-0.00054*MIN(Input!$AA$35*AN105,60)^2,MIN(MAX(DEGREES(ASIN(0.8-0.094*LN(MAX(IF(AT105="",10,AT105),5)))),20),30))</f>
        <v>30</v>
      </c>
      <c r="AX105" s="57" t="n">
        <f aca="false">IF(AM105="Sand",Input!$AA$36*Input!$AA$35*AN105,Input!$AA$37*AV105)</f>
        <v>125000</v>
      </c>
      <c r="AY105" s="57" t="n">
        <f aca="false">IF(AM105="Sand",Input!$AA$38,0.5)</f>
        <v>0.5</v>
      </c>
      <c r="AZ105" s="57" t="n">
        <f aca="false">Input!$AA$15/2/AL105</f>
        <v>1.0962962962963</v>
      </c>
      <c r="BA105" s="57" t="n">
        <f aca="false">Input!$AA$16/2/AL105</f>
        <v>2.99259259259259</v>
      </c>
      <c r="BB105" s="57" t="n">
        <f aca="false">1/(4*PI())*(2*AZ105*BA105*SQRT(AZ105^2+BA105^2+1)/(AZ105^2+BA105^2+1+AZ105^2*BA105^2)*(AZ105^2+BA105^2+2)/(AZ105^2+BA105^2+1)+ATAN2(AZ105^2+BA105^2+1-AZ105^2*BA105^2,2*AZ105*BA105*SQRT(AZ105^2+BA105^2+1)))</f>
        <v>0.210265162671487</v>
      </c>
      <c r="BC105" s="57" t="n">
        <f aca="false">4*Input!$AA$14*BB105</f>
        <v>114.384248493289</v>
      </c>
      <c r="BD105" s="57" t="n">
        <f aca="false">((Input!$AA$16/Input!$AA$15)*LN((1+SQRT((Input!$AA$16/Input!$AA$15)^2+1))*SQRT((Input!$AA$16/Input!$AA$15)^2+(AJ105/(Input!$AA$15/2))^2)/((Input!$AA$16/Input!$AA$15)*(1+SQRT((Input!$AA$16/Input!$AA$15)^2+(AJ105/(Input!$AA$15/2))^2+1))))+LN(((Input!$AA$16/Input!$AA$15)+SQRT((Input!$AA$16/Input!$AA$15)^2+1))*SQRT(1+(AJ105/(Input!$AA$15/2))^2)/((Input!$AA$16/Input!$AA$15)+SQRT((Input!$AA$16/Input!$AA$15)^2+(AJ105/(Input!$AA$15/2))^2+1))))/PI()</f>
        <v>0.107536123549061</v>
      </c>
      <c r="BE105" s="57" t="n">
        <f aca="false">(AJ105/(Input!$AA$15/2))/(2*PI())*ATAN((Input!$AA$16/Input!$AA$15)/((AJ105/(Input!$AA$15/2))*SQRT((Input!$AA$16/Input!$AA$15)^2+(AJ105/(Input!$AA$15/2))^2+1)))</f>
        <v>0.113441066921048</v>
      </c>
      <c r="BF105" s="57" t="n">
        <f aca="false">MAX(0,AJ105-MAX(AI105,$AA$23))/AK105*IF(BC105&gt;=Input!$AA$21*AQ105,1,0)</f>
        <v>1</v>
      </c>
      <c r="BG105" s="57" t="n">
        <f aca="false">4*Input!$AA$14*(Input!$AA$15/2)*(1-AY105^2)/AX105*((BD105-BD104)+(1-2*AY105)/(1-AY105)*(BE105-BE104))*1000*BF105</f>
        <v>0.848848585801754</v>
      </c>
      <c r="BH105" s="57" t="n">
        <f aca="false">IF(AM105="Sand",0,0.009*(AR105-10))</f>
        <v>0.162639</v>
      </c>
      <c r="BI105" s="57" t="n">
        <f aca="false">BH105*Input!$AA$39</f>
        <v>0.0325278</v>
      </c>
      <c r="BJ105" s="57" t="n">
        <f aca="false">IF(AM105="Sand",0,MAX(AV105/Input!$AA$40,AQ105))</f>
        <v>1136.36363636364</v>
      </c>
      <c r="BK105" s="57" t="n">
        <f aca="false">IF(AM105="Sand",0,1000*AK105/(1+AU105)*IF(AQ105+BC105&lt;=BJ105,BI105*LOG10((AQ105+BC105)/AQ105),BI105*LOG10(BJ105/AQ105)+BH105*LOG10((AQ105+BC105)/BJ105)))*BF105</f>
        <v>3.15095350344031</v>
      </c>
      <c r="BL105" s="57" t="n">
        <f aca="false">IF(AM105="Sand",0,10^(INDEX(Input!$Q$51:$Q$57,MIN(MATCH(MIN(MAX(AR105,30),120),Input!$C$51:$C$57,1),6))+(MIN(MAX(AR105,30),120)-INDEX(Input!$C$51:$C$57,MIN(MATCH(MIN(MAX(AR105,30),120),Input!$C$51:$C$57,1),6)))/(INDEX(Input!$C$51:$C$57,MIN(MATCH(MIN(MAX(AR105,30),120),Input!$C$51:$C$57,1),6)+1)-INDEX(Input!$C$51:$C$57,MIN(MATCH(MIN(MAX(AR105,30),120),Input!$C$51:$C$57,1),6)))*(INDEX(Input!$Q$51:$Q$57,MIN(MATCH(MIN(MAX(AR105,30),120),Input!$C$51:$C$57,1),6)+1)-INDEX(Input!$Q$51:$Q$57,MIN(MATCH(MIN(MAX(AR105,30),120),Input!$C$51:$C$57,1),6)))))</f>
        <v>0.003</v>
      </c>
      <c r="BM105" s="57" t="n">
        <f aca="false">IF(OR(AM105="Sand",BF105=0),0,Input!$AA$41*(AK105/2)^2/(BL105*0.0001*31536000))</f>
        <v>0.0504185692541857</v>
      </c>
      <c r="BN105" s="57" t="n">
        <f aca="false">MAX(0,MIN(AJ105,Input!$AA$20)-AI105)</f>
        <v>0</v>
      </c>
      <c r="BO105" s="57" t="n">
        <f aca="false">MAX(0,MIN(AJ105,Input!$AA$20)-MAX(AI105,$AA$23))</f>
        <v>0</v>
      </c>
      <c r="BP105" s="57" t="n">
        <f aca="false">BG105+BK105</f>
        <v>3.99980208924206</v>
      </c>
      <c r="BQ105" s="57" t="s">
        <v>342</v>
      </c>
    </row>
    <row r="106" customFormat="false" ht="14.25" hidden="false" customHeight="false" outlineLevel="0" collapsed="false">
      <c r="B106" s="7"/>
      <c r="C106" s="46" t="n">
        <v>24</v>
      </c>
      <c r="D106" s="46"/>
      <c r="E106" s="44" t="n">
        <f aca="false">AI106</f>
        <v>34.5</v>
      </c>
      <c r="F106" s="44"/>
      <c r="G106" s="44"/>
      <c r="H106" s="44" t="n">
        <f aca="false">AJ106</f>
        <v>36</v>
      </c>
      <c r="I106" s="44"/>
      <c r="J106" s="44"/>
      <c r="K106" s="41" t="str">
        <f aca="false">AM106</f>
        <v>Clay</v>
      </c>
      <c r="L106" s="41"/>
      <c r="M106" s="41"/>
      <c r="N106" s="46" t="n">
        <f aca="false">AN106</f>
        <v>50</v>
      </c>
      <c r="O106" s="46"/>
      <c r="P106" s="46"/>
      <c r="Q106" s="42" t="n">
        <f aca="false">AO106</f>
        <v>20.2</v>
      </c>
      <c r="R106" s="42"/>
      <c r="S106" s="42"/>
      <c r="T106" s="46" t="n">
        <f aca="false">IF(AR106="","-",AR106)</f>
        <v>25.39</v>
      </c>
      <c r="U106" s="46"/>
      <c r="V106" s="46" t="n">
        <f aca="false">IF(AT106="","-",AT106)</f>
        <v>10.31</v>
      </c>
      <c r="W106" s="46"/>
      <c r="X106" s="44" t="n">
        <f aca="false">AU106</f>
        <v>0.51</v>
      </c>
      <c r="Y106" s="44"/>
      <c r="Z106" s="55" t="n">
        <f aca="false">AV106</f>
        <v>250</v>
      </c>
      <c r="AA106" s="55"/>
      <c r="AB106" s="55"/>
      <c r="AC106" s="42" t="n">
        <f aca="false">AW106</f>
        <v>30</v>
      </c>
      <c r="AD106" s="42"/>
      <c r="AE106" s="42"/>
      <c r="AF106" s="12"/>
      <c r="AI106" s="56" t="n">
        <v>34.5</v>
      </c>
      <c r="AJ106" s="56" t="n">
        <v>36</v>
      </c>
      <c r="AK106" s="57" t="n">
        <f aca="false">AJ106-AI106</f>
        <v>1.5</v>
      </c>
      <c r="AL106" s="57" t="n">
        <f aca="false">(AI106+AJ106)/2</f>
        <v>35.25</v>
      </c>
      <c r="AM106" s="56" t="s">
        <v>196</v>
      </c>
      <c r="AN106" s="56" t="n">
        <v>50</v>
      </c>
      <c r="AO106" s="58" t="n">
        <f aca="false">IF(AL106&gt;$AA$20,$AA$22,$AA$21)</f>
        <v>20.2</v>
      </c>
      <c r="AP106" s="57" t="n">
        <f aca="false">AP105+AO106*AK106</f>
        <v>721.8</v>
      </c>
      <c r="AQ106" s="57" t="n">
        <f aca="false">AP106-AO106*AK106/2-10*MAX(AL106-$AA$20,0)</f>
        <v>444.15</v>
      </c>
      <c r="AR106" s="56" t="n">
        <v>25.39</v>
      </c>
      <c r="AS106" s="56" t="n">
        <v>15.08</v>
      </c>
      <c r="AT106" s="57" t="n">
        <f aca="false">IF(AR106="","",AR106-AS106)</f>
        <v>10.31</v>
      </c>
      <c r="AU106" s="56" t="n">
        <v>0.51</v>
      </c>
      <c r="AV106" s="57" t="n">
        <f aca="false">IF(AM106="Sand",0,Input!$AA$34*AN106)</f>
        <v>250</v>
      </c>
      <c r="AW106" s="57" t="n">
        <f aca="false">IF(AM106="Sand",27.1+0.3*MIN(Input!$AA$35*AN106,60)-0.00054*MIN(Input!$AA$35*AN106,60)^2,MIN(MAX(DEGREES(ASIN(0.8-0.094*LN(MAX(IF(AT106="",10,AT106),5)))),20),30))</f>
        <v>30</v>
      </c>
      <c r="AX106" s="57" t="n">
        <f aca="false">IF(AM106="Sand",Input!$AA$36*Input!$AA$35*AN106,Input!$AA$37*AV106)</f>
        <v>125000</v>
      </c>
      <c r="AY106" s="57" t="n">
        <f aca="false">IF(AM106="Sand",Input!$AA$38,0.5)</f>
        <v>0.5</v>
      </c>
      <c r="AZ106" s="57" t="n">
        <f aca="false">Input!$AA$15/2/AL106</f>
        <v>1.04964539007092</v>
      </c>
      <c r="BA106" s="57" t="n">
        <f aca="false">Input!$AA$16/2/AL106</f>
        <v>2.86524822695035</v>
      </c>
      <c r="BB106" s="57" t="n">
        <f aca="false">1/(4*PI())*(2*AZ106*BA106*SQRT(AZ106^2+BA106^2+1)/(AZ106^2+BA106^2+1+AZ106^2*BA106^2)*(AZ106^2+BA106^2+2)/(AZ106^2+BA106^2+1)+ATAN2(AZ106^2+BA106^2+1-AZ106^2*BA106^2,2*AZ106*BA106*SQRT(AZ106^2+BA106^2+1)))</f>
        <v>0.206897854810704</v>
      </c>
      <c r="BC106" s="57" t="n">
        <f aca="false">4*Input!$AA$14*BB106</f>
        <v>112.552433017023</v>
      </c>
      <c r="BD106" s="57" t="n">
        <f aca="false">((Input!$AA$16/Input!$AA$15)*LN((1+SQRT((Input!$AA$16/Input!$AA$15)^2+1))*SQRT((Input!$AA$16/Input!$AA$15)^2+(AJ106/(Input!$AA$15/2))^2)/((Input!$AA$16/Input!$AA$15)*(1+SQRT((Input!$AA$16/Input!$AA$15)^2+(AJ106/(Input!$AA$15/2))^2+1))))+LN(((Input!$AA$16/Input!$AA$15)+SQRT((Input!$AA$16/Input!$AA$15)^2+1))*SQRT(1+(AJ106/(Input!$AA$15/2))^2)/((Input!$AA$16/Input!$AA$15)+SQRT((Input!$AA$16/Input!$AA$15)^2+(AJ106/(Input!$AA$15/2))^2+1))))/PI()</f>
        <v>0.114598360022051</v>
      </c>
      <c r="BE106" s="57" t="n">
        <f aca="false">(AJ106/(Input!$AA$15/2))/(2*PI())*ATAN((Input!$AA$16/Input!$AA$15)/((AJ106/(Input!$AA$15/2))*SQRT((Input!$AA$16/Input!$AA$15)^2+(AJ106/(Input!$AA$15/2))^2+1)))</f>
        <v>0.114766542433847</v>
      </c>
      <c r="BF106" s="57" t="n">
        <f aca="false">MAX(0,AJ106-MAX(AI106,$AA$23))/AK106*IF(BC106&gt;=Input!$AA$21*AQ106,1,0)</f>
        <v>1</v>
      </c>
      <c r="BG106" s="57" t="n">
        <f aca="false">4*Input!$AA$14*(Input!$AA$15/2)*(1-AY106^2)/AX106*((BD106-BD105)+(1-2*AY106)/(1-AY106)*(BE106-BE105))*1000*BF106</f>
        <v>0.852892174370052</v>
      </c>
      <c r="BH106" s="57" t="n">
        <f aca="false">IF(AM106="Sand",0,0.009*(AR106-10))</f>
        <v>0.13851</v>
      </c>
      <c r="BI106" s="57" t="n">
        <f aca="false">BH106*Input!$AA$39</f>
        <v>0.027702</v>
      </c>
      <c r="BJ106" s="57" t="n">
        <f aca="false">IF(AM106="Sand",0,MAX(AV106/Input!$AA$40,AQ106))</f>
        <v>1136.36363636364</v>
      </c>
      <c r="BK106" s="57" t="n">
        <f aca="false">IF(AM106="Sand",0,1000*AK106/(1+AU106)*IF(AQ106+BC106&lt;=BJ106,BI106*LOG10((AQ106+BC106)/AQ106),BI106*LOG10(BJ106/AQ106)+BH106*LOG10((AQ106+BC106)/BJ106)))*BF106</f>
        <v>2.69938890648024</v>
      </c>
      <c r="BL106" s="57" t="n">
        <f aca="false">IF(AM106="Sand",0,10^(INDEX(Input!$Q$51:$Q$57,MIN(MATCH(MIN(MAX(AR106,30),120),Input!$C$51:$C$57,1),6))+(MIN(MAX(AR106,30),120)-INDEX(Input!$C$51:$C$57,MIN(MATCH(MIN(MAX(AR106,30),120),Input!$C$51:$C$57,1),6)))/(INDEX(Input!$C$51:$C$57,MIN(MATCH(MIN(MAX(AR106,30),120),Input!$C$51:$C$57,1),6)+1)-INDEX(Input!$C$51:$C$57,MIN(MATCH(MIN(MAX(AR106,30),120),Input!$C$51:$C$57,1),6)))*(INDEX(Input!$Q$51:$Q$57,MIN(MATCH(MIN(MAX(AR106,30),120),Input!$C$51:$C$57,1),6)+1)-INDEX(Input!$Q$51:$Q$57,MIN(MATCH(MIN(MAX(AR106,30),120),Input!$C$51:$C$57,1),6)))))</f>
        <v>0.003</v>
      </c>
      <c r="BM106" s="57" t="n">
        <f aca="false">IF(OR(AM106="Sand",BF106=0),0,Input!$AA$41*(AK106/2)^2/(BL106*0.0001*31536000))</f>
        <v>0.0504185692541857</v>
      </c>
      <c r="BN106" s="57" t="n">
        <f aca="false">MAX(0,MIN(AJ106,Input!$AA$20)-AI106)</f>
        <v>0</v>
      </c>
      <c r="BO106" s="57" t="n">
        <f aca="false">MAX(0,MIN(AJ106,Input!$AA$20)-MAX(AI106,$AA$23))</f>
        <v>0</v>
      </c>
      <c r="BP106" s="57" t="n">
        <f aca="false">BG106+BK106</f>
        <v>3.55228108085029</v>
      </c>
      <c r="BQ106" s="57" t="s">
        <v>343</v>
      </c>
    </row>
    <row r="107" customFormat="false" ht="14.25" hidden="false" customHeight="false" outlineLevel="0" collapsed="false">
      <c r="B107" s="7"/>
      <c r="C107" s="46" t="n">
        <v>25</v>
      </c>
      <c r="D107" s="46"/>
      <c r="E107" s="44" t="n">
        <f aca="false">AI107</f>
        <v>36</v>
      </c>
      <c r="F107" s="44"/>
      <c r="G107" s="44"/>
      <c r="H107" s="44" t="n">
        <f aca="false">AJ107</f>
        <v>37.5</v>
      </c>
      <c r="I107" s="44"/>
      <c r="J107" s="44"/>
      <c r="K107" s="41" t="str">
        <f aca="false">AM107</f>
        <v>Sand</v>
      </c>
      <c r="L107" s="41"/>
      <c r="M107" s="41"/>
      <c r="N107" s="46" t="n">
        <f aca="false">AN107</f>
        <v>50</v>
      </c>
      <c r="O107" s="46"/>
      <c r="P107" s="46"/>
      <c r="Q107" s="42" t="n">
        <f aca="false">AO107</f>
        <v>20.2</v>
      </c>
      <c r="R107" s="42"/>
      <c r="S107" s="42"/>
      <c r="T107" s="46" t="str">
        <f aca="false">IF(AR107="","-",AR107)</f>
        <v>-</v>
      </c>
      <c r="U107" s="46"/>
      <c r="V107" s="46" t="str">
        <f aca="false">IF(AT107="","-",AT107)</f>
        <v>-</v>
      </c>
      <c r="W107" s="46"/>
      <c r="X107" s="44" t="n">
        <f aca="false">AU107</f>
        <v>0.65</v>
      </c>
      <c r="Y107" s="44"/>
      <c r="Z107" s="55" t="n">
        <f aca="false">AV107</f>
        <v>0</v>
      </c>
      <c r="AA107" s="55"/>
      <c r="AB107" s="55"/>
      <c r="AC107" s="42" t="n">
        <f aca="false">AW107</f>
        <v>41.76159985</v>
      </c>
      <c r="AD107" s="42"/>
      <c r="AE107" s="42"/>
      <c r="AF107" s="12"/>
      <c r="AI107" s="56" t="n">
        <v>36</v>
      </c>
      <c r="AJ107" s="56" t="n">
        <v>37.5</v>
      </c>
      <c r="AK107" s="57" t="n">
        <f aca="false">AJ107-AI107</f>
        <v>1.5</v>
      </c>
      <c r="AL107" s="57" t="n">
        <f aca="false">(AI107+AJ107)/2</f>
        <v>36.75</v>
      </c>
      <c r="AM107" s="56" t="s">
        <v>199</v>
      </c>
      <c r="AN107" s="56" t="n">
        <v>50</v>
      </c>
      <c r="AO107" s="58" t="n">
        <f aca="false">IF(AL107&gt;$AA$20,$AA$22,$AA$21)</f>
        <v>20.2</v>
      </c>
      <c r="AP107" s="57" t="n">
        <f aca="false">AP106+AO107*AK107</f>
        <v>752.1</v>
      </c>
      <c r="AQ107" s="57" t="n">
        <f aca="false">AP107-AO107*AK107/2-10*MAX(AL107-$AA$20,0)</f>
        <v>459.45</v>
      </c>
      <c r="AR107" s="56"/>
      <c r="AS107" s="56"/>
      <c r="AT107" s="57" t="str">
        <f aca="false">IF(AR107="","",AR107-AS107)</f>
        <v/>
      </c>
      <c r="AU107" s="56" t="n">
        <v>0.65</v>
      </c>
      <c r="AV107" s="57" t="n">
        <f aca="false">IF(AM107="Sand",0,Input!$AA$34*AN107)</f>
        <v>0</v>
      </c>
      <c r="AW107" s="57" t="n">
        <f aca="false">IF(AM107="Sand",27.1+0.3*MIN(Input!$AA$35*AN107,60)-0.00054*MIN(Input!$AA$35*AN107,60)^2,MIN(MAX(DEGREES(ASIN(0.8-0.094*LN(MAX(IF(AT107="",10,AT107),5)))),20),30))</f>
        <v>41.76159985</v>
      </c>
      <c r="AX107" s="57" t="n">
        <f aca="false">IF(AM107="Sand",Input!$AA$36*Input!$AA$35*AN107,Input!$AA$37*AV107)</f>
        <v>54150</v>
      </c>
      <c r="AY107" s="59" t="n">
        <f aca="false">IF(AM107="Sand",Input!$AA$38,0.5)</f>
        <v>0.3</v>
      </c>
      <c r="AZ107" s="57" t="n">
        <f aca="false">Input!$AA$15/2/AL107</f>
        <v>1.00680272108844</v>
      </c>
      <c r="BA107" s="57" t="n">
        <f aca="false">Input!$AA$16/2/AL107</f>
        <v>2.74829931972789</v>
      </c>
      <c r="BB107" s="57" t="n">
        <f aca="false">1/(4*PI())*(2*AZ107*BA107*SQRT(AZ107^2+BA107^2+1)/(AZ107^2+BA107^2+1+AZ107^2*BA107^2)*(AZ107^2+BA107^2+2)/(AZ107^2+BA107^2+1)+ATAN2(AZ107^2+BA107^2+1-AZ107^2*BA107^2,2*AZ107*BA107*SQRT(AZ107^2+BA107^2+1)))</f>
        <v>0.203507435681733</v>
      </c>
      <c r="BC107" s="57" t="n">
        <f aca="false">4*Input!$AA$14*BB107</f>
        <v>110.708045010863</v>
      </c>
      <c r="BD107" s="57" t="n">
        <f aca="false">((Input!$AA$16/Input!$AA$15)*LN((1+SQRT((Input!$AA$16/Input!$AA$15)^2+1))*SQRT((Input!$AA$16/Input!$AA$15)^2+(AJ107/(Input!$AA$15/2))^2)/((Input!$AA$16/Input!$AA$15)*(1+SQRT((Input!$AA$16/Input!$AA$15)^2+(AJ107/(Input!$AA$15/2))^2+1))))+LN(((Input!$AA$16/Input!$AA$15)+SQRT((Input!$AA$16/Input!$AA$15)^2+1))*SQRT(1+(AJ107/(Input!$AA$15/2))^2)/((Input!$AA$16/Input!$AA$15)+SQRT((Input!$AA$16/Input!$AA$15)^2+(AJ107/(Input!$AA$15/2))^2+1))))/PI()</f>
        <v>0.121680536390531</v>
      </c>
      <c r="BE107" s="57" t="n">
        <f aca="false">(AJ107/(Input!$AA$15/2))/(2*PI())*ATAN((Input!$AA$16/Input!$AA$15)/((AJ107/(Input!$AA$15/2))*SQRT((Input!$AA$16/Input!$AA$15)^2+(AJ107/(Input!$AA$15/2))^2+1)))</f>
        <v>0.115934648292991</v>
      </c>
      <c r="BF107" s="57" t="n">
        <f aca="false">MAX(0,AJ107-MAX(AI107,$AA$23))/AK107*IF(BC107&gt;=Input!$AA$21*AQ107,1,0)</f>
        <v>1</v>
      </c>
      <c r="BG107" s="57" t="n">
        <f aca="false">4*Input!$AA$14*(Input!$AA$15/2)*(1-AY107^2)/AX107*((BD107-BD106)+(1-2*AY107)/(1-AY107)*(BE107-BE106))*1000*BF107</f>
        <v>2.62135903731908</v>
      </c>
      <c r="BH107" s="57" t="n">
        <f aca="false">IF(AM107="Sand",0,0.009*(AR107-10))</f>
        <v>0</v>
      </c>
      <c r="BI107" s="57" t="n">
        <f aca="false">BH107*Input!$AA$39</f>
        <v>0</v>
      </c>
      <c r="BJ107" s="57" t="n">
        <f aca="false">IF(AM107="Sand",0,MAX(AV107/Input!$AA$40,AQ107))</f>
        <v>0</v>
      </c>
      <c r="BK107" s="57" t="n">
        <f aca="false">IF(AM107="Sand",0,1000*AK107/(1+AU107)*IF(AQ107+BC107&lt;=BJ107,BI107*LOG10((AQ107+BC107)/AQ107),BI107*LOG10(BJ107/AQ107)+BH107*LOG10((AQ107+BC107)/BJ107)))*BF107</f>
        <v>0</v>
      </c>
      <c r="BL107" s="57" t="n">
        <f aca="false">IF(AM107="Sand",0,10^(INDEX(Input!$Q$51:$Q$57,MIN(MATCH(MIN(MAX(AR107,30),120),Input!$C$51:$C$57,1),6))+(MIN(MAX(AR107,30),120)-INDEX(Input!$C$51:$C$57,MIN(MATCH(MIN(MAX(AR107,30),120),Input!$C$51:$C$57,1),6)))/(INDEX(Input!$C$51:$C$57,MIN(MATCH(MIN(MAX(AR107,30),120),Input!$C$51:$C$57,1),6)+1)-INDEX(Input!$C$51:$C$57,MIN(MATCH(MIN(MAX(AR107,30),120),Input!$C$51:$C$57,1),6)))*(INDEX(Input!$Q$51:$Q$57,MIN(MATCH(MIN(MAX(AR107,30),120),Input!$C$51:$C$57,1),6)+1)-INDEX(Input!$Q$51:$Q$57,MIN(MATCH(MIN(MAX(AR107,30),120),Input!$C$51:$C$57,1),6)))))</f>
        <v>0</v>
      </c>
      <c r="BM107" s="57" t="n">
        <f aca="false">IF(OR(AM107="Sand",BF107=0),0,Input!$AA$41*(AK107/2)^2/(BL107*0.0001*31536000))</f>
        <v>0</v>
      </c>
      <c r="BN107" s="57" t="n">
        <f aca="false">MAX(0,MIN(AJ107,Input!$AA$20)-AI107)</f>
        <v>0</v>
      </c>
      <c r="BO107" s="57" t="n">
        <f aca="false">MAX(0,MIN(AJ107,Input!$AA$20)-MAX(AI107,$AA$23))</f>
        <v>0</v>
      </c>
      <c r="BP107" s="57" t="n">
        <f aca="false">BG107+BK107</f>
        <v>2.62135903731908</v>
      </c>
      <c r="BQ107" s="57" t="s">
        <v>343</v>
      </c>
    </row>
    <row r="108" customFormat="false" ht="14.25" hidden="false" customHeight="false" outlineLevel="0" collapsed="false">
      <c r="B108" s="7"/>
      <c r="C108" s="46" t="n">
        <v>26</v>
      </c>
      <c r="D108" s="46"/>
      <c r="E108" s="44" t="n">
        <f aca="false">AI108</f>
        <v>37.5</v>
      </c>
      <c r="F108" s="44"/>
      <c r="G108" s="44"/>
      <c r="H108" s="44" t="n">
        <f aca="false">AJ108</f>
        <v>39</v>
      </c>
      <c r="I108" s="44"/>
      <c r="J108" s="44"/>
      <c r="K108" s="41" t="str">
        <f aca="false">AM108</f>
        <v>Clay</v>
      </c>
      <c r="L108" s="41"/>
      <c r="M108" s="41"/>
      <c r="N108" s="46" t="n">
        <f aca="false">AN108</f>
        <v>50</v>
      </c>
      <c r="O108" s="46"/>
      <c r="P108" s="46"/>
      <c r="Q108" s="42" t="n">
        <f aca="false">AO108</f>
        <v>20.2</v>
      </c>
      <c r="R108" s="42"/>
      <c r="S108" s="42"/>
      <c r="T108" s="46" t="n">
        <f aca="false">IF(AR108="","-",AR108)</f>
        <v>42.56</v>
      </c>
      <c r="U108" s="46"/>
      <c r="V108" s="46" t="n">
        <f aca="false">IF(AT108="","-",AT108)</f>
        <v>15.29</v>
      </c>
      <c r="W108" s="46"/>
      <c r="X108" s="44" t="n">
        <f aca="false">AU108</f>
        <v>1.001</v>
      </c>
      <c r="Y108" s="44"/>
      <c r="Z108" s="55" t="n">
        <f aca="false">AV108</f>
        <v>250</v>
      </c>
      <c r="AA108" s="55"/>
      <c r="AB108" s="55"/>
      <c r="AC108" s="42" t="n">
        <f aca="false">AW108</f>
        <v>30</v>
      </c>
      <c r="AD108" s="42"/>
      <c r="AE108" s="42"/>
      <c r="AF108" s="12"/>
      <c r="AI108" s="56" t="n">
        <v>37.5</v>
      </c>
      <c r="AJ108" s="56" t="n">
        <v>39</v>
      </c>
      <c r="AK108" s="57" t="n">
        <f aca="false">AJ108-AI108</f>
        <v>1.5</v>
      </c>
      <c r="AL108" s="57" t="n">
        <f aca="false">(AI108+AJ108)/2</f>
        <v>38.25</v>
      </c>
      <c r="AM108" s="56" t="s">
        <v>196</v>
      </c>
      <c r="AN108" s="56" t="n">
        <v>50</v>
      </c>
      <c r="AO108" s="58" t="n">
        <f aca="false">IF(AL108&gt;$AA$20,$AA$22,$AA$21)</f>
        <v>20.2</v>
      </c>
      <c r="AP108" s="57" t="n">
        <f aca="false">AP107+AO108*AK108</f>
        <v>782.4</v>
      </c>
      <c r="AQ108" s="57" t="n">
        <f aca="false">AP108-AO108*AK108/2-10*MAX(AL108-$AA$20,0)</f>
        <v>474.75</v>
      </c>
      <c r="AR108" s="56" t="n">
        <v>42.56</v>
      </c>
      <c r="AS108" s="56" t="n">
        <v>27.27</v>
      </c>
      <c r="AT108" s="57" t="n">
        <f aca="false">IF(AR108="","",AR108-AS108)</f>
        <v>15.29</v>
      </c>
      <c r="AU108" s="56" t="n">
        <v>1.001</v>
      </c>
      <c r="AV108" s="57" t="n">
        <f aca="false">IF(AM108="Sand",0,Input!$AA$34*AN108)</f>
        <v>250</v>
      </c>
      <c r="AW108" s="57" t="n">
        <f aca="false">IF(AM108="Sand",27.1+0.3*MIN(Input!$AA$35*AN108,60)-0.00054*MIN(Input!$AA$35*AN108,60)^2,MIN(MAX(DEGREES(ASIN(0.8-0.094*LN(MAX(IF(AT108="",10,AT108),5)))),20),30))</f>
        <v>30</v>
      </c>
      <c r="AX108" s="57" t="n">
        <f aca="false">IF(AM108="Sand",Input!$AA$36*Input!$AA$35*AN108,Input!$AA$37*AV108)</f>
        <v>125000</v>
      </c>
      <c r="AY108" s="57" t="n">
        <f aca="false">IF(AM108="Sand",Input!$AA$38,0.5)</f>
        <v>0.5</v>
      </c>
      <c r="AZ108" s="57" t="n">
        <f aca="false">Input!$AA$15/2/AL108</f>
        <v>0.967320261437909</v>
      </c>
      <c r="BA108" s="57" t="n">
        <f aca="false">Input!$AA$16/2/AL108</f>
        <v>2.64052287581699</v>
      </c>
      <c r="BB108" s="57" t="n">
        <f aca="false">1/(4*PI())*(2*AZ108*BA108*SQRT(AZ108^2+BA108^2+1)/(AZ108^2+BA108^2+1+AZ108^2*BA108^2)*(AZ108^2+BA108^2+2)/(AZ108^2+BA108^2+1)+ATAN2(AZ108^2+BA108^2+1-AZ108^2*BA108^2,2*AZ108*BA108*SQRT(AZ108^2+BA108^2+1)))</f>
        <v>0.200105549876271</v>
      </c>
      <c r="BC108" s="57" t="n">
        <f aca="false">4*Input!$AA$14*BB108</f>
        <v>108.857419132691</v>
      </c>
      <c r="BD108" s="57" t="n">
        <f aca="false">((Input!$AA$16/Input!$AA$15)*LN((1+SQRT((Input!$AA$16/Input!$AA$15)^2+1))*SQRT((Input!$AA$16/Input!$AA$15)^2+(AJ108/(Input!$AA$15/2))^2)/((Input!$AA$16/Input!$AA$15)*(1+SQRT((Input!$AA$16/Input!$AA$15)^2+(AJ108/(Input!$AA$15/2))^2+1))))+LN(((Input!$AA$16/Input!$AA$15)+SQRT((Input!$AA$16/Input!$AA$15)^2+1))*SQRT(1+(AJ108/(Input!$AA$15/2))^2)/((Input!$AA$16/Input!$AA$15)+SQRT((Input!$AA$16/Input!$AA$15)^2+(AJ108/(Input!$AA$15/2))^2+1))))/PI()</f>
        <v>0.128770473532044</v>
      </c>
      <c r="BE108" s="57" t="n">
        <f aca="false">(AJ108/(Input!$AA$15/2))/(2*PI())*ATAN((Input!$AA$16/Input!$AA$15)/((AJ108/(Input!$AA$15/2))*SQRT((Input!$AA$16/Input!$AA$15)^2+(AJ108/(Input!$AA$15/2))^2+1)))</f>
        <v>0.116957096633813</v>
      </c>
      <c r="BF108" s="57" t="n">
        <f aca="false">MAX(0,AJ108-MAX(AI108,$AA$23))/AK108*IF(BC108&gt;=Input!$AA$21*AQ108,1,0)</f>
        <v>1</v>
      </c>
      <c r="BG108" s="57" t="n">
        <f aca="false">4*Input!$AA$14*(Input!$AA$15/2)*(1-AY108^2)/AX108*((BD108-BD107)+(1-2*AY108)/(1-AY108)*(BE108-BE107))*1000*BF108</f>
        <v>0.856237528706172</v>
      </c>
      <c r="BH108" s="57" t="n">
        <f aca="false">IF(AM108="Sand",0,0.009*(AR108-10))</f>
        <v>0.29304</v>
      </c>
      <c r="BI108" s="57" t="n">
        <f aca="false">BH108*Input!$AA$39</f>
        <v>0.058608</v>
      </c>
      <c r="BJ108" s="57" t="n">
        <f aca="false">IF(AM108="Sand",0,MAX(AV108/Input!$AA$40,AQ108))</f>
        <v>1136.36363636364</v>
      </c>
      <c r="BK108" s="57" t="n">
        <f aca="false">IF(AM108="Sand",0,1000*AK108/(1+AU108)*IF(AQ108+BC108&lt;=BJ108,BI108*LOG10((AQ108+BC108)/AQ108),BI108*LOG10(BJ108/AQ108)+BH108*LOG10((AQ108+BC108)/BJ108)))*BF108</f>
        <v>3.93894222900056</v>
      </c>
      <c r="BL108" s="57" t="n">
        <f aca="false">IF(AM108="Sand",0,10^(INDEX(Input!$Q$51:$Q$57,MIN(MATCH(MIN(MAX(AR108,30),120),Input!$C$51:$C$57,1),6))+(MIN(MAX(AR108,30),120)-INDEX(Input!$C$51:$C$57,MIN(MATCH(MIN(MAX(AR108,30),120),Input!$C$51:$C$57,1),6)))/(INDEX(Input!$C$51:$C$57,MIN(MATCH(MIN(MAX(AR108,30),120),Input!$C$51:$C$57,1),6)+1)-INDEX(Input!$C$51:$C$57,MIN(MATCH(MIN(MAX(AR108,30),120),Input!$C$51:$C$57,1),6)))*(INDEX(Input!$Q$51:$Q$57,MIN(MATCH(MIN(MAX(AR108,30),120),Input!$C$51:$C$57,1),6)+1)-INDEX(Input!$Q$51:$Q$57,MIN(MATCH(MIN(MAX(AR108,30),120),Input!$C$51:$C$57,1),6)))))</f>
        <v>0.00123411887608292</v>
      </c>
      <c r="BM108" s="57" t="n">
        <f aca="false">IF(OR(AM108="Sand",BF108=0),0,Input!$AA$41*(AK108/2)^2/(BL108*0.0001*31536000))</f>
        <v>0.122561700249364</v>
      </c>
      <c r="BN108" s="57" t="n">
        <f aca="false">MAX(0,MIN(AJ108,Input!$AA$20)-AI108)</f>
        <v>0</v>
      </c>
      <c r="BO108" s="57" t="n">
        <f aca="false">MAX(0,MIN(AJ108,Input!$AA$20)-MAX(AI108,$AA$23))</f>
        <v>0</v>
      </c>
      <c r="BP108" s="57" t="n">
        <f aca="false">BG108+BK108</f>
        <v>4.79517975770673</v>
      </c>
      <c r="BQ108" s="57" t="s">
        <v>343</v>
      </c>
    </row>
    <row r="109" customFormat="false" ht="14.25" hidden="false" customHeight="false" outlineLevel="0" collapsed="false">
      <c r="B109" s="7"/>
      <c r="C109" s="46" t="n">
        <v>27</v>
      </c>
      <c r="D109" s="46"/>
      <c r="E109" s="44" t="n">
        <f aca="false">AI109</f>
        <v>39</v>
      </c>
      <c r="F109" s="44"/>
      <c r="G109" s="44"/>
      <c r="H109" s="44" t="n">
        <f aca="false">AJ109</f>
        <v>40.5</v>
      </c>
      <c r="I109" s="44"/>
      <c r="J109" s="44"/>
      <c r="K109" s="41" t="str">
        <f aca="false">AM109</f>
        <v>Clay</v>
      </c>
      <c r="L109" s="41"/>
      <c r="M109" s="41"/>
      <c r="N109" s="46" t="n">
        <f aca="false">AN109</f>
        <v>50</v>
      </c>
      <c r="O109" s="46"/>
      <c r="P109" s="46"/>
      <c r="Q109" s="42" t="n">
        <f aca="false">AO109</f>
        <v>20.2</v>
      </c>
      <c r="R109" s="42"/>
      <c r="S109" s="42"/>
      <c r="T109" s="46" t="n">
        <f aca="false">IF(AR109="","-",AR109)</f>
        <v>28.071</v>
      </c>
      <c r="U109" s="46"/>
      <c r="V109" s="46" t="n">
        <f aca="false">IF(AT109="","-",AT109)</f>
        <v>9.239</v>
      </c>
      <c r="W109" s="46"/>
      <c r="X109" s="44" t="n">
        <f aca="false">AU109</f>
        <v>0.59</v>
      </c>
      <c r="Y109" s="44"/>
      <c r="Z109" s="55" t="n">
        <f aca="false">AV109</f>
        <v>250</v>
      </c>
      <c r="AA109" s="55"/>
      <c r="AB109" s="55"/>
      <c r="AC109" s="42" t="n">
        <f aca="false">AW109</f>
        <v>30</v>
      </c>
      <c r="AD109" s="42"/>
      <c r="AE109" s="42"/>
      <c r="AF109" s="12"/>
      <c r="AI109" s="56" t="n">
        <v>39</v>
      </c>
      <c r="AJ109" s="56" t="n">
        <v>40.5</v>
      </c>
      <c r="AK109" s="57" t="n">
        <f aca="false">AJ109-AI109</f>
        <v>1.5</v>
      </c>
      <c r="AL109" s="57" t="n">
        <f aca="false">(AI109+AJ109)/2</f>
        <v>39.75</v>
      </c>
      <c r="AM109" s="56" t="s">
        <v>196</v>
      </c>
      <c r="AN109" s="56" t="n">
        <v>50</v>
      </c>
      <c r="AO109" s="58" t="n">
        <f aca="false">IF(AL109&gt;$AA$20,$AA$22,$AA$21)</f>
        <v>20.2</v>
      </c>
      <c r="AP109" s="57" t="n">
        <f aca="false">AP108+AO109*AK109</f>
        <v>812.7</v>
      </c>
      <c r="AQ109" s="57" t="n">
        <f aca="false">AP109-AO109*AK109/2-10*MAX(AL109-$AA$20,0)</f>
        <v>490.05</v>
      </c>
      <c r="AR109" s="56" t="n">
        <v>28.071</v>
      </c>
      <c r="AS109" s="56" t="n">
        <v>18.832</v>
      </c>
      <c r="AT109" s="57" t="n">
        <f aca="false">IF(AR109="","",AR109-AS109)</f>
        <v>9.239</v>
      </c>
      <c r="AU109" s="56" t="n">
        <v>0.59</v>
      </c>
      <c r="AV109" s="57" t="n">
        <f aca="false">IF(AM109="Sand",0,Input!$AA$34*AN109)</f>
        <v>250</v>
      </c>
      <c r="AW109" s="57" t="n">
        <f aca="false">IF(AM109="Sand",27.1+0.3*MIN(Input!$AA$35*AN109,60)-0.00054*MIN(Input!$AA$35*AN109,60)^2,MIN(MAX(DEGREES(ASIN(0.8-0.094*LN(MAX(IF(AT109="",10,AT109),5)))),20),30))</f>
        <v>30</v>
      </c>
      <c r="AX109" s="57" t="n">
        <f aca="false">IF(AM109="Sand",Input!$AA$36*Input!$AA$35*AN109,Input!$AA$37*AV109)</f>
        <v>125000</v>
      </c>
      <c r="AY109" s="57" t="n">
        <f aca="false">IF(AM109="Sand",Input!$AA$38,0.5)</f>
        <v>0.5</v>
      </c>
      <c r="AZ109" s="57" t="n">
        <f aca="false">Input!$AA$15/2/AL109</f>
        <v>0.930817610062893</v>
      </c>
      <c r="BA109" s="57" t="n">
        <f aca="false">Input!$AA$16/2/AL109</f>
        <v>2.54088050314465</v>
      </c>
      <c r="BB109" s="57" t="n">
        <f aca="false">1/(4*PI())*(2*AZ109*BA109*SQRT(AZ109^2+BA109^2+1)/(AZ109^2+BA109^2+1+AZ109^2*BA109^2)*(AZ109^2+BA109^2+2)/(AZ109^2+BA109^2+1)+ATAN2(AZ109^2+BA109^2+1-AZ109^2*BA109^2,2*AZ109*BA109*SQRT(AZ109^2+BA109^2+1)))</f>
        <v>0.196702587440146</v>
      </c>
      <c r="BC109" s="57" t="n">
        <f aca="false">4*Input!$AA$14*BB109</f>
        <v>107.006207567439</v>
      </c>
      <c r="BD109" s="57" t="n">
        <f aca="false">((Input!$AA$16/Input!$AA$15)*LN((1+SQRT((Input!$AA$16/Input!$AA$15)^2+1))*SQRT((Input!$AA$16/Input!$AA$15)^2+(AJ109/(Input!$AA$15/2))^2)/((Input!$AA$16/Input!$AA$15)*(1+SQRT((Input!$AA$16/Input!$AA$15)^2+(AJ109/(Input!$AA$15/2))^2+1))))+LN(((Input!$AA$16/Input!$AA$15)+SQRT((Input!$AA$16/Input!$AA$15)^2+1))*SQRT(1+(AJ109/(Input!$AA$15/2))^2)/((Input!$AA$16/Input!$AA$15)+SQRT((Input!$AA$16/Input!$AA$15)^2+(AJ109/(Input!$AA$15/2))^2+1))))/PI()</f>
        <v>0.135857256153312</v>
      </c>
      <c r="BE109" s="57" t="n">
        <f aca="false">(AJ109/(Input!$AA$15/2))/(2*PI())*ATAN((Input!$AA$16/Input!$AA$15)/((AJ109/(Input!$AA$15/2))*SQRT((Input!$AA$16/Input!$AA$15)^2+(AJ109/(Input!$AA$15/2))^2+1)))</f>
        <v>0.117844757073459</v>
      </c>
      <c r="BF109" s="57" t="n">
        <f aca="false">MAX(0,AJ109-MAX(AI109,$AA$23))/AK109*IF(BC109&gt;=Input!$AA$21*AQ109,1,0)</f>
        <v>1</v>
      </c>
      <c r="BG109" s="57" t="n">
        <f aca="false">4*Input!$AA$14*(Input!$AA$15/2)*(1-AY109^2)/AX109*((BD109-BD108)+(1-2*AY109)/(1-AY109)*(BE109-BE108))*1000*BF109</f>
        <v>0.85585656360535</v>
      </c>
      <c r="BH109" s="57" t="n">
        <f aca="false">IF(AM109="Sand",0,0.009*(AR109-10))</f>
        <v>0.162639</v>
      </c>
      <c r="BI109" s="57" t="n">
        <f aca="false">BH109*Input!$AA$39</f>
        <v>0.0325278</v>
      </c>
      <c r="BJ109" s="57" t="n">
        <f aca="false">IF(AM109="Sand",0,MAX(AV109/Input!$AA$40,AQ109))</f>
        <v>1136.36363636364</v>
      </c>
      <c r="BK109" s="57" t="n">
        <f aca="false">IF(AM109="Sand",0,1000*AK109/(1+AU109)*IF(AQ109+BC109&lt;=BJ109,BI109*LOG10((AQ109+BC109)/AQ109),BI109*LOG10(BJ109/AQ109)+BH109*LOG10((AQ109+BC109)/BJ109)))*BF109</f>
        <v>2.63213805353889</v>
      </c>
      <c r="BL109" s="57" t="n">
        <f aca="false">IF(AM109="Sand",0,10^(INDEX(Input!$Q$51:$Q$57,MIN(MATCH(MIN(MAX(AR109,30),120),Input!$C$51:$C$57,1),6))+(MIN(MAX(AR109,30),120)-INDEX(Input!$C$51:$C$57,MIN(MATCH(MIN(MAX(AR109,30),120),Input!$C$51:$C$57,1),6)))/(INDEX(Input!$C$51:$C$57,MIN(MATCH(MIN(MAX(AR109,30),120),Input!$C$51:$C$57,1),6)+1)-INDEX(Input!$C$51:$C$57,MIN(MATCH(MIN(MAX(AR109,30),120),Input!$C$51:$C$57,1),6)))*(INDEX(Input!$Q$51:$Q$57,MIN(MATCH(MIN(MAX(AR109,30),120),Input!$C$51:$C$57,1),6)+1)-INDEX(Input!$Q$51:$Q$57,MIN(MATCH(MIN(MAX(AR109,30),120),Input!$C$51:$C$57,1),6)))))</f>
        <v>0.003</v>
      </c>
      <c r="BM109" s="57" t="n">
        <f aca="false">IF(OR(AM109="Sand",BF109=0),0,Input!$AA$41*(AK109/2)^2/(BL109*0.0001*31536000))</f>
        <v>0.0504185692541857</v>
      </c>
      <c r="BN109" s="57" t="n">
        <f aca="false">MAX(0,MIN(AJ109,Input!$AA$20)-AI109)</f>
        <v>0</v>
      </c>
      <c r="BO109" s="57" t="n">
        <f aca="false">MAX(0,MIN(AJ109,Input!$AA$20)-MAX(AI109,$AA$23))</f>
        <v>0</v>
      </c>
      <c r="BP109" s="57" t="n">
        <f aca="false">BG109+BK109</f>
        <v>3.48799461714424</v>
      </c>
      <c r="BQ109" s="57" t="s">
        <v>342</v>
      </c>
    </row>
    <row r="110" customFormat="false" ht="14.25" hidden="false" customHeight="false" outlineLevel="0" collapsed="false">
      <c r="B110" s="7"/>
      <c r="C110" s="46" t="n">
        <v>28</v>
      </c>
      <c r="D110" s="46"/>
      <c r="E110" s="44" t="n">
        <f aca="false">AI110</f>
        <v>40.5</v>
      </c>
      <c r="F110" s="44"/>
      <c r="G110" s="44"/>
      <c r="H110" s="44" t="n">
        <f aca="false">AJ110</f>
        <v>42</v>
      </c>
      <c r="I110" s="44"/>
      <c r="J110" s="44"/>
      <c r="K110" s="41" t="str">
        <f aca="false">AM110</f>
        <v>Clay</v>
      </c>
      <c r="L110" s="41"/>
      <c r="M110" s="41"/>
      <c r="N110" s="46" t="n">
        <f aca="false">AN110</f>
        <v>50</v>
      </c>
      <c r="O110" s="46"/>
      <c r="P110" s="46"/>
      <c r="Q110" s="42" t="n">
        <f aca="false">AO110</f>
        <v>20.2</v>
      </c>
      <c r="R110" s="42"/>
      <c r="S110" s="42"/>
      <c r="T110" s="46" t="n">
        <f aca="false">IF(AR110="","-",AR110)</f>
        <v>36.82</v>
      </c>
      <c r="U110" s="46"/>
      <c r="V110" s="46" t="n">
        <f aca="false">IF(AT110="","-",AT110)</f>
        <v>16.5</v>
      </c>
      <c r="W110" s="46"/>
      <c r="X110" s="44" t="n">
        <f aca="false">AU110</f>
        <v>0.836</v>
      </c>
      <c r="Y110" s="44"/>
      <c r="Z110" s="55" t="n">
        <f aca="false">AV110</f>
        <v>250</v>
      </c>
      <c r="AA110" s="55"/>
      <c r="AB110" s="55"/>
      <c r="AC110" s="42" t="n">
        <f aca="false">AW110</f>
        <v>30</v>
      </c>
      <c r="AD110" s="42"/>
      <c r="AE110" s="42"/>
      <c r="AF110" s="12"/>
      <c r="AI110" s="56" t="n">
        <v>40.5</v>
      </c>
      <c r="AJ110" s="56" t="n">
        <v>42</v>
      </c>
      <c r="AK110" s="57" t="n">
        <f aca="false">AJ110-AI110</f>
        <v>1.5</v>
      </c>
      <c r="AL110" s="57" t="n">
        <f aca="false">(AI110+AJ110)/2</f>
        <v>41.25</v>
      </c>
      <c r="AM110" s="56" t="s">
        <v>196</v>
      </c>
      <c r="AN110" s="56" t="n">
        <v>50</v>
      </c>
      <c r="AO110" s="58" t="n">
        <f aca="false">IF(AL110&gt;$AA$20,$AA$22,$AA$21)</f>
        <v>20.2</v>
      </c>
      <c r="AP110" s="57" t="n">
        <f aca="false">AP109+AO110*AK110</f>
        <v>843</v>
      </c>
      <c r="AQ110" s="57" t="n">
        <f aca="false">AP110-AO110*AK110/2-10*MAX(AL110-$AA$20,0)</f>
        <v>505.35</v>
      </c>
      <c r="AR110" s="56" t="n">
        <v>36.82</v>
      </c>
      <c r="AS110" s="56" t="n">
        <v>20.32</v>
      </c>
      <c r="AT110" s="57" t="n">
        <f aca="false">IF(AR110="","",AR110-AS110)</f>
        <v>16.5</v>
      </c>
      <c r="AU110" s="56" t="n">
        <v>0.836</v>
      </c>
      <c r="AV110" s="57" t="n">
        <f aca="false">IF(AM110="Sand",0,Input!$AA$34*AN110)</f>
        <v>250</v>
      </c>
      <c r="AW110" s="57" t="n">
        <f aca="false">IF(AM110="Sand",27.1+0.3*MIN(Input!$AA$35*AN110,60)-0.00054*MIN(Input!$AA$35*AN110,60)^2,MIN(MAX(DEGREES(ASIN(0.8-0.094*LN(MAX(IF(AT110="",10,AT110),5)))),20),30))</f>
        <v>30</v>
      </c>
      <c r="AX110" s="57" t="n">
        <f aca="false">IF(AM110="Sand",Input!$AA$36*Input!$AA$35*AN110,Input!$AA$37*AV110)</f>
        <v>125000</v>
      </c>
      <c r="AY110" s="57" t="n">
        <f aca="false">IF(AM110="Sand",Input!$AA$38,0.5)</f>
        <v>0.5</v>
      </c>
      <c r="AZ110" s="57" t="n">
        <f aca="false">Input!$AA$15/2/AL110</f>
        <v>0.896969696969697</v>
      </c>
      <c r="BA110" s="57" t="n">
        <f aca="false">Input!$AA$16/2/AL110</f>
        <v>2.44848484848485</v>
      </c>
      <c r="BB110" s="57" t="n">
        <f aca="false">1/(4*PI())*(2*AZ110*BA110*SQRT(AZ110^2+BA110^2+1)/(AZ110^2+BA110^2+1+AZ110^2*BA110^2)*(AZ110^2+BA110^2+2)/(AZ110^2+BA110^2+1)+ATAN2(AZ110^2+BA110^2+1-AZ110^2*BA110^2,2*AZ110*BA110*SQRT(AZ110^2+BA110^2+1)))</f>
        <v>0.193307738368962</v>
      </c>
      <c r="BC110" s="57" t="n">
        <f aca="false">4*Input!$AA$14*BB110</f>
        <v>105.159409672716</v>
      </c>
      <c r="BD110" s="57" t="n">
        <f aca="false">((Input!$AA$16/Input!$AA$15)*LN((1+SQRT((Input!$AA$16/Input!$AA$15)^2+1))*SQRT((Input!$AA$16/Input!$AA$15)^2+(AJ110/(Input!$AA$15/2))^2)/((Input!$AA$16/Input!$AA$15)*(1+SQRT((Input!$AA$16/Input!$AA$15)^2+(AJ110/(Input!$AA$15/2))^2+1))))+LN(((Input!$AA$16/Input!$AA$15)+SQRT((Input!$AA$16/Input!$AA$15)^2+1))*SQRT(1+(AJ110/(Input!$AA$15/2))^2)/((Input!$AA$16/Input!$AA$15)+SQRT((Input!$AA$16/Input!$AA$15)^2+(AJ110/(Input!$AA$15/2))^2+1))))/PI()</f>
        <v>0.142931133731755</v>
      </c>
      <c r="BE110" s="57" t="n">
        <f aca="false">(AJ110/(Input!$AA$15/2))/(2*PI())*ATAN((Input!$AA$16/Input!$AA$15)/((AJ110/(Input!$AA$15/2))*SQRT((Input!$AA$16/Input!$AA$15)^2+(AJ110/(Input!$AA$15/2))^2+1)))</f>
        <v>0.118607707144671</v>
      </c>
      <c r="BF110" s="57" t="n">
        <f aca="false">MAX(0,AJ110-MAX(AI110,$AA$23))/AK110*IF(BC110&gt;=Input!$AA$21*AQ110,1,0)</f>
        <v>1</v>
      </c>
      <c r="BG110" s="57" t="n">
        <f aca="false">4*Input!$AA$14*(Input!$AA$15/2)*(1-AY110^2)/AX110*((BD110-BD109)+(1-2*AY110)/(1-AY110)*(BE110-BE109))*1000*BF110</f>
        <v>0.85429804739342</v>
      </c>
      <c r="BH110" s="57" t="n">
        <f aca="false">IF(AM110="Sand",0,0.009*(AR110-10))</f>
        <v>0.24138</v>
      </c>
      <c r="BI110" s="57" t="n">
        <f aca="false">BH110*Input!$AA$39</f>
        <v>0.048276</v>
      </c>
      <c r="BJ110" s="57" t="n">
        <f aca="false">IF(AM110="Sand",0,MAX(AV110/Input!$AA$40,AQ110))</f>
        <v>1136.36363636364</v>
      </c>
      <c r="BK110" s="57" t="n">
        <f aca="false">IF(AM110="Sand",0,1000*AK110/(1+AU110)*IF(AQ110+BC110&lt;=BJ110,BI110*LOG10((AQ110+BC110)/AQ110),BI110*LOG10(BJ110/AQ110)+BH110*LOG10((AQ110+BC110)/BJ110)))*BF110</f>
        <v>3.23812421678909</v>
      </c>
      <c r="BL110" s="57" t="n">
        <f aca="false">IF(AM110="Sand",0,10^(INDEX(Input!$Q$51:$Q$57,MIN(MATCH(MIN(MAX(AR110,30),120),Input!$C$51:$C$57,1),6))+(MIN(MAX(AR110,30),120)-INDEX(Input!$C$51:$C$57,MIN(MATCH(MIN(MAX(AR110,30),120),Input!$C$51:$C$57,1),6)))/(INDEX(Input!$C$51:$C$57,MIN(MATCH(MIN(MAX(AR110,30),120),Input!$C$51:$C$57,1),6)+1)-INDEX(Input!$C$51:$C$57,MIN(MATCH(MIN(MAX(AR110,30),120),Input!$C$51:$C$57,1),6)))*(INDEX(Input!$Q$51:$Q$57,MIN(MATCH(MIN(MAX(AR110,30),120),Input!$C$51:$C$57,1),6)+1)-INDEX(Input!$Q$51:$Q$57,MIN(MATCH(MIN(MAX(AR110,30),120),Input!$C$51:$C$57,1),6)))))</f>
        <v>0.00186990179141265</v>
      </c>
      <c r="BM110" s="57" t="n">
        <f aca="false">IF(OR(AM110="Sand",BF110=0),0,Input!$AA$41*(AK110/2)^2/(BL110*0.0001*31536000))</f>
        <v>0.0808896533802925</v>
      </c>
      <c r="BN110" s="57" t="n">
        <f aca="false">MAX(0,MIN(AJ110,Input!$AA$20)-AI110)</f>
        <v>0</v>
      </c>
      <c r="BO110" s="57" t="n">
        <f aca="false">MAX(0,MIN(AJ110,Input!$AA$20)-MAX(AI110,$AA$23))</f>
        <v>0</v>
      </c>
      <c r="BP110" s="57" t="n">
        <f aca="false">BG110+BK110</f>
        <v>4.09242226418251</v>
      </c>
      <c r="BQ110" s="57" t="s">
        <v>343</v>
      </c>
    </row>
    <row r="111" customFormat="false" ht="14.25" hidden="false" customHeight="false" outlineLevel="0" collapsed="false">
      <c r="B111" s="7"/>
      <c r="C111" s="46" t="n">
        <v>29</v>
      </c>
      <c r="D111" s="46"/>
      <c r="E111" s="44" t="n">
        <f aca="false">AI111</f>
        <v>42</v>
      </c>
      <c r="F111" s="44"/>
      <c r="G111" s="44"/>
      <c r="H111" s="44" t="n">
        <f aca="false">AJ111</f>
        <v>43.5</v>
      </c>
      <c r="I111" s="44"/>
      <c r="J111" s="44"/>
      <c r="K111" s="41" t="str">
        <f aca="false">AM111</f>
        <v>Clay</v>
      </c>
      <c r="L111" s="41"/>
      <c r="M111" s="41"/>
      <c r="N111" s="46" t="n">
        <f aca="false">AN111</f>
        <v>50</v>
      </c>
      <c r="O111" s="46"/>
      <c r="P111" s="46"/>
      <c r="Q111" s="42" t="n">
        <f aca="false">AO111</f>
        <v>20.2</v>
      </c>
      <c r="R111" s="42"/>
      <c r="S111" s="42"/>
      <c r="T111" s="46" t="n">
        <f aca="false">IF(AR111="","-",AR111)</f>
        <v>28.071</v>
      </c>
      <c r="U111" s="46"/>
      <c r="V111" s="46" t="n">
        <f aca="false">IF(AT111="","-",AT111)</f>
        <v>9.239</v>
      </c>
      <c r="W111" s="46"/>
      <c r="X111" s="44" t="n">
        <f aca="false">AU111</f>
        <v>0.59</v>
      </c>
      <c r="Y111" s="44"/>
      <c r="Z111" s="55" t="n">
        <f aca="false">AV111</f>
        <v>250</v>
      </c>
      <c r="AA111" s="55"/>
      <c r="AB111" s="55"/>
      <c r="AC111" s="42" t="n">
        <f aca="false">AW111</f>
        <v>30</v>
      </c>
      <c r="AD111" s="42"/>
      <c r="AE111" s="42"/>
      <c r="AF111" s="12"/>
      <c r="AI111" s="56" t="n">
        <v>42</v>
      </c>
      <c r="AJ111" s="56" t="n">
        <v>43.5</v>
      </c>
      <c r="AK111" s="57" t="n">
        <f aca="false">AJ111-AI111</f>
        <v>1.5</v>
      </c>
      <c r="AL111" s="57" t="n">
        <f aca="false">(AI111+AJ111)/2</f>
        <v>42.75</v>
      </c>
      <c r="AM111" s="56" t="s">
        <v>196</v>
      </c>
      <c r="AN111" s="56" t="n">
        <v>50</v>
      </c>
      <c r="AO111" s="58" t="n">
        <f aca="false">IF(AL111&gt;$AA$20,$AA$22,$AA$21)</f>
        <v>20.2</v>
      </c>
      <c r="AP111" s="57" t="n">
        <f aca="false">AP110+AO111*AK111</f>
        <v>873.3</v>
      </c>
      <c r="AQ111" s="57" t="n">
        <f aca="false">AP111-AO111*AK111/2-10*MAX(AL111-$AA$20,0)</f>
        <v>520.65</v>
      </c>
      <c r="AR111" s="56" t="n">
        <v>28.071</v>
      </c>
      <c r="AS111" s="56" t="n">
        <v>18.832</v>
      </c>
      <c r="AT111" s="57" t="n">
        <f aca="false">IF(AR111="","",AR111-AS111)</f>
        <v>9.239</v>
      </c>
      <c r="AU111" s="56" t="n">
        <v>0.59</v>
      </c>
      <c r="AV111" s="57" t="n">
        <f aca="false">IF(AM111="Sand",0,Input!$AA$34*AN111)</f>
        <v>250</v>
      </c>
      <c r="AW111" s="57" t="n">
        <f aca="false">IF(AM111="Sand",27.1+0.3*MIN(Input!$AA$35*AN111,60)-0.00054*MIN(Input!$AA$35*AN111,60)^2,MIN(MAX(DEGREES(ASIN(0.8-0.094*LN(MAX(IF(AT111="",10,AT111),5)))),20),30))</f>
        <v>30</v>
      </c>
      <c r="AX111" s="57" t="n">
        <f aca="false">IF(AM111="Sand",Input!$AA$36*Input!$AA$35*AN111,Input!$AA$37*AV111)</f>
        <v>125000</v>
      </c>
      <c r="AY111" s="57" t="n">
        <f aca="false">IF(AM111="Sand",Input!$AA$38,0.5)</f>
        <v>0.5</v>
      </c>
      <c r="AZ111" s="57" t="n">
        <f aca="false">Input!$AA$15/2/AL111</f>
        <v>0.865497076023392</v>
      </c>
      <c r="BA111" s="57" t="n">
        <f aca="false">Input!$AA$16/2/AL111</f>
        <v>2.3625730994152</v>
      </c>
      <c r="BB111" s="57" t="n">
        <f aca="false">1/(4*PI())*(2*AZ111*BA111*SQRT(AZ111^2+BA111^2+1)/(AZ111^2+BA111^2+1+AZ111^2*BA111^2)*(AZ111^2+BA111^2+2)/(AZ111^2+BA111^2+1)+ATAN2(AZ111^2+BA111^2+1-AZ111^2*BA111^2,2*AZ111*BA111*SQRT(AZ111^2+BA111^2+1)))</f>
        <v>0.189929062586271</v>
      </c>
      <c r="BC111" s="57" t="n">
        <f aca="false">4*Input!$AA$14*BB111</f>
        <v>103.321410046931</v>
      </c>
      <c r="BD111" s="57" t="n">
        <f aca="false">((Input!$AA$16/Input!$AA$15)*LN((1+SQRT((Input!$AA$16/Input!$AA$15)^2+1))*SQRT((Input!$AA$16/Input!$AA$15)^2+(AJ111/(Input!$AA$15/2))^2)/((Input!$AA$16/Input!$AA$15)*(1+SQRT((Input!$AA$16/Input!$AA$15)^2+(AJ111/(Input!$AA$15/2))^2+1))))+LN(((Input!$AA$16/Input!$AA$15)+SQRT((Input!$AA$16/Input!$AA$15)^2+1))*SQRT(1+(AJ111/(Input!$AA$15/2))^2)/((Input!$AA$16/Input!$AA$15)+SQRT((Input!$AA$16/Input!$AA$15)^2+(AJ111/(Input!$AA$15/2))^2+1))))/PI()</f>
        <v>0.149983423865366</v>
      </c>
      <c r="BE111" s="57" t="n">
        <f aca="false">(AJ111/(Input!$AA$15/2))/(2*PI())*ATAN((Input!$AA$16/Input!$AA$15)/((AJ111/(Input!$AA$15/2))*SQRT((Input!$AA$16/Input!$AA$15)^2+(AJ111/(Input!$AA$15/2))^2+1)))</f>
        <v>0.11925528314828</v>
      </c>
      <c r="BF111" s="57" t="n">
        <f aca="false">MAX(0,AJ111-MAX(AI111,$AA$23))/AK111*IF(BC111&gt;=Input!$AA$21*AQ111,1,0)</f>
        <v>0</v>
      </c>
      <c r="BG111" s="57" t="n">
        <f aca="false">4*Input!$AA$14*(Input!$AA$15/2)*(1-AY111^2)/AX111*((BD111-BD110)+(1-2*AY111)/(1-AY111)*(BE111-BE110))*1000*BF111</f>
        <v>0</v>
      </c>
      <c r="BH111" s="57" t="n">
        <f aca="false">IF(AM111="Sand",0,0.009*(AR111-10))</f>
        <v>0.162639</v>
      </c>
      <c r="BI111" s="57" t="n">
        <f aca="false">BH111*Input!$AA$39</f>
        <v>0.0325278</v>
      </c>
      <c r="BJ111" s="57" t="n">
        <f aca="false">IF(AM111="Sand",0,MAX(AV111/Input!$AA$40,AQ111))</f>
        <v>1136.36363636364</v>
      </c>
      <c r="BK111" s="57" t="n">
        <f aca="false">IF(AM111="Sand",0,1000*AK111/(1+AU111)*IF(AQ111+BC111&lt;=BJ111,BI111*LOG10((AQ111+BC111)/AQ111),BI111*LOG10(BJ111/AQ111)+BH111*LOG10((AQ111+BC111)/BJ111)))*BF111</f>
        <v>0</v>
      </c>
      <c r="BL111" s="57" t="n">
        <f aca="false">IF(AM111="Sand",0,10^(INDEX(Input!$Q$51:$Q$57,MIN(MATCH(MIN(MAX(AR111,30),120),Input!$C$51:$C$57,1),6))+(MIN(MAX(AR111,30),120)-INDEX(Input!$C$51:$C$57,MIN(MATCH(MIN(MAX(AR111,30),120),Input!$C$51:$C$57,1),6)))/(INDEX(Input!$C$51:$C$57,MIN(MATCH(MIN(MAX(AR111,30),120),Input!$C$51:$C$57,1),6)+1)-INDEX(Input!$C$51:$C$57,MIN(MATCH(MIN(MAX(AR111,30),120),Input!$C$51:$C$57,1),6)))*(INDEX(Input!$Q$51:$Q$57,MIN(MATCH(MIN(MAX(AR111,30),120),Input!$C$51:$C$57,1),6)+1)-INDEX(Input!$Q$51:$Q$57,MIN(MATCH(MIN(MAX(AR111,30),120),Input!$C$51:$C$57,1),6)))))</f>
        <v>0.003</v>
      </c>
      <c r="BM111" s="57" t="n">
        <f aca="false">IF(OR(AM111="Sand",BF111=0),0,Input!$AA$41*(AK111/2)^2/(BL111*0.0001*31536000))</f>
        <v>0</v>
      </c>
      <c r="BN111" s="57" t="n">
        <f aca="false">MAX(0,MIN(AJ111,Input!$AA$20)-AI111)</f>
        <v>0</v>
      </c>
      <c r="BO111" s="57" t="n">
        <f aca="false">MAX(0,MIN(AJ111,Input!$AA$20)-MAX(AI111,$AA$23))</f>
        <v>0</v>
      </c>
      <c r="BP111" s="57" t="n">
        <f aca="false">BG111+BK111</f>
        <v>0</v>
      </c>
      <c r="BQ111" s="57" t="s">
        <v>342</v>
      </c>
    </row>
    <row r="112" customFormat="false" ht="14.25" hidden="false" customHeight="false" outlineLevel="0" collapsed="false">
      <c r="B112" s="7"/>
      <c r="C112" s="46" t="n">
        <v>30</v>
      </c>
      <c r="D112" s="46"/>
      <c r="E112" s="44" t="n">
        <f aca="false">AI112</f>
        <v>43.5</v>
      </c>
      <c r="F112" s="44"/>
      <c r="G112" s="44"/>
      <c r="H112" s="44" t="n">
        <f aca="false">AJ112</f>
        <v>45</v>
      </c>
      <c r="I112" s="44"/>
      <c r="J112" s="44"/>
      <c r="K112" s="41" t="str">
        <f aca="false">AM112</f>
        <v>Clay</v>
      </c>
      <c r="L112" s="41"/>
      <c r="M112" s="41"/>
      <c r="N112" s="46" t="n">
        <f aca="false">AN112</f>
        <v>50</v>
      </c>
      <c r="O112" s="46"/>
      <c r="P112" s="46"/>
      <c r="Q112" s="42" t="n">
        <f aca="false">AO112</f>
        <v>20.2</v>
      </c>
      <c r="R112" s="42"/>
      <c r="S112" s="42"/>
      <c r="T112" s="46" t="n">
        <f aca="false">IF(AR112="","-",AR112)</f>
        <v>30.1</v>
      </c>
      <c r="U112" s="46"/>
      <c r="V112" s="46" t="n">
        <f aca="false">IF(AT112="","-",AT112)</f>
        <v>9.5</v>
      </c>
      <c r="W112" s="46"/>
      <c r="X112" s="44" t="n">
        <f aca="false">AU112</f>
        <v>0.703</v>
      </c>
      <c r="Y112" s="44"/>
      <c r="Z112" s="55" t="n">
        <f aca="false">AV112</f>
        <v>250</v>
      </c>
      <c r="AA112" s="55"/>
      <c r="AB112" s="55"/>
      <c r="AC112" s="42" t="n">
        <f aca="false">AW112</f>
        <v>30</v>
      </c>
      <c r="AD112" s="42"/>
      <c r="AE112" s="42"/>
      <c r="AF112" s="12"/>
      <c r="AI112" s="56" t="n">
        <v>43.5</v>
      </c>
      <c r="AJ112" s="56" t="n">
        <v>45</v>
      </c>
      <c r="AK112" s="57" t="n">
        <f aca="false">AJ112-AI112</f>
        <v>1.5</v>
      </c>
      <c r="AL112" s="57" t="n">
        <f aca="false">(AI112+AJ112)/2</f>
        <v>44.25</v>
      </c>
      <c r="AM112" s="56" t="s">
        <v>196</v>
      </c>
      <c r="AN112" s="56" t="n">
        <v>50</v>
      </c>
      <c r="AO112" s="58" t="n">
        <f aca="false">IF(AL112&gt;$AA$20,$AA$22,$AA$21)</f>
        <v>20.2</v>
      </c>
      <c r="AP112" s="57" t="n">
        <f aca="false">AP111+AO112*AK112</f>
        <v>903.6</v>
      </c>
      <c r="AQ112" s="57" t="n">
        <f aca="false">AP112-AO112*AK112/2-10*MAX(AL112-$AA$20,0)</f>
        <v>535.95</v>
      </c>
      <c r="AR112" s="56" t="n">
        <v>30.1</v>
      </c>
      <c r="AS112" s="56" t="n">
        <v>20.6</v>
      </c>
      <c r="AT112" s="57" t="n">
        <f aca="false">IF(AR112="","",AR112-AS112)</f>
        <v>9.5</v>
      </c>
      <c r="AU112" s="56" t="n">
        <v>0.703</v>
      </c>
      <c r="AV112" s="57" t="n">
        <f aca="false">IF(AM112="Sand",0,Input!$AA$34*AN112)</f>
        <v>250</v>
      </c>
      <c r="AW112" s="57" t="n">
        <f aca="false">IF(AM112="Sand",27.1+0.3*MIN(Input!$AA$35*AN112,60)-0.00054*MIN(Input!$AA$35*AN112,60)^2,MIN(MAX(DEGREES(ASIN(0.8-0.094*LN(MAX(IF(AT112="",10,AT112),5)))),20),30))</f>
        <v>30</v>
      </c>
      <c r="AX112" s="57" t="n">
        <f aca="false">IF(AM112="Sand",Input!$AA$36*Input!$AA$35*AN112,Input!$AA$37*AV112)</f>
        <v>125000</v>
      </c>
      <c r="AY112" s="57" t="n">
        <f aca="false">IF(AM112="Sand",Input!$AA$38,0.5)</f>
        <v>0.5</v>
      </c>
      <c r="AZ112" s="57" t="n">
        <f aca="false">Input!$AA$15/2/AL112</f>
        <v>0.836158192090395</v>
      </c>
      <c r="BA112" s="57" t="n">
        <f aca="false">Input!$AA$16/2/AL112</f>
        <v>2.28248587570621</v>
      </c>
      <c r="BB112" s="57" t="n">
        <f aca="false">1/(4*PI())*(2*AZ112*BA112*SQRT(AZ112^2+BA112^2+1)/(AZ112^2+BA112^2+1+AZ112^2*BA112^2)*(AZ112^2+BA112^2+2)/(AZ112^2+BA112^2+1)+ATAN2(AZ112^2+BA112^2+1-AZ112^2*BA112^2,2*AZ112*BA112*SQRT(AZ112^2+BA112^2+1)))</f>
        <v>0.186573569537252</v>
      </c>
      <c r="BC112" s="57" t="n">
        <f aca="false">4*Input!$AA$14*BB112</f>
        <v>101.496021828265</v>
      </c>
      <c r="BD112" s="57" t="n">
        <f aca="false">((Input!$AA$16/Input!$AA$15)*LN((1+SQRT((Input!$AA$16/Input!$AA$15)^2+1))*SQRT((Input!$AA$16/Input!$AA$15)^2+(AJ112/(Input!$AA$15/2))^2)/((Input!$AA$16/Input!$AA$15)*(1+SQRT((Input!$AA$16/Input!$AA$15)^2+(AJ112/(Input!$AA$15/2))^2+1))))+LN(((Input!$AA$16/Input!$AA$15)+SQRT((Input!$AA$16/Input!$AA$15)^2+1))*SQRT(1+(AJ112/(Input!$AA$15/2))^2)/((Input!$AA$16/Input!$AA$15)+SQRT((Input!$AA$16/Input!$AA$15)^2+(AJ112/(Input!$AA$15/2))^2+1))))/PI()</f>
        <v>0.157006419484548</v>
      </c>
      <c r="BE112" s="57" t="n">
        <f aca="false">(AJ112/(Input!$AA$15/2))/(2*PI())*ATAN((Input!$AA$16/Input!$AA$15)/((AJ112/(Input!$AA$15/2))*SQRT((Input!$AA$16/Input!$AA$15)^2+(AJ112/(Input!$AA$15/2))^2+1)))</f>
        <v>0.119796130362691</v>
      </c>
      <c r="BF112" s="57" t="n">
        <f aca="false">MAX(0,AJ112-MAX(AI112,$AA$23))/AK112*IF(BC112&gt;=Input!$AA$21*AQ112,1,0)</f>
        <v>0</v>
      </c>
      <c r="BG112" s="57" t="n">
        <f aca="false">4*Input!$AA$14*(Input!$AA$15/2)*(1-AY112^2)/AX112*((BD112-BD111)+(1-2*AY112)/(1-AY112)*(BE112-BE111))*1000*BF112</f>
        <v>0</v>
      </c>
      <c r="BH112" s="57" t="n">
        <f aca="false">IF(AM112="Sand",0,0.009*(AR112-10))</f>
        <v>0.1809</v>
      </c>
      <c r="BI112" s="57" t="n">
        <f aca="false">BH112*Input!$AA$39</f>
        <v>0.03618</v>
      </c>
      <c r="BJ112" s="57" t="n">
        <f aca="false">IF(AM112="Sand",0,MAX(AV112/Input!$AA$40,AQ112))</f>
        <v>1136.36363636364</v>
      </c>
      <c r="BK112" s="57" t="n">
        <f aca="false">IF(AM112="Sand",0,1000*AK112/(1+AU112)*IF(AQ112+BC112&lt;=BJ112,BI112*LOG10((AQ112+BC112)/AQ112),BI112*LOG10(BJ112/AQ112)+BH112*LOG10((AQ112+BC112)/BJ112)))*BF112</f>
        <v>0</v>
      </c>
      <c r="BL112" s="57" t="n">
        <f aca="false">IF(AM112="Sand",0,10^(INDEX(Input!$Q$51:$Q$57,MIN(MATCH(MIN(MAX(AR112,30),120),Input!$C$51:$C$57,1),6))+(MIN(MAX(AR112,30),120)-INDEX(Input!$C$51:$C$57,MIN(MATCH(MIN(MAX(AR112,30),120),Input!$C$51:$C$57,1),6)))/(INDEX(Input!$C$51:$C$57,MIN(MATCH(MIN(MAX(AR112,30),120),Input!$C$51:$C$57,1),6)+1)-INDEX(Input!$C$51:$C$57,MIN(MATCH(MIN(MAX(AR112,30),120),Input!$C$51:$C$57,1),6)))*(INDEX(Input!$Q$51:$Q$57,MIN(MATCH(MIN(MAX(AR112,30),120),Input!$C$51:$C$57,1),6)+1)-INDEX(Input!$Q$51:$Q$57,MIN(MATCH(MIN(MAX(AR112,30),120),Input!$C$51:$C$57,1),6)))))</f>
        <v>0.00297927748631111</v>
      </c>
      <c r="BM112" s="57" t="n">
        <f aca="false">IF(OR(AM112="Sand",BF112=0),0,Input!$AA$41*(AK112/2)^2/(BL112*0.0001*31536000))</f>
        <v>0</v>
      </c>
      <c r="BN112" s="57" t="n">
        <f aca="false">MAX(0,MIN(AJ112,Input!$AA$20)-AI112)</f>
        <v>0</v>
      </c>
      <c r="BO112" s="57" t="n">
        <f aca="false">MAX(0,MIN(AJ112,Input!$AA$20)-MAX(AI112,$AA$23))</f>
        <v>0</v>
      </c>
      <c r="BP112" s="57" t="n">
        <f aca="false">BG112+BK112</f>
        <v>0</v>
      </c>
      <c r="BQ112" s="57" t="s">
        <v>343</v>
      </c>
    </row>
    <row r="113" customFormat="false" ht="14.25" hidden="false" customHeight="false" outlineLevel="0" collapsed="false">
      <c r="B113" s="7"/>
      <c r="C113" s="46" t="n">
        <v>31</v>
      </c>
      <c r="D113" s="46"/>
      <c r="E113" s="44" t="n">
        <f aca="false">AI113</f>
        <v>45</v>
      </c>
      <c r="F113" s="44"/>
      <c r="G113" s="44"/>
      <c r="H113" s="44" t="n">
        <f aca="false">AJ113</f>
        <v>46.5</v>
      </c>
      <c r="I113" s="44"/>
      <c r="J113" s="44"/>
      <c r="K113" s="41" t="str">
        <f aca="false">AM113</f>
        <v>Clay</v>
      </c>
      <c r="L113" s="41"/>
      <c r="M113" s="41"/>
      <c r="N113" s="46" t="n">
        <f aca="false">AN113</f>
        <v>33</v>
      </c>
      <c r="O113" s="46"/>
      <c r="P113" s="46"/>
      <c r="Q113" s="42" t="n">
        <f aca="false">AO113</f>
        <v>20.2</v>
      </c>
      <c r="R113" s="42"/>
      <c r="S113" s="42"/>
      <c r="T113" s="46" t="n">
        <f aca="false">IF(AR113="","-",AR113)</f>
        <v>28.071</v>
      </c>
      <c r="U113" s="46"/>
      <c r="V113" s="46" t="n">
        <f aca="false">IF(AT113="","-",AT113)</f>
        <v>9.239</v>
      </c>
      <c r="W113" s="46"/>
      <c r="X113" s="44" t="n">
        <f aca="false">AU113</f>
        <v>0.59</v>
      </c>
      <c r="Y113" s="44"/>
      <c r="Z113" s="55" t="n">
        <f aca="false">AV113</f>
        <v>165</v>
      </c>
      <c r="AA113" s="55"/>
      <c r="AB113" s="55"/>
      <c r="AC113" s="42" t="n">
        <f aca="false">AW113</f>
        <v>30</v>
      </c>
      <c r="AD113" s="42"/>
      <c r="AE113" s="42"/>
      <c r="AF113" s="12"/>
      <c r="AI113" s="56" t="n">
        <v>45</v>
      </c>
      <c r="AJ113" s="56" t="n">
        <v>46.5</v>
      </c>
      <c r="AK113" s="57" t="n">
        <f aca="false">AJ113-AI113</f>
        <v>1.5</v>
      </c>
      <c r="AL113" s="57" t="n">
        <f aca="false">(AI113+AJ113)/2</f>
        <v>45.75</v>
      </c>
      <c r="AM113" s="56" t="s">
        <v>196</v>
      </c>
      <c r="AN113" s="56" t="n">
        <v>33</v>
      </c>
      <c r="AO113" s="58" t="n">
        <f aca="false">IF(AL113&gt;$AA$20,$AA$22,$AA$21)</f>
        <v>20.2</v>
      </c>
      <c r="AP113" s="57" t="n">
        <f aca="false">AP112+AO113*AK113</f>
        <v>933.9</v>
      </c>
      <c r="AQ113" s="57" t="n">
        <f aca="false">AP113-AO113*AK113/2-10*MAX(AL113-$AA$20,0)</f>
        <v>551.25</v>
      </c>
      <c r="AR113" s="56" t="n">
        <v>28.071</v>
      </c>
      <c r="AS113" s="56" t="n">
        <v>18.832</v>
      </c>
      <c r="AT113" s="57" t="n">
        <f aca="false">IF(AR113="","",AR113-AS113)</f>
        <v>9.239</v>
      </c>
      <c r="AU113" s="56" t="n">
        <v>0.59</v>
      </c>
      <c r="AV113" s="57" t="n">
        <f aca="false">IF(AM113="Sand",0,Input!$AA$34*AN113)</f>
        <v>165</v>
      </c>
      <c r="AW113" s="57" t="n">
        <f aca="false">IF(AM113="Sand",27.1+0.3*MIN(Input!$AA$35*AN113,60)-0.00054*MIN(Input!$AA$35*AN113,60)^2,MIN(MAX(DEGREES(ASIN(0.8-0.094*LN(MAX(IF(AT113="",10,AT113),5)))),20),30))</f>
        <v>30</v>
      </c>
      <c r="AX113" s="57" t="n">
        <f aca="false">IF(AM113="Sand",Input!$AA$36*Input!$AA$35*AN113,Input!$AA$37*AV113)</f>
        <v>82500</v>
      </c>
      <c r="AY113" s="57" t="n">
        <f aca="false">IF(AM113="Sand",Input!$AA$38,0.5)</f>
        <v>0.5</v>
      </c>
      <c r="AZ113" s="57" t="n">
        <f aca="false">Input!$AA$15/2/AL113</f>
        <v>0.808743169398907</v>
      </c>
      <c r="BA113" s="57" t="n">
        <f aca="false">Input!$AA$16/2/AL113</f>
        <v>2.20765027322404</v>
      </c>
      <c r="BB113" s="57" t="n">
        <f aca="false">1/(4*PI())*(2*AZ113*BA113*SQRT(AZ113^2+BA113^2+1)/(AZ113^2+BA113^2+1+AZ113^2*BA113^2)*(AZ113^2+BA113^2+2)/(AZ113^2+BA113^2+1)+ATAN2(AZ113^2+BA113^2+1-AZ113^2*BA113^2,2*AZ113*BA113*SQRT(AZ113^2+BA113^2+1)))</f>
        <v>0.183247302768845</v>
      </c>
      <c r="BC113" s="57" t="n">
        <f aca="false">4*Input!$AA$14*BB113</f>
        <v>99.6865327062518</v>
      </c>
      <c r="BD113" s="57" t="n">
        <f aca="false">((Input!$AA$16/Input!$AA$15)*LN((1+SQRT((Input!$AA$16/Input!$AA$15)^2+1))*SQRT((Input!$AA$16/Input!$AA$15)^2+(AJ113/(Input!$AA$15/2))^2)/((Input!$AA$16/Input!$AA$15)*(1+SQRT((Input!$AA$16/Input!$AA$15)^2+(AJ113/(Input!$AA$15/2))^2+1))))+LN(((Input!$AA$16/Input!$AA$15)+SQRT((Input!$AA$16/Input!$AA$15)^2+1))*SQRT(1+(AJ113/(Input!$AA$15/2))^2)/((Input!$AA$16/Input!$AA$15)+SQRT((Input!$AA$16/Input!$AA$15)^2+(AJ113/(Input!$AA$15/2))^2+1))))/PI()</f>
        <v>0.163993300910008</v>
      </c>
      <c r="BE113" s="57" t="n">
        <f aca="false">(AJ113/(Input!$AA$15/2))/(2*PI())*ATAN((Input!$AA$16/Input!$AA$15)/((AJ113/(Input!$AA$15/2))*SQRT((Input!$AA$16/Input!$AA$15)^2+(AJ113/(Input!$AA$15/2))^2+1)))</f>
        <v>0.120238251830284</v>
      </c>
      <c r="BF113" s="57" t="n">
        <f aca="false">MAX(0,AJ113-MAX(AI113,$AA$23))/AK113*IF(BC113&gt;=Input!$AA$21*AQ113,1,0)</f>
        <v>0</v>
      </c>
      <c r="BG113" s="57" t="n">
        <f aca="false">4*Input!$AA$14*(Input!$AA$15/2)*(1-AY113^2)/AX113*((BD113-BD112)+(1-2*AY113)/(1-AY113)*(BE113-BE112))*1000*BF113</f>
        <v>0</v>
      </c>
      <c r="BH113" s="57" t="n">
        <f aca="false">IF(AM113="Sand",0,0.009*(AR113-10))</f>
        <v>0.162639</v>
      </c>
      <c r="BI113" s="57" t="n">
        <f aca="false">BH113*Input!$AA$39</f>
        <v>0.0325278</v>
      </c>
      <c r="BJ113" s="57" t="n">
        <f aca="false">IF(AM113="Sand",0,MAX(AV113/Input!$AA$40,AQ113))</f>
        <v>750</v>
      </c>
      <c r="BK113" s="57" t="n">
        <f aca="false">IF(AM113="Sand",0,1000*AK113/(1+AU113)*IF(AQ113+BC113&lt;=BJ113,BI113*LOG10((AQ113+BC113)/AQ113),BI113*LOG10(BJ113/AQ113)+BH113*LOG10((AQ113+BC113)/BJ113)))*BF113</f>
        <v>0</v>
      </c>
      <c r="BL113" s="57" t="n">
        <f aca="false">IF(AM113="Sand",0,10^(INDEX(Input!$Q$51:$Q$57,MIN(MATCH(MIN(MAX(AR113,30),120),Input!$C$51:$C$57,1),6))+(MIN(MAX(AR113,30),120)-INDEX(Input!$C$51:$C$57,MIN(MATCH(MIN(MAX(AR113,30),120),Input!$C$51:$C$57,1),6)))/(INDEX(Input!$C$51:$C$57,MIN(MATCH(MIN(MAX(AR113,30),120),Input!$C$51:$C$57,1),6)+1)-INDEX(Input!$C$51:$C$57,MIN(MATCH(MIN(MAX(AR113,30),120),Input!$C$51:$C$57,1),6)))*(INDEX(Input!$Q$51:$Q$57,MIN(MATCH(MIN(MAX(AR113,30),120),Input!$C$51:$C$57,1),6)+1)-INDEX(Input!$Q$51:$Q$57,MIN(MATCH(MIN(MAX(AR113,30),120),Input!$C$51:$C$57,1),6)))))</f>
        <v>0.003</v>
      </c>
      <c r="BM113" s="57" t="n">
        <f aca="false">IF(OR(AM113="Sand",BF113=0),0,Input!$AA$41*(AK113/2)^2/(BL113*0.0001*31536000))</f>
        <v>0</v>
      </c>
      <c r="BN113" s="57" t="n">
        <f aca="false">MAX(0,MIN(AJ113,Input!$AA$20)-AI113)</f>
        <v>0</v>
      </c>
      <c r="BO113" s="57" t="n">
        <f aca="false">MAX(0,MIN(AJ113,Input!$AA$20)-MAX(AI113,$AA$23))</f>
        <v>0</v>
      </c>
      <c r="BP113" s="57" t="n">
        <f aca="false">BG113+BK113</f>
        <v>0</v>
      </c>
      <c r="BQ113" s="57" t="s">
        <v>342</v>
      </c>
    </row>
    <row r="114" customFormat="false" ht="14.25" hidden="false" customHeight="false" outlineLevel="0" collapsed="false">
      <c r="B114" s="7"/>
      <c r="C114" s="46" t="n">
        <v>32</v>
      </c>
      <c r="D114" s="46"/>
      <c r="E114" s="44" t="n">
        <f aca="false">AI114</f>
        <v>46.5</v>
      </c>
      <c r="F114" s="44"/>
      <c r="G114" s="44"/>
      <c r="H114" s="44" t="n">
        <f aca="false">AJ114</f>
        <v>48</v>
      </c>
      <c r="I114" s="44"/>
      <c r="J114" s="44"/>
      <c r="K114" s="41" t="str">
        <f aca="false">AM114</f>
        <v>Clay</v>
      </c>
      <c r="L114" s="41"/>
      <c r="M114" s="41"/>
      <c r="N114" s="46" t="n">
        <f aca="false">AN114</f>
        <v>36</v>
      </c>
      <c r="O114" s="46"/>
      <c r="P114" s="46"/>
      <c r="Q114" s="42" t="n">
        <f aca="false">AO114</f>
        <v>20.2</v>
      </c>
      <c r="R114" s="42"/>
      <c r="S114" s="42"/>
      <c r="T114" s="46" t="n">
        <f aca="false">IF(AR114="","-",AR114)</f>
        <v>39.36</v>
      </c>
      <c r="U114" s="46"/>
      <c r="V114" s="46" t="n">
        <f aca="false">IF(AT114="","-",AT114)</f>
        <v>13.99</v>
      </c>
      <c r="W114" s="46"/>
      <c r="X114" s="44" t="n">
        <f aca="false">AU114</f>
        <v>0.841</v>
      </c>
      <c r="Y114" s="44"/>
      <c r="Z114" s="55" t="n">
        <f aca="false">AV114</f>
        <v>180</v>
      </c>
      <c r="AA114" s="55"/>
      <c r="AB114" s="55"/>
      <c r="AC114" s="42" t="n">
        <f aca="false">AW114</f>
        <v>30</v>
      </c>
      <c r="AD114" s="42"/>
      <c r="AE114" s="42"/>
      <c r="AF114" s="12"/>
      <c r="AI114" s="56" t="n">
        <v>46.5</v>
      </c>
      <c r="AJ114" s="56" t="n">
        <v>48</v>
      </c>
      <c r="AK114" s="57" t="n">
        <f aca="false">AJ114-AI114</f>
        <v>1.5</v>
      </c>
      <c r="AL114" s="57" t="n">
        <f aca="false">(AI114+AJ114)/2</f>
        <v>47.25</v>
      </c>
      <c r="AM114" s="56" t="s">
        <v>196</v>
      </c>
      <c r="AN114" s="56" t="n">
        <v>36</v>
      </c>
      <c r="AO114" s="58" t="n">
        <f aca="false">IF(AL114&gt;$AA$20,$AA$22,$AA$21)</f>
        <v>20.2</v>
      </c>
      <c r="AP114" s="57" t="n">
        <f aca="false">AP113+AO114*AK114</f>
        <v>964.2</v>
      </c>
      <c r="AQ114" s="57" t="n">
        <f aca="false">AP114-AO114*AK114/2-10*MAX(AL114-$AA$20,0)</f>
        <v>566.55</v>
      </c>
      <c r="AR114" s="56" t="n">
        <v>39.36</v>
      </c>
      <c r="AS114" s="56" t="n">
        <v>25.37</v>
      </c>
      <c r="AT114" s="57" t="n">
        <f aca="false">IF(AR114="","",AR114-AS114)</f>
        <v>13.99</v>
      </c>
      <c r="AU114" s="56" t="n">
        <v>0.841</v>
      </c>
      <c r="AV114" s="57" t="n">
        <f aca="false">IF(AM114="Sand",0,Input!$AA$34*AN114)</f>
        <v>180</v>
      </c>
      <c r="AW114" s="57" t="n">
        <f aca="false">IF(AM114="Sand",27.1+0.3*MIN(Input!$AA$35*AN114,60)-0.00054*MIN(Input!$AA$35*AN114,60)^2,MIN(MAX(DEGREES(ASIN(0.8-0.094*LN(MAX(IF(AT114="",10,AT114),5)))),20),30))</f>
        <v>30</v>
      </c>
      <c r="AX114" s="57" t="n">
        <f aca="false">IF(AM114="Sand",Input!$AA$36*Input!$AA$35*AN114,Input!$AA$37*AV114)</f>
        <v>90000</v>
      </c>
      <c r="AY114" s="57" t="n">
        <f aca="false">IF(AM114="Sand",Input!$AA$38,0.5)</f>
        <v>0.5</v>
      </c>
      <c r="AZ114" s="57" t="n">
        <f aca="false">Input!$AA$15/2/AL114</f>
        <v>0.783068783068783</v>
      </c>
      <c r="BA114" s="57" t="n">
        <f aca="false">Input!$AA$16/2/AL114</f>
        <v>2.13756613756614</v>
      </c>
      <c r="BB114" s="57" t="n">
        <f aca="false">1/(4*PI())*(2*AZ114*BA114*SQRT(AZ114^2+BA114^2+1)/(AZ114^2+BA114^2+1+AZ114^2*BA114^2)*(AZ114^2+BA114^2+2)/(AZ114^2+BA114^2+1)+ATAN2(AZ114^2+BA114^2+1-AZ114^2*BA114^2,2*AZ114*BA114*SQRT(AZ114^2+BA114^2+1)))</f>
        <v>0.179955425946873</v>
      </c>
      <c r="BC114" s="57" t="n">
        <f aca="false">4*Input!$AA$14*BB114</f>
        <v>97.8957517150986</v>
      </c>
      <c r="BD114" s="57" t="n">
        <f aca="false">((Input!$AA$16/Input!$AA$15)*LN((1+SQRT((Input!$AA$16/Input!$AA$15)^2+1))*SQRT((Input!$AA$16/Input!$AA$15)^2+(AJ114/(Input!$AA$15/2))^2)/((Input!$AA$16/Input!$AA$15)*(1+SQRT((Input!$AA$16/Input!$AA$15)^2+(AJ114/(Input!$AA$15/2))^2+1))))+LN(((Input!$AA$16/Input!$AA$15)+SQRT((Input!$AA$16/Input!$AA$15)^2+1))*SQRT(1+(AJ114/(Input!$AA$15/2))^2)/((Input!$AA$16/Input!$AA$15)+SQRT((Input!$AA$16/Input!$AA$15)^2+(AJ114/(Input!$AA$15/2))^2+1))))/PI()</f>
        <v>0.170938053366324</v>
      </c>
      <c r="BE114" s="57" t="n">
        <f aca="false">(AJ114/(Input!$AA$15/2))/(2*PI())*ATAN((Input!$AA$16/Input!$AA$15)/((AJ114/(Input!$AA$15/2))*SQRT((Input!$AA$16/Input!$AA$15)^2+(AJ114/(Input!$AA$15/2))^2+1)))</f>
        <v>0.120589055170862</v>
      </c>
      <c r="BF114" s="57" t="n">
        <f aca="false">MAX(0,AJ114-MAX(AI114,$AA$23))/AK114*IF(BC114&gt;=Input!$AA$21*AQ114,1,0)</f>
        <v>0</v>
      </c>
      <c r="BG114" s="57" t="n">
        <f aca="false">4*Input!$AA$14*(Input!$AA$15/2)*(1-AY114^2)/AX114*((BD114-BD113)+(1-2*AY114)/(1-AY114)*(BE114-BE113))*1000*BF114</f>
        <v>0</v>
      </c>
      <c r="BH114" s="57" t="n">
        <f aca="false">IF(AM114="Sand",0,0.009*(AR114-10))</f>
        <v>0.26424</v>
      </c>
      <c r="BI114" s="57" t="n">
        <f aca="false">BH114*Input!$AA$39</f>
        <v>0.052848</v>
      </c>
      <c r="BJ114" s="57" t="n">
        <f aca="false">IF(AM114="Sand",0,MAX(AV114/Input!$AA$40,AQ114))</f>
        <v>818.181818181818</v>
      </c>
      <c r="BK114" s="57" t="n">
        <f aca="false">IF(AM114="Sand",0,1000*AK114/(1+AU114)*IF(AQ114+BC114&lt;=BJ114,BI114*LOG10((AQ114+BC114)/AQ114),BI114*LOG10(BJ114/AQ114)+BH114*LOG10((AQ114+BC114)/BJ114)))*BF114</f>
        <v>0</v>
      </c>
      <c r="BL114" s="57" t="n">
        <f aca="false">IF(AM114="Sand",0,10^(INDEX(Input!$Q$51:$Q$57,MIN(MATCH(MIN(MAX(AR114,30),120),Input!$C$51:$C$57,1),6))+(MIN(MAX(AR114,30),120)-INDEX(Input!$C$51:$C$57,MIN(MATCH(MIN(MAX(AR114,30),120),Input!$C$51:$C$57,1),6)))/(INDEX(Input!$C$51:$C$57,MIN(MATCH(MIN(MAX(AR114,30),120),Input!$C$51:$C$57,1),6)+1)-INDEX(Input!$C$51:$C$57,MIN(MATCH(MIN(MAX(AR114,30),120),Input!$C$51:$C$57,1),6)))*(INDEX(Input!$Q$51:$Q$57,MIN(MATCH(MIN(MAX(AR114,30),120),Input!$C$51:$C$57,1),6)+1)-INDEX(Input!$Q$51:$Q$57,MIN(MATCH(MIN(MAX(AR114,30),120),Input!$C$51:$C$57,1),6)))))</f>
        <v>0.00156804015030775</v>
      </c>
      <c r="BM114" s="57" t="n">
        <f aca="false">IF(OR(AM114="Sand",BF114=0),0,Input!$AA$41*(AK114/2)^2/(BL114*0.0001*31536000))</f>
        <v>0</v>
      </c>
      <c r="BN114" s="57" t="n">
        <f aca="false">MAX(0,MIN(AJ114,Input!$AA$20)-AI114)</f>
        <v>0</v>
      </c>
      <c r="BO114" s="57" t="n">
        <f aca="false">MAX(0,MIN(AJ114,Input!$AA$20)-MAX(AI114,$AA$23))</f>
        <v>0</v>
      </c>
      <c r="BP114" s="57" t="n">
        <f aca="false">BG114+BK114</f>
        <v>0</v>
      </c>
      <c r="BQ114" s="57" t="s">
        <v>343</v>
      </c>
    </row>
    <row r="115" customFormat="false" ht="14.25" hidden="false" customHeight="false" outlineLevel="0" collapsed="false">
      <c r="B115" s="7"/>
      <c r="C115" s="46" t="n">
        <v>33</v>
      </c>
      <c r="D115" s="46"/>
      <c r="E115" s="44" t="n">
        <f aca="false">AI115</f>
        <v>48</v>
      </c>
      <c r="F115" s="44"/>
      <c r="G115" s="44"/>
      <c r="H115" s="44" t="n">
        <f aca="false">AJ115</f>
        <v>49.5</v>
      </c>
      <c r="I115" s="44"/>
      <c r="J115" s="44"/>
      <c r="K115" s="41" t="str">
        <f aca="false">AM115</f>
        <v>Clay</v>
      </c>
      <c r="L115" s="41"/>
      <c r="M115" s="41"/>
      <c r="N115" s="46" t="n">
        <f aca="false">AN115</f>
        <v>31</v>
      </c>
      <c r="O115" s="46"/>
      <c r="P115" s="46"/>
      <c r="Q115" s="42" t="n">
        <f aca="false">AO115</f>
        <v>20.2</v>
      </c>
      <c r="R115" s="42"/>
      <c r="S115" s="42"/>
      <c r="T115" s="46" t="n">
        <f aca="false">IF(AR115="","-",AR115)</f>
        <v>28.071</v>
      </c>
      <c r="U115" s="46"/>
      <c r="V115" s="46" t="n">
        <f aca="false">IF(AT115="","-",AT115)</f>
        <v>9.239</v>
      </c>
      <c r="W115" s="46"/>
      <c r="X115" s="44" t="n">
        <f aca="false">AU115</f>
        <v>0.59</v>
      </c>
      <c r="Y115" s="44"/>
      <c r="Z115" s="55" t="n">
        <f aca="false">AV115</f>
        <v>155</v>
      </c>
      <c r="AA115" s="55"/>
      <c r="AB115" s="55"/>
      <c r="AC115" s="42" t="n">
        <f aca="false">AW115</f>
        <v>30</v>
      </c>
      <c r="AD115" s="42"/>
      <c r="AE115" s="42"/>
      <c r="AF115" s="12"/>
      <c r="AI115" s="56" t="n">
        <v>48</v>
      </c>
      <c r="AJ115" s="56" t="n">
        <v>49.5</v>
      </c>
      <c r="AK115" s="57" t="n">
        <f aca="false">AJ115-AI115</f>
        <v>1.5</v>
      </c>
      <c r="AL115" s="57" t="n">
        <f aca="false">(AI115+AJ115)/2</f>
        <v>48.75</v>
      </c>
      <c r="AM115" s="56" t="s">
        <v>196</v>
      </c>
      <c r="AN115" s="56" t="n">
        <v>31</v>
      </c>
      <c r="AO115" s="58" t="n">
        <f aca="false">IF(AL115&gt;$AA$20,$AA$22,$AA$21)</f>
        <v>20.2</v>
      </c>
      <c r="AP115" s="57" t="n">
        <f aca="false">AP114+AO115*AK115</f>
        <v>994.499999999999</v>
      </c>
      <c r="AQ115" s="57" t="n">
        <f aca="false">AP115-AO115*AK115/2-10*MAX(AL115-$AA$20,0)</f>
        <v>581.85</v>
      </c>
      <c r="AR115" s="56" t="n">
        <v>28.071</v>
      </c>
      <c r="AS115" s="56" t="n">
        <v>18.832</v>
      </c>
      <c r="AT115" s="57" t="n">
        <f aca="false">IF(AR115="","",AR115-AS115)</f>
        <v>9.239</v>
      </c>
      <c r="AU115" s="56" t="n">
        <v>0.59</v>
      </c>
      <c r="AV115" s="57" t="n">
        <f aca="false">IF(AM115="Sand",0,Input!$AA$34*AN115)</f>
        <v>155</v>
      </c>
      <c r="AW115" s="57" t="n">
        <f aca="false">IF(AM115="Sand",27.1+0.3*MIN(Input!$AA$35*AN115,60)-0.00054*MIN(Input!$AA$35*AN115,60)^2,MIN(MAX(DEGREES(ASIN(0.8-0.094*LN(MAX(IF(AT115="",10,AT115),5)))),20),30))</f>
        <v>30</v>
      </c>
      <c r="AX115" s="57" t="n">
        <f aca="false">IF(AM115="Sand",Input!$AA$36*Input!$AA$35*AN115,Input!$AA$37*AV115)</f>
        <v>77500</v>
      </c>
      <c r="AY115" s="57" t="n">
        <f aca="false">IF(AM115="Sand",Input!$AA$38,0.5)</f>
        <v>0.5</v>
      </c>
      <c r="AZ115" s="57" t="n">
        <f aca="false">Input!$AA$15/2/AL115</f>
        <v>0.758974358974359</v>
      </c>
      <c r="BA115" s="57" t="n">
        <f aca="false">Input!$AA$16/2/AL115</f>
        <v>2.07179487179487</v>
      </c>
      <c r="BB115" s="57" t="n">
        <f aca="false">1/(4*PI())*(2*AZ115*BA115*SQRT(AZ115^2+BA115^2+1)/(AZ115^2+BA115^2+1+AZ115^2*BA115^2)*(AZ115^2+BA115^2+2)/(AZ115^2+BA115^2+1)+ATAN2(AZ115^2+BA115^2+1-AZ115^2*BA115^2,2*AZ115*BA115*SQRT(AZ115^2+BA115^2+1)))</f>
        <v>0.176702307674372</v>
      </c>
      <c r="BC115" s="57" t="n">
        <f aca="false">4*Input!$AA$14*BB115</f>
        <v>96.1260553748583</v>
      </c>
      <c r="BD115" s="57" t="n">
        <f aca="false">((Input!$AA$16/Input!$AA$15)*LN((1+SQRT((Input!$AA$16/Input!$AA$15)^2+1))*SQRT((Input!$AA$16/Input!$AA$15)^2+(AJ115/(Input!$AA$15/2))^2)/((Input!$AA$16/Input!$AA$15)*(1+SQRT((Input!$AA$16/Input!$AA$15)^2+(AJ115/(Input!$AA$15/2))^2+1))))+LN(((Input!$AA$16/Input!$AA$15)+SQRT((Input!$AA$16/Input!$AA$15)^2+1))*SQRT(1+(AJ115/(Input!$AA$15/2))^2)/((Input!$AA$16/Input!$AA$15)+SQRT((Input!$AA$16/Input!$AA$15)^2+(AJ115/(Input!$AA$15/2))^2+1))))/PI()</f>
        <v>0.177835390268971</v>
      </c>
      <c r="BE115" s="57" t="n">
        <f aca="false">(AJ115/(Input!$AA$15/2))/(2*PI())*ATAN((Input!$AA$16/Input!$AA$15)/((AJ115/(Input!$AA$15/2))*SQRT((Input!$AA$16/Input!$AA$15)^2+(AJ115/(Input!$AA$15/2))^2+1)))</f>
        <v>0.120855397057084</v>
      </c>
      <c r="BF115" s="57" t="n">
        <f aca="false">MAX(0,AJ115-MAX(AI115,$AA$23))/AK115*IF(BC115&gt;=Input!$AA$21*AQ115,1,0)</f>
        <v>0</v>
      </c>
      <c r="BG115" s="57" t="n">
        <f aca="false">4*Input!$AA$14*(Input!$AA$15/2)*(1-AY115^2)/AX115*((BD115-BD114)+(1-2*AY115)/(1-AY115)*(BE115-BE114))*1000*BF115</f>
        <v>0</v>
      </c>
      <c r="BH115" s="57" t="n">
        <f aca="false">IF(AM115="Sand",0,0.009*(AR115-10))</f>
        <v>0.162639</v>
      </c>
      <c r="BI115" s="57" t="n">
        <f aca="false">BH115*Input!$AA$39</f>
        <v>0.0325278</v>
      </c>
      <c r="BJ115" s="57" t="n">
        <f aca="false">IF(AM115="Sand",0,MAX(AV115/Input!$AA$40,AQ115))</f>
        <v>704.545454545455</v>
      </c>
      <c r="BK115" s="57" t="n">
        <f aca="false">IF(AM115="Sand",0,1000*AK115/(1+AU115)*IF(AQ115+BC115&lt;=BJ115,BI115*LOG10((AQ115+BC115)/AQ115),BI115*LOG10(BJ115/AQ115)+BH115*LOG10((AQ115+BC115)/BJ115)))*BF115</f>
        <v>0</v>
      </c>
      <c r="BL115" s="57" t="n">
        <f aca="false">IF(AM115="Sand",0,10^(INDEX(Input!$Q$51:$Q$57,MIN(MATCH(MIN(MAX(AR115,30),120),Input!$C$51:$C$57,1),6))+(MIN(MAX(AR115,30),120)-INDEX(Input!$C$51:$C$57,MIN(MATCH(MIN(MAX(AR115,30),120),Input!$C$51:$C$57,1),6)))/(INDEX(Input!$C$51:$C$57,MIN(MATCH(MIN(MAX(AR115,30),120),Input!$C$51:$C$57,1),6)+1)-INDEX(Input!$C$51:$C$57,MIN(MATCH(MIN(MAX(AR115,30),120),Input!$C$51:$C$57,1),6)))*(INDEX(Input!$Q$51:$Q$57,MIN(MATCH(MIN(MAX(AR115,30),120),Input!$C$51:$C$57,1),6)+1)-INDEX(Input!$Q$51:$Q$57,MIN(MATCH(MIN(MAX(AR115,30),120),Input!$C$51:$C$57,1),6)))))</f>
        <v>0.003</v>
      </c>
      <c r="BM115" s="57" t="n">
        <f aca="false">IF(OR(AM115="Sand",BF115=0),0,Input!$AA$41*(AK115/2)^2/(BL115*0.0001*31536000))</f>
        <v>0</v>
      </c>
      <c r="BN115" s="57" t="n">
        <f aca="false">MAX(0,MIN(AJ115,Input!$AA$20)-AI115)</f>
        <v>0</v>
      </c>
      <c r="BO115" s="57" t="n">
        <f aca="false">MAX(0,MIN(AJ115,Input!$AA$20)-MAX(AI115,$AA$23))</f>
        <v>0</v>
      </c>
      <c r="BP115" s="57" t="n">
        <f aca="false">BG115+BK115</f>
        <v>0</v>
      </c>
      <c r="BQ115" s="57" t="s">
        <v>342</v>
      </c>
    </row>
    <row r="116" customFormat="false" ht="14.25" hidden="false" customHeight="false" outlineLevel="0" collapsed="false">
      <c r="B116" s="7"/>
      <c r="C116" s="46" t="n">
        <v>34</v>
      </c>
      <c r="D116" s="46"/>
      <c r="E116" s="44" t="n">
        <f aca="false">AI116</f>
        <v>49.5</v>
      </c>
      <c r="F116" s="44"/>
      <c r="G116" s="44"/>
      <c r="H116" s="44" t="n">
        <f aca="false">AJ116</f>
        <v>51</v>
      </c>
      <c r="I116" s="44"/>
      <c r="J116" s="44"/>
      <c r="K116" s="41" t="str">
        <f aca="false">AM116</f>
        <v>Sand</v>
      </c>
      <c r="L116" s="41"/>
      <c r="M116" s="41"/>
      <c r="N116" s="46" t="n">
        <f aca="false">AN116</f>
        <v>30</v>
      </c>
      <c r="O116" s="46"/>
      <c r="P116" s="46"/>
      <c r="Q116" s="42" t="n">
        <f aca="false">AO116</f>
        <v>20.2</v>
      </c>
      <c r="R116" s="42"/>
      <c r="S116" s="42"/>
      <c r="T116" s="46" t="str">
        <f aca="false">IF(AR116="","-",AR116)</f>
        <v>-</v>
      </c>
      <c r="U116" s="46"/>
      <c r="V116" s="46" t="str">
        <f aca="false">IF(AT116="","-",AT116)</f>
        <v>-</v>
      </c>
      <c r="W116" s="46"/>
      <c r="X116" s="44" t="n">
        <f aca="false">AU116</f>
        <v>0.357</v>
      </c>
      <c r="Y116" s="44"/>
      <c r="Z116" s="55" t="n">
        <f aca="false">AV116</f>
        <v>0</v>
      </c>
      <c r="AA116" s="55"/>
      <c r="AB116" s="55"/>
      <c r="AC116" s="42" t="n">
        <f aca="false">AW116</f>
        <v>36.276975946</v>
      </c>
      <c r="AD116" s="42"/>
      <c r="AE116" s="42"/>
      <c r="AF116" s="12"/>
      <c r="AI116" s="56" t="n">
        <v>49.5</v>
      </c>
      <c r="AJ116" s="56" t="n">
        <v>51</v>
      </c>
      <c r="AK116" s="57" t="n">
        <f aca="false">AJ116-AI116</f>
        <v>1.5</v>
      </c>
      <c r="AL116" s="57" t="n">
        <f aca="false">(AI116+AJ116)/2</f>
        <v>50.25</v>
      </c>
      <c r="AM116" s="56" t="s">
        <v>199</v>
      </c>
      <c r="AN116" s="56" t="n">
        <v>30</v>
      </c>
      <c r="AO116" s="58" t="n">
        <f aca="false">IF(AL116&gt;$AA$20,$AA$22,$AA$21)</f>
        <v>20.2</v>
      </c>
      <c r="AP116" s="57" t="n">
        <f aca="false">AP115+AO116*AK116</f>
        <v>1024.8</v>
      </c>
      <c r="AQ116" s="57" t="n">
        <f aca="false">AP116-AO116*AK116/2-10*MAX(AL116-$AA$20,0)</f>
        <v>597.15</v>
      </c>
      <c r="AR116" s="56"/>
      <c r="AS116" s="56"/>
      <c r="AT116" s="57" t="str">
        <f aca="false">IF(AR116="","",AR116-AS116)</f>
        <v/>
      </c>
      <c r="AU116" s="56" t="n">
        <v>0.357</v>
      </c>
      <c r="AV116" s="57" t="n">
        <f aca="false">IF(AM116="Sand",0,Input!$AA$34*AN116)</f>
        <v>0</v>
      </c>
      <c r="AW116" s="57" t="n">
        <f aca="false">IF(AM116="Sand",27.1+0.3*MIN(Input!$AA$35*AN116,60)-0.00054*MIN(Input!$AA$35*AN116,60)^2,MIN(MAX(DEGREES(ASIN(0.8-0.094*LN(MAX(IF(AT116="",10,AT116),5)))),20),30))</f>
        <v>36.276975946</v>
      </c>
      <c r="AX116" s="57" t="n">
        <f aca="false">IF(AM116="Sand",Input!$AA$36*Input!$AA$35*AN116,Input!$AA$37*AV116)</f>
        <v>32490</v>
      </c>
      <c r="AY116" s="59" t="n">
        <f aca="false">IF(AM116="Sand",Input!$AA$38,0.5)</f>
        <v>0.3</v>
      </c>
      <c r="AZ116" s="57" t="n">
        <f aca="false">Input!$AA$15/2/AL116</f>
        <v>0.736318407960199</v>
      </c>
      <c r="BA116" s="57" t="n">
        <f aca="false">Input!$AA$16/2/AL116</f>
        <v>2.00995024875622</v>
      </c>
      <c r="BB116" s="57" t="n">
        <f aca="false">1/(4*PI())*(2*AZ116*BA116*SQRT(AZ116^2+BA116^2+1)/(AZ116^2+BA116^2+1+AZ116^2*BA116^2)*(AZ116^2+BA116^2+2)/(AZ116^2+BA116^2+1)+ATAN2(AZ116^2+BA116^2+1-AZ116^2*BA116^2,2*AZ116*BA116*SQRT(AZ116^2+BA116^2+1)))</f>
        <v>0.173491603228654</v>
      </c>
      <c r="BC116" s="57" t="n">
        <f aca="false">4*Input!$AA$14*BB116</f>
        <v>94.379432156388</v>
      </c>
      <c r="BD116" s="57" t="n">
        <f aca="false">((Input!$AA$16/Input!$AA$15)*LN((1+SQRT((Input!$AA$16/Input!$AA$15)^2+1))*SQRT((Input!$AA$16/Input!$AA$15)^2+(AJ116/(Input!$AA$15/2))^2)/((Input!$AA$16/Input!$AA$15)*(1+SQRT((Input!$AA$16/Input!$AA$15)^2+(AJ116/(Input!$AA$15/2))^2+1))))+LN(((Input!$AA$16/Input!$AA$15)+SQRT((Input!$AA$16/Input!$AA$15)^2+1))*SQRT(1+(AJ116/(Input!$AA$15/2))^2)/((Input!$AA$16/Input!$AA$15)+SQRT((Input!$AA$16/Input!$AA$15)^2+(AJ116/(Input!$AA$15/2))^2+1))))/PI()</f>
        <v>0.184680682380465</v>
      </c>
      <c r="BE116" s="57" t="n">
        <f aca="false">(AJ116/(Input!$AA$15/2))/(2*PI())*ATAN((Input!$AA$16/Input!$AA$15)/((AJ116/(Input!$AA$15/2))*SQRT((Input!$AA$16/Input!$AA$15)^2+(AJ116/(Input!$AA$15/2))^2+1)))</f>
        <v>0.121043625132288</v>
      </c>
      <c r="BF116" s="57" t="n">
        <f aca="false">MAX(0,AJ116-MAX(AI116,$AA$23))/AK116*IF(BC116&gt;=Input!$AA$21*AQ116,1,0)</f>
        <v>0</v>
      </c>
      <c r="BG116" s="57" t="n">
        <f aca="false">4*Input!$AA$14*(Input!$AA$15/2)*(1-AY116^2)/AX116*((BD116-BD115)+(1-2*AY116)/(1-AY116)*(BE116-BE115))*1000*BF116</f>
        <v>0</v>
      </c>
      <c r="BH116" s="57" t="n">
        <f aca="false">IF(AM116="Sand",0,0.009*(AR116-10))</f>
        <v>0</v>
      </c>
      <c r="BI116" s="57" t="n">
        <f aca="false">BH116*Input!$AA$39</f>
        <v>0</v>
      </c>
      <c r="BJ116" s="57" t="n">
        <f aca="false">IF(AM116="Sand",0,MAX(AV116/Input!$AA$40,AQ116))</f>
        <v>0</v>
      </c>
      <c r="BK116" s="57" t="n">
        <f aca="false">IF(AM116="Sand",0,1000*AK116/(1+AU116)*IF(AQ116+BC116&lt;=BJ116,BI116*LOG10((AQ116+BC116)/AQ116),BI116*LOG10(BJ116/AQ116)+BH116*LOG10((AQ116+BC116)/BJ116)))*BF116</f>
        <v>0</v>
      </c>
      <c r="BL116" s="57" t="n">
        <f aca="false">IF(AM116="Sand",0,10^(INDEX(Input!$Q$51:$Q$57,MIN(MATCH(MIN(MAX(AR116,30),120),Input!$C$51:$C$57,1),6))+(MIN(MAX(AR116,30),120)-INDEX(Input!$C$51:$C$57,MIN(MATCH(MIN(MAX(AR116,30),120),Input!$C$51:$C$57,1),6)))/(INDEX(Input!$C$51:$C$57,MIN(MATCH(MIN(MAX(AR116,30),120),Input!$C$51:$C$57,1),6)+1)-INDEX(Input!$C$51:$C$57,MIN(MATCH(MIN(MAX(AR116,30),120),Input!$C$51:$C$57,1),6)))*(INDEX(Input!$Q$51:$Q$57,MIN(MATCH(MIN(MAX(AR116,30),120),Input!$C$51:$C$57,1),6)+1)-INDEX(Input!$Q$51:$Q$57,MIN(MATCH(MIN(MAX(AR116,30),120),Input!$C$51:$C$57,1),6)))))</f>
        <v>0</v>
      </c>
      <c r="BM116" s="57" t="n">
        <f aca="false">IF(OR(AM116="Sand",BF116=0),0,Input!$AA$41*(AK116/2)^2/(BL116*0.0001*31536000))</f>
        <v>0</v>
      </c>
      <c r="BN116" s="57" t="n">
        <f aca="false">MAX(0,MIN(AJ116,Input!$AA$20)-AI116)</f>
        <v>0</v>
      </c>
      <c r="BO116" s="57" t="n">
        <f aca="false">MAX(0,MIN(AJ116,Input!$AA$20)-MAX(AI116,$AA$23))</f>
        <v>0</v>
      </c>
      <c r="BP116" s="57" t="n">
        <f aca="false">BG116+BK116</f>
        <v>0</v>
      </c>
      <c r="BQ116" s="57" t="s">
        <v>343</v>
      </c>
    </row>
    <row r="117" customFormat="false" ht="14.25" hidden="false" customHeight="false" outlineLevel="0" collapsed="false">
      <c r="B117" s="7"/>
      <c r="C117" s="46" t="n">
        <v>35</v>
      </c>
      <c r="D117" s="46"/>
      <c r="E117" s="44" t="n">
        <f aca="false">AI117</f>
        <v>51</v>
      </c>
      <c r="F117" s="44"/>
      <c r="G117" s="44"/>
      <c r="H117" s="44" t="n">
        <f aca="false">AJ117</f>
        <v>52.5</v>
      </c>
      <c r="I117" s="44"/>
      <c r="J117" s="44"/>
      <c r="K117" s="41" t="str">
        <f aca="false">AM117</f>
        <v>Sand</v>
      </c>
      <c r="L117" s="41"/>
      <c r="M117" s="41"/>
      <c r="N117" s="46" t="n">
        <f aca="false">AN117</f>
        <v>34</v>
      </c>
      <c r="O117" s="46"/>
      <c r="P117" s="46"/>
      <c r="Q117" s="42" t="n">
        <f aca="false">AO117</f>
        <v>20.2</v>
      </c>
      <c r="R117" s="42"/>
      <c r="S117" s="42"/>
      <c r="T117" s="46" t="str">
        <f aca="false">IF(AR117="","-",AR117)</f>
        <v>-</v>
      </c>
      <c r="U117" s="46"/>
      <c r="V117" s="46" t="str">
        <f aca="false">IF(AT117="","-",AT117)</f>
        <v>-</v>
      </c>
      <c r="W117" s="46"/>
      <c r="X117" s="44" t="n">
        <f aca="false">AU117</f>
        <v>0.65</v>
      </c>
      <c r="Y117" s="44"/>
      <c r="Z117" s="55" t="n">
        <f aca="false">AV117</f>
        <v>0</v>
      </c>
      <c r="AA117" s="55"/>
      <c r="AB117" s="55"/>
      <c r="AC117" s="42" t="n">
        <f aca="false">AW117</f>
        <v>37.41443577064</v>
      </c>
      <c r="AD117" s="42"/>
      <c r="AE117" s="42"/>
      <c r="AF117" s="12"/>
      <c r="AI117" s="56" t="n">
        <v>51</v>
      </c>
      <c r="AJ117" s="56" t="n">
        <v>52.5</v>
      </c>
      <c r="AK117" s="57" t="n">
        <f aca="false">AJ117-AI117</f>
        <v>1.5</v>
      </c>
      <c r="AL117" s="57" t="n">
        <f aca="false">(AI117+AJ117)/2</f>
        <v>51.75</v>
      </c>
      <c r="AM117" s="56" t="s">
        <v>199</v>
      </c>
      <c r="AN117" s="56" t="n">
        <v>34</v>
      </c>
      <c r="AO117" s="58" t="n">
        <f aca="false">IF(AL117&gt;$AA$20,$AA$22,$AA$21)</f>
        <v>20.2</v>
      </c>
      <c r="AP117" s="57" t="n">
        <f aca="false">AP116+AO117*AK117</f>
        <v>1055.1</v>
      </c>
      <c r="AQ117" s="57" t="n">
        <f aca="false">AP117-AO117*AK117/2-10*MAX(AL117-$AA$20,0)</f>
        <v>612.449999999999</v>
      </c>
      <c r="AR117" s="56"/>
      <c r="AS117" s="56"/>
      <c r="AT117" s="57" t="str">
        <f aca="false">IF(AR117="","",AR117-AS117)</f>
        <v/>
      </c>
      <c r="AU117" s="56" t="n">
        <v>0.65</v>
      </c>
      <c r="AV117" s="57" t="n">
        <f aca="false">IF(AM117="Sand",0,Input!$AA$34*AN117)</f>
        <v>0</v>
      </c>
      <c r="AW117" s="57" t="n">
        <f aca="false">IF(AM117="Sand",27.1+0.3*MIN(Input!$AA$35*AN117,60)-0.00054*MIN(Input!$AA$35*AN117,60)^2,MIN(MAX(DEGREES(ASIN(0.8-0.094*LN(MAX(IF(AT117="",10,AT117),5)))),20),30))</f>
        <v>37.41443577064</v>
      </c>
      <c r="AX117" s="57" t="n">
        <f aca="false">IF(AM117="Sand",Input!$AA$36*Input!$AA$35*AN117,Input!$AA$37*AV117)</f>
        <v>36822</v>
      </c>
      <c r="AY117" s="59" t="n">
        <f aca="false">IF(AM117="Sand",Input!$AA$38,0.5)</f>
        <v>0.3</v>
      </c>
      <c r="AZ117" s="57" t="n">
        <f aca="false">Input!$AA$15/2/AL117</f>
        <v>0.714975845410628</v>
      </c>
      <c r="BA117" s="57" t="n">
        <f aca="false">Input!$AA$16/2/AL117</f>
        <v>1.95169082125604</v>
      </c>
      <c r="BB117" s="57" t="n">
        <f aca="false">1/(4*PI())*(2*AZ117*BA117*SQRT(AZ117^2+BA117^2+1)/(AZ117^2+BA117^2+1+AZ117^2*BA117^2)*(AZ117^2+BA117^2+2)/(AZ117^2+BA117^2+1)+ATAN2(AZ117^2+BA117^2+1-AZ117^2*BA117^2,2*AZ117*BA117*SQRT(AZ117^2+BA117^2+1)))</f>
        <v>0.170326331941294</v>
      </c>
      <c r="BC117" s="57" t="n">
        <f aca="false">4*Input!$AA$14*BB117</f>
        <v>92.657524576064</v>
      </c>
      <c r="BD117" s="57" t="n">
        <f aca="false">((Input!$AA$16/Input!$AA$15)*LN((1+SQRT((Input!$AA$16/Input!$AA$15)^2+1))*SQRT((Input!$AA$16/Input!$AA$15)^2+(AJ117/(Input!$AA$15/2))^2)/((Input!$AA$16/Input!$AA$15)*(1+SQRT((Input!$AA$16/Input!$AA$15)^2+(AJ117/(Input!$AA$15/2))^2+1))))+LN(((Input!$AA$16/Input!$AA$15)+SQRT((Input!$AA$16/Input!$AA$15)^2+1))*SQRT(1+(AJ117/(Input!$AA$15/2))^2)/((Input!$AA$16/Input!$AA$15)+SQRT((Input!$AA$16/Input!$AA$15)^2+(AJ117/(Input!$AA$15/2))^2+1))))/PI()</f>
        <v>0.191469892767081</v>
      </c>
      <c r="BE117" s="57" t="n">
        <f aca="false">(AJ117/(Input!$AA$15/2))/(2*PI())*ATAN((Input!$AA$16/Input!$AA$15)/((AJ117/(Input!$AA$15/2))*SQRT((Input!$AA$16/Input!$AA$15)^2+(AJ117/(Input!$AA$15/2))^2+1)))</f>
        <v>0.121159617263437</v>
      </c>
      <c r="BF117" s="57" t="n">
        <f aca="false">MAX(0,AJ117-MAX(AI117,$AA$23))/AK117*IF(BC117&gt;=Input!$AA$21*AQ117,1,0)</f>
        <v>0</v>
      </c>
      <c r="BG117" s="57" t="n">
        <f aca="false">4*Input!$AA$14*(Input!$AA$15/2)*(1-AY117^2)/AX117*((BD117-BD116)+(1-2*AY117)/(1-AY117)*(BE117-BE116))*1000*BF117</f>
        <v>0</v>
      </c>
      <c r="BH117" s="57" t="n">
        <f aca="false">IF(AM117="Sand",0,0.009*(AR117-10))</f>
        <v>0</v>
      </c>
      <c r="BI117" s="57" t="n">
        <f aca="false">BH117*Input!$AA$39</f>
        <v>0</v>
      </c>
      <c r="BJ117" s="57" t="n">
        <f aca="false">IF(AM117="Sand",0,MAX(AV117/Input!$AA$40,AQ117))</f>
        <v>0</v>
      </c>
      <c r="BK117" s="57" t="n">
        <f aca="false">IF(AM117="Sand",0,1000*AK117/(1+AU117)*IF(AQ117+BC117&lt;=BJ117,BI117*LOG10((AQ117+BC117)/AQ117),BI117*LOG10(BJ117/AQ117)+BH117*LOG10((AQ117+BC117)/BJ117)))*BF117</f>
        <v>0</v>
      </c>
      <c r="BL117" s="57" t="n">
        <f aca="false">IF(AM117="Sand",0,10^(INDEX(Input!$Q$51:$Q$57,MIN(MATCH(MIN(MAX(AR117,30),120),Input!$C$51:$C$57,1),6))+(MIN(MAX(AR117,30),120)-INDEX(Input!$C$51:$C$57,MIN(MATCH(MIN(MAX(AR117,30),120),Input!$C$51:$C$57,1),6)))/(INDEX(Input!$C$51:$C$57,MIN(MATCH(MIN(MAX(AR117,30),120),Input!$C$51:$C$57,1),6)+1)-INDEX(Input!$C$51:$C$57,MIN(MATCH(MIN(MAX(AR117,30),120),Input!$C$51:$C$57,1),6)))*(INDEX(Input!$Q$51:$Q$57,MIN(MATCH(MIN(MAX(AR117,30),120),Input!$C$51:$C$57,1),6)+1)-INDEX(Input!$Q$51:$Q$57,MIN(MATCH(MIN(MAX(AR117,30),120),Input!$C$51:$C$57,1),6)))))</f>
        <v>0</v>
      </c>
      <c r="BM117" s="57" t="n">
        <f aca="false">IF(OR(AM117="Sand",BF117=0),0,Input!$AA$41*(AK117/2)^2/(BL117*0.0001*31536000))</f>
        <v>0</v>
      </c>
      <c r="BN117" s="57" t="n">
        <f aca="false">MAX(0,MIN(AJ117,Input!$AA$20)-AI117)</f>
        <v>0</v>
      </c>
      <c r="BO117" s="57" t="n">
        <f aca="false">MAX(0,MIN(AJ117,Input!$AA$20)-MAX(AI117,$AA$23))</f>
        <v>0</v>
      </c>
      <c r="BP117" s="57" t="n">
        <f aca="false">BG117+BK117</f>
        <v>0</v>
      </c>
      <c r="BQ117" s="57" t="s">
        <v>343</v>
      </c>
    </row>
    <row r="118" customFormat="false" ht="14.25" hidden="false" customHeight="false" outlineLevel="0" collapsed="false">
      <c r="B118" s="7"/>
      <c r="C118" s="46" t="n">
        <v>36</v>
      </c>
      <c r="D118" s="46"/>
      <c r="E118" s="44" t="n">
        <f aca="false">AI118</f>
        <v>52.5</v>
      </c>
      <c r="F118" s="44"/>
      <c r="G118" s="44"/>
      <c r="H118" s="44" t="n">
        <f aca="false">AJ118</f>
        <v>54</v>
      </c>
      <c r="I118" s="44"/>
      <c r="J118" s="44"/>
      <c r="K118" s="41" t="str">
        <f aca="false">AM118</f>
        <v>Clay</v>
      </c>
      <c r="L118" s="41"/>
      <c r="M118" s="41"/>
      <c r="N118" s="46" t="n">
        <f aca="false">AN118</f>
        <v>31</v>
      </c>
      <c r="O118" s="46"/>
      <c r="P118" s="46"/>
      <c r="Q118" s="42" t="n">
        <f aca="false">AO118</f>
        <v>20.2</v>
      </c>
      <c r="R118" s="42"/>
      <c r="S118" s="42"/>
      <c r="T118" s="46" t="n">
        <f aca="false">IF(AR118="","-",AR118)</f>
        <v>28.071</v>
      </c>
      <c r="U118" s="46"/>
      <c r="V118" s="46" t="n">
        <f aca="false">IF(AT118="","-",AT118)</f>
        <v>9.239</v>
      </c>
      <c r="W118" s="46"/>
      <c r="X118" s="44" t="n">
        <f aca="false">AU118</f>
        <v>0.59</v>
      </c>
      <c r="Y118" s="44"/>
      <c r="Z118" s="55" t="n">
        <f aca="false">AV118</f>
        <v>155</v>
      </c>
      <c r="AA118" s="55"/>
      <c r="AB118" s="55"/>
      <c r="AC118" s="42" t="n">
        <f aca="false">AW118</f>
        <v>30</v>
      </c>
      <c r="AD118" s="42"/>
      <c r="AE118" s="42"/>
      <c r="AF118" s="12"/>
      <c r="AI118" s="56" t="n">
        <v>52.5</v>
      </c>
      <c r="AJ118" s="56" t="n">
        <v>54</v>
      </c>
      <c r="AK118" s="57" t="n">
        <f aca="false">AJ118-AI118</f>
        <v>1.5</v>
      </c>
      <c r="AL118" s="57" t="n">
        <f aca="false">(AI118+AJ118)/2</f>
        <v>53.25</v>
      </c>
      <c r="AM118" s="56" t="s">
        <v>196</v>
      </c>
      <c r="AN118" s="56" t="n">
        <v>31</v>
      </c>
      <c r="AO118" s="58" t="n">
        <f aca="false">IF(AL118&gt;$AA$20,$AA$22,$AA$21)</f>
        <v>20.2</v>
      </c>
      <c r="AP118" s="57" t="n">
        <f aca="false">AP117+AO118*AK118</f>
        <v>1085.4</v>
      </c>
      <c r="AQ118" s="57" t="n">
        <f aca="false">AP118-AO118*AK118/2-10*MAX(AL118-$AA$20,0)</f>
        <v>627.749999999999</v>
      </c>
      <c r="AR118" s="56" t="n">
        <v>28.071</v>
      </c>
      <c r="AS118" s="56" t="n">
        <v>18.832</v>
      </c>
      <c r="AT118" s="57" t="n">
        <f aca="false">IF(AR118="","",AR118-AS118)</f>
        <v>9.239</v>
      </c>
      <c r="AU118" s="56" t="n">
        <v>0.59</v>
      </c>
      <c r="AV118" s="57" t="n">
        <f aca="false">IF(AM118="Sand",0,Input!$AA$34*AN118)</f>
        <v>155</v>
      </c>
      <c r="AW118" s="57" t="n">
        <f aca="false">IF(AM118="Sand",27.1+0.3*MIN(Input!$AA$35*AN118,60)-0.00054*MIN(Input!$AA$35*AN118,60)^2,MIN(MAX(DEGREES(ASIN(0.8-0.094*LN(MAX(IF(AT118="",10,AT118),5)))),20),30))</f>
        <v>30</v>
      </c>
      <c r="AX118" s="57" t="n">
        <f aca="false">IF(AM118="Sand",Input!$AA$36*Input!$AA$35*AN118,Input!$AA$37*AV118)</f>
        <v>77500</v>
      </c>
      <c r="AY118" s="57" t="n">
        <f aca="false">IF(AM118="Sand",Input!$AA$38,0.5)</f>
        <v>0.5</v>
      </c>
      <c r="AZ118" s="57" t="n">
        <f aca="false">Input!$AA$15/2/AL118</f>
        <v>0.694835680751174</v>
      </c>
      <c r="BA118" s="57" t="n">
        <f aca="false">Input!$AA$16/2/AL118</f>
        <v>1.89671361502347</v>
      </c>
      <c r="BB118" s="57" t="n">
        <f aca="false">1/(4*PI())*(2*AZ118*BA118*SQRT(AZ118^2+BA118^2+1)/(AZ118^2+BA118^2+1+AZ118^2*BA118^2)*(AZ118^2+BA118^2+2)/(AZ118^2+BA118^2+1)+ATAN2(AZ118^2+BA118^2+1-AZ118^2*BA118^2,2*AZ118*BA118*SQRT(AZ118^2+BA118^2+1)))</f>
        <v>0.167208949422951</v>
      </c>
      <c r="BC118" s="57" t="n">
        <f aca="false">4*Input!$AA$14*BB118</f>
        <v>90.9616684860851</v>
      </c>
      <c r="BD118" s="57" t="n">
        <f aca="false">((Input!$AA$16/Input!$AA$15)*LN((1+SQRT((Input!$AA$16/Input!$AA$15)^2+1))*SQRT((Input!$AA$16/Input!$AA$15)^2+(AJ118/(Input!$AA$15/2))^2)/((Input!$AA$16/Input!$AA$15)*(1+SQRT((Input!$AA$16/Input!$AA$15)^2+(AJ118/(Input!$AA$15/2))^2+1))))+LN(((Input!$AA$16/Input!$AA$15)+SQRT((Input!$AA$16/Input!$AA$15)^2+1))*SQRT(1+(AJ118/(Input!$AA$15/2))^2)/((Input!$AA$16/Input!$AA$15)+SQRT((Input!$AA$16/Input!$AA$15)^2+(AJ118/(Input!$AA$15/2))^2+1))))/PI()</f>
        <v>0.19819951737019</v>
      </c>
      <c r="BE118" s="57" t="n">
        <f aca="false">(AJ118/(Input!$AA$15/2))/(2*PI())*ATAN((Input!$AA$16/Input!$AA$15)/((AJ118/(Input!$AA$15/2))*SQRT((Input!$AA$16/Input!$AA$15)^2+(AJ118/(Input!$AA$15/2))^2+1)))</f>
        <v>0.121208818106769</v>
      </c>
      <c r="BF118" s="57" t="n">
        <f aca="false">MAX(0,AJ118-MAX(AI118,$AA$23))/AK118*IF(BC118&gt;=Input!$AA$21*AQ118,1,0)</f>
        <v>0</v>
      </c>
      <c r="BG118" s="57" t="n">
        <f aca="false">4*Input!$AA$14*(Input!$AA$15/2)*(1-AY118^2)/AX118*((BD118-BD117)+(1-2*AY118)/(1-AY118)*(BE118-BE117))*1000*BF118</f>
        <v>0</v>
      </c>
      <c r="BH118" s="57" t="n">
        <f aca="false">IF(AM118="Sand",0,0.009*(AR118-10))</f>
        <v>0.162639</v>
      </c>
      <c r="BI118" s="57" t="n">
        <f aca="false">BH118*Input!$AA$39</f>
        <v>0.0325278</v>
      </c>
      <c r="BJ118" s="57" t="n">
        <f aca="false">IF(AM118="Sand",0,MAX(AV118/Input!$AA$40,AQ118))</f>
        <v>704.545454545455</v>
      </c>
      <c r="BK118" s="57" t="n">
        <f aca="false">IF(AM118="Sand",0,1000*AK118/(1+AU118)*IF(AQ118+BC118&lt;=BJ118,BI118*LOG10((AQ118+BC118)/AQ118),BI118*LOG10(BJ118/AQ118)+BH118*LOG10((AQ118+BC118)/BJ118)))*BF118</f>
        <v>0</v>
      </c>
      <c r="BL118" s="57" t="n">
        <f aca="false">IF(AM118="Sand",0,10^(INDEX(Input!$Q$51:$Q$57,MIN(MATCH(MIN(MAX(AR118,30),120),Input!$C$51:$C$57,1),6))+(MIN(MAX(AR118,30),120)-INDEX(Input!$C$51:$C$57,MIN(MATCH(MIN(MAX(AR118,30),120),Input!$C$51:$C$57,1),6)))/(INDEX(Input!$C$51:$C$57,MIN(MATCH(MIN(MAX(AR118,30),120),Input!$C$51:$C$57,1),6)+1)-INDEX(Input!$C$51:$C$57,MIN(MATCH(MIN(MAX(AR118,30),120),Input!$C$51:$C$57,1),6)))*(INDEX(Input!$Q$51:$Q$57,MIN(MATCH(MIN(MAX(AR118,30),120),Input!$C$51:$C$57,1),6)+1)-INDEX(Input!$Q$51:$Q$57,MIN(MATCH(MIN(MAX(AR118,30),120),Input!$C$51:$C$57,1),6)))))</f>
        <v>0.003</v>
      </c>
      <c r="BM118" s="57" t="n">
        <f aca="false">IF(OR(AM118="Sand",BF118=0),0,Input!$AA$41*(AK118/2)^2/(BL118*0.0001*31536000))</f>
        <v>0</v>
      </c>
      <c r="BN118" s="57" t="n">
        <f aca="false">MAX(0,MIN(AJ118,Input!$AA$20)-AI118)</f>
        <v>0</v>
      </c>
      <c r="BO118" s="57" t="n">
        <f aca="false">MAX(0,MIN(AJ118,Input!$AA$20)-MAX(AI118,$AA$23))</f>
        <v>0</v>
      </c>
      <c r="BP118" s="57" t="n">
        <f aca="false">BG118+BK118</f>
        <v>0</v>
      </c>
      <c r="BQ118" s="57" t="s">
        <v>342</v>
      </c>
    </row>
    <row r="119" customFormat="false" ht="14.25" hidden="false" customHeight="false" outlineLevel="0" collapsed="false">
      <c r="B119" s="7"/>
      <c r="C119" s="46" t="n">
        <v>37</v>
      </c>
      <c r="D119" s="46"/>
      <c r="E119" s="44" t="n">
        <f aca="false">AI119</f>
        <v>54</v>
      </c>
      <c r="F119" s="44"/>
      <c r="G119" s="44"/>
      <c r="H119" s="44" t="n">
        <f aca="false">AJ119</f>
        <v>55.5</v>
      </c>
      <c r="I119" s="44"/>
      <c r="J119" s="44"/>
      <c r="K119" s="41" t="str">
        <f aca="false">AM119</f>
        <v>Sand</v>
      </c>
      <c r="L119" s="41"/>
      <c r="M119" s="41"/>
      <c r="N119" s="46" t="n">
        <f aca="false">AN119</f>
        <v>29</v>
      </c>
      <c r="O119" s="46"/>
      <c r="P119" s="46"/>
      <c r="Q119" s="42" t="n">
        <f aca="false">AO119</f>
        <v>20.2</v>
      </c>
      <c r="R119" s="42"/>
      <c r="S119" s="42"/>
      <c r="T119" s="46" t="str">
        <f aca="false">IF(AR119="","-",AR119)</f>
        <v>-</v>
      </c>
      <c r="U119" s="46"/>
      <c r="V119" s="46" t="str">
        <f aca="false">IF(AT119="","-",AT119)</f>
        <v>-</v>
      </c>
      <c r="W119" s="46"/>
      <c r="X119" s="44" t="n">
        <f aca="false">AU119</f>
        <v>0.65</v>
      </c>
      <c r="Y119" s="44"/>
      <c r="Z119" s="55" t="n">
        <f aca="false">AV119</f>
        <v>0</v>
      </c>
      <c r="AA119" s="55"/>
      <c r="AB119" s="55"/>
      <c r="AC119" s="42" t="n">
        <f aca="false">AW119</f>
        <v>35.98944418954</v>
      </c>
      <c r="AD119" s="42"/>
      <c r="AE119" s="42"/>
      <c r="AF119" s="12"/>
      <c r="AI119" s="56" t="n">
        <v>54</v>
      </c>
      <c r="AJ119" s="56" t="n">
        <v>55.5</v>
      </c>
      <c r="AK119" s="57" t="n">
        <f aca="false">AJ119-AI119</f>
        <v>1.5</v>
      </c>
      <c r="AL119" s="57" t="n">
        <f aca="false">(AI119+AJ119)/2</f>
        <v>54.75</v>
      </c>
      <c r="AM119" s="56" t="s">
        <v>199</v>
      </c>
      <c r="AN119" s="56" t="n">
        <v>29</v>
      </c>
      <c r="AO119" s="58" t="n">
        <f aca="false">IF(AL119&gt;$AA$20,$AA$22,$AA$21)</f>
        <v>20.2</v>
      </c>
      <c r="AP119" s="57" t="n">
        <f aca="false">AP118+AO119*AK119</f>
        <v>1115.7</v>
      </c>
      <c r="AQ119" s="57" t="n">
        <f aca="false">AP119-AO119*AK119/2-10*MAX(AL119-$AA$20,0)</f>
        <v>643.049999999999</v>
      </c>
      <c r="AR119" s="56"/>
      <c r="AS119" s="56"/>
      <c r="AT119" s="57" t="str">
        <f aca="false">IF(AR119="","",AR119-AS119)</f>
        <v/>
      </c>
      <c r="AU119" s="56" t="n">
        <v>0.65</v>
      </c>
      <c r="AV119" s="57" t="n">
        <f aca="false">IF(AM119="Sand",0,Input!$AA$34*AN119)</f>
        <v>0</v>
      </c>
      <c r="AW119" s="57" t="n">
        <f aca="false">IF(AM119="Sand",27.1+0.3*MIN(Input!$AA$35*AN119,60)-0.00054*MIN(Input!$AA$35*AN119,60)^2,MIN(MAX(DEGREES(ASIN(0.8-0.094*LN(MAX(IF(AT119="",10,AT119),5)))),20),30))</f>
        <v>35.98944418954</v>
      </c>
      <c r="AX119" s="57" t="n">
        <f aca="false">IF(AM119="Sand",Input!$AA$36*Input!$AA$35*AN119,Input!$AA$37*AV119)</f>
        <v>31407</v>
      </c>
      <c r="AY119" s="59" t="n">
        <f aca="false">IF(AM119="Sand",Input!$AA$38,0.5)</f>
        <v>0.3</v>
      </c>
      <c r="AZ119" s="57" t="n">
        <f aca="false">Input!$AA$15/2/AL119</f>
        <v>0.675799086757991</v>
      </c>
      <c r="BA119" s="57" t="n">
        <f aca="false">Input!$AA$16/2/AL119</f>
        <v>1.84474885844749</v>
      </c>
      <c r="BB119" s="57" t="n">
        <f aca="false">1/(4*PI())*(2*AZ119*BA119*SQRT(AZ119^2+BA119^2+1)/(AZ119^2+BA119^2+1+AZ119^2*BA119^2)*(AZ119^2+BA119^2+2)/(AZ119^2+BA119^2+1)+ATAN2(AZ119^2+BA119^2+1-AZ119^2*BA119^2,2*AZ119*BA119*SQRT(AZ119^2+BA119^2+1)))</f>
        <v>0.16414141420255</v>
      </c>
      <c r="BC119" s="57" t="n">
        <f aca="false">4*Input!$AA$14*BB119</f>
        <v>89.2929293261871</v>
      </c>
      <c r="BD119" s="57" t="n">
        <f aca="false">((Input!$AA$16/Input!$AA$15)*LN((1+SQRT((Input!$AA$16/Input!$AA$15)^2+1))*SQRT((Input!$AA$16/Input!$AA$15)^2+(AJ119/(Input!$AA$15/2))^2)/((Input!$AA$16/Input!$AA$15)*(1+SQRT((Input!$AA$16/Input!$AA$15)^2+(AJ119/(Input!$AA$15/2))^2+1))))+LN(((Input!$AA$16/Input!$AA$15)+SQRT((Input!$AA$16/Input!$AA$15)^2+1))*SQRT(1+(AJ119/(Input!$AA$15/2))^2)/((Input!$AA$16/Input!$AA$15)+SQRT((Input!$AA$16/Input!$AA$15)^2+(AJ119/(Input!$AA$15/2))^2+1))))/PI()</f>
        <v>0.204866530926182</v>
      </c>
      <c r="BE119" s="57" t="n">
        <f aca="false">(AJ119/(Input!$AA$15/2))/(2*PI())*ATAN((Input!$AA$16/Input!$AA$15)/((AJ119/(Input!$AA$15/2))*SQRT((Input!$AA$16/Input!$AA$15)^2+(AJ119/(Input!$AA$15/2))^2+1)))</f>
        <v>0.121196273026185</v>
      </c>
      <c r="BF119" s="57" t="n">
        <f aca="false">MAX(0,AJ119-MAX(AI119,$AA$23))/AK119*IF(BC119&gt;=Input!$AA$21*AQ119,1,0)</f>
        <v>0</v>
      </c>
      <c r="BG119" s="57" t="n">
        <f aca="false">4*Input!$AA$14*(Input!$AA$15/2)*(1-AY119^2)/AX119*((BD119-BD118)+(1-2*AY119)/(1-AY119)*(BE119-BE118))*1000*BF119</f>
        <v>0</v>
      </c>
      <c r="BH119" s="57" t="n">
        <f aca="false">IF(AM119="Sand",0,0.009*(AR119-10))</f>
        <v>0</v>
      </c>
      <c r="BI119" s="57" t="n">
        <f aca="false">BH119*Input!$AA$39</f>
        <v>0</v>
      </c>
      <c r="BJ119" s="57" t="n">
        <f aca="false">IF(AM119="Sand",0,MAX(AV119/Input!$AA$40,AQ119))</f>
        <v>0</v>
      </c>
      <c r="BK119" s="57" t="n">
        <f aca="false">IF(AM119="Sand",0,1000*AK119/(1+AU119)*IF(AQ119+BC119&lt;=BJ119,BI119*LOG10((AQ119+BC119)/AQ119),BI119*LOG10(BJ119/AQ119)+BH119*LOG10((AQ119+BC119)/BJ119)))*BF119</f>
        <v>0</v>
      </c>
      <c r="BL119" s="57" t="n">
        <f aca="false">IF(AM119="Sand",0,10^(INDEX(Input!$Q$51:$Q$57,MIN(MATCH(MIN(MAX(AR119,30),120),Input!$C$51:$C$57,1),6))+(MIN(MAX(AR119,30),120)-INDEX(Input!$C$51:$C$57,MIN(MATCH(MIN(MAX(AR119,30),120),Input!$C$51:$C$57,1),6)))/(INDEX(Input!$C$51:$C$57,MIN(MATCH(MIN(MAX(AR119,30),120),Input!$C$51:$C$57,1),6)+1)-INDEX(Input!$C$51:$C$57,MIN(MATCH(MIN(MAX(AR119,30),120),Input!$C$51:$C$57,1),6)))*(INDEX(Input!$Q$51:$Q$57,MIN(MATCH(MIN(MAX(AR119,30),120),Input!$C$51:$C$57,1),6)+1)-INDEX(Input!$Q$51:$Q$57,MIN(MATCH(MIN(MAX(AR119,30),120),Input!$C$51:$C$57,1),6)))))</f>
        <v>0</v>
      </c>
      <c r="BM119" s="57" t="n">
        <f aca="false">IF(OR(AM119="Sand",BF119=0),0,Input!$AA$41*(AK119/2)^2/(BL119*0.0001*31536000))</f>
        <v>0</v>
      </c>
      <c r="BN119" s="57" t="n">
        <f aca="false">MAX(0,MIN(AJ119,Input!$AA$20)-AI119)</f>
        <v>0</v>
      </c>
      <c r="BO119" s="57" t="n">
        <f aca="false">MAX(0,MIN(AJ119,Input!$AA$20)-MAX(AI119,$AA$23))</f>
        <v>0</v>
      </c>
      <c r="BP119" s="57" t="n">
        <f aca="false">BG119+BK119</f>
        <v>0</v>
      </c>
      <c r="BQ119" s="57" t="s">
        <v>343</v>
      </c>
    </row>
    <row r="120" customFormat="false" ht="14.25" hidden="false" customHeight="false" outlineLevel="0" collapsed="false">
      <c r="B120" s="7"/>
      <c r="C120" s="46" t="n">
        <v>38</v>
      </c>
      <c r="D120" s="46"/>
      <c r="E120" s="44" t="n">
        <f aca="false">AI120</f>
        <v>55.5</v>
      </c>
      <c r="F120" s="44"/>
      <c r="G120" s="44"/>
      <c r="H120" s="44" t="n">
        <f aca="false">AJ120</f>
        <v>57</v>
      </c>
      <c r="I120" s="44"/>
      <c r="J120" s="44"/>
      <c r="K120" s="41" t="str">
        <f aca="false">AM120</f>
        <v>Sand</v>
      </c>
      <c r="L120" s="41"/>
      <c r="M120" s="41"/>
      <c r="N120" s="46" t="n">
        <f aca="false">AN120</f>
        <v>25</v>
      </c>
      <c r="O120" s="46"/>
      <c r="P120" s="46"/>
      <c r="Q120" s="42" t="n">
        <f aca="false">AO120</f>
        <v>20.2</v>
      </c>
      <c r="R120" s="42"/>
      <c r="S120" s="42"/>
      <c r="T120" s="46" t="str">
        <f aca="false">IF(AR120="","-",AR120)</f>
        <v>-</v>
      </c>
      <c r="U120" s="46"/>
      <c r="V120" s="46" t="str">
        <f aca="false">IF(AT120="","-",AT120)</f>
        <v>-</v>
      </c>
      <c r="W120" s="46"/>
      <c r="X120" s="44" t="n">
        <f aca="false">AU120</f>
        <v>0.65</v>
      </c>
      <c r="Y120" s="44"/>
      <c r="Z120" s="55" t="n">
        <f aca="false">AV120</f>
        <v>0</v>
      </c>
      <c r="AA120" s="55"/>
      <c r="AB120" s="55"/>
      <c r="AC120" s="42" t="n">
        <f aca="false">AW120</f>
        <v>34.8266499625</v>
      </c>
      <c r="AD120" s="42"/>
      <c r="AE120" s="42"/>
      <c r="AF120" s="12"/>
      <c r="AI120" s="56" t="n">
        <v>55.5</v>
      </c>
      <c r="AJ120" s="56" t="n">
        <v>57</v>
      </c>
      <c r="AK120" s="57" t="n">
        <f aca="false">AJ120-AI120</f>
        <v>1.5</v>
      </c>
      <c r="AL120" s="57" t="n">
        <f aca="false">(AI120+AJ120)/2</f>
        <v>56.25</v>
      </c>
      <c r="AM120" s="56" t="s">
        <v>199</v>
      </c>
      <c r="AN120" s="56" t="n">
        <v>25</v>
      </c>
      <c r="AO120" s="58" t="n">
        <f aca="false">IF(AL120&gt;$AA$20,$AA$22,$AA$21)</f>
        <v>20.2</v>
      </c>
      <c r="AP120" s="57" t="n">
        <f aca="false">AP119+AO120*AK120</f>
        <v>1146</v>
      </c>
      <c r="AQ120" s="57" t="n">
        <f aca="false">AP120-AO120*AK120/2-10*MAX(AL120-$AA$20,0)</f>
        <v>658.349999999999</v>
      </c>
      <c r="AR120" s="56"/>
      <c r="AS120" s="56"/>
      <c r="AT120" s="57" t="str">
        <f aca="false">IF(AR120="","",AR120-AS120)</f>
        <v/>
      </c>
      <c r="AU120" s="56" t="n">
        <v>0.65</v>
      </c>
      <c r="AV120" s="57" t="n">
        <f aca="false">IF(AM120="Sand",0,Input!$AA$34*AN120)</f>
        <v>0</v>
      </c>
      <c r="AW120" s="57" t="n">
        <f aca="false">IF(AM120="Sand",27.1+0.3*MIN(Input!$AA$35*AN120,60)-0.00054*MIN(Input!$AA$35*AN120,60)^2,MIN(MAX(DEGREES(ASIN(0.8-0.094*LN(MAX(IF(AT120="",10,AT120),5)))),20),30))</f>
        <v>34.8266499625</v>
      </c>
      <c r="AX120" s="57" t="n">
        <f aca="false">IF(AM120="Sand",Input!$AA$36*Input!$AA$35*AN120,Input!$AA$37*AV120)</f>
        <v>27075</v>
      </c>
      <c r="AY120" s="59" t="n">
        <f aca="false">IF(AM120="Sand",Input!$AA$38,0.5)</f>
        <v>0.3</v>
      </c>
      <c r="AZ120" s="57" t="n">
        <f aca="false">Input!$AA$15/2/AL120</f>
        <v>0.657777777777778</v>
      </c>
      <c r="BA120" s="57" t="n">
        <f aca="false">Input!$AA$16/2/AL120</f>
        <v>1.79555555555556</v>
      </c>
      <c r="BB120" s="57" t="n">
        <f aca="false">1/(4*PI())*(2*AZ120*BA120*SQRT(AZ120^2+BA120^2+1)/(AZ120^2+BA120^2+1+AZ120^2*BA120^2)*(AZ120^2+BA120^2+2)/(AZ120^2+BA120^2+1)+ATAN2(AZ120^2+BA120^2+1-AZ120^2*BA120^2,2*AZ120*BA120*SQRT(AZ120^2+BA120^2+1)))</f>
        <v>0.161125248626343</v>
      </c>
      <c r="BC120" s="57" t="n">
        <f aca="false">4*Input!$AA$14*BB120</f>
        <v>87.6521352527307</v>
      </c>
      <c r="BD120" s="57" t="n">
        <f aca="false">((Input!$AA$16/Input!$AA$15)*LN((1+SQRT((Input!$AA$16/Input!$AA$15)^2+1))*SQRT((Input!$AA$16/Input!$AA$15)^2+(AJ120/(Input!$AA$15/2))^2)/((Input!$AA$16/Input!$AA$15)*(1+SQRT((Input!$AA$16/Input!$AA$15)^2+(AJ120/(Input!$AA$15/2))^2+1))))+LN(((Input!$AA$16/Input!$AA$15)+SQRT((Input!$AA$16/Input!$AA$15)^2+1))*SQRT(1+(AJ120/(Input!$AA$15/2))^2)/((Input!$AA$16/Input!$AA$15)+SQRT((Input!$AA$16/Input!$AA$15)^2+(AJ120/(Input!$AA$15/2))^2+1))))/PI()</f>
        <v>0.211468337918076</v>
      </c>
      <c r="BE120" s="57" t="n">
        <f aca="false">(AJ120/(Input!$AA$15/2))/(2*PI())*ATAN((Input!$AA$16/Input!$AA$15)/((AJ120/(Input!$AA$15/2))*SQRT((Input!$AA$16/Input!$AA$15)^2+(AJ120/(Input!$AA$15/2))^2+1)))</f>
        <v>0.121126659448925</v>
      </c>
      <c r="BF120" s="57" t="n">
        <f aca="false">MAX(0,AJ120-MAX(AI120,$AA$23))/AK120*IF(BC120&gt;=Input!$AA$21*AQ120,1,0)</f>
        <v>0</v>
      </c>
      <c r="BG120" s="57" t="n">
        <f aca="false">4*Input!$AA$14*(Input!$AA$15/2)*(1-AY120^2)/AX120*((BD120-BD119)+(1-2*AY120)/(1-AY120)*(BE120-BE119))*1000*BF120</f>
        <v>0</v>
      </c>
      <c r="BH120" s="57" t="n">
        <f aca="false">IF(AM120="Sand",0,0.009*(AR120-10))</f>
        <v>0</v>
      </c>
      <c r="BI120" s="57" t="n">
        <f aca="false">BH120*Input!$AA$39</f>
        <v>0</v>
      </c>
      <c r="BJ120" s="57" t="n">
        <f aca="false">IF(AM120="Sand",0,MAX(AV120/Input!$AA$40,AQ120))</f>
        <v>0</v>
      </c>
      <c r="BK120" s="57" t="n">
        <f aca="false">IF(AM120="Sand",0,1000*AK120/(1+AU120)*IF(AQ120+BC120&lt;=BJ120,BI120*LOG10((AQ120+BC120)/AQ120),BI120*LOG10(BJ120/AQ120)+BH120*LOG10((AQ120+BC120)/BJ120)))*BF120</f>
        <v>0</v>
      </c>
      <c r="BL120" s="57" t="n">
        <f aca="false">IF(AM120="Sand",0,10^(INDEX(Input!$Q$51:$Q$57,MIN(MATCH(MIN(MAX(AR120,30),120),Input!$C$51:$C$57,1),6))+(MIN(MAX(AR120,30),120)-INDEX(Input!$C$51:$C$57,MIN(MATCH(MIN(MAX(AR120,30),120),Input!$C$51:$C$57,1),6)))/(INDEX(Input!$C$51:$C$57,MIN(MATCH(MIN(MAX(AR120,30),120),Input!$C$51:$C$57,1),6)+1)-INDEX(Input!$C$51:$C$57,MIN(MATCH(MIN(MAX(AR120,30),120),Input!$C$51:$C$57,1),6)))*(INDEX(Input!$Q$51:$Q$57,MIN(MATCH(MIN(MAX(AR120,30),120),Input!$C$51:$C$57,1),6)+1)-INDEX(Input!$Q$51:$Q$57,MIN(MATCH(MIN(MAX(AR120,30),120),Input!$C$51:$C$57,1),6)))))</f>
        <v>0</v>
      </c>
      <c r="BM120" s="57" t="n">
        <f aca="false">IF(OR(AM120="Sand",BF120=0),0,Input!$AA$41*(AK120/2)^2/(BL120*0.0001*31536000))</f>
        <v>0</v>
      </c>
      <c r="BN120" s="57" t="n">
        <f aca="false">MAX(0,MIN(AJ120,Input!$AA$20)-AI120)</f>
        <v>0</v>
      </c>
      <c r="BO120" s="57" t="n">
        <f aca="false">MAX(0,MIN(AJ120,Input!$AA$20)-MAX(AI120,$AA$23))</f>
        <v>0</v>
      </c>
      <c r="BP120" s="57" t="n">
        <f aca="false">BG120+BK120</f>
        <v>0</v>
      </c>
      <c r="BQ120" s="57" t="s">
        <v>343</v>
      </c>
    </row>
    <row r="121" customFormat="false" ht="14.25" hidden="false" customHeight="false" outlineLevel="0" collapsed="false">
      <c r="B121" s="7"/>
      <c r="C121" s="46" t="n">
        <v>39</v>
      </c>
      <c r="D121" s="46"/>
      <c r="E121" s="44" t="n">
        <f aca="false">AI121</f>
        <v>57</v>
      </c>
      <c r="F121" s="44"/>
      <c r="G121" s="44"/>
      <c r="H121" s="44" t="n">
        <f aca="false">AJ121</f>
        <v>58.5</v>
      </c>
      <c r="I121" s="44"/>
      <c r="J121" s="44"/>
      <c r="K121" s="41" t="str">
        <f aca="false">AM121</f>
        <v>Sand</v>
      </c>
      <c r="L121" s="41"/>
      <c r="M121" s="41"/>
      <c r="N121" s="46" t="n">
        <f aca="false">AN121</f>
        <v>35</v>
      </c>
      <c r="O121" s="46"/>
      <c r="P121" s="46"/>
      <c r="Q121" s="42" t="n">
        <f aca="false">AO121</f>
        <v>20.2</v>
      </c>
      <c r="R121" s="42"/>
      <c r="S121" s="42"/>
      <c r="T121" s="46" t="str">
        <f aca="false">IF(AR121="","-",AR121)</f>
        <v>-</v>
      </c>
      <c r="U121" s="46"/>
      <c r="V121" s="46" t="str">
        <f aca="false">IF(AT121="","-",AT121)</f>
        <v>-</v>
      </c>
      <c r="W121" s="46"/>
      <c r="X121" s="44" t="n">
        <f aca="false">AU121</f>
        <v>0.65</v>
      </c>
      <c r="Y121" s="44"/>
      <c r="Z121" s="55" t="n">
        <f aca="false">AV121</f>
        <v>0</v>
      </c>
      <c r="AA121" s="55"/>
      <c r="AB121" s="55"/>
      <c r="AC121" s="42" t="n">
        <f aca="false">AW121</f>
        <v>37.6956339265</v>
      </c>
      <c r="AD121" s="42"/>
      <c r="AE121" s="42"/>
      <c r="AF121" s="12"/>
      <c r="AI121" s="56" t="n">
        <v>57</v>
      </c>
      <c r="AJ121" s="56" t="n">
        <v>58.5</v>
      </c>
      <c r="AK121" s="57" t="n">
        <f aca="false">AJ121-AI121</f>
        <v>1.5</v>
      </c>
      <c r="AL121" s="57" t="n">
        <f aca="false">(AI121+AJ121)/2</f>
        <v>57.75</v>
      </c>
      <c r="AM121" s="56" t="s">
        <v>199</v>
      </c>
      <c r="AN121" s="56" t="n">
        <v>35</v>
      </c>
      <c r="AO121" s="58" t="n">
        <f aca="false">IF(AL121&gt;$AA$20,$AA$22,$AA$21)</f>
        <v>20.2</v>
      </c>
      <c r="AP121" s="57" t="n">
        <f aca="false">AP120+AO121*AK121</f>
        <v>1176.3</v>
      </c>
      <c r="AQ121" s="57" t="n">
        <f aca="false">AP121-AO121*AK121/2-10*MAX(AL121-$AA$20,0)</f>
        <v>673.649999999999</v>
      </c>
      <c r="AR121" s="56"/>
      <c r="AS121" s="56"/>
      <c r="AT121" s="57" t="str">
        <f aca="false">IF(AR121="","",AR121-AS121)</f>
        <v/>
      </c>
      <c r="AU121" s="56" t="n">
        <v>0.65</v>
      </c>
      <c r="AV121" s="57" t="n">
        <f aca="false">IF(AM121="Sand",0,Input!$AA$34*AN121)</f>
        <v>0</v>
      </c>
      <c r="AW121" s="57" t="n">
        <f aca="false">IF(AM121="Sand",27.1+0.3*MIN(Input!$AA$35*AN121,60)-0.00054*MIN(Input!$AA$35*AN121,60)^2,MIN(MAX(DEGREES(ASIN(0.8-0.094*LN(MAX(IF(AT121="",10,AT121),5)))),20),30))</f>
        <v>37.6956339265</v>
      </c>
      <c r="AX121" s="57" t="n">
        <f aca="false">IF(AM121="Sand",Input!$AA$36*Input!$AA$35*AN121,Input!$AA$37*AV121)</f>
        <v>37905</v>
      </c>
      <c r="AY121" s="59" t="n">
        <f aca="false">IF(AM121="Sand",Input!$AA$38,0.5)</f>
        <v>0.3</v>
      </c>
      <c r="AZ121" s="57" t="n">
        <f aca="false">Input!$AA$15/2/AL121</f>
        <v>0.640692640692641</v>
      </c>
      <c r="BA121" s="57" t="n">
        <f aca="false">Input!$AA$16/2/AL121</f>
        <v>1.74891774891775</v>
      </c>
      <c r="BB121" s="57" t="n">
        <f aca="false">1/(4*PI())*(2*AZ121*BA121*SQRT(AZ121^2+BA121^2+1)/(AZ121^2+BA121^2+1+AZ121^2*BA121^2)*(AZ121^2+BA121^2+2)/(AZ121^2+BA121^2+1)+ATAN2(AZ121^2+BA121^2+1-AZ121^2*BA121^2,2*AZ121*BA121*SQRT(AZ121^2+BA121^2+1)))</f>
        <v>0.158161594063732</v>
      </c>
      <c r="BC121" s="57" t="n">
        <f aca="false">4*Input!$AA$14*BB121</f>
        <v>86.0399071706701</v>
      </c>
      <c r="BD121" s="57" t="n">
        <f aca="false">((Input!$AA$16/Input!$AA$15)*LN((1+SQRT((Input!$AA$16/Input!$AA$15)^2+1))*SQRT((Input!$AA$16/Input!$AA$15)^2+(AJ121/(Input!$AA$15/2))^2)/((Input!$AA$16/Input!$AA$15)*(1+SQRT((Input!$AA$16/Input!$AA$15)^2+(AJ121/(Input!$AA$15/2))^2+1))))+LN(((Input!$AA$16/Input!$AA$15)+SQRT((Input!$AA$16/Input!$AA$15)^2+1))*SQRT(1+(AJ121/(Input!$AA$15/2))^2)/((Input!$AA$16/Input!$AA$15)+SQRT((Input!$AA$16/Input!$AA$15)^2+(AJ121/(Input!$AA$15/2))^2+1))))/PI()</f>
        <v>0.218002728213384</v>
      </c>
      <c r="BE121" s="57" t="n">
        <f aca="false">(AJ121/(Input!$AA$15/2))/(2*PI())*ATAN((Input!$AA$16/Input!$AA$15)/((AJ121/(Input!$AA$15/2))*SQRT((Input!$AA$16/Input!$AA$15)^2+(AJ121/(Input!$AA$15/2))^2+1)))</f>
        <v>0.121004315773392</v>
      </c>
      <c r="BF121" s="57" t="n">
        <f aca="false">MAX(0,AJ121-MAX(AI121,$AA$23))/AK121*IF(BC121&gt;=Input!$AA$21*AQ121,1,0)</f>
        <v>0</v>
      </c>
      <c r="BG121" s="57" t="n">
        <f aca="false">4*Input!$AA$14*(Input!$AA$15/2)*(1-AY121^2)/AX121*((BD121-BD120)+(1-2*AY121)/(1-AY121)*(BE121-BE120))*1000*BF121</f>
        <v>0</v>
      </c>
      <c r="BH121" s="57" t="n">
        <f aca="false">IF(AM121="Sand",0,0.009*(AR121-10))</f>
        <v>0</v>
      </c>
      <c r="BI121" s="57" t="n">
        <f aca="false">BH121*Input!$AA$39</f>
        <v>0</v>
      </c>
      <c r="BJ121" s="57" t="n">
        <f aca="false">IF(AM121="Sand",0,MAX(AV121/Input!$AA$40,AQ121))</f>
        <v>0</v>
      </c>
      <c r="BK121" s="57" t="n">
        <f aca="false">IF(AM121="Sand",0,1000*AK121/(1+AU121)*IF(AQ121+BC121&lt;=BJ121,BI121*LOG10((AQ121+BC121)/AQ121),BI121*LOG10(BJ121/AQ121)+BH121*LOG10((AQ121+BC121)/BJ121)))*BF121</f>
        <v>0</v>
      </c>
      <c r="BL121" s="57" t="n">
        <f aca="false">IF(AM121="Sand",0,10^(INDEX(Input!$Q$51:$Q$57,MIN(MATCH(MIN(MAX(AR121,30),120),Input!$C$51:$C$57,1),6))+(MIN(MAX(AR121,30),120)-INDEX(Input!$C$51:$C$57,MIN(MATCH(MIN(MAX(AR121,30),120),Input!$C$51:$C$57,1),6)))/(INDEX(Input!$C$51:$C$57,MIN(MATCH(MIN(MAX(AR121,30),120),Input!$C$51:$C$57,1),6)+1)-INDEX(Input!$C$51:$C$57,MIN(MATCH(MIN(MAX(AR121,30),120),Input!$C$51:$C$57,1),6)))*(INDEX(Input!$Q$51:$Q$57,MIN(MATCH(MIN(MAX(AR121,30),120),Input!$C$51:$C$57,1),6)+1)-INDEX(Input!$Q$51:$Q$57,MIN(MATCH(MIN(MAX(AR121,30),120),Input!$C$51:$C$57,1),6)))))</f>
        <v>0</v>
      </c>
      <c r="BM121" s="57" t="n">
        <f aca="false">IF(OR(AM121="Sand",BF121=0),0,Input!$AA$41*(AK121/2)^2/(BL121*0.0001*31536000))</f>
        <v>0</v>
      </c>
      <c r="BN121" s="57" t="n">
        <f aca="false">MAX(0,MIN(AJ121,Input!$AA$20)-AI121)</f>
        <v>0</v>
      </c>
      <c r="BO121" s="57" t="n">
        <f aca="false">MAX(0,MIN(AJ121,Input!$AA$20)-MAX(AI121,$AA$23))</f>
        <v>0</v>
      </c>
      <c r="BP121" s="57" t="n">
        <f aca="false">BG121+BK121</f>
        <v>0</v>
      </c>
      <c r="BQ121" s="57" t="s">
        <v>343</v>
      </c>
    </row>
    <row r="122" customFormat="false" ht="14.25" hidden="false" customHeight="false" outlineLevel="0" collapsed="false">
      <c r="B122" s="7"/>
      <c r="C122" s="46" t="n">
        <v>40</v>
      </c>
      <c r="D122" s="46"/>
      <c r="E122" s="44" t="n">
        <f aca="false">AI122</f>
        <v>58.5</v>
      </c>
      <c r="F122" s="44"/>
      <c r="G122" s="44"/>
      <c r="H122" s="44" t="n">
        <f aca="false">AJ122</f>
        <v>59.5</v>
      </c>
      <c r="I122" s="44"/>
      <c r="J122" s="44"/>
      <c r="K122" s="41" t="str">
        <f aca="false">AM122</f>
        <v>Sand</v>
      </c>
      <c r="L122" s="41"/>
      <c r="M122" s="41"/>
      <c r="N122" s="46" t="n">
        <f aca="false">AN122</f>
        <v>42</v>
      </c>
      <c r="O122" s="46"/>
      <c r="P122" s="46"/>
      <c r="Q122" s="42" t="n">
        <f aca="false">AO122</f>
        <v>20.2</v>
      </c>
      <c r="R122" s="42"/>
      <c r="S122" s="42"/>
      <c r="T122" s="46" t="str">
        <f aca="false">IF(AR122="","-",AR122)</f>
        <v>-</v>
      </c>
      <c r="U122" s="46"/>
      <c r="V122" s="46" t="str">
        <f aca="false">IF(AT122="","-",AT122)</f>
        <v>-</v>
      </c>
      <c r="W122" s="46"/>
      <c r="X122" s="44" t="n">
        <f aca="false">AU122</f>
        <v>0.65</v>
      </c>
      <c r="Y122" s="44"/>
      <c r="Z122" s="55" t="n">
        <f aca="false">AV122</f>
        <v>0</v>
      </c>
      <c r="AA122" s="55"/>
      <c r="AB122" s="55"/>
      <c r="AC122" s="42" t="n">
        <f aca="false">AW122</f>
        <v>39.62855285416</v>
      </c>
      <c r="AD122" s="42"/>
      <c r="AE122" s="42"/>
      <c r="AF122" s="12"/>
      <c r="AI122" s="56" t="n">
        <v>58.5</v>
      </c>
      <c r="AJ122" s="56" t="n">
        <v>59.5</v>
      </c>
      <c r="AK122" s="57" t="n">
        <f aca="false">AJ122-AI122</f>
        <v>1</v>
      </c>
      <c r="AL122" s="57" t="n">
        <f aca="false">(AI122+AJ122)/2</f>
        <v>59</v>
      </c>
      <c r="AM122" s="56" t="s">
        <v>199</v>
      </c>
      <c r="AN122" s="56" t="n">
        <v>42</v>
      </c>
      <c r="AO122" s="58" t="n">
        <f aca="false">IF(AL122&gt;$AA$20,$AA$22,$AA$21)</f>
        <v>20.2</v>
      </c>
      <c r="AP122" s="57" t="n">
        <f aca="false">AP121+AO122*AK122</f>
        <v>1196.5</v>
      </c>
      <c r="AQ122" s="57" t="n">
        <f aca="false">AP122-AO122*AK122/2-10*MAX(AL122-$AA$20,0)</f>
        <v>686.399999999999</v>
      </c>
      <c r="AR122" s="56"/>
      <c r="AS122" s="56"/>
      <c r="AT122" s="57" t="str">
        <f aca="false">IF(AR122="","",AR122-AS122)</f>
        <v/>
      </c>
      <c r="AU122" s="56" t="n">
        <v>0.65</v>
      </c>
      <c r="AV122" s="57" t="n">
        <f aca="false">IF(AM122="Sand",0,Input!$AA$34*AN122)</f>
        <v>0</v>
      </c>
      <c r="AW122" s="57" t="n">
        <f aca="false">IF(AM122="Sand",27.1+0.3*MIN(Input!$AA$35*AN122,60)-0.00054*MIN(Input!$AA$35*AN122,60)^2,MIN(MAX(DEGREES(ASIN(0.8-0.094*LN(MAX(IF(AT122="",10,AT122),5)))),20),30))</f>
        <v>39.62855285416</v>
      </c>
      <c r="AX122" s="57" t="n">
        <f aca="false">IF(AM122="Sand",Input!$AA$36*Input!$AA$35*AN122,Input!$AA$37*AV122)</f>
        <v>45486</v>
      </c>
      <c r="AY122" s="59" t="n">
        <f aca="false">IF(AM122="Sand",Input!$AA$38,0.5)</f>
        <v>0.3</v>
      </c>
      <c r="AZ122" s="57" t="n">
        <f aca="false">Input!$AA$15/2/AL122</f>
        <v>0.627118644067797</v>
      </c>
      <c r="BA122" s="57" t="n">
        <f aca="false">Input!$AA$16/2/AL122</f>
        <v>1.71186440677966</v>
      </c>
      <c r="BB122" s="57" t="n">
        <f aca="false">1/(4*PI())*(2*AZ122*BA122*SQRT(AZ122^2+BA122^2+1)/(AZ122^2+BA122^2+1+AZ122^2*BA122^2)*(AZ122^2+BA122^2+2)/(AZ122^2+BA122^2+1)+ATAN2(AZ122^2+BA122^2+1-AZ122^2*BA122^2,2*AZ122*BA122*SQRT(AZ122^2+BA122^2+1)))</f>
        <v>0.15573258786151</v>
      </c>
      <c r="BC122" s="57" t="n">
        <f aca="false">4*Input!$AA$14*BB122</f>
        <v>84.7185277966616</v>
      </c>
      <c r="BD122" s="57" t="n">
        <f aca="false">((Input!$AA$16/Input!$AA$15)*LN((1+SQRT((Input!$AA$16/Input!$AA$15)^2+1))*SQRT((Input!$AA$16/Input!$AA$15)^2+(AJ122/(Input!$AA$15/2))^2)/((Input!$AA$16/Input!$AA$15)*(1+SQRT((Input!$AA$16/Input!$AA$15)^2+(AJ122/(Input!$AA$15/2))^2+1))))+LN(((Input!$AA$16/Input!$AA$15)+SQRT((Input!$AA$16/Input!$AA$15)^2+1))*SQRT(1+(AJ122/(Input!$AA$15/2))^2)/((Input!$AA$16/Input!$AA$15)+SQRT((Input!$AA$16/Input!$AA$15)^2+(AJ122/(Input!$AA$15/2))^2+1))))/PI()</f>
        <v>0.222320600711722</v>
      </c>
      <c r="BE122" s="57" t="n">
        <f aca="false">(AJ122/(Input!$AA$15/2))/(2*PI())*ATAN((Input!$AA$16/Input!$AA$15)/((AJ122/(Input!$AA$15/2))*SQRT((Input!$AA$16/Input!$AA$15)^2+(AJ122/(Input!$AA$15/2))^2+1)))</f>
        <v>0.120895459060618</v>
      </c>
      <c r="BF122" s="57" t="n">
        <f aca="false">MAX(0,AJ122-MAX(AI122,$AA$23))/AK122*IF(BC122&gt;=Input!$AA$21*AQ122,1,0)</f>
        <v>0</v>
      </c>
      <c r="BG122" s="57" t="n">
        <f aca="false">4*Input!$AA$14*(Input!$AA$15/2)*(1-AY122^2)/AX122*((BD122-BD121)+(1-2*AY122)/(1-AY122)*(BE122-BE121))*1000*BF122</f>
        <v>0</v>
      </c>
      <c r="BH122" s="57" t="n">
        <f aca="false">IF(AM122="Sand",0,0.009*(AR122-10))</f>
        <v>0</v>
      </c>
      <c r="BI122" s="57" t="n">
        <f aca="false">BH122*Input!$AA$39</f>
        <v>0</v>
      </c>
      <c r="BJ122" s="57" t="n">
        <f aca="false">IF(AM122="Sand",0,MAX(AV122/Input!$AA$40,AQ122))</f>
        <v>0</v>
      </c>
      <c r="BK122" s="57" t="n">
        <f aca="false">IF(AM122="Sand",0,1000*AK122/(1+AU122)*IF(AQ122+BC122&lt;=BJ122,BI122*LOG10((AQ122+BC122)/AQ122),BI122*LOG10(BJ122/AQ122)+BH122*LOG10((AQ122+BC122)/BJ122)))*BF122</f>
        <v>0</v>
      </c>
      <c r="BL122" s="57" t="n">
        <f aca="false">IF(AM122="Sand",0,10^(INDEX(Input!$Q$51:$Q$57,MIN(MATCH(MIN(MAX(AR122,30),120),Input!$C$51:$C$57,1),6))+(MIN(MAX(AR122,30),120)-INDEX(Input!$C$51:$C$57,MIN(MATCH(MIN(MAX(AR122,30),120),Input!$C$51:$C$57,1),6)))/(INDEX(Input!$C$51:$C$57,MIN(MATCH(MIN(MAX(AR122,30),120),Input!$C$51:$C$57,1),6)+1)-INDEX(Input!$C$51:$C$57,MIN(MATCH(MIN(MAX(AR122,30),120),Input!$C$51:$C$57,1),6)))*(INDEX(Input!$Q$51:$Q$57,MIN(MATCH(MIN(MAX(AR122,30),120),Input!$C$51:$C$57,1),6)+1)-INDEX(Input!$Q$51:$Q$57,MIN(MATCH(MIN(MAX(AR122,30),120),Input!$C$51:$C$57,1),6)))))</f>
        <v>0</v>
      </c>
      <c r="BM122" s="57" t="n">
        <f aca="false">IF(OR(AM122="Sand",BF122=0),0,Input!$AA$41*(AK122/2)^2/(BL122*0.0001*31536000))</f>
        <v>0</v>
      </c>
      <c r="BN122" s="57" t="n">
        <f aca="false">MAX(0,MIN(AJ122,Input!$AA$20)-AI122)</f>
        <v>0</v>
      </c>
      <c r="BO122" s="57" t="n">
        <f aca="false">MAX(0,MIN(AJ122,Input!$AA$20)-MAX(AI122,$AA$23))</f>
        <v>0</v>
      </c>
      <c r="BP122" s="57" t="n">
        <f aca="false">BG122+BK122</f>
        <v>0</v>
      </c>
      <c r="BQ122" s="57" t="s">
        <v>343</v>
      </c>
    </row>
    <row r="123" customFormat="false" ht="14.25" hidden="false" customHeight="false" outlineLevel="0" collapsed="false">
      <c r="B123" s="7"/>
      <c r="C123" s="60" t="n">
        <v>41</v>
      </c>
      <c r="D123" s="60"/>
      <c r="E123" s="61" t="n">
        <f aca="false">AI123</f>
        <v>59.5</v>
      </c>
      <c r="F123" s="61"/>
      <c r="G123" s="61"/>
      <c r="H123" s="61" t="n">
        <f aca="false">AJ123</f>
        <v>60</v>
      </c>
      <c r="I123" s="61"/>
      <c r="J123" s="61"/>
      <c r="K123" s="48" t="str">
        <f aca="false">AM123</f>
        <v>Sand</v>
      </c>
      <c r="L123" s="48"/>
      <c r="M123" s="48"/>
      <c r="N123" s="60" t="n">
        <f aca="false">AN123</f>
        <v>46</v>
      </c>
      <c r="O123" s="60"/>
      <c r="P123" s="60"/>
      <c r="Q123" s="49" t="n">
        <f aca="false">AO123</f>
        <v>20.2</v>
      </c>
      <c r="R123" s="49"/>
      <c r="S123" s="49"/>
      <c r="T123" s="60" t="str">
        <f aca="false">IF(AR123="","-",AR123)</f>
        <v>-</v>
      </c>
      <c r="U123" s="60"/>
      <c r="V123" s="60" t="str">
        <f aca="false">IF(AT123="","-",AT123)</f>
        <v>-</v>
      </c>
      <c r="W123" s="60"/>
      <c r="X123" s="61" t="n">
        <f aca="false">AU123</f>
        <v>0.65</v>
      </c>
      <c r="Y123" s="61"/>
      <c r="Z123" s="62" t="n">
        <f aca="false">AV123</f>
        <v>0</v>
      </c>
      <c r="AA123" s="62"/>
      <c r="AB123" s="62"/>
      <c r="AC123" s="49" t="n">
        <f aca="false">AW123</f>
        <v>40.70521011304</v>
      </c>
      <c r="AD123" s="49"/>
      <c r="AE123" s="49"/>
      <c r="AF123" s="12"/>
      <c r="AI123" s="56" t="n">
        <v>59.5</v>
      </c>
      <c r="AJ123" s="56" t="n">
        <v>60</v>
      </c>
      <c r="AK123" s="57" t="n">
        <f aca="false">AJ123-AI123</f>
        <v>0.5</v>
      </c>
      <c r="AL123" s="57" t="n">
        <f aca="false">(AI123+AJ123)/2</f>
        <v>59.75</v>
      </c>
      <c r="AM123" s="56" t="s">
        <v>199</v>
      </c>
      <c r="AN123" s="56" t="n">
        <v>46</v>
      </c>
      <c r="AO123" s="58" t="n">
        <f aca="false">IF(AL123&gt;$AA$20,$AA$22,$AA$21)</f>
        <v>20.2</v>
      </c>
      <c r="AP123" s="57" t="n">
        <f aca="false">AP122+AO123*AK123</f>
        <v>1206.6</v>
      </c>
      <c r="AQ123" s="57" t="n">
        <f aca="false">AP123-AO123*AK123/2-10*MAX(AL123-$AA$20,0)</f>
        <v>694.049999999999</v>
      </c>
      <c r="AR123" s="56"/>
      <c r="AS123" s="56"/>
      <c r="AT123" s="57" t="str">
        <f aca="false">IF(AR123="","",AR123-AS123)</f>
        <v/>
      </c>
      <c r="AU123" s="56" t="n">
        <v>0.65</v>
      </c>
      <c r="AV123" s="57" t="n">
        <f aca="false">IF(AM123="Sand",0,Input!$AA$34*AN123)</f>
        <v>0</v>
      </c>
      <c r="AW123" s="57" t="n">
        <f aca="false">IF(AM123="Sand",27.1+0.3*MIN(Input!$AA$35*AN123,60)-0.00054*MIN(Input!$AA$35*AN123,60)^2,MIN(MAX(DEGREES(ASIN(0.8-0.094*LN(MAX(IF(AT123="",10,AT123),5)))),20),30))</f>
        <v>40.70521011304</v>
      </c>
      <c r="AX123" s="57" t="n">
        <f aca="false">IF(AM123="Sand",Input!$AA$36*Input!$AA$35*AN123,Input!$AA$37*AV123)</f>
        <v>49818</v>
      </c>
      <c r="AY123" s="59" t="n">
        <f aca="false">IF(AM123="Sand",Input!$AA$38,0.5)</f>
        <v>0.3</v>
      </c>
      <c r="AZ123" s="57" t="n">
        <f aca="false">Input!$AA$15/2/AL123</f>
        <v>0.619246861924686</v>
      </c>
      <c r="BA123" s="57" t="n">
        <f aca="false">Input!$AA$16/2/AL123</f>
        <v>1.69037656903766</v>
      </c>
      <c r="BB123" s="57" t="n">
        <f aca="false">1/(4*PI())*(2*AZ123*BA123*SQRT(AZ123^2+BA123^2+1)/(AZ123^2+BA123^2+1+AZ123^2*BA123^2)*(AZ123^2+BA123^2+2)/(AZ123^2+BA123^2+1)+ATAN2(AZ123^2+BA123^2+1-AZ123^2*BA123^2,2*AZ123*BA123*SQRT(AZ123^2+BA123^2+1)))</f>
        <v>0.15429309651457</v>
      </c>
      <c r="BC123" s="57" t="n">
        <f aca="false">4*Input!$AA$14*BB123</f>
        <v>83.9354445039259</v>
      </c>
      <c r="BD123" s="57" t="n">
        <f aca="false">((Input!$AA$16/Input!$AA$15)*LN((1+SQRT((Input!$AA$16/Input!$AA$15)^2+1))*SQRT((Input!$AA$16/Input!$AA$15)^2+(AJ123/(Input!$AA$15/2))^2)/((Input!$AA$16/Input!$AA$15)*(1+SQRT((Input!$AA$16/Input!$AA$15)^2+(AJ123/(Input!$AA$15/2))^2+1))))+LN(((Input!$AA$16/Input!$AA$15)+SQRT((Input!$AA$16/Input!$AA$15)^2+1))*SQRT(1+(AJ123/(Input!$AA$15/2))^2)/((Input!$AA$16/Input!$AA$15)+SQRT((Input!$AA$16/Input!$AA$15)^2+(AJ123/(Input!$AA$15/2))^2+1))))/PI()</f>
        <v>0.224467837031054</v>
      </c>
      <c r="BE123" s="57" t="n">
        <f aca="false">(AJ123/(Input!$AA$15/2))/(2*PI())*ATAN((Input!$AA$16/Input!$AA$15)/((AJ123/(Input!$AA$15/2))*SQRT((Input!$AA$16/Input!$AA$15)^2+(AJ123/(Input!$AA$15/2))^2+1)))</f>
        <v>0.120833267963286</v>
      </c>
      <c r="BF123" s="57" t="n">
        <f aca="false">MAX(0,AJ123-MAX(AI123,$AA$23))/AK123*IF(BC123&gt;=Input!$AA$21*AQ123,1,0)</f>
        <v>0</v>
      </c>
      <c r="BG123" s="57" t="n">
        <f aca="false">4*Input!$AA$14*(Input!$AA$15/2)*(1-AY123^2)/AX123*((BD123-BD122)+(1-2*AY123)/(1-AY123)*(BE123-BE122))*1000*BF123</f>
        <v>0</v>
      </c>
      <c r="BH123" s="57" t="n">
        <f aca="false">IF(AM123="Sand",0,0.009*(AR123-10))</f>
        <v>0</v>
      </c>
      <c r="BI123" s="57" t="n">
        <f aca="false">BH123*Input!$AA$39</f>
        <v>0</v>
      </c>
      <c r="BJ123" s="57" t="n">
        <f aca="false">IF(AM123="Sand",0,MAX(AV123/Input!$AA$40,AQ123))</f>
        <v>0</v>
      </c>
      <c r="BK123" s="57" t="n">
        <f aca="false">IF(AM123="Sand",0,1000*AK123/(1+AU123)*IF(AQ123+BC123&lt;=BJ123,BI123*LOG10((AQ123+BC123)/AQ123),BI123*LOG10(BJ123/AQ123)+BH123*LOG10((AQ123+BC123)/BJ123)))*BF123</f>
        <v>0</v>
      </c>
      <c r="BL123" s="57" t="n">
        <f aca="false">IF(AM123="Sand",0,10^(INDEX(Input!$Q$51:$Q$57,MIN(MATCH(MIN(MAX(AR123,30),120),Input!$C$51:$C$57,1),6))+(MIN(MAX(AR123,30),120)-INDEX(Input!$C$51:$C$57,MIN(MATCH(MIN(MAX(AR123,30),120),Input!$C$51:$C$57,1),6)))/(INDEX(Input!$C$51:$C$57,MIN(MATCH(MIN(MAX(AR123,30),120),Input!$C$51:$C$57,1),6)+1)-INDEX(Input!$C$51:$C$57,MIN(MATCH(MIN(MAX(AR123,30),120),Input!$C$51:$C$57,1),6)))*(INDEX(Input!$Q$51:$Q$57,MIN(MATCH(MIN(MAX(AR123,30),120),Input!$C$51:$C$57,1),6)+1)-INDEX(Input!$Q$51:$Q$57,MIN(MATCH(MIN(MAX(AR123,30),120),Input!$C$51:$C$57,1),6)))))</f>
        <v>0</v>
      </c>
      <c r="BM123" s="57" t="n">
        <f aca="false">IF(OR(AM123="Sand",BF123=0),0,Input!$AA$41*(AK123/2)^2/(BL123*0.0001*31536000))</f>
        <v>0</v>
      </c>
      <c r="BN123" s="57" t="n">
        <f aca="false">MAX(0,MIN(AJ123,Input!$AA$20)-AI123)</f>
        <v>0</v>
      </c>
      <c r="BO123" s="57" t="n">
        <f aca="false">MAX(0,MIN(AJ123,Input!$AA$20)-MAX(AI123,$AA$23))</f>
        <v>0</v>
      </c>
      <c r="BP123" s="57" t="n">
        <f aca="false">BG123+BK123</f>
        <v>0</v>
      </c>
      <c r="BQ123" s="57" t="s">
        <v>343</v>
      </c>
    </row>
    <row r="124" customFormat="false" ht="14.25" hidden="false" customHeight="false" outlineLevel="0" collapsed="false">
      <c r="B124" s="7"/>
      <c r="C124" s="19" t="s">
        <v>201</v>
      </c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2"/>
    </row>
    <row r="125" customFormat="false" ht="14.25" hidden="false" customHeight="false" outlineLevel="0" collapsed="false">
      <c r="B125" s="7"/>
      <c r="C125" s="19" t="s">
        <v>344</v>
      </c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2"/>
    </row>
    <row r="126" customFormat="false" ht="14.25" hidden="false" customHeight="false" outlineLevel="0" collapsed="false">
      <c r="B126" s="7"/>
      <c r="AF126" s="12"/>
    </row>
    <row r="127" customFormat="false" ht="14.25" hidden="false" customHeight="false" outlineLevel="0" collapsed="false">
      <c r="B127" s="7"/>
      <c r="AF127" s="12"/>
    </row>
    <row r="128" customFormat="false" ht="14.25" hidden="false" customHeight="false" outlineLevel="0" collapsed="false">
      <c r="B128" s="7"/>
      <c r="AF128" s="12"/>
    </row>
    <row r="129" customFormat="false" ht="14.25" hidden="false" customHeight="false" outlineLevel="0" collapsed="false">
      <c r="B129" s="7"/>
      <c r="AF129" s="12"/>
    </row>
    <row r="130" customFormat="false" ht="14.25" hidden="false" customHeight="false" outlineLevel="0" collapsed="false">
      <c r="B130" s="7"/>
      <c r="AF130" s="12"/>
    </row>
    <row r="131" customFormat="false" ht="14.25" hidden="false" customHeight="false" outlineLevel="0" collapsed="false">
      <c r="B131" s="7"/>
      <c r="AF131" s="12"/>
    </row>
    <row r="132" customFormat="false" ht="14.25" hidden="false" customHeight="false" outlineLevel="0" collapsed="false">
      <c r="B132" s="7"/>
      <c r="AF132" s="12"/>
    </row>
    <row r="133" customFormat="false" ht="14.25" hidden="false" customHeight="false" outlineLevel="0" collapsed="false">
      <c r="B133" s="7"/>
      <c r="AF133" s="12"/>
    </row>
    <row r="134" customFormat="false" ht="14.25" hidden="false" customHeight="false" outlineLevel="0" collapsed="false">
      <c r="B134" s="7"/>
      <c r="AF134" s="12"/>
    </row>
    <row r="135" customFormat="false" ht="14.25" hidden="false" customHeight="false" outlineLevel="0" collapsed="false">
      <c r="B135" s="7"/>
      <c r="AF135" s="12"/>
    </row>
    <row r="136" customFormat="false" ht="14.25" hidden="false" customHeight="false" outlineLevel="0" collapsed="false">
      <c r="B136" s="7"/>
      <c r="AF136" s="12"/>
    </row>
    <row r="137" customFormat="false" ht="14.25" hidden="false" customHeight="false" outlineLevel="0" collapsed="false">
      <c r="B137" s="7"/>
      <c r="AF137" s="12"/>
    </row>
    <row r="138" customFormat="false" ht="14.25" hidden="false" customHeight="false" outlineLevel="0" collapsed="false">
      <c r="B138" s="7"/>
      <c r="AF138" s="12"/>
    </row>
    <row r="139" customFormat="false" ht="14.25" hidden="false" customHeight="false" outlineLevel="0" collapsed="false">
      <c r="B139" s="7"/>
      <c r="AF139" s="12"/>
    </row>
    <row r="140" customFormat="false" ht="14.25" hidden="false" customHeight="false" outlineLevel="0" collapsed="false">
      <c r="B140" s="7"/>
      <c r="AF140" s="12"/>
    </row>
    <row r="141" customFormat="false" ht="14.25" hidden="false" customHeight="false" outlineLevel="0" collapsed="false">
      <c r="B141" s="7"/>
      <c r="AF141" s="12"/>
    </row>
    <row r="142" customFormat="false" ht="14.25" hidden="false" customHeight="false" outlineLevel="0" collapsed="false">
      <c r="B142" s="7"/>
      <c r="AF142" s="12"/>
    </row>
    <row r="143" customFormat="false" ht="14.25" hidden="false" customHeight="false" outlineLevel="0" collapsed="false">
      <c r="B143" s="7"/>
      <c r="AF143" s="12"/>
    </row>
    <row r="144" customFormat="false" ht="14.25" hidden="false" customHeight="false" outlineLevel="0" collapsed="false">
      <c r="B144" s="7"/>
      <c r="AF144" s="12"/>
    </row>
    <row r="145" customFormat="false" ht="14.25" hidden="false" customHeight="true" outlineLevel="0" collapsed="false">
      <c r="B145" s="36"/>
      <c r="C145" s="37"/>
      <c r="D145" s="37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8" t="s">
        <v>93</v>
      </c>
      <c r="Y145" s="38"/>
      <c r="Z145" s="38"/>
      <c r="AA145" s="38"/>
      <c r="AB145" s="38" t="n">
        <v>2</v>
      </c>
      <c r="AC145" s="38"/>
      <c r="AD145" s="38"/>
      <c r="AE145" s="38"/>
      <c r="AF145" s="39"/>
    </row>
    <row r="146" customFormat="false" ht="14.25" hidden="false" customHeight="true" outlineLevel="0" collapsed="false">
      <c r="B146" s="1"/>
      <c r="C146" s="2" t="s">
        <v>0</v>
      </c>
      <c r="D146" s="2"/>
      <c r="E146" s="2"/>
      <c r="F146" s="2"/>
      <c r="G146" s="2"/>
      <c r="H146" s="3" t="s">
        <v>1</v>
      </c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4" t="s">
        <v>2</v>
      </c>
      <c r="Y146" s="4"/>
      <c r="Z146" s="4"/>
      <c r="AA146" s="4"/>
      <c r="AB146" s="5" t="s">
        <v>3</v>
      </c>
      <c r="AC146" s="5"/>
      <c r="AD146" s="5"/>
      <c r="AE146" s="5"/>
      <c r="AF146" s="6"/>
    </row>
    <row r="147" customFormat="false" ht="14.25" hidden="false" customHeight="true" outlineLevel="0" collapsed="false">
      <c r="B147" s="7"/>
      <c r="C147" s="8" t="s">
        <v>4</v>
      </c>
      <c r="D147" s="8"/>
      <c r="E147" s="8"/>
      <c r="F147" s="8"/>
      <c r="G147" s="8"/>
      <c r="H147" s="9" t="s">
        <v>5</v>
      </c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10" t="s">
        <v>6</v>
      </c>
      <c r="Y147" s="10"/>
      <c r="Z147" s="10"/>
      <c r="AA147" s="10"/>
      <c r="AB147" s="11" t="n">
        <v>46301</v>
      </c>
      <c r="AC147" s="11"/>
      <c r="AD147" s="11"/>
      <c r="AE147" s="11"/>
      <c r="AF147" s="12"/>
    </row>
    <row r="148" customFormat="false" ht="14.25" hidden="false" customHeight="true" outlineLevel="0" collapsed="false">
      <c r="B148" s="7"/>
      <c r="C148" s="8" t="s">
        <v>7</v>
      </c>
      <c r="D148" s="8"/>
      <c r="E148" s="8"/>
      <c r="F148" s="8"/>
      <c r="G148" s="8"/>
      <c r="H148" s="9" t="s">
        <v>340</v>
      </c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10" t="s">
        <v>9</v>
      </c>
      <c r="Y148" s="10"/>
      <c r="Z148" s="10"/>
      <c r="AA148" s="10"/>
      <c r="AB148" s="11" t="s">
        <v>3</v>
      </c>
      <c r="AC148" s="11"/>
      <c r="AD148" s="11"/>
      <c r="AE148" s="11"/>
      <c r="AF148" s="12"/>
    </row>
    <row r="149" customFormat="false" ht="14.25" hidden="false" customHeight="true" outlineLevel="0" collapsed="false">
      <c r="B149" s="13"/>
      <c r="C149" s="14" t="s">
        <v>10</v>
      </c>
      <c r="D149" s="14"/>
      <c r="E149" s="14"/>
      <c r="F149" s="14"/>
      <c r="G149" s="14"/>
      <c r="H149" s="15" t="s">
        <v>134</v>
      </c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6" t="s">
        <v>12</v>
      </c>
      <c r="Y149" s="16"/>
      <c r="Z149" s="16"/>
      <c r="AA149" s="16"/>
      <c r="AB149" s="17" t="n">
        <v>46301</v>
      </c>
      <c r="AC149" s="17"/>
      <c r="AD149" s="17"/>
      <c r="AE149" s="17"/>
      <c r="AF149" s="18"/>
    </row>
    <row r="150" customFormat="false" ht="14.25" hidden="false" customHeight="false" outlineLevel="0" collapsed="false">
      <c r="B150" s="7"/>
      <c r="AF150" s="12"/>
    </row>
    <row r="151" customFormat="false" ht="14.25" hidden="false" customHeight="false" outlineLevel="0" collapsed="false">
      <c r="B151" s="7"/>
      <c r="C151" s="9" t="s">
        <v>202</v>
      </c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12"/>
    </row>
    <row r="152" customFormat="false" ht="14.25" hidden="false" customHeight="false" outlineLevel="0" collapsed="false">
      <c r="B152" s="7"/>
      <c r="C152" s="20" t="s">
        <v>203</v>
      </c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12"/>
    </row>
    <row r="153" customFormat="false" ht="14.25" hidden="false" customHeight="false" outlineLevel="0" collapsed="false">
      <c r="B153" s="7"/>
      <c r="C153" s="20" t="s">
        <v>204</v>
      </c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12"/>
    </row>
    <row r="154" customFormat="false" ht="14.25" hidden="false" customHeight="false" outlineLevel="0" collapsed="false">
      <c r="B154" s="7"/>
      <c r="C154" s="20" t="s">
        <v>205</v>
      </c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12"/>
    </row>
    <row r="155" customFormat="false" ht="14.25" hidden="false" customHeight="false" outlineLevel="0" collapsed="false">
      <c r="B155" s="7"/>
      <c r="C155" s="20" t="s">
        <v>206</v>
      </c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12"/>
    </row>
    <row r="156" customFormat="false" ht="14.25" hidden="false" customHeight="false" outlineLevel="0" collapsed="false">
      <c r="B156" s="7"/>
      <c r="C156" s="20" t="s">
        <v>207</v>
      </c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12"/>
    </row>
    <row r="157" customFormat="false" ht="14.25" hidden="false" customHeight="false" outlineLevel="0" collapsed="false">
      <c r="B157" s="7"/>
      <c r="AF157" s="12"/>
    </row>
    <row r="158" customFormat="false" ht="14.25" hidden="false" customHeight="false" outlineLevel="0" collapsed="false">
      <c r="B158" s="7"/>
      <c r="AF158" s="12"/>
    </row>
    <row r="159" customFormat="false" ht="14.25" hidden="false" customHeight="false" outlineLevel="0" collapsed="false">
      <c r="B159" s="7"/>
      <c r="AF159" s="12"/>
    </row>
    <row r="160" customFormat="false" ht="14.25" hidden="false" customHeight="false" outlineLevel="0" collapsed="false">
      <c r="B160" s="7"/>
      <c r="AF160" s="12"/>
    </row>
    <row r="161" customFormat="false" ht="14.25" hidden="false" customHeight="false" outlineLevel="0" collapsed="false">
      <c r="B161" s="7"/>
      <c r="AF161" s="12"/>
    </row>
    <row r="162" customFormat="false" ht="14.25" hidden="false" customHeight="false" outlineLevel="0" collapsed="false">
      <c r="B162" s="7"/>
      <c r="AF162" s="12"/>
    </row>
    <row r="163" customFormat="false" ht="14.25" hidden="false" customHeight="false" outlineLevel="0" collapsed="false">
      <c r="B163" s="7"/>
      <c r="AF163" s="12"/>
    </row>
    <row r="164" customFormat="false" ht="14.25" hidden="false" customHeight="false" outlineLevel="0" collapsed="false">
      <c r="B164" s="7"/>
      <c r="AF164" s="12"/>
    </row>
    <row r="165" customFormat="false" ht="14.25" hidden="false" customHeight="false" outlineLevel="0" collapsed="false">
      <c r="B165" s="7"/>
      <c r="AF165" s="12"/>
    </row>
    <row r="166" customFormat="false" ht="14.25" hidden="false" customHeight="false" outlineLevel="0" collapsed="false">
      <c r="B166" s="7"/>
      <c r="AF166" s="12"/>
    </row>
    <row r="167" customFormat="false" ht="14.25" hidden="false" customHeight="false" outlineLevel="0" collapsed="false">
      <c r="B167" s="7"/>
      <c r="AF167" s="12"/>
    </row>
    <row r="168" customFormat="false" ht="14.25" hidden="false" customHeight="false" outlineLevel="0" collapsed="false">
      <c r="B168" s="7"/>
      <c r="AF168" s="12"/>
    </row>
    <row r="169" customFormat="false" ht="14.25" hidden="false" customHeight="false" outlineLevel="0" collapsed="false">
      <c r="B169" s="7"/>
      <c r="AF169" s="12"/>
    </row>
    <row r="170" customFormat="false" ht="14.25" hidden="false" customHeight="false" outlineLevel="0" collapsed="false">
      <c r="B170" s="7"/>
      <c r="C170" s="52" t="s">
        <v>208</v>
      </c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Z170" s="52"/>
      <c r="AA170" s="52"/>
      <c r="AB170" s="52"/>
      <c r="AC170" s="52"/>
      <c r="AD170" s="52"/>
      <c r="AE170" s="52"/>
      <c r="AF170" s="12"/>
    </row>
    <row r="171" customFormat="false" ht="14.25" hidden="false" customHeight="false" outlineLevel="0" collapsed="false">
      <c r="B171" s="7"/>
      <c r="AF171" s="12"/>
    </row>
    <row r="172" customFormat="false" ht="14.25" hidden="false" customHeight="false" outlineLevel="0" collapsed="false">
      <c r="B172" s="7"/>
      <c r="C172" s="9" t="s">
        <v>209</v>
      </c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12"/>
    </row>
    <row r="173" customFormat="false" ht="14.25" hidden="false" customHeight="true" outlineLevel="0" collapsed="false">
      <c r="B173" s="7"/>
      <c r="C173" s="20" t="s">
        <v>210</v>
      </c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1" t="s">
        <v>211</v>
      </c>
      <c r="P173" s="21"/>
      <c r="Q173" s="21"/>
      <c r="R173" s="21"/>
      <c r="S173" s="21"/>
      <c r="T173" s="21"/>
      <c r="U173" s="21"/>
      <c r="V173" s="21"/>
      <c r="W173" s="21"/>
      <c r="X173" s="22" t="s">
        <v>212</v>
      </c>
      <c r="Y173" s="22"/>
      <c r="Z173" s="22"/>
      <c r="AA173" s="50" t="n">
        <f aca="false">SUMPRODUCT(--(AM83:AM123&lt;&gt;"Sand"),BN83:BN123)</f>
        <v>3</v>
      </c>
      <c r="AB173" s="50"/>
      <c r="AC173" s="50"/>
      <c r="AD173" s="20" t="s">
        <v>19</v>
      </c>
      <c r="AE173" s="20"/>
      <c r="AF173" s="12"/>
    </row>
    <row r="174" customFormat="false" ht="14.25" hidden="false" customHeight="true" outlineLevel="0" collapsed="false">
      <c r="B174" s="7"/>
      <c r="C174" s="20" t="s">
        <v>213</v>
      </c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1" t="s">
        <v>214</v>
      </c>
      <c r="P174" s="21"/>
      <c r="Q174" s="21"/>
      <c r="R174" s="21"/>
      <c r="S174" s="21"/>
      <c r="T174" s="21"/>
      <c r="U174" s="21"/>
      <c r="V174" s="21"/>
      <c r="W174" s="21"/>
      <c r="X174" s="22" t="s">
        <v>215</v>
      </c>
      <c r="Y174" s="22"/>
      <c r="Z174" s="22"/>
      <c r="AA174" s="51" t="n">
        <f aca="false">IF($AA$173=0,0,SUMPRODUCT(--(AM83:AM123&lt;&gt;"Sand"),BN83:BN123,AV83:AV123)/$AA$173)</f>
        <v>25</v>
      </c>
      <c r="AB174" s="51"/>
      <c r="AC174" s="51"/>
      <c r="AD174" s="20" t="s">
        <v>26</v>
      </c>
      <c r="AE174" s="20"/>
      <c r="AF174" s="12"/>
    </row>
    <row r="175" customFormat="false" ht="14.25" hidden="false" customHeight="true" outlineLevel="0" collapsed="false">
      <c r="B175" s="7"/>
      <c r="C175" s="20" t="s">
        <v>216</v>
      </c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1" t="s">
        <v>217</v>
      </c>
      <c r="P175" s="21"/>
      <c r="Q175" s="21"/>
      <c r="R175" s="21"/>
      <c r="S175" s="21"/>
      <c r="T175" s="21"/>
      <c r="U175" s="21"/>
      <c r="V175" s="21"/>
      <c r="W175" s="21"/>
      <c r="X175" s="22" t="s">
        <v>218</v>
      </c>
      <c r="Y175" s="22"/>
      <c r="Z175" s="22"/>
      <c r="AA175" s="51" t="n">
        <f aca="false">(SUMPRODUCT(BN83:BN123,AW83:AW123)+MIN(0,Input!$AA$20)*Input!$AA$29)/Input!$AA$20</f>
        <v>34.599760998376</v>
      </c>
      <c r="AB175" s="51"/>
      <c r="AC175" s="51"/>
      <c r="AD175" s="20" t="s">
        <v>60</v>
      </c>
      <c r="AE175" s="20"/>
      <c r="AF175" s="12"/>
    </row>
    <row r="176" customFormat="false" ht="14.25" hidden="false" customHeight="true" outlineLevel="0" collapsed="false">
      <c r="B176" s="7"/>
      <c r="C176" s="20" t="s">
        <v>219</v>
      </c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1" t="s">
        <v>220</v>
      </c>
      <c r="P176" s="21"/>
      <c r="Q176" s="21"/>
      <c r="R176" s="21"/>
      <c r="S176" s="21"/>
      <c r="T176" s="21"/>
      <c r="U176" s="21"/>
      <c r="V176" s="21"/>
      <c r="W176" s="21"/>
      <c r="X176" s="22" t="s">
        <v>221</v>
      </c>
      <c r="Y176" s="22"/>
      <c r="Z176" s="22"/>
      <c r="AA176" s="51" t="n">
        <f aca="false">(SUMPRODUCT(BN83:BN123,AO83:AO123)+MIN(0,Input!$AA$20)*Input!$AA$28)/Input!$AA$20-10*MAX(0,Input!$AA$20-$AA$20)/Input!$AA$20</f>
        <v>19.6</v>
      </c>
      <c r="AB176" s="51"/>
      <c r="AC176" s="51"/>
      <c r="AD176" s="20" t="s">
        <v>23</v>
      </c>
      <c r="AE176" s="20"/>
      <c r="AF176" s="12"/>
    </row>
    <row r="177" customFormat="false" ht="14.25" hidden="false" customHeight="true" outlineLevel="0" collapsed="false">
      <c r="B177" s="7"/>
      <c r="C177" s="20" t="s">
        <v>222</v>
      </c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1" t="s">
        <v>223</v>
      </c>
      <c r="P177" s="21"/>
      <c r="Q177" s="21"/>
      <c r="R177" s="21"/>
      <c r="S177" s="21"/>
      <c r="T177" s="21"/>
      <c r="U177" s="21"/>
      <c r="V177" s="21"/>
      <c r="W177" s="21"/>
      <c r="X177" s="22" t="s">
        <v>224</v>
      </c>
      <c r="Y177" s="22"/>
      <c r="Z177" s="22"/>
      <c r="AA177" s="50" t="n">
        <f aca="false">IF($AA$173=0,5.14,MAX(5.14,IF(Input!$AA$25&gt;0,MIN(Input!$AA$25,4.14+0.5*Input!$AA$15/$AA$173),4.14+0.5*Input!$AA$15/$AA$173)))</f>
        <v>16.4733333333333</v>
      </c>
      <c r="AB177" s="50"/>
      <c r="AC177" s="50"/>
      <c r="AD177" s="20" t="s">
        <v>38</v>
      </c>
      <c r="AE177" s="20"/>
      <c r="AF177" s="12"/>
    </row>
    <row r="178" customFormat="false" ht="14.25" hidden="false" customHeight="true" outlineLevel="0" collapsed="false">
      <c r="B178" s="7"/>
      <c r="C178" s="20" t="s">
        <v>225</v>
      </c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1" t="s">
        <v>226</v>
      </c>
      <c r="P178" s="21"/>
      <c r="Q178" s="21"/>
      <c r="R178" s="21"/>
      <c r="S178" s="21"/>
      <c r="T178" s="21"/>
      <c r="U178" s="21"/>
      <c r="V178" s="21"/>
      <c r="W178" s="21"/>
      <c r="X178" s="22" t="s">
        <v>227</v>
      </c>
      <c r="Y178" s="22"/>
      <c r="Z178" s="22"/>
      <c r="AA178" s="50" t="n">
        <f aca="false">1+0.2*Input!$AA$15/Input!$AA$16</f>
        <v>1.07326732673267</v>
      </c>
      <c r="AB178" s="50"/>
      <c r="AC178" s="50"/>
      <c r="AD178" s="20" t="s">
        <v>38</v>
      </c>
      <c r="AE178" s="20"/>
      <c r="AF178" s="12"/>
    </row>
    <row r="179" customFormat="false" ht="14.25" hidden="false" customHeight="true" outlineLevel="0" collapsed="false">
      <c r="B179" s="7"/>
      <c r="C179" s="20" t="s">
        <v>228</v>
      </c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1" t="s">
        <v>229</v>
      </c>
      <c r="P179" s="21"/>
      <c r="Q179" s="21"/>
      <c r="R179" s="21"/>
      <c r="S179" s="21"/>
      <c r="T179" s="21"/>
      <c r="U179" s="21"/>
      <c r="V179" s="21"/>
      <c r="W179" s="21"/>
      <c r="X179" s="22" t="s">
        <v>230</v>
      </c>
      <c r="Y179" s="22"/>
      <c r="Z179" s="22"/>
      <c r="AA179" s="51" t="n">
        <f aca="false">IF($AA$173=0,"n/a",$AA$174*$AA$177*$AA$178)</f>
        <v>442.007260726073</v>
      </c>
      <c r="AB179" s="51"/>
      <c r="AC179" s="51"/>
      <c r="AD179" s="20" t="s">
        <v>26</v>
      </c>
      <c r="AE179" s="20"/>
      <c r="AF179" s="12"/>
    </row>
    <row r="180" customFormat="false" ht="14.25" hidden="false" customHeight="true" outlineLevel="0" collapsed="false">
      <c r="B180" s="7"/>
      <c r="C180" s="20" t="s">
        <v>231</v>
      </c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1" t="s">
        <v>232</v>
      </c>
      <c r="P180" s="21"/>
      <c r="Q180" s="21"/>
      <c r="R180" s="21"/>
      <c r="S180" s="21"/>
      <c r="T180" s="21"/>
      <c r="U180" s="21"/>
      <c r="V180" s="21"/>
      <c r="W180" s="21"/>
      <c r="X180" s="22" t="s">
        <v>233</v>
      </c>
      <c r="Y180" s="22"/>
      <c r="Z180" s="22"/>
      <c r="AA180" s="50" t="n">
        <f aca="false">EXP(PI()*TAN(RADIANS($AA$175)))*TAN(RADIANS(45+$AA$175/2))^2</f>
        <v>31.6861427324801</v>
      </c>
      <c r="AB180" s="50"/>
      <c r="AC180" s="50"/>
      <c r="AD180" s="20" t="s">
        <v>38</v>
      </c>
      <c r="AE180" s="20"/>
      <c r="AF180" s="12"/>
    </row>
    <row r="181" customFormat="false" ht="14.25" hidden="false" customHeight="true" outlineLevel="0" collapsed="false">
      <c r="B181" s="7"/>
      <c r="C181" s="20" t="s">
        <v>234</v>
      </c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1" t="s">
        <v>235</v>
      </c>
      <c r="P181" s="21"/>
      <c r="Q181" s="21"/>
      <c r="R181" s="21"/>
      <c r="S181" s="21"/>
      <c r="T181" s="21"/>
      <c r="U181" s="21"/>
      <c r="V181" s="21"/>
      <c r="W181" s="21"/>
      <c r="X181" s="22" t="s">
        <v>236</v>
      </c>
      <c r="Y181" s="22"/>
      <c r="Z181" s="22"/>
      <c r="AA181" s="50" t="n">
        <f aca="false">2*($AA$180+1)*TAN(RADIANS($AA$175))</f>
        <v>45.096916546679</v>
      </c>
      <c r="AB181" s="50"/>
      <c r="AC181" s="50"/>
      <c r="AD181" s="20" t="s">
        <v>38</v>
      </c>
      <c r="AE181" s="20"/>
      <c r="AF181" s="12"/>
    </row>
    <row r="182" customFormat="false" ht="14.25" hidden="false" customHeight="true" outlineLevel="0" collapsed="false">
      <c r="B182" s="7"/>
      <c r="C182" s="20" t="s">
        <v>237</v>
      </c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1" t="s">
        <v>238</v>
      </c>
      <c r="P182" s="21"/>
      <c r="Q182" s="21"/>
      <c r="R182" s="21"/>
      <c r="S182" s="21"/>
      <c r="T182" s="21"/>
      <c r="U182" s="21"/>
      <c r="V182" s="21"/>
      <c r="W182" s="21"/>
      <c r="X182" s="22" t="s">
        <v>239</v>
      </c>
      <c r="Y182" s="22"/>
      <c r="Z182" s="22"/>
      <c r="AA182" s="63" t="n">
        <f aca="false">(1-0.4*Input!$AA$15/Input!$AA$16)*IF(Input!$AA$15&gt;2,1-0.25*LOG10(Input!$AA$15/2),1)</f>
        <v>0.518863889567884</v>
      </c>
      <c r="AB182" s="63"/>
      <c r="AC182" s="63"/>
      <c r="AD182" s="20" t="s">
        <v>38</v>
      </c>
      <c r="AE182" s="20"/>
      <c r="AF182" s="12"/>
    </row>
    <row r="183" customFormat="false" ht="14.25" hidden="false" customHeight="true" outlineLevel="0" collapsed="false">
      <c r="B183" s="7"/>
      <c r="C183" s="20" t="s">
        <v>240</v>
      </c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1" t="s">
        <v>241</v>
      </c>
      <c r="P183" s="21"/>
      <c r="Q183" s="21"/>
      <c r="R183" s="21"/>
      <c r="S183" s="21"/>
      <c r="T183" s="21"/>
      <c r="U183" s="21"/>
      <c r="V183" s="21"/>
      <c r="W183" s="21"/>
      <c r="X183" s="22" t="s">
        <v>242</v>
      </c>
      <c r="Y183" s="22"/>
      <c r="Z183" s="22"/>
      <c r="AA183" s="51" t="n">
        <f aca="false">0.5*$AA$176*Input!$AA$15*$AA$181*$AA$182</f>
        <v>16969.0719393283</v>
      </c>
      <c r="AB183" s="51"/>
      <c r="AC183" s="51"/>
      <c r="AD183" s="20" t="s">
        <v>26</v>
      </c>
      <c r="AE183" s="20"/>
      <c r="AF183" s="12"/>
    </row>
    <row r="184" customFormat="false" ht="14.25" hidden="false" customHeight="true" outlineLevel="0" collapsed="false">
      <c r="B184" s="7"/>
      <c r="C184" s="20" t="s">
        <v>243</v>
      </c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1" t="s">
        <v>244</v>
      </c>
      <c r="P184" s="21"/>
      <c r="Q184" s="21"/>
      <c r="R184" s="21"/>
      <c r="S184" s="21"/>
      <c r="T184" s="21"/>
      <c r="U184" s="21"/>
      <c r="V184" s="21"/>
      <c r="W184" s="21"/>
      <c r="X184" s="22" t="s">
        <v>245</v>
      </c>
      <c r="Y184" s="22"/>
      <c r="Z184" s="22"/>
      <c r="AA184" s="24" t="n">
        <f aca="false">IF($AA$173=0,$AA$183,MIN($AA$179,$AA$183))</f>
        <v>442.007260726073</v>
      </c>
      <c r="AB184" s="24"/>
      <c r="AC184" s="24"/>
      <c r="AD184" s="20" t="s">
        <v>26</v>
      </c>
      <c r="AE184" s="20"/>
      <c r="AF184" s="12"/>
    </row>
    <row r="185" customFormat="false" ht="14.25" hidden="false" customHeight="true" outlineLevel="0" collapsed="false">
      <c r="B185" s="7"/>
      <c r="C185" s="20" t="s">
        <v>246</v>
      </c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1" t="s">
        <v>247</v>
      </c>
      <c r="P185" s="21"/>
      <c r="Q185" s="21"/>
      <c r="R185" s="21"/>
      <c r="S185" s="21"/>
      <c r="T185" s="21"/>
      <c r="U185" s="21"/>
      <c r="V185" s="21"/>
      <c r="W185" s="21"/>
      <c r="X185" s="22" t="s">
        <v>248</v>
      </c>
      <c r="Y185" s="22"/>
      <c r="Z185" s="22"/>
      <c r="AA185" s="24" t="n">
        <f aca="false">$AA$184/Input!$AA$19</f>
        <v>147.335753575358</v>
      </c>
      <c r="AB185" s="24"/>
      <c r="AC185" s="24"/>
      <c r="AD185" s="20" t="s">
        <v>26</v>
      </c>
      <c r="AE185" s="20"/>
      <c r="AF185" s="12"/>
    </row>
    <row r="186" customFormat="false" ht="14.25" hidden="false" customHeight="true" outlineLevel="0" collapsed="false">
      <c r="B186" s="7"/>
      <c r="C186" s="20" t="s">
        <v>249</v>
      </c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1" t="s">
        <v>28</v>
      </c>
      <c r="P186" s="21"/>
      <c r="Q186" s="21"/>
      <c r="R186" s="21"/>
      <c r="S186" s="21"/>
      <c r="T186" s="21"/>
      <c r="U186" s="21"/>
      <c r="V186" s="21"/>
      <c r="W186" s="21"/>
      <c r="X186" s="22" t="s">
        <v>29</v>
      </c>
      <c r="Y186" s="22"/>
      <c r="Z186" s="22"/>
      <c r="AA186" s="51" t="n">
        <f aca="false">Input!$AA$14</f>
        <v>136</v>
      </c>
      <c r="AB186" s="51"/>
      <c r="AC186" s="51"/>
      <c r="AD186" s="20" t="s">
        <v>26</v>
      </c>
      <c r="AE186" s="20"/>
      <c r="AF186" s="12"/>
    </row>
    <row r="187" customFormat="false" ht="14.25" hidden="false" customHeight="true" outlineLevel="0" collapsed="false">
      <c r="B187" s="7"/>
      <c r="C187" s="20" t="s">
        <v>250</v>
      </c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1" t="s">
        <v>251</v>
      </c>
      <c r="P187" s="21"/>
      <c r="Q187" s="21"/>
      <c r="R187" s="21"/>
      <c r="S187" s="21"/>
      <c r="T187" s="21"/>
      <c r="U187" s="21"/>
      <c r="V187" s="21"/>
      <c r="W187" s="21"/>
      <c r="X187" s="22" t="s">
        <v>252</v>
      </c>
      <c r="Y187" s="22"/>
      <c r="Z187" s="22"/>
      <c r="AA187" s="50" t="n">
        <f aca="false">$AA$184/Input!$AA$14</f>
        <v>3.25005338769171</v>
      </c>
      <c r="AB187" s="50"/>
      <c r="AC187" s="50"/>
      <c r="AD187" s="20" t="s">
        <v>38</v>
      </c>
      <c r="AE187" s="20"/>
      <c r="AF187" s="12"/>
    </row>
    <row r="188" customFormat="false" ht="14.25" hidden="false" customHeight="true" outlineLevel="0" collapsed="false">
      <c r="B188" s="7"/>
      <c r="C188" s="20" t="s">
        <v>253</v>
      </c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1" t="s">
        <v>254</v>
      </c>
      <c r="P188" s="21"/>
      <c r="Q188" s="21"/>
      <c r="R188" s="21"/>
      <c r="S188" s="21"/>
      <c r="T188" s="21"/>
      <c r="U188" s="21"/>
      <c r="V188" s="21"/>
      <c r="W188" s="21"/>
      <c r="X188" s="22" t="s">
        <v>255</v>
      </c>
      <c r="Y188" s="22"/>
      <c r="Z188" s="22"/>
      <c r="AA188" s="50" t="n">
        <f aca="false">MAX(0,($AA$185-Input!$AA$13)/Input!$AA$12)</f>
        <v>2.62976408751986</v>
      </c>
      <c r="AB188" s="50"/>
      <c r="AC188" s="50"/>
      <c r="AD188" s="20" t="s">
        <v>19</v>
      </c>
      <c r="AE188" s="20"/>
      <c r="AF188" s="12"/>
    </row>
    <row r="189" customFormat="false" ht="14.25" hidden="false" customHeight="false" outlineLevel="0" collapsed="false">
      <c r="B189" s="7"/>
      <c r="C189" s="9" t="s">
        <v>256</v>
      </c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X189" s="64" t="str">
        <f aca="false">IF($AA$185&gt;=Input!$AA$14,"qall ≥ q …. OK!!","qall &lt; q …. NG!!")</f>
        <v>qall ≥ q …. OK!!</v>
      </c>
      <c r="Y189" s="64"/>
      <c r="Z189" s="64"/>
      <c r="AA189" s="64"/>
      <c r="AB189" s="64"/>
      <c r="AC189" s="64"/>
      <c r="AD189" s="64"/>
      <c r="AE189" s="64"/>
      <c r="AF189" s="12"/>
    </row>
    <row r="190" customFormat="false" ht="14.25" hidden="false" customHeight="false" outlineLevel="0" collapsed="false">
      <c r="B190" s="7"/>
      <c r="AF190" s="12"/>
    </row>
    <row r="191" customFormat="false" ht="14.25" hidden="false" customHeight="false" outlineLevel="0" collapsed="false">
      <c r="B191" s="7"/>
      <c r="C191" s="9" t="s">
        <v>257</v>
      </c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12"/>
    </row>
    <row r="192" customFormat="false" ht="14.25" hidden="false" customHeight="true" outlineLevel="0" collapsed="false">
      <c r="B192" s="7"/>
      <c r="C192" s="20" t="s">
        <v>210</v>
      </c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1" t="s">
        <v>211</v>
      </c>
      <c r="P192" s="21"/>
      <c r="Q192" s="21"/>
      <c r="R192" s="21"/>
      <c r="S192" s="21"/>
      <c r="T192" s="21"/>
      <c r="U192" s="21"/>
      <c r="V192" s="21"/>
      <c r="W192" s="21"/>
      <c r="X192" s="22" t="s">
        <v>212</v>
      </c>
      <c r="Y192" s="22"/>
      <c r="Z192" s="22"/>
      <c r="AA192" s="50" t="n">
        <f aca="false">SUMPRODUCT(--(AM83:AM123&lt;&gt;"Sand"),BO83:BO123)</f>
        <v>2.5</v>
      </c>
      <c r="AB192" s="50"/>
      <c r="AC192" s="50"/>
      <c r="AD192" s="20" t="s">
        <v>19</v>
      </c>
      <c r="AE192" s="20"/>
      <c r="AF192" s="12"/>
    </row>
    <row r="193" customFormat="false" ht="14.25" hidden="false" customHeight="true" outlineLevel="0" collapsed="false">
      <c r="B193" s="7"/>
      <c r="C193" s="20" t="s">
        <v>213</v>
      </c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1" t="s">
        <v>214</v>
      </c>
      <c r="P193" s="21"/>
      <c r="Q193" s="21"/>
      <c r="R193" s="21"/>
      <c r="S193" s="21"/>
      <c r="T193" s="21"/>
      <c r="U193" s="21"/>
      <c r="V193" s="21"/>
      <c r="W193" s="21"/>
      <c r="X193" s="22" t="s">
        <v>215</v>
      </c>
      <c r="Y193" s="22"/>
      <c r="Z193" s="22"/>
      <c r="AA193" s="51" t="n">
        <f aca="false">IF($AA$192=0,0,SUMPRODUCT(--(AM83:AM123&lt;&gt;"Sand"),BO83:BO123,AV83:AV123)/$AA$192)</f>
        <v>25</v>
      </c>
      <c r="AB193" s="51"/>
      <c r="AC193" s="51"/>
      <c r="AD193" s="20" t="s">
        <v>26</v>
      </c>
      <c r="AE193" s="20"/>
      <c r="AF193" s="12"/>
    </row>
    <row r="194" customFormat="false" ht="14.25" hidden="false" customHeight="true" outlineLevel="0" collapsed="false">
      <c r="B194" s="7"/>
      <c r="C194" s="20" t="s">
        <v>216</v>
      </c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1" t="s">
        <v>217</v>
      </c>
      <c r="P194" s="21"/>
      <c r="Q194" s="21"/>
      <c r="R194" s="21"/>
      <c r="S194" s="21"/>
      <c r="T194" s="21"/>
      <c r="U194" s="21"/>
      <c r="V194" s="21"/>
      <c r="W194" s="21"/>
      <c r="X194" s="22" t="s">
        <v>218</v>
      </c>
      <c r="Y194" s="22"/>
      <c r="Z194" s="22"/>
      <c r="AA194" s="51" t="n">
        <f aca="false">(SUMPRODUCT(BO83:BO123,AW83:AW123)+MIN($AA$23,Input!$AA$20)*Input!$AA$29)/Input!$AA$20</f>
        <v>34.099760998376</v>
      </c>
      <c r="AB194" s="51"/>
      <c r="AC194" s="51"/>
      <c r="AD194" s="20" t="s">
        <v>60</v>
      </c>
      <c r="AE194" s="20"/>
      <c r="AF194" s="12"/>
    </row>
    <row r="195" customFormat="false" ht="14.25" hidden="false" customHeight="true" outlineLevel="0" collapsed="false">
      <c r="B195" s="7"/>
      <c r="C195" s="20" t="s">
        <v>219</v>
      </c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1" t="s">
        <v>220</v>
      </c>
      <c r="P195" s="21"/>
      <c r="Q195" s="21"/>
      <c r="R195" s="21"/>
      <c r="S195" s="21"/>
      <c r="T195" s="21"/>
      <c r="U195" s="21"/>
      <c r="V195" s="21"/>
      <c r="W195" s="21"/>
      <c r="X195" s="22" t="s">
        <v>221</v>
      </c>
      <c r="Y195" s="22"/>
      <c r="Z195" s="22"/>
      <c r="AA195" s="51" t="n">
        <f aca="false">(SUMPRODUCT(BO83:BO123,AO83:AO123)+MIN($AA$23,Input!$AA$20)*Input!$AA$28)/Input!$AA$20-10*MAX(0,Input!$AA$20-$AA$20)/Input!$AA$20</f>
        <v>19.54</v>
      </c>
      <c r="AB195" s="51"/>
      <c r="AC195" s="51"/>
      <c r="AD195" s="20" t="s">
        <v>23</v>
      </c>
      <c r="AE195" s="20"/>
      <c r="AF195" s="12"/>
    </row>
    <row r="196" customFormat="false" ht="14.25" hidden="false" customHeight="true" outlineLevel="0" collapsed="false">
      <c r="B196" s="7"/>
      <c r="C196" s="20" t="s">
        <v>222</v>
      </c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1" t="s">
        <v>223</v>
      </c>
      <c r="P196" s="21"/>
      <c r="Q196" s="21"/>
      <c r="R196" s="21"/>
      <c r="S196" s="21"/>
      <c r="T196" s="21"/>
      <c r="U196" s="21"/>
      <c r="V196" s="21"/>
      <c r="W196" s="21"/>
      <c r="X196" s="22" t="s">
        <v>224</v>
      </c>
      <c r="Y196" s="22"/>
      <c r="Z196" s="22"/>
      <c r="AA196" s="50" t="n">
        <f aca="false">IF($AA$192=0,5.14,MAX(5.14,IF(Input!$AA$25&gt;0,MIN(Input!$AA$25,4.14+0.5*Input!$AA$15/$AA$192),4.14+0.5*Input!$AA$15/$AA$192)))</f>
        <v>18.94</v>
      </c>
      <c r="AB196" s="50"/>
      <c r="AC196" s="50"/>
      <c r="AD196" s="20" t="s">
        <v>38</v>
      </c>
      <c r="AE196" s="20"/>
      <c r="AF196" s="12"/>
    </row>
    <row r="197" customFormat="false" ht="14.25" hidden="false" customHeight="true" outlineLevel="0" collapsed="false">
      <c r="B197" s="7"/>
      <c r="C197" s="20" t="s">
        <v>225</v>
      </c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1" t="s">
        <v>226</v>
      </c>
      <c r="P197" s="21"/>
      <c r="Q197" s="21"/>
      <c r="R197" s="21"/>
      <c r="S197" s="21"/>
      <c r="T197" s="21"/>
      <c r="U197" s="21"/>
      <c r="V197" s="21"/>
      <c r="W197" s="21"/>
      <c r="X197" s="22" t="s">
        <v>227</v>
      </c>
      <c r="Y197" s="22"/>
      <c r="Z197" s="22"/>
      <c r="AA197" s="50" t="n">
        <f aca="false">1+0.2*Input!$AA$15/Input!$AA$16</f>
        <v>1.07326732673267</v>
      </c>
      <c r="AB197" s="50"/>
      <c r="AC197" s="50"/>
      <c r="AD197" s="20" t="s">
        <v>38</v>
      </c>
      <c r="AE197" s="20"/>
      <c r="AF197" s="12"/>
    </row>
    <row r="198" customFormat="false" ht="14.25" hidden="false" customHeight="true" outlineLevel="0" collapsed="false">
      <c r="B198" s="7"/>
      <c r="C198" s="20" t="s">
        <v>228</v>
      </c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1" t="s">
        <v>229</v>
      </c>
      <c r="P198" s="21"/>
      <c r="Q198" s="21"/>
      <c r="R198" s="21"/>
      <c r="S198" s="21"/>
      <c r="T198" s="21"/>
      <c r="U198" s="21"/>
      <c r="V198" s="21"/>
      <c r="W198" s="21"/>
      <c r="X198" s="22" t="s">
        <v>230</v>
      </c>
      <c r="Y198" s="22"/>
      <c r="Z198" s="22"/>
      <c r="AA198" s="51" t="n">
        <f aca="false">IF($AA$192=0,"n/a",$AA$193*$AA$196*$AA$197)</f>
        <v>508.192079207921</v>
      </c>
      <c r="AB198" s="51"/>
      <c r="AC198" s="51"/>
      <c r="AD198" s="20" t="s">
        <v>26</v>
      </c>
      <c r="AE198" s="20"/>
      <c r="AF198" s="12"/>
    </row>
    <row r="199" customFormat="false" ht="14.25" hidden="false" customHeight="true" outlineLevel="0" collapsed="false">
      <c r="B199" s="7"/>
      <c r="C199" s="20" t="s">
        <v>231</v>
      </c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1" t="s">
        <v>232</v>
      </c>
      <c r="P199" s="21"/>
      <c r="Q199" s="21"/>
      <c r="R199" s="21"/>
      <c r="S199" s="21"/>
      <c r="T199" s="21"/>
      <c r="U199" s="21"/>
      <c r="V199" s="21"/>
      <c r="W199" s="21"/>
      <c r="X199" s="22" t="s">
        <v>233</v>
      </c>
      <c r="Y199" s="22"/>
      <c r="Z199" s="22"/>
      <c r="AA199" s="50" t="n">
        <f aca="false">EXP(PI()*TAN(RADIANS($AA$194)))*TAN(RADIANS(45+$AA$194/2))^2</f>
        <v>29.800291132886</v>
      </c>
      <c r="AB199" s="50"/>
      <c r="AC199" s="50"/>
      <c r="AD199" s="20" t="s">
        <v>38</v>
      </c>
      <c r="AE199" s="20"/>
      <c r="AF199" s="12"/>
    </row>
    <row r="200" customFormat="false" ht="14.25" hidden="false" customHeight="true" outlineLevel="0" collapsed="false">
      <c r="B200" s="7"/>
      <c r="C200" s="20" t="s">
        <v>234</v>
      </c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1" t="s">
        <v>235</v>
      </c>
      <c r="P200" s="21"/>
      <c r="Q200" s="21"/>
      <c r="R200" s="21"/>
      <c r="S200" s="21"/>
      <c r="T200" s="21"/>
      <c r="U200" s="21"/>
      <c r="V200" s="21"/>
      <c r="W200" s="21"/>
      <c r="X200" s="22" t="s">
        <v>236</v>
      </c>
      <c r="Y200" s="22"/>
      <c r="Z200" s="22"/>
      <c r="AA200" s="50" t="n">
        <f aca="false">2*($AA$199+1)*TAN(RADIANS($AA$194))</f>
        <v>41.7063548984484</v>
      </c>
      <c r="AB200" s="50"/>
      <c r="AC200" s="50"/>
      <c r="AD200" s="20" t="s">
        <v>38</v>
      </c>
      <c r="AE200" s="20"/>
      <c r="AF200" s="12"/>
    </row>
    <row r="201" customFormat="false" ht="14.25" hidden="false" customHeight="true" outlineLevel="0" collapsed="false">
      <c r="B201" s="7"/>
      <c r="C201" s="20" t="s">
        <v>237</v>
      </c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1" t="s">
        <v>238</v>
      </c>
      <c r="P201" s="21"/>
      <c r="Q201" s="21"/>
      <c r="R201" s="21"/>
      <c r="S201" s="21"/>
      <c r="T201" s="21"/>
      <c r="U201" s="21"/>
      <c r="V201" s="21"/>
      <c r="W201" s="21"/>
      <c r="X201" s="22" t="s">
        <v>239</v>
      </c>
      <c r="Y201" s="22"/>
      <c r="Z201" s="22"/>
      <c r="AA201" s="63" t="n">
        <f aca="false">(1-0.4*Input!$AA$15/Input!$AA$16)*IF(Input!$AA$15&gt;2,1-0.25*LOG10(Input!$AA$15/2),1)</f>
        <v>0.518863889567884</v>
      </c>
      <c r="AB201" s="63"/>
      <c r="AC201" s="63"/>
      <c r="AD201" s="20" t="s">
        <v>38</v>
      </c>
      <c r="AE201" s="20"/>
      <c r="AF201" s="12"/>
    </row>
    <row r="202" customFormat="false" ht="14.25" hidden="false" customHeight="true" outlineLevel="0" collapsed="false">
      <c r="B202" s="7"/>
      <c r="C202" s="20" t="s">
        <v>240</v>
      </c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1" t="s">
        <v>241</v>
      </c>
      <c r="P202" s="21"/>
      <c r="Q202" s="21"/>
      <c r="R202" s="21"/>
      <c r="S202" s="21"/>
      <c r="T202" s="21"/>
      <c r="U202" s="21"/>
      <c r="V202" s="21"/>
      <c r="W202" s="21"/>
      <c r="X202" s="22" t="s">
        <v>242</v>
      </c>
      <c r="Y202" s="22"/>
      <c r="Z202" s="22"/>
      <c r="AA202" s="51" t="n">
        <f aca="false">0.5*$AA$195*Input!$AA$15*$AA$200*$AA$201</f>
        <v>15645.2304621979</v>
      </c>
      <c r="AB202" s="51"/>
      <c r="AC202" s="51"/>
      <c r="AD202" s="20" t="s">
        <v>26</v>
      </c>
      <c r="AE202" s="20"/>
      <c r="AF202" s="12"/>
    </row>
    <row r="203" customFormat="false" ht="14.25" hidden="false" customHeight="true" outlineLevel="0" collapsed="false">
      <c r="B203" s="7"/>
      <c r="C203" s="20" t="s">
        <v>243</v>
      </c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1" t="s">
        <v>244</v>
      </c>
      <c r="P203" s="21"/>
      <c r="Q203" s="21"/>
      <c r="R203" s="21"/>
      <c r="S203" s="21"/>
      <c r="T203" s="21"/>
      <c r="U203" s="21"/>
      <c r="V203" s="21"/>
      <c r="W203" s="21"/>
      <c r="X203" s="22" t="s">
        <v>245</v>
      </c>
      <c r="Y203" s="22"/>
      <c r="Z203" s="22"/>
      <c r="AA203" s="24" t="n">
        <f aca="false">IF($AA$192=0,$AA$202,MIN($AA$198,$AA$202))</f>
        <v>508.192079207921</v>
      </c>
      <c r="AB203" s="24"/>
      <c r="AC203" s="24"/>
      <c r="AD203" s="20" t="s">
        <v>26</v>
      </c>
      <c r="AE203" s="20"/>
      <c r="AF203" s="12"/>
    </row>
    <row r="204" customFormat="false" ht="14.25" hidden="false" customHeight="true" outlineLevel="0" collapsed="false">
      <c r="B204" s="7"/>
      <c r="C204" s="20" t="s">
        <v>246</v>
      </c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1" t="s">
        <v>247</v>
      </c>
      <c r="P204" s="21"/>
      <c r="Q204" s="21"/>
      <c r="R204" s="21"/>
      <c r="S204" s="21"/>
      <c r="T204" s="21"/>
      <c r="U204" s="21"/>
      <c r="V204" s="21"/>
      <c r="W204" s="21"/>
      <c r="X204" s="22" t="s">
        <v>248</v>
      </c>
      <c r="Y204" s="22"/>
      <c r="Z204" s="22"/>
      <c r="AA204" s="24" t="n">
        <f aca="false">$AA$203/Input!$AA$19</f>
        <v>169.397359735974</v>
      </c>
      <c r="AB204" s="24"/>
      <c r="AC204" s="24"/>
      <c r="AD204" s="20" t="s">
        <v>26</v>
      </c>
      <c r="AE204" s="20"/>
      <c r="AF204" s="12"/>
    </row>
    <row r="205" customFormat="false" ht="14.25" hidden="false" customHeight="true" outlineLevel="0" collapsed="false">
      <c r="B205" s="7"/>
      <c r="C205" s="20" t="s">
        <v>249</v>
      </c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1" t="s">
        <v>28</v>
      </c>
      <c r="P205" s="21"/>
      <c r="Q205" s="21"/>
      <c r="R205" s="21"/>
      <c r="S205" s="21"/>
      <c r="T205" s="21"/>
      <c r="U205" s="21"/>
      <c r="V205" s="21"/>
      <c r="W205" s="21"/>
      <c r="X205" s="22" t="s">
        <v>29</v>
      </c>
      <c r="Y205" s="22"/>
      <c r="Z205" s="22"/>
      <c r="AA205" s="51" t="n">
        <f aca="false">Input!$AA$14</f>
        <v>136</v>
      </c>
      <c r="AB205" s="51"/>
      <c r="AC205" s="51"/>
      <c r="AD205" s="20" t="s">
        <v>26</v>
      </c>
      <c r="AE205" s="20"/>
      <c r="AF205" s="12"/>
    </row>
    <row r="206" customFormat="false" ht="14.25" hidden="false" customHeight="true" outlineLevel="0" collapsed="false">
      <c r="B206" s="7"/>
      <c r="C206" s="20" t="s">
        <v>250</v>
      </c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1" t="s">
        <v>251</v>
      </c>
      <c r="P206" s="21"/>
      <c r="Q206" s="21"/>
      <c r="R206" s="21"/>
      <c r="S206" s="21"/>
      <c r="T206" s="21"/>
      <c r="U206" s="21"/>
      <c r="V206" s="21"/>
      <c r="W206" s="21"/>
      <c r="X206" s="22" t="s">
        <v>252</v>
      </c>
      <c r="Y206" s="22"/>
      <c r="Z206" s="22"/>
      <c r="AA206" s="50" t="n">
        <f aca="false">$AA$203/Input!$AA$14</f>
        <v>3.73670646476412</v>
      </c>
      <c r="AB206" s="50"/>
      <c r="AC206" s="50"/>
      <c r="AD206" s="20" t="s">
        <v>38</v>
      </c>
      <c r="AE206" s="20"/>
      <c r="AF206" s="12"/>
    </row>
    <row r="207" customFormat="false" ht="14.25" hidden="false" customHeight="true" outlineLevel="0" collapsed="false">
      <c r="B207" s="7"/>
      <c r="C207" s="20" t="s">
        <v>253</v>
      </c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1" t="s">
        <v>254</v>
      </c>
      <c r="P207" s="21"/>
      <c r="Q207" s="21"/>
      <c r="R207" s="21"/>
      <c r="S207" s="21"/>
      <c r="T207" s="21"/>
      <c r="U207" s="21"/>
      <c r="V207" s="21"/>
      <c r="W207" s="21"/>
      <c r="X207" s="22" t="s">
        <v>255</v>
      </c>
      <c r="Y207" s="22"/>
      <c r="Z207" s="22"/>
      <c r="AA207" s="50" t="n">
        <f aca="false">MAX(0,($AA$204-Input!$AA$13)/Input!$AA$12)</f>
        <v>3.85540887422076</v>
      </c>
      <c r="AB207" s="50"/>
      <c r="AC207" s="50"/>
      <c r="AD207" s="20" t="s">
        <v>19</v>
      </c>
      <c r="AE207" s="20"/>
      <c r="AF207" s="12"/>
    </row>
    <row r="208" customFormat="false" ht="14.25" hidden="false" customHeight="false" outlineLevel="0" collapsed="false">
      <c r="B208" s="7"/>
      <c r="C208" s="9" t="s">
        <v>256</v>
      </c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X208" s="64" t="str">
        <f aca="false">IF($AA$204&gt;=Input!$AA$14,"qall ≥ q …. OK!!","qall &lt; q …. NG!!")</f>
        <v>qall ≥ q …. OK!!</v>
      </c>
      <c r="Y208" s="64"/>
      <c r="Z208" s="64"/>
      <c r="AA208" s="64"/>
      <c r="AB208" s="64"/>
      <c r="AC208" s="64"/>
      <c r="AD208" s="64"/>
      <c r="AE208" s="64"/>
      <c r="AF208" s="12"/>
    </row>
    <row r="209" customFormat="false" ht="14.25" hidden="false" customHeight="false" outlineLevel="0" collapsed="false">
      <c r="B209" s="7"/>
      <c r="AF209" s="12"/>
    </row>
    <row r="210" customFormat="false" ht="14.25" hidden="false" customHeight="false" outlineLevel="0" collapsed="false">
      <c r="B210" s="7"/>
      <c r="AF210" s="12"/>
    </row>
    <row r="211" customFormat="false" ht="14.25" hidden="false" customHeight="false" outlineLevel="0" collapsed="false">
      <c r="B211" s="7"/>
      <c r="AF211" s="12"/>
    </row>
    <row r="212" customFormat="false" ht="14.25" hidden="false" customHeight="false" outlineLevel="0" collapsed="false">
      <c r="B212" s="7"/>
      <c r="AF212" s="12"/>
    </row>
    <row r="213" customFormat="false" ht="14.25" hidden="false" customHeight="false" outlineLevel="0" collapsed="false">
      <c r="B213" s="7"/>
      <c r="AF213" s="12"/>
    </row>
    <row r="214" customFormat="false" ht="14.25" hidden="false" customHeight="false" outlineLevel="0" collapsed="false">
      <c r="B214" s="7"/>
      <c r="AF214" s="12"/>
    </row>
    <row r="215" customFormat="false" ht="14.25" hidden="false" customHeight="false" outlineLevel="0" collapsed="false">
      <c r="B215" s="7"/>
      <c r="AF215" s="12"/>
    </row>
    <row r="216" customFormat="false" ht="14.25" hidden="false" customHeight="false" outlineLevel="0" collapsed="false">
      <c r="B216" s="7"/>
      <c r="AF216" s="12"/>
    </row>
    <row r="217" customFormat="false" ht="14.25" hidden="false" customHeight="true" outlineLevel="0" collapsed="false">
      <c r="B217" s="36"/>
      <c r="C217" s="37"/>
      <c r="D217" s="37"/>
      <c r="E217" s="37"/>
      <c r="F217" s="37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8" t="s">
        <v>93</v>
      </c>
      <c r="Y217" s="38"/>
      <c r="Z217" s="38"/>
      <c r="AA217" s="38"/>
      <c r="AB217" s="38" t="n">
        <v>3</v>
      </c>
      <c r="AC217" s="38"/>
      <c r="AD217" s="38"/>
      <c r="AE217" s="38"/>
      <c r="AF217" s="39"/>
    </row>
    <row r="218" customFormat="false" ht="14.25" hidden="false" customHeight="true" outlineLevel="0" collapsed="false">
      <c r="B218" s="1"/>
      <c r="C218" s="2" t="s">
        <v>0</v>
      </c>
      <c r="D218" s="2"/>
      <c r="E218" s="2"/>
      <c r="F218" s="2"/>
      <c r="G218" s="2"/>
      <c r="H218" s="3" t="s">
        <v>1</v>
      </c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4" t="s">
        <v>2</v>
      </c>
      <c r="Y218" s="4"/>
      <c r="Z218" s="4"/>
      <c r="AA218" s="4"/>
      <c r="AB218" s="5" t="s">
        <v>3</v>
      </c>
      <c r="AC218" s="5"/>
      <c r="AD218" s="5"/>
      <c r="AE218" s="5"/>
      <c r="AF218" s="6"/>
    </row>
    <row r="219" customFormat="false" ht="14.25" hidden="false" customHeight="true" outlineLevel="0" collapsed="false">
      <c r="B219" s="7"/>
      <c r="C219" s="8" t="s">
        <v>4</v>
      </c>
      <c r="D219" s="8"/>
      <c r="E219" s="8"/>
      <c r="F219" s="8"/>
      <c r="G219" s="8"/>
      <c r="H219" s="9" t="s">
        <v>5</v>
      </c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10" t="s">
        <v>6</v>
      </c>
      <c r="Y219" s="10"/>
      <c r="Z219" s="10"/>
      <c r="AA219" s="10"/>
      <c r="AB219" s="11" t="n">
        <v>46301</v>
      </c>
      <c r="AC219" s="11"/>
      <c r="AD219" s="11"/>
      <c r="AE219" s="11"/>
      <c r="AF219" s="12"/>
    </row>
    <row r="220" customFormat="false" ht="14.25" hidden="false" customHeight="true" outlineLevel="0" collapsed="false">
      <c r="B220" s="7"/>
      <c r="C220" s="8" t="s">
        <v>7</v>
      </c>
      <c r="D220" s="8"/>
      <c r="E220" s="8"/>
      <c r="F220" s="8"/>
      <c r="G220" s="8"/>
      <c r="H220" s="9" t="s">
        <v>340</v>
      </c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10" t="s">
        <v>9</v>
      </c>
      <c r="Y220" s="10"/>
      <c r="Z220" s="10"/>
      <c r="AA220" s="10"/>
      <c r="AB220" s="11" t="s">
        <v>3</v>
      </c>
      <c r="AC220" s="11"/>
      <c r="AD220" s="11"/>
      <c r="AE220" s="11"/>
      <c r="AF220" s="12"/>
    </row>
    <row r="221" customFormat="false" ht="14.25" hidden="false" customHeight="true" outlineLevel="0" collapsed="false">
      <c r="B221" s="13"/>
      <c r="C221" s="14" t="s">
        <v>10</v>
      </c>
      <c r="D221" s="14"/>
      <c r="E221" s="14"/>
      <c r="F221" s="14"/>
      <c r="G221" s="14"/>
      <c r="H221" s="15" t="s">
        <v>134</v>
      </c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6" t="s">
        <v>12</v>
      </c>
      <c r="Y221" s="16"/>
      <c r="Z221" s="16"/>
      <c r="AA221" s="16"/>
      <c r="AB221" s="17" t="n">
        <v>46301</v>
      </c>
      <c r="AC221" s="17"/>
      <c r="AD221" s="17"/>
      <c r="AE221" s="17"/>
      <c r="AF221" s="18"/>
    </row>
    <row r="222" customFormat="false" ht="14.25" hidden="false" customHeight="false" outlineLevel="0" collapsed="false">
      <c r="B222" s="7"/>
      <c r="AF222" s="12"/>
    </row>
    <row r="223" customFormat="false" ht="14.25" hidden="false" customHeight="false" outlineLevel="0" collapsed="false">
      <c r="B223" s="7"/>
      <c r="C223" s="9" t="s">
        <v>258</v>
      </c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12"/>
    </row>
    <row r="224" customFormat="false" ht="14.25" hidden="false" customHeight="true" outlineLevel="0" collapsed="false">
      <c r="B224" s="7"/>
      <c r="C224" s="20" t="s">
        <v>259</v>
      </c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1"/>
      <c r="P224" s="21"/>
      <c r="Q224" s="21"/>
      <c r="R224" s="21"/>
      <c r="S224" s="21"/>
      <c r="T224" s="21"/>
      <c r="U224" s="21"/>
      <c r="V224" s="21"/>
      <c r="W224" s="21"/>
      <c r="X224" s="22" t="s">
        <v>260</v>
      </c>
      <c r="Y224" s="22"/>
      <c r="Z224" s="22"/>
      <c r="AA224" s="51" t="n">
        <f aca="false">IFERROR(SUMPRODUCT(--(AM83:AM123="Sand"),BN83:BN123,AN83:AN123)/SUMPRODUCT(--(AM83:AM123="Sand"),BN83:BN123)*Input!$AA$35,"n/a")</f>
        <v>53.067</v>
      </c>
      <c r="AB224" s="51"/>
      <c r="AC224" s="51"/>
      <c r="AD224" s="20" t="s">
        <v>38</v>
      </c>
      <c r="AE224" s="20"/>
      <c r="AF224" s="12"/>
    </row>
    <row r="225" customFormat="false" ht="14.25" hidden="false" customHeight="true" outlineLevel="0" collapsed="false">
      <c r="B225" s="7"/>
      <c r="C225" s="20" t="s">
        <v>261</v>
      </c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1" t="s">
        <v>262</v>
      </c>
      <c r="P225" s="21"/>
      <c r="Q225" s="21"/>
      <c r="R225" s="21"/>
      <c r="S225" s="21"/>
      <c r="T225" s="21"/>
      <c r="U225" s="21"/>
      <c r="V225" s="21"/>
      <c r="W225" s="21"/>
      <c r="X225" s="22" t="s">
        <v>263</v>
      </c>
      <c r="Y225" s="22"/>
      <c r="Z225" s="22"/>
      <c r="AA225" s="51" t="n">
        <f aca="false">IFERROR(($AA$224*60/55)/0.08*((Input!$AA$15+0.3)/Input!$AA$15)^2,"n/a")</f>
        <v>729.520161107975</v>
      </c>
      <c r="AB225" s="51"/>
      <c r="AC225" s="51"/>
      <c r="AD225" s="20" t="s">
        <v>26</v>
      </c>
      <c r="AE225" s="20"/>
      <c r="AF225" s="12"/>
    </row>
    <row r="226" customFormat="false" ht="14.25" hidden="false" customHeight="false" outlineLevel="0" collapsed="false">
      <c r="B226" s="7"/>
      <c r="C226" s="19" t="s">
        <v>264</v>
      </c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  <c r="AC226" s="19"/>
      <c r="AD226" s="19"/>
      <c r="AE226" s="19"/>
      <c r="AF226" s="12"/>
    </row>
    <row r="227" customFormat="false" ht="14.25" hidden="false" customHeight="false" outlineLevel="0" collapsed="false">
      <c r="B227" s="7"/>
      <c r="AF227" s="12"/>
    </row>
    <row r="228" customFormat="false" ht="14.25" hidden="false" customHeight="false" outlineLevel="0" collapsed="false">
      <c r="B228" s="7"/>
      <c r="C228" s="9" t="s">
        <v>265</v>
      </c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12"/>
    </row>
    <row r="229" customFormat="false" ht="14.25" hidden="false" customHeight="false" outlineLevel="0" collapsed="false">
      <c r="B229" s="7"/>
      <c r="C229" s="20" t="s">
        <v>266</v>
      </c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12"/>
    </row>
    <row r="230" customFormat="false" ht="14.25" hidden="false" customHeight="false" outlineLevel="0" collapsed="false">
      <c r="B230" s="7"/>
      <c r="C230" s="20" t="s">
        <v>267</v>
      </c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12"/>
    </row>
    <row r="231" customFormat="false" ht="14.25" hidden="false" customHeight="false" outlineLevel="0" collapsed="false">
      <c r="B231" s="7"/>
      <c r="C231" s="21" t="s">
        <v>268</v>
      </c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12"/>
    </row>
    <row r="232" customFormat="false" ht="14.25" hidden="false" customHeight="false" outlineLevel="0" collapsed="false">
      <c r="B232" s="7"/>
      <c r="AF232" s="12"/>
    </row>
    <row r="233" customFormat="false" ht="14.25" hidden="false" customHeight="false" outlineLevel="0" collapsed="false">
      <c r="B233" s="7"/>
      <c r="AF233" s="12"/>
    </row>
    <row r="234" customFormat="false" ht="14.25" hidden="false" customHeight="false" outlineLevel="0" collapsed="false">
      <c r="B234" s="7"/>
      <c r="AF234" s="12"/>
    </row>
    <row r="235" customFormat="false" ht="14.25" hidden="false" customHeight="false" outlineLevel="0" collapsed="false">
      <c r="B235" s="7"/>
      <c r="AF235" s="12"/>
    </row>
    <row r="236" customFormat="false" ht="14.25" hidden="false" customHeight="false" outlineLevel="0" collapsed="false">
      <c r="B236" s="7"/>
      <c r="AF236" s="12"/>
    </row>
    <row r="237" customFormat="false" ht="14.25" hidden="false" customHeight="false" outlineLevel="0" collapsed="false">
      <c r="B237" s="7"/>
      <c r="AF237" s="12"/>
    </row>
    <row r="238" customFormat="false" ht="14.25" hidden="false" customHeight="false" outlineLevel="0" collapsed="false">
      <c r="B238" s="7"/>
      <c r="AF238" s="12"/>
    </row>
    <row r="239" customFormat="false" ht="14.25" hidden="false" customHeight="false" outlineLevel="0" collapsed="false">
      <c r="B239" s="7"/>
      <c r="AF239" s="12"/>
    </row>
    <row r="240" customFormat="false" ht="14.25" hidden="false" customHeight="false" outlineLevel="0" collapsed="false">
      <c r="B240" s="7"/>
      <c r="AF240" s="12"/>
    </row>
    <row r="241" customFormat="false" ht="14.25" hidden="false" customHeight="false" outlineLevel="0" collapsed="false">
      <c r="B241" s="7"/>
      <c r="AF241" s="12"/>
    </row>
    <row r="242" customFormat="false" ht="14.25" hidden="false" customHeight="false" outlineLevel="0" collapsed="false">
      <c r="B242" s="7"/>
      <c r="AF242" s="12"/>
    </row>
    <row r="243" customFormat="false" ht="14.25" hidden="false" customHeight="false" outlineLevel="0" collapsed="false">
      <c r="B243" s="7"/>
      <c r="AF243" s="12"/>
    </row>
    <row r="244" customFormat="false" ht="14.25" hidden="false" customHeight="false" outlineLevel="0" collapsed="false">
      <c r="B244" s="7"/>
      <c r="AF244" s="12"/>
    </row>
    <row r="245" customFormat="false" ht="14.25" hidden="false" customHeight="false" outlineLevel="0" collapsed="false">
      <c r="B245" s="7"/>
      <c r="AF245" s="12"/>
    </row>
    <row r="246" customFormat="false" ht="14.25" hidden="false" customHeight="false" outlineLevel="0" collapsed="false">
      <c r="B246" s="7"/>
      <c r="AF246" s="12"/>
    </row>
    <row r="247" customFormat="false" ht="14.25" hidden="false" customHeight="false" outlineLevel="0" collapsed="false">
      <c r="B247" s="7"/>
      <c r="AF247" s="12"/>
    </row>
    <row r="248" customFormat="false" ht="14.25" hidden="false" customHeight="false" outlineLevel="0" collapsed="false">
      <c r="B248" s="7"/>
      <c r="AF248" s="12"/>
    </row>
    <row r="249" customFormat="false" ht="14.25" hidden="false" customHeight="false" outlineLevel="0" collapsed="false">
      <c r="B249" s="7"/>
      <c r="AF249" s="12"/>
    </row>
    <row r="250" customFormat="false" ht="14.25" hidden="false" customHeight="false" outlineLevel="0" collapsed="false">
      <c r="B250" s="7"/>
      <c r="AF250" s="12"/>
    </row>
    <row r="251" customFormat="false" ht="14.25" hidden="false" customHeight="false" outlineLevel="0" collapsed="false">
      <c r="B251" s="7"/>
      <c r="C251" s="52" t="s">
        <v>269</v>
      </c>
      <c r="D251" s="52"/>
      <c r="E251" s="52"/>
      <c r="F251" s="52"/>
      <c r="G251" s="52"/>
      <c r="H251" s="52"/>
      <c r="I251" s="52"/>
      <c r="J251" s="52"/>
      <c r="K251" s="52"/>
      <c r="L251" s="52"/>
      <c r="M251" s="52"/>
      <c r="N251" s="52"/>
      <c r="O251" s="52"/>
      <c r="P251" s="52"/>
      <c r="Q251" s="52"/>
      <c r="R251" s="52"/>
      <c r="S251" s="52"/>
      <c r="T251" s="52"/>
      <c r="U251" s="52"/>
      <c r="V251" s="52"/>
      <c r="W251" s="52"/>
      <c r="X251" s="52"/>
      <c r="Y251" s="52"/>
      <c r="Z251" s="52"/>
      <c r="AA251" s="52"/>
      <c r="AB251" s="52"/>
      <c r="AC251" s="52"/>
      <c r="AD251" s="52"/>
      <c r="AE251" s="52"/>
      <c r="AF251" s="12"/>
    </row>
    <row r="252" customFormat="false" ht="14.25" hidden="false" customHeight="false" outlineLevel="0" collapsed="false">
      <c r="B252" s="7"/>
      <c r="AF252" s="12"/>
    </row>
    <row r="253" customFormat="false" ht="14.25" hidden="false" customHeight="true" outlineLevel="0" collapsed="false">
      <c r="B253" s="7"/>
      <c r="C253" s="20" t="s">
        <v>270</v>
      </c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1" t="s">
        <v>271</v>
      </c>
      <c r="P253" s="21"/>
      <c r="Q253" s="21"/>
      <c r="R253" s="21"/>
      <c r="S253" s="21"/>
      <c r="T253" s="21"/>
      <c r="U253" s="21"/>
      <c r="V253" s="21"/>
      <c r="W253" s="21"/>
      <c r="X253" s="22" t="s">
        <v>272</v>
      </c>
      <c r="Y253" s="22"/>
      <c r="Z253" s="22"/>
      <c r="AA253" s="63" t="n">
        <f aca="false">1/Input!$AA$23</f>
        <v>0.5</v>
      </c>
      <c r="AB253" s="63"/>
      <c r="AC253" s="63"/>
      <c r="AD253" s="20" t="s">
        <v>38</v>
      </c>
      <c r="AE253" s="20"/>
      <c r="AF253" s="12"/>
    </row>
    <row r="254" customFormat="false" ht="14.25" hidden="false" customHeight="true" outlineLevel="0" collapsed="false">
      <c r="B254" s="7"/>
      <c r="C254" s="20" t="s">
        <v>273</v>
      </c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1" t="s">
        <v>274</v>
      </c>
      <c r="P254" s="21"/>
      <c r="Q254" s="21"/>
      <c r="R254" s="21"/>
      <c r="S254" s="21"/>
      <c r="T254" s="21"/>
      <c r="U254" s="21"/>
      <c r="V254" s="21"/>
      <c r="W254" s="21"/>
      <c r="X254" s="22" t="s">
        <v>275</v>
      </c>
      <c r="Y254" s="22"/>
      <c r="Z254" s="22"/>
      <c r="AA254" s="50" t="n">
        <f aca="false">Input!$AA$23*Input!$AA$11</f>
        <v>4</v>
      </c>
      <c r="AB254" s="50"/>
      <c r="AC254" s="50"/>
      <c r="AD254" s="20" t="s">
        <v>19</v>
      </c>
      <c r="AE254" s="20"/>
      <c r="AF254" s="12"/>
    </row>
    <row r="255" customFormat="false" ht="14.25" hidden="false" customHeight="true" outlineLevel="0" collapsed="false">
      <c r="B255" s="7"/>
      <c r="C255" s="20" t="s">
        <v>276</v>
      </c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1" t="s">
        <v>277</v>
      </c>
      <c r="P255" s="21"/>
      <c r="Q255" s="21"/>
      <c r="R255" s="21"/>
      <c r="S255" s="21"/>
      <c r="T255" s="21"/>
      <c r="U255" s="21"/>
      <c r="V255" s="21"/>
      <c r="W255" s="21"/>
      <c r="X255" s="22" t="s">
        <v>278</v>
      </c>
      <c r="Y255" s="22"/>
      <c r="Z255" s="22"/>
      <c r="AA255" s="50" t="n">
        <f aca="false">$AA$173</f>
        <v>3</v>
      </c>
      <c r="AB255" s="50"/>
      <c r="AC255" s="50"/>
      <c r="AD255" s="20" t="s">
        <v>19</v>
      </c>
      <c r="AE255" s="20"/>
      <c r="AF255" s="12"/>
    </row>
    <row r="256" customFormat="false" ht="14.25" hidden="false" customHeight="true" outlineLevel="0" collapsed="false">
      <c r="B256" s="7"/>
      <c r="C256" s="20" t="s">
        <v>279</v>
      </c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1"/>
      <c r="P256" s="21"/>
      <c r="Q256" s="21"/>
      <c r="R256" s="21"/>
      <c r="S256" s="21"/>
      <c r="T256" s="21"/>
      <c r="U256" s="21"/>
      <c r="V256" s="21"/>
      <c r="W256" s="21"/>
      <c r="X256" s="22" t="s">
        <v>252</v>
      </c>
      <c r="Y256" s="22"/>
      <c r="Z256" s="22"/>
      <c r="AA256" s="65" t="n">
        <f aca="false">IF($AA$173=0,"n/a",2*$AA$174/(Input!$AA$12*$AA$173*$AA$253)+4.14*$AA$174/Input!$AA$14)</f>
        <v>2.61288126361656</v>
      </c>
      <c r="AB256" s="65"/>
      <c r="AC256" s="65"/>
      <c r="AD256" s="20" t="s">
        <v>38</v>
      </c>
      <c r="AE256" s="20"/>
      <c r="AF256" s="12"/>
    </row>
    <row r="257" customFormat="false" ht="14.25" hidden="false" customHeight="false" outlineLevel="0" collapsed="false">
      <c r="B257" s="7"/>
      <c r="C257" s="20" t="s">
        <v>280</v>
      </c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X257" s="64" t="str">
        <f aca="false">IF($AA$173=0,"No soft layer - n/a",IF($AA$256&gt;=Input!$AA$24,"FS ≥ FS req …. OK!!","FS &lt; FS req …. NG!!"))</f>
        <v>FS ≥ FS req …. OK!!</v>
      </c>
      <c r="Y257" s="64"/>
      <c r="Z257" s="64"/>
      <c r="AA257" s="64"/>
      <c r="AB257" s="64"/>
      <c r="AC257" s="64"/>
      <c r="AD257" s="64"/>
      <c r="AE257" s="64"/>
      <c r="AF257" s="12"/>
    </row>
    <row r="258" customFormat="false" ht="14.25" hidden="false" customHeight="true" outlineLevel="0" collapsed="false">
      <c r="B258" s="7"/>
      <c r="C258" s="20" t="s">
        <v>281</v>
      </c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1" t="s">
        <v>277</v>
      </c>
      <c r="P258" s="21"/>
      <c r="Q258" s="21"/>
      <c r="R258" s="21"/>
      <c r="S258" s="21"/>
      <c r="T258" s="21"/>
      <c r="U258" s="21"/>
      <c r="V258" s="21"/>
      <c r="W258" s="21"/>
      <c r="X258" s="22" t="s">
        <v>278</v>
      </c>
      <c r="Y258" s="22"/>
      <c r="Z258" s="22"/>
      <c r="AA258" s="50" t="n">
        <f aca="false">$AA$192</f>
        <v>2.5</v>
      </c>
      <c r="AB258" s="50"/>
      <c r="AC258" s="50"/>
      <c r="AD258" s="20" t="s">
        <v>19</v>
      </c>
      <c r="AE258" s="20"/>
      <c r="AF258" s="12"/>
    </row>
    <row r="259" customFormat="false" ht="14.25" hidden="false" customHeight="true" outlineLevel="0" collapsed="false">
      <c r="B259" s="7"/>
      <c r="C259" s="20" t="s">
        <v>282</v>
      </c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1"/>
      <c r="P259" s="21"/>
      <c r="Q259" s="21"/>
      <c r="R259" s="21"/>
      <c r="S259" s="21"/>
      <c r="T259" s="21"/>
      <c r="U259" s="21"/>
      <c r="V259" s="21"/>
      <c r="W259" s="21"/>
      <c r="X259" s="22" t="s">
        <v>252</v>
      </c>
      <c r="Y259" s="22"/>
      <c r="Z259" s="22"/>
      <c r="AA259" s="65" t="n">
        <f aca="false">IF($AA$192=0,"n/a",2*$AA$193/(Input!$AA$12*$AA$192*$AA$253)+4.14*$AA$193/Input!$AA$14)</f>
        <v>2.98325163398693</v>
      </c>
      <c r="AB259" s="65"/>
      <c r="AC259" s="65"/>
      <c r="AD259" s="20" t="s">
        <v>38</v>
      </c>
      <c r="AE259" s="20"/>
      <c r="AF259" s="12"/>
    </row>
    <row r="260" customFormat="false" ht="14.25" hidden="false" customHeight="false" outlineLevel="0" collapsed="false">
      <c r="B260" s="7"/>
      <c r="C260" s="20" t="s">
        <v>280</v>
      </c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X260" s="64" t="str">
        <f aca="false">IF($AA$192=0,"No soft layer - n/a",IF($AA$259&gt;=Input!$AA$24,"FS ≥ FS req …. OK!!","FS &lt; FS req …. NG!!"))</f>
        <v>FS ≥ FS req …. OK!!</v>
      </c>
      <c r="Y260" s="64"/>
      <c r="Z260" s="64"/>
      <c r="AA260" s="64"/>
      <c r="AB260" s="64"/>
      <c r="AC260" s="64"/>
      <c r="AD260" s="64"/>
      <c r="AE260" s="64"/>
      <c r="AF260" s="12"/>
    </row>
    <row r="261" customFormat="false" ht="14.25" hidden="false" customHeight="false" outlineLevel="0" collapsed="false">
      <c r="B261" s="7"/>
      <c r="C261" s="19" t="s">
        <v>283</v>
      </c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  <c r="AC261" s="19"/>
      <c r="AD261" s="19"/>
      <c r="AE261" s="19"/>
      <c r="AF261" s="12"/>
    </row>
    <row r="262" customFormat="false" ht="14.25" hidden="false" customHeight="false" outlineLevel="0" collapsed="false">
      <c r="B262" s="7"/>
      <c r="AF262" s="12"/>
    </row>
    <row r="263" customFormat="false" ht="14.25" hidden="false" customHeight="false" outlineLevel="0" collapsed="false">
      <c r="B263" s="7"/>
      <c r="AF263" s="12"/>
    </row>
    <row r="264" customFormat="false" ht="14.25" hidden="false" customHeight="false" outlineLevel="0" collapsed="false">
      <c r="B264" s="7"/>
      <c r="AF264" s="12"/>
    </row>
    <row r="265" customFormat="false" ht="14.25" hidden="false" customHeight="false" outlineLevel="0" collapsed="false">
      <c r="B265" s="7"/>
      <c r="AF265" s="12"/>
    </row>
    <row r="266" customFormat="false" ht="14.25" hidden="false" customHeight="false" outlineLevel="0" collapsed="false">
      <c r="B266" s="7"/>
      <c r="AF266" s="12"/>
    </row>
    <row r="267" customFormat="false" ht="14.25" hidden="false" customHeight="false" outlineLevel="0" collapsed="false">
      <c r="B267" s="7"/>
      <c r="AF267" s="12"/>
    </row>
    <row r="268" customFormat="false" ht="14.25" hidden="false" customHeight="false" outlineLevel="0" collapsed="false">
      <c r="B268" s="7"/>
      <c r="AF268" s="12"/>
    </row>
    <row r="269" customFormat="false" ht="14.25" hidden="false" customHeight="false" outlineLevel="0" collapsed="false">
      <c r="B269" s="7"/>
      <c r="AF269" s="12"/>
    </row>
    <row r="270" customFormat="false" ht="14.25" hidden="false" customHeight="false" outlineLevel="0" collapsed="false">
      <c r="B270" s="7"/>
      <c r="AF270" s="12"/>
    </row>
    <row r="271" customFormat="false" ht="14.25" hidden="false" customHeight="false" outlineLevel="0" collapsed="false">
      <c r="B271" s="7"/>
      <c r="AF271" s="12"/>
    </row>
    <row r="272" customFormat="false" ht="14.25" hidden="false" customHeight="false" outlineLevel="0" collapsed="false">
      <c r="B272" s="7"/>
      <c r="AF272" s="12"/>
    </row>
    <row r="273" customFormat="false" ht="14.25" hidden="false" customHeight="false" outlineLevel="0" collapsed="false">
      <c r="B273" s="7"/>
      <c r="AF273" s="12"/>
    </row>
    <row r="274" customFormat="false" ht="14.25" hidden="false" customHeight="false" outlineLevel="0" collapsed="false">
      <c r="B274" s="7"/>
      <c r="AF274" s="12"/>
    </row>
    <row r="275" customFormat="false" ht="14.25" hidden="false" customHeight="false" outlineLevel="0" collapsed="false">
      <c r="B275" s="7"/>
      <c r="AF275" s="12"/>
    </row>
    <row r="276" customFormat="false" ht="14.25" hidden="false" customHeight="false" outlineLevel="0" collapsed="false">
      <c r="B276" s="7"/>
      <c r="AF276" s="12"/>
    </row>
    <row r="277" customFormat="false" ht="14.25" hidden="false" customHeight="false" outlineLevel="0" collapsed="false">
      <c r="B277" s="7"/>
      <c r="AF277" s="12"/>
    </row>
    <row r="278" customFormat="false" ht="14.25" hidden="false" customHeight="false" outlineLevel="0" collapsed="false">
      <c r="B278" s="7"/>
      <c r="AF278" s="12"/>
    </row>
    <row r="279" customFormat="false" ht="14.25" hidden="false" customHeight="false" outlineLevel="0" collapsed="false">
      <c r="B279" s="7"/>
      <c r="AF279" s="12"/>
    </row>
    <row r="280" customFormat="false" ht="14.25" hidden="false" customHeight="false" outlineLevel="0" collapsed="false">
      <c r="B280" s="7"/>
      <c r="AF280" s="12"/>
    </row>
    <row r="281" customFormat="false" ht="14.25" hidden="false" customHeight="false" outlineLevel="0" collapsed="false">
      <c r="B281" s="7"/>
      <c r="AF281" s="12"/>
    </row>
    <row r="282" customFormat="false" ht="14.25" hidden="false" customHeight="false" outlineLevel="0" collapsed="false">
      <c r="B282" s="7"/>
      <c r="AF282" s="12"/>
    </row>
    <row r="283" customFormat="false" ht="14.25" hidden="false" customHeight="false" outlineLevel="0" collapsed="false">
      <c r="B283" s="7"/>
      <c r="AF283" s="12"/>
    </row>
    <row r="284" customFormat="false" ht="14.25" hidden="false" customHeight="false" outlineLevel="0" collapsed="false">
      <c r="B284" s="7"/>
      <c r="AF284" s="12"/>
    </row>
    <row r="285" customFormat="false" ht="14.25" hidden="false" customHeight="false" outlineLevel="0" collapsed="false">
      <c r="B285" s="7"/>
      <c r="AF285" s="12"/>
    </row>
    <row r="286" customFormat="false" ht="14.25" hidden="false" customHeight="false" outlineLevel="0" collapsed="false">
      <c r="B286" s="7"/>
      <c r="AF286" s="12"/>
    </row>
    <row r="287" customFormat="false" ht="14.25" hidden="false" customHeight="false" outlineLevel="0" collapsed="false">
      <c r="B287" s="7"/>
      <c r="AF287" s="12"/>
    </row>
    <row r="288" customFormat="false" ht="14.25" hidden="false" customHeight="false" outlineLevel="0" collapsed="false">
      <c r="B288" s="7"/>
      <c r="AF288" s="12"/>
    </row>
    <row r="289" customFormat="false" ht="14.25" hidden="false" customHeight="true" outlineLevel="0" collapsed="false">
      <c r="B289" s="36"/>
      <c r="C289" s="37"/>
      <c r="D289" s="37"/>
      <c r="E289" s="37"/>
      <c r="F289" s="37"/>
      <c r="G289" s="37"/>
      <c r="H289" s="37"/>
      <c r="I289" s="37"/>
      <c r="J289" s="37"/>
      <c r="K289" s="37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8" t="s">
        <v>93</v>
      </c>
      <c r="Y289" s="38"/>
      <c r="Z289" s="38"/>
      <c r="AA289" s="38"/>
      <c r="AB289" s="38" t="n">
        <v>4</v>
      </c>
      <c r="AC289" s="38"/>
      <c r="AD289" s="38"/>
      <c r="AE289" s="38"/>
      <c r="AF289" s="39"/>
    </row>
    <row r="290" customFormat="false" ht="14.25" hidden="false" customHeight="true" outlineLevel="0" collapsed="false">
      <c r="B290" s="1"/>
      <c r="C290" s="2" t="s">
        <v>0</v>
      </c>
      <c r="D290" s="2"/>
      <c r="E290" s="2"/>
      <c r="F290" s="2"/>
      <c r="G290" s="2"/>
      <c r="H290" s="3" t="s">
        <v>1</v>
      </c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4" t="s">
        <v>2</v>
      </c>
      <c r="Y290" s="4"/>
      <c r="Z290" s="4"/>
      <c r="AA290" s="4"/>
      <c r="AB290" s="5" t="s">
        <v>3</v>
      </c>
      <c r="AC290" s="5"/>
      <c r="AD290" s="5"/>
      <c r="AE290" s="5"/>
      <c r="AF290" s="6"/>
    </row>
    <row r="291" customFormat="false" ht="14.25" hidden="false" customHeight="true" outlineLevel="0" collapsed="false">
      <c r="B291" s="7"/>
      <c r="C291" s="8" t="s">
        <v>4</v>
      </c>
      <c r="D291" s="8"/>
      <c r="E291" s="8"/>
      <c r="F291" s="8"/>
      <c r="G291" s="8"/>
      <c r="H291" s="9" t="s">
        <v>5</v>
      </c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10" t="s">
        <v>6</v>
      </c>
      <c r="Y291" s="10"/>
      <c r="Z291" s="10"/>
      <c r="AA291" s="10"/>
      <c r="AB291" s="11" t="n">
        <v>46301</v>
      </c>
      <c r="AC291" s="11"/>
      <c r="AD291" s="11"/>
      <c r="AE291" s="11"/>
      <c r="AF291" s="12"/>
    </row>
    <row r="292" customFormat="false" ht="14.25" hidden="false" customHeight="true" outlineLevel="0" collapsed="false">
      <c r="B292" s="7"/>
      <c r="C292" s="8" t="s">
        <v>7</v>
      </c>
      <c r="D292" s="8"/>
      <c r="E292" s="8"/>
      <c r="F292" s="8"/>
      <c r="G292" s="8"/>
      <c r="H292" s="9" t="s">
        <v>340</v>
      </c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10" t="s">
        <v>9</v>
      </c>
      <c r="Y292" s="10"/>
      <c r="Z292" s="10"/>
      <c r="AA292" s="10"/>
      <c r="AB292" s="11" t="s">
        <v>3</v>
      </c>
      <c r="AC292" s="11"/>
      <c r="AD292" s="11"/>
      <c r="AE292" s="11"/>
      <c r="AF292" s="12"/>
    </row>
    <row r="293" customFormat="false" ht="14.25" hidden="false" customHeight="true" outlineLevel="0" collapsed="false">
      <c r="B293" s="13"/>
      <c r="C293" s="14" t="s">
        <v>10</v>
      </c>
      <c r="D293" s="14"/>
      <c r="E293" s="14"/>
      <c r="F293" s="14"/>
      <c r="G293" s="14"/>
      <c r="H293" s="15" t="s">
        <v>134</v>
      </c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6" t="s">
        <v>12</v>
      </c>
      <c r="Y293" s="16"/>
      <c r="Z293" s="16"/>
      <c r="AA293" s="16"/>
      <c r="AB293" s="17" t="n">
        <v>46301</v>
      </c>
      <c r="AC293" s="17"/>
      <c r="AD293" s="17"/>
      <c r="AE293" s="17"/>
      <c r="AF293" s="18"/>
    </row>
    <row r="294" customFormat="false" ht="14.25" hidden="false" customHeight="false" outlineLevel="0" collapsed="false">
      <c r="B294" s="7"/>
      <c r="AF294" s="12"/>
    </row>
    <row r="295" customFormat="false" ht="14.25" hidden="false" customHeight="false" outlineLevel="0" collapsed="false">
      <c r="B295" s="7"/>
      <c r="C295" s="9" t="s">
        <v>284</v>
      </c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12"/>
    </row>
    <row r="296" customFormat="false" ht="14.25" hidden="false" customHeight="false" outlineLevel="0" collapsed="false">
      <c r="B296" s="7"/>
      <c r="C296" s="20" t="s">
        <v>285</v>
      </c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  <c r="AD296" s="20"/>
      <c r="AE296" s="20"/>
      <c r="AF296" s="12"/>
    </row>
    <row r="297" customFormat="false" ht="14.25" hidden="false" customHeight="false" outlineLevel="0" collapsed="false">
      <c r="B297" s="7"/>
      <c r="C297" s="20" t="s">
        <v>286</v>
      </c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  <c r="AE297" s="20"/>
      <c r="AF297" s="12"/>
    </row>
    <row r="298" customFormat="false" ht="14.25" hidden="false" customHeight="false" outlineLevel="0" collapsed="false">
      <c r="B298" s="7"/>
      <c r="C298" s="20" t="s">
        <v>287</v>
      </c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  <c r="AE298" s="20"/>
      <c r="AF298" s="12"/>
    </row>
    <row r="299" customFormat="false" ht="14.25" hidden="false" customHeight="false" outlineLevel="0" collapsed="false">
      <c r="B299" s="7"/>
      <c r="C299" s="20" t="s">
        <v>288</v>
      </c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  <c r="AF299" s="12"/>
    </row>
    <row r="300" customFormat="false" ht="14.25" hidden="false" customHeight="false" outlineLevel="0" collapsed="false">
      <c r="B300" s="7"/>
      <c r="C300" s="20" t="s">
        <v>345</v>
      </c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  <c r="AF300" s="12"/>
    </row>
    <row r="301" customFormat="false" ht="27" hidden="false" customHeight="true" outlineLevel="0" collapsed="false">
      <c r="B301" s="7"/>
      <c r="C301" s="28" t="s">
        <v>157</v>
      </c>
      <c r="D301" s="28"/>
      <c r="E301" s="28" t="s">
        <v>158</v>
      </c>
      <c r="F301" s="28"/>
      <c r="G301" s="28"/>
      <c r="H301" s="28" t="s">
        <v>159</v>
      </c>
      <c r="I301" s="28"/>
      <c r="J301" s="28"/>
      <c r="K301" s="28" t="s">
        <v>160</v>
      </c>
      <c r="L301" s="28"/>
      <c r="M301" s="28"/>
      <c r="N301" s="28" t="s">
        <v>178</v>
      </c>
      <c r="O301" s="28"/>
      <c r="P301" s="28"/>
      <c r="Q301" s="28" t="s">
        <v>290</v>
      </c>
      <c r="R301" s="28"/>
      <c r="S301" s="28" t="s">
        <v>291</v>
      </c>
      <c r="T301" s="28"/>
      <c r="U301" s="28"/>
      <c r="V301" s="28" t="s">
        <v>292</v>
      </c>
      <c r="W301" s="28"/>
      <c r="X301" s="28"/>
      <c r="Y301" s="28" t="s">
        <v>183</v>
      </c>
      <c r="Z301" s="28"/>
      <c r="AA301" s="28" t="s">
        <v>184</v>
      </c>
      <c r="AB301" s="28"/>
      <c r="AC301" s="28" t="s">
        <v>186</v>
      </c>
      <c r="AD301" s="28"/>
      <c r="AE301" s="28"/>
      <c r="AF301" s="12"/>
    </row>
    <row r="302" customFormat="false" ht="14.25" hidden="false" customHeight="true" outlineLevel="0" collapsed="false">
      <c r="B302" s="7"/>
      <c r="C302" s="29"/>
      <c r="D302" s="29"/>
      <c r="E302" s="29" t="s">
        <v>19</v>
      </c>
      <c r="F302" s="29"/>
      <c r="G302" s="29"/>
      <c r="H302" s="29" t="s">
        <v>19</v>
      </c>
      <c r="I302" s="29"/>
      <c r="J302" s="29"/>
      <c r="K302" s="29"/>
      <c r="L302" s="29"/>
      <c r="M302" s="29"/>
      <c r="N302" s="29" t="s">
        <v>26</v>
      </c>
      <c r="O302" s="29"/>
      <c r="P302" s="29"/>
      <c r="Q302" s="29" t="s">
        <v>38</v>
      </c>
      <c r="R302" s="29"/>
      <c r="S302" s="29" t="s">
        <v>26</v>
      </c>
      <c r="T302" s="29"/>
      <c r="U302" s="29"/>
      <c r="V302" s="29" t="s">
        <v>26</v>
      </c>
      <c r="W302" s="29"/>
      <c r="X302" s="29"/>
      <c r="Y302" s="29" t="s">
        <v>38</v>
      </c>
      <c r="Z302" s="29"/>
      <c r="AA302" s="29" t="s">
        <v>38</v>
      </c>
      <c r="AB302" s="29"/>
      <c r="AC302" s="29" t="s">
        <v>45</v>
      </c>
      <c r="AD302" s="29"/>
      <c r="AE302" s="29"/>
      <c r="AF302" s="12"/>
    </row>
    <row r="303" customFormat="false" ht="14.25" hidden="false" customHeight="false" outlineLevel="0" collapsed="false">
      <c r="B303" s="7"/>
      <c r="C303" s="46" t="n">
        <v>1</v>
      </c>
      <c r="D303" s="46"/>
      <c r="E303" s="44" t="n">
        <f aca="false">AI83</f>
        <v>0</v>
      </c>
      <c r="F303" s="44"/>
      <c r="G303" s="44"/>
      <c r="H303" s="44" t="n">
        <f aca="false">AJ83</f>
        <v>1.5</v>
      </c>
      <c r="I303" s="44"/>
      <c r="J303" s="44"/>
      <c r="K303" s="41" t="str">
        <f aca="false">AM83</f>
        <v>Silt</v>
      </c>
      <c r="L303" s="41"/>
      <c r="M303" s="41"/>
      <c r="N303" s="43" t="n">
        <f aca="false">AX83</f>
        <v>12500</v>
      </c>
      <c r="O303" s="43"/>
      <c r="P303" s="43"/>
      <c r="Q303" s="42" t="n">
        <f aca="false">AY83</f>
        <v>0.5</v>
      </c>
      <c r="R303" s="42"/>
      <c r="S303" s="42" t="n">
        <f aca="false">AQ83</f>
        <v>14.7</v>
      </c>
      <c r="T303" s="42"/>
      <c r="U303" s="42"/>
      <c r="V303" s="42" t="n">
        <f aca="false">BC83</f>
        <v>135.999510418892</v>
      </c>
      <c r="W303" s="42"/>
      <c r="X303" s="42"/>
      <c r="Y303" s="32" t="n">
        <f aca="false">BD83</f>
        <v>0.000278357738281407</v>
      </c>
      <c r="Z303" s="32"/>
      <c r="AA303" s="32" t="n">
        <f aca="false">BE83</f>
        <v>0.00985670448566872</v>
      </c>
      <c r="AB303" s="32"/>
      <c r="AC303" s="42" t="n">
        <f aca="false">BG83</f>
        <v>0.224111382245126</v>
      </c>
      <c r="AD303" s="42"/>
      <c r="AE303" s="42"/>
      <c r="AF303" s="12"/>
    </row>
    <row r="304" customFormat="false" ht="14.25" hidden="false" customHeight="false" outlineLevel="0" collapsed="false">
      <c r="B304" s="7"/>
      <c r="C304" s="46" t="n">
        <v>2</v>
      </c>
      <c r="D304" s="46"/>
      <c r="E304" s="44" t="n">
        <f aca="false">AI84</f>
        <v>1.5</v>
      </c>
      <c r="F304" s="44"/>
      <c r="G304" s="44"/>
      <c r="H304" s="44" t="n">
        <f aca="false">AJ84</f>
        <v>3</v>
      </c>
      <c r="I304" s="44"/>
      <c r="J304" s="44"/>
      <c r="K304" s="41" t="str">
        <f aca="false">AM84</f>
        <v>Silt</v>
      </c>
      <c r="L304" s="41"/>
      <c r="M304" s="41"/>
      <c r="N304" s="43" t="n">
        <f aca="false">AX84</f>
        <v>12500</v>
      </c>
      <c r="O304" s="43"/>
      <c r="P304" s="43"/>
      <c r="Q304" s="42" t="n">
        <f aca="false">AY84</f>
        <v>0.5</v>
      </c>
      <c r="R304" s="42"/>
      <c r="S304" s="42" t="n">
        <f aca="false">AQ84</f>
        <v>44.1</v>
      </c>
      <c r="T304" s="42"/>
      <c r="U304" s="42"/>
      <c r="V304" s="42" t="n">
        <f aca="false">BC84</f>
        <v>135.986832457853</v>
      </c>
      <c r="W304" s="42"/>
      <c r="X304" s="42"/>
      <c r="Y304" s="32" t="n">
        <f aca="false">BD84</f>
        <v>0.0011108168584366</v>
      </c>
      <c r="Z304" s="32"/>
      <c r="AA304" s="32" t="n">
        <f aca="false">BE84</f>
        <v>0.0191582913405592</v>
      </c>
      <c r="AB304" s="32"/>
      <c r="AC304" s="42" t="n">
        <f aca="false">BG84</f>
        <v>1.00534423022902</v>
      </c>
      <c r="AD304" s="42"/>
      <c r="AE304" s="42"/>
      <c r="AF304" s="12"/>
    </row>
    <row r="305" customFormat="false" ht="14.25" hidden="false" customHeight="false" outlineLevel="0" collapsed="false">
      <c r="B305" s="7"/>
      <c r="C305" s="46" t="n">
        <v>3</v>
      </c>
      <c r="D305" s="46"/>
      <c r="E305" s="44" t="n">
        <f aca="false">AI85</f>
        <v>3</v>
      </c>
      <c r="F305" s="44"/>
      <c r="G305" s="44"/>
      <c r="H305" s="44" t="n">
        <f aca="false">AJ85</f>
        <v>5.5</v>
      </c>
      <c r="I305" s="44"/>
      <c r="J305" s="44"/>
      <c r="K305" s="41" t="str">
        <f aca="false">AM85</f>
        <v>Sand</v>
      </c>
      <c r="L305" s="41"/>
      <c r="M305" s="41"/>
      <c r="N305" s="43" t="n">
        <f aca="false">AX85</f>
        <v>53067</v>
      </c>
      <c r="O305" s="43"/>
      <c r="P305" s="43"/>
      <c r="Q305" s="42" t="n">
        <f aca="false">AY85</f>
        <v>0.3</v>
      </c>
      <c r="R305" s="42"/>
      <c r="S305" s="42" t="n">
        <f aca="false">AQ85</f>
        <v>83.3</v>
      </c>
      <c r="T305" s="42"/>
      <c r="U305" s="42"/>
      <c r="V305" s="42" t="n">
        <f aca="false">BC85</f>
        <v>135.912241466939</v>
      </c>
      <c r="W305" s="42"/>
      <c r="X305" s="42"/>
      <c r="Y305" s="32" t="n">
        <f aca="false">BD85</f>
        <v>0.00370628354440385</v>
      </c>
      <c r="Z305" s="32"/>
      <c r="AA305" s="32" t="n">
        <f aca="false">BE85</f>
        <v>0.0334429083554106</v>
      </c>
      <c r="AB305" s="32"/>
      <c r="AC305" s="42" t="n">
        <f aca="false">BG85</f>
        <v>3.71324202813703</v>
      </c>
      <c r="AD305" s="42"/>
      <c r="AE305" s="42"/>
      <c r="AF305" s="12"/>
    </row>
    <row r="306" customFormat="false" ht="14.25" hidden="false" customHeight="false" outlineLevel="0" collapsed="false">
      <c r="B306" s="7"/>
      <c r="C306" s="46" t="n">
        <v>4</v>
      </c>
      <c r="D306" s="46"/>
      <c r="E306" s="44" t="n">
        <f aca="false">AI86</f>
        <v>5.5</v>
      </c>
      <c r="F306" s="44"/>
      <c r="G306" s="44"/>
      <c r="H306" s="44" t="n">
        <f aca="false">AJ86</f>
        <v>6</v>
      </c>
      <c r="I306" s="44"/>
      <c r="J306" s="44"/>
      <c r="K306" s="41" t="str">
        <f aca="false">AM86</f>
        <v>Sand</v>
      </c>
      <c r="L306" s="41"/>
      <c r="M306" s="41"/>
      <c r="N306" s="43" t="n">
        <f aca="false">AX86</f>
        <v>47652</v>
      </c>
      <c r="O306" s="43"/>
      <c r="P306" s="43"/>
      <c r="Q306" s="42" t="n">
        <f aca="false">AY86</f>
        <v>0.3</v>
      </c>
      <c r="R306" s="42"/>
      <c r="S306" s="42" t="n">
        <f aca="false">AQ86</f>
        <v>112.7</v>
      </c>
      <c r="T306" s="42"/>
      <c r="U306" s="42"/>
      <c r="V306" s="42" t="n">
        <f aca="false">BC86</f>
        <v>135.785414089253</v>
      </c>
      <c r="W306" s="42"/>
      <c r="X306" s="42"/>
      <c r="Y306" s="32" t="n">
        <f aca="false">BD86</f>
        <v>0.00440210534422831</v>
      </c>
      <c r="Z306" s="32"/>
      <c r="AA306" s="32" t="n">
        <f aca="false">BE86</f>
        <v>0.0361201249719141</v>
      </c>
      <c r="AB306" s="32"/>
      <c r="AC306" s="42" t="n">
        <f aca="false">BG86</f>
        <v>0.855499337481735</v>
      </c>
      <c r="AD306" s="42"/>
      <c r="AE306" s="42"/>
      <c r="AF306" s="12"/>
    </row>
    <row r="307" customFormat="false" ht="14.25" hidden="false" customHeight="false" outlineLevel="0" collapsed="false">
      <c r="B307" s="7"/>
      <c r="C307" s="46" t="n">
        <v>5</v>
      </c>
      <c r="D307" s="46"/>
      <c r="E307" s="44" t="n">
        <f aca="false">AI87</f>
        <v>6</v>
      </c>
      <c r="F307" s="44"/>
      <c r="G307" s="44"/>
      <c r="H307" s="44" t="n">
        <f aca="false">AJ87</f>
        <v>7.5</v>
      </c>
      <c r="I307" s="44"/>
      <c r="J307" s="44"/>
      <c r="K307" s="41" t="str">
        <f aca="false">AM87</f>
        <v>Clay</v>
      </c>
      <c r="L307" s="41"/>
      <c r="M307" s="41"/>
      <c r="N307" s="43" t="n">
        <f aca="false">AX87</f>
        <v>75000</v>
      </c>
      <c r="O307" s="43"/>
      <c r="P307" s="43"/>
      <c r="Q307" s="42" t="n">
        <f aca="false">AY87</f>
        <v>0.5</v>
      </c>
      <c r="R307" s="42"/>
      <c r="S307" s="42" t="n">
        <f aca="false">AQ87</f>
        <v>132.3</v>
      </c>
      <c r="T307" s="42"/>
      <c r="U307" s="42"/>
      <c r="V307" s="42" t="n">
        <f aca="false">BC87</f>
        <v>135.656483291149</v>
      </c>
      <c r="W307" s="42"/>
      <c r="X307" s="42"/>
      <c r="Y307" s="32" t="n">
        <f aca="false">BD87</f>
        <v>0.00683111017475556</v>
      </c>
      <c r="Z307" s="32"/>
      <c r="AA307" s="32" t="n">
        <f aca="false">BE87</f>
        <v>0.0438003669964678</v>
      </c>
      <c r="AB307" s="32"/>
      <c r="AC307" s="42" t="n">
        <f aca="false">BG87</f>
        <v>0.488910092288526</v>
      </c>
      <c r="AD307" s="42"/>
      <c r="AE307" s="42"/>
      <c r="AF307" s="12"/>
    </row>
    <row r="308" customFormat="false" ht="14.25" hidden="false" customHeight="false" outlineLevel="0" collapsed="false">
      <c r="B308" s="7"/>
      <c r="C308" s="46" t="n">
        <v>6</v>
      </c>
      <c r="D308" s="46"/>
      <c r="E308" s="44" t="n">
        <f aca="false">AI88</f>
        <v>7.5</v>
      </c>
      <c r="F308" s="44"/>
      <c r="G308" s="44"/>
      <c r="H308" s="44" t="n">
        <f aca="false">AJ88</f>
        <v>9</v>
      </c>
      <c r="I308" s="44"/>
      <c r="J308" s="44"/>
      <c r="K308" s="41" t="str">
        <f aca="false">AM88</f>
        <v>Clay</v>
      </c>
      <c r="L308" s="41"/>
      <c r="M308" s="41"/>
      <c r="N308" s="43" t="n">
        <f aca="false">AX88</f>
        <v>35000</v>
      </c>
      <c r="O308" s="43"/>
      <c r="P308" s="43"/>
      <c r="Q308" s="42" t="n">
        <f aca="false">AY88</f>
        <v>0.5</v>
      </c>
      <c r="R308" s="42"/>
      <c r="S308" s="42" t="n">
        <f aca="false">AQ88</f>
        <v>161.7</v>
      </c>
      <c r="T308" s="42"/>
      <c r="U308" s="42"/>
      <c r="V308" s="42" t="n">
        <f aca="false">BC88</f>
        <v>135.384419937794</v>
      </c>
      <c r="W308" s="42"/>
      <c r="X308" s="42"/>
      <c r="Y308" s="32" t="n">
        <f aca="false">BD88</f>
        <v>0.00975546893705105</v>
      </c>
      <c r="Z308" s="32"/>
      <c r="AA308" s="32" t="n">
        <f aca="false">BE88</f>
        <v>0.0509649376512068</v>
      </c>
      <c r="AB308" s="32"/>
      <c r="AC308" s="42" t="n">
        <f aca="false">BG88</f>
        <v>1.26131771073179</v>
      </c>
      <c r="AD308" s="42"/>
      <c r="AE308" s="42"/>
      <c r="AF308" s="12"/>
    </row>
    <row r="309" customFormat="false" ht="14.25" hidden="false" customHeight="false" outlineLevel="0" collapsed="false">
      <c r="B309" s="7"/>
      <c r="C309" s="46" t="n">
        <v>7</v>
      </c>
      <c r="D309" s="46"/>
      <c r="E309" s="44" t="n">
        <f aca="false">AI89</f>
        <v>9</v>
      </c>
      <c r="F309" s="44"/>
      <c r="G309" s="44"/>
      <c r="H309" s="44" t="n">
        <f aca="false">AJ89</f>
        <v>10.5</v>
      </c>
      <c r="I309" s="44"/>
      <c r="J309" s="44"/>
      <c r="K309" s="41" t="str">
        <f aca="false">AM89</f>
        <v>Clay</v>
      </c>
      <c r="L309" s="41"/>
      <c r="M309" s="41"/>
      <c r="N309" s="43" t="n">
        <f aca="false">AX89</f>
        <v>30000</v>
      </c>
      <c r="O309" s="43"/>
      <c r="P309" s="43"/>
      <c r="Q309" s="42" t="n">
        <f aca="false">AY89</f>
        <v>0.5</v>
      </c>
      <c r="R309" s="42"/>
      <c r="S309" s="42" t="n">
        <f aca="false">AQ89</f>
        <v>184.05</v>
      </c>
      <c r="T309" s="42"/>
      <c r="U309" s="42"/>
      <c r="V309" s="42" t="n">
        <f aca="false">BC89</f>
        <v>135.006063558054</v>
      </c>
      <c r="W309" s="42"/>
      <c r="X309" s="42"/>
      <c r="Y309" s="32" t="n">
        <f aca="false">BD89</f>
        <v>0.0131506198333031</v>
      </c>
      <c r="Z309" s="32"/>
      <c r="AA309" s="32" t="n">
        <f aca="false">BE89</f>
        <v>0.0576304881402393</v>
      </c>
      <c r="AB309" s="32"/>
      <c r="AC309" s="42" t="n">
        <f aca="false">BG89</f>
        <v>1.70843993099401</v>
      </c>
      <c r="AD309" s="42"/>
      <c r="AE309" s="42"/>
      <c r="AF309" s="12"/>
    </row>
    <row r="310" customFormat="false" ht="14.25" hidden="false" customHeight="false" outlineLevel="0" collapsed="false">
      <c r="B310" s="7"/>
      <c r="C310" s="46" t="n">
        <v>8</v>
      </c>
      <c r="D310" s="46"/>
      <c r="E310" s="44" t="n">
        <f aca="false">AI90</f>
        <v>10.5</v>
      </c>
      <c r="F310" s="44"/>
      <c r="G310" s="44"/>
      <c r="H310" s="44" t="n">
        <f aca="false">AJ90</f>
        <v>12</v>
      </c>
      <c r="I310" s="44"/>
      <c r="J310" s="44"/>
      <c r="K310" s="41" t="str">
        <f aca="false">AM90</f>
        <v>Sand</v>
      </c>
      <c r="L310" s="41"/>
      <c r="M310" s="41"/>
      <c r="N310" s="43" t="n">
        <f aca="false">AX90</f>
        <v>19494</v>
      </c>
      <c r="O310" s="43"/>
      <c r="P310" s="43"/>
      <c r="Q310" s="42" t="n">
        <f aca="false">AY90</f>
        <v>0.3</v>
      </c>
      <c r="R310" s="42"/>
      <c r="S310" s="42" t="n">
        <f aca="false">AQ90</f>
        <v>199.35</v>
      </c>
      <c r="T310" s="42"/>
      <c r="U310" s="42"/>
      <c r="V310" s="42" t="n">
        <f aca="false">BC90</f>
        <v>134.511190640081</v>
      </c>
      <c r="W310" s="42"/>
      <c r="X310" s="42"/>
      <c r="Y310" s="32" t="n">
        <f aca="false">BD90</f>
        <v>0.0169892586870808</v>
      </c>
      <c r="Z310" s="32"/>
      <c r="AA310" s="32" t="n">
        <f aca="false">BE90</f>
        <v>0.063815650361614</v>
      </c>
      <c r="AB310" s="32"/>
      <c r="AC310" s="42" t="n">
        <f aca="false">BG90</f>
        <v>6.92765585781236</v>
      </c>
      <c r="AD310" s="42"/>
      <c r="AE310" s="42"/>
      <c r="AF310" s="12"/>
    </row>
    <row r="311" customFormat="false" ht="14.25" hidden="false" customHeight="false" outlineLevel="0" collapsed="false">
      <c r="B311" s="7"/>
      <c r="C311" s="46" t="n">
        <v>9</v>
      </c>
      <c r="D311" s="46"/>
      <c r="E311" s="44" t="n">
        <f aca="false">AI91</f>
        <v>12</v>
      </c>
      <c r="F311" s="44"/>
      <c r="G311" s="44"/>
      <c r="H311" s="44" t="n">
        <f aca="false">AJ91</f>
        <v>13.5</v>
      </c>
      <c r="I311" s="44"/>
      <c r="J311" s="44"/>
      <c r="K311" s="41" t="str">
        <f aca="false">AM91</f>
        <v>Sand</v>
      </c>
      <c r="L311" s="41"/>
      <c r="M311" s="41"/>
      <c r="N311" s="43" t="n">
        <f aca="false">AX91</f>
        <v>28158</v>
      </c>
      <c r="O311" s="43"/>
      <c r="P311" s="43"/>
      <c r="Q311" s="42" t="n">
        <f aca="false">AY91</f>
        <v>0.3</v>
      </c>
      <c r="R311" s="42"/>
      <c r="S311" s="42" t="n">
        <f aca="false">AQ91</f>
        <v>214.65</v>
      </c>
      <c r="T311" s="42"/>
      <c r="U311" s="42"/>
      <c r="V311" s="42" t="n">
        <f aca="false">BC91</f>
        <v>133.893072357031</v>
      </c>
      <c r="W311" s="42"/>
      <c r="X311" s="42"/>
      <c r="Y311" s="32" t="n">
        <f aca="false">BD91</f>
        <v>0.0212420151090567</v>
      </c>
      <c r="Z311" s="32"/>
      <c r="AA311" s="32" t="n">
        <f aca="false">BE91</f>
        <v>0.0695406206380035</v>
      </c>
      <c r="AB311" s="32"/>
      <c r="AC311" s="42" t="n">
        <f aca="false">BG91</f>
        <v>4.89439139299811</v>
      </c>
      <c r="AD311" s="42"/>
      <c r="AE311" s="42"/>
      <c r="AF311" s="12"/>
    </row>
    <row r="312" customFormat="false" ht="14.25" hidden="false" customHeight="false" outlineLevel="0" collapsed="false">
      <c r="B312" s="7"/>
      <c r="C312" s="46" t="n">
        <v>10</v>
      </c>
      <c r="D312" s="46"/>
      <c r="E312" s="44" t="n">
        <f aca="false">AI92</f>
        <v>13.5</v>
      </c>
      <c r="F312" s="44"/>
      <c r="G312" s="44"/>
      <c r="H312" s="44" t="n">
        <f aca="false">AJ92</f>
        <v>15</v>
      </c>
      <c r="I312" s="44"/>
      <c r="J312" s="44"/>
      <c r="K312" s="41" t="str">
        <f aca="false">AM92</f>
        <v>Clay</v>
      </c>
      <c r="L312" s="41"/>
      <c r="M312" s="41"/>
      <c r="N312" s="43" t="n">
        <f aca="false">AX92</f>
        <v>37500</v>
      </c>
      <c r="O312" s="43"/>
      <c r="P312" s="43"/>
      <c r="Q312" s="42" t="n">
        <f aca="false">AY92</f>
        <v>0.5</v>
      </c>
      <c r="R312" s="42"/>
      <c r="S312" s="42" t="n">
        <f aca="false">AQ92</f>
        <v>229.95</v>
      </c>
      <c r="T312" s="42"/>
      <c r="U312" s="42"/>
      <c r="V312" s="42" t="n">
        <f aca="false">BC92</f>
        <v>133.148368665013</v>
      </c>
      <c r="W312" s="42"/>
      <c r="X312" s="42"/>
      <c r="Y312" s="32" t="n">
        <f aca="false">BD92</f>
        <v>0.0258781185005073</v>
      </c>
      <c r="Z312" s="32"/>
      <c r="AA312" s="32" t="n">
        <f aca="false">BE92</f>
        <v>0.0748267458113844</v>
      </c>
      <c r="AB312" s="32"/>
      <c r="AC312" s="42" t="n">
        <f aca="false">BG92</f>
        <v>1.86630978126234</v>
      </c>
      <c r="AD312" s="42"/>
      <c r="AE312" s="42"/>
      <c r="AF312" s="12"/>
    </row>
    <row r="313" customFormat="false" ht="14.25" hidden="false" customHeight="false" outlineLevel="0" collapsed="false">
      <c r="B313" s="7"/>
      <c r="C313" s="46" t="n">
        <v>11</v>
      </c>
      <c r="D313" s="46"/>
      <c r="E313" s="44" t="n">
        <f aca="false">AI93</f>
        <v>15</v>
      </c>
      <c r="F313" s="44"/>
      <c r="G313" s="44"/>
      <c r="H313" s="44" t="n">
        <f aca="false">AJ93</f>
        <v>16.5</v>
      </c>
      <c r="I313" s="44"/>
      <c r="J313" s="44"/>
      <c r="K313" s="41" t="str">
        <f aca="false">AM93</f>
        <v>Clay</v>
      </c>
      <c r="L313" s="41"/>
      <c r="M313" s="41"/>
      <c r="N313" s="43" t="n">
        <f aca="false">AX93</f>
        <v>37500</v>
      </c>
      <c r="O313" s="43"/>
      <c r="P313" s="43"/>
      <c r="Q313" s="42" t="n">
        <f aca="false">AY93</f>
        <v>0.5</v>
      </c>
      <c r="R313" s="42"/>
      <c r="S313" s="42" t="n">
        <f aca="false">AQ93</f>
        <v>245.25</v>
      </c>
      <c r="T313" s="42"/>
      <c r="U313" s="42"/>
      <c r="V313" s="42" t="n">
        <f aca="false">BC93</f>
        <v>132.27687978272</v>
      </c>
      <c r="W313" s="42"/>
      <c r="X313" s="42"/>
      <c r="Y313" s="32" t="n">
        <f aca="false">BD93</f>
        <v>0.0308660275726865</v>
      </c>
      <c r="Z313" s="32"/>
      <c r="AA313" s="32" t="n">
        <f aca="false">BE93</f>
        <v>0.0796961274153755</v>
      </c>
      <c r="AB313" s="32"/>
      <c r="AC313" s="42" t="n">
        <f aca="false">BG93</f>
        <v>2.00793267609646</v>
      </c>
      <c r="AD313" s="42"/>
      <c r="AE313" s="42"/>
      <c r="AF313" s="12"/>
    </row>
    <row r="314" customFormat="false" ht="14.25" hidden="false" customHeight="false" outlineLevel="0" collapsed="false">
      <c r="B314" s="7"/>
      <c r="C314" s="46" t="n">
        <v>12</v>
      </c>
      <c r="D314" s="46"/>
      <c r="E314" s="44" t="n">
        <f aca="false">AI94</f>
        <v>16.5</v>
      </c>
      <c r="F314" s="44"/>
      <c r="G314" s="44"/>
      <c r="H314" s="44" t="n">
        <f aca="false">AJ94</f>
        <v>18</v>
      </c>
      <c r="I314" s="44"/>
      <c r="J314" s="44"/>
      <c r="K314" s="41" t="str">
        <f aca="false">AM94</f>
        <v>Silt</v>
      </c>
      <c r="L314" s="41"/>
      <c r="M314" s="41"/>
      <c r="N314" s="43" t="n">
        <f aca="false">AX94</f>
        <v>52500</v>
      </c>
      <c r="O314" s="43"/>
      <c r="P314" s="43"/>
      <c r="Q314" s="42" t="n">
        <f aca="false">AY94</f>
        <v>0.5</v>
      </c>
      <c r="R314" s="42"/>
      <c r="S314" s="42" t="n">
        <f aca="false">AQ94</f>
        <v>260.55</v>
      </c>
      <c r="T314" s="42"/>
      <c r="U314" s="42"/>
      <c r="V314" s="42" t="n">
        <f aca="false">BC94</f>
        <v>131.281191431882</v>
      </c>
      <c r="W314" s="42"/>
      <c r="X314" s="42"/>
      <c r="Y314" s="32" t="n">
        <f aca="false">BD94</f>
        <v>0.0361740031105239</v>
      </c>
      <c r="Z314" s="32"/>
      <c r="AA314" s="32" t="n">
        <f aca="false">BE94</f>
        <v>0.0841712562846844</v>
      </c>
      <c r="AB314" s="32"/>
      <c r="AC314" s="42" t="n">
        <f aca="false">BG94</f>
        <v>1.52627045179416</v>
      </c>
      <c r="AD314" s="42"/>
      <c r="AE314" s="42"/>
      <c r="AF314" s="12"/>
    </row>
    <row r="315" customFormat="false" ht="14.25" hidden="false" customHeight="false" outlineLevel="0" collapsed="false">
      <c r="B315" s="7"/>
      <c r="C315" s="46" t="n">
        <v>13</v>
      </c>
      <c r="D315" s="46"/>
      <c r="E315" s="44" t="n">
        <f aca="false">AI95</f>
        <v>18</v>
      </c>
      <c r="F315" s="44"/>
      <c r="G315" s="44"/>
      <c r="H315" s="44" t="n">
        <f aca="false">AJ95</f>
        <v>19.5</v>
      </c>
      <c r="I315" s="44"/>
      <c r="J315" s="44"/>
      <c r="K315" s="41" t="str">
        <f aca="false">AM95</f>
        <v>Sand</v>
      </c>
      <c r="L315" s="41"/>
      <c r="M315" s="41"/>
      <c r="N315" s="43" t="n">
        <f aca="false">AX95</f>
        <v>19494</v>
      </c>
      <c r="O315" s="43"/>
      <c r="P315" s="43"/>
      <c r="Q315" s="42" t="n">
        <f aca="false">AY95</f>
        <v>0.3</v>
      </c>
      <c r="R315" s="42"/>
      <c r="S315" s="42" t="n">
        <f aca="false">AQ95</f>
        <v>275.85</v>
      </c>
      <c r="T315" s="42"/>
      <c r="U315" s="42"/>
      <c r="V315" s="42" t="n">
        <f aca="false">BC95</f>
        <v>130.166251943235</v>
      </c>
      <c r="W315" s="42"/>
      <c r="X315" s="42"/>
      <c r="Y315" s="32" t="n">
        <f aca="false">BD95</f>
        <v>0.0417706101655238</v>
      </c>
      <c r="Z315" s="32"/>
      <c r="AA315" s="32" t="n">
        <f aca="false">BE95</f>
        <v>0.0882746863320375</v>
      </c>
      <c r="AB315" s="32"/>
      <c r="AC315" s="42" t="n">
        <f aca="false">BG95</f>
        <v>7.46172863379453</v>
      </c>
      <c r="AD315" s="42"/>
      <c r="AE315" s="42"/>
      <c r="AF315" s="12"/>
    </row>
    <row r="316" customFormat="false" ht="14.25" hidden="false" customHeight="false" outlineLevel="0" collapsed="false">
      <c r="B316" s="7"/>
      <c r="C316" s="46" t="n">
        <v>14</v>
      </c>
      <c r="D316" s="46"/>
      <c r="E316" s="44" t="n">
        <f aca="false">AI96</f>
        <v>19.5</v>
      </c>
      <c r="F316" s="44"/>
      <c r="G316" s="44"/>
      <c r="H316" s="44" t="n">
        <f aca="false">AJ96</f>
        <v>21</v>
      </c>
      <c r="I316" s="44"/>
      <c r="J316" s="44"/>
      <c r="K316" s="41" t="str">
        <f aca="false">AM96</f>
        <v>Sand</v>
      </c>
      <c r="L316" s="41"/>
      <c r="M316" s="41"/>
      <c r="N316" s="43" t="n">
        <f aca="false">AX96</f>
        <v>44403</v>
      </c>
      <c r="O316" s="43"/>
      <c r="P316" s="43"/>
      <c r="Q316" s="42" t="n">
        <f aca="false">AY96</f>
        <v>0.3</v>
      </c>
      <c r="R316" s="42"/>
      <c r="S316" s="42" t="n">
        <f aca="false">AQ96</f>
        <v>291.15</v>
      </c>
      <c r="T316" s="42"/>
      <c r="U316" s="42"/>
      <c r="V316" s="42" t="n">
        <f aca="false">BC96</f>
        <v>128.938917112008</v>
      </c>
      <c r="W316" s="42"/>
      <c r="X316" s="42"/>
      <c r="Y316" s="32" t="n">
        <f aca="false">BD96</f>
        <v>0.0476251420550853</v>
      </c>
      <c r="Z316" s="32"/>
      <c r="AA316" s="32" t="n">
        <f aca="false">BE96</f>
        <v>0.0920287526961581</v>
      </c>
      <c r="AB316" s="32"/>
      <c r="AC316" s="42" t="n">
        <f aca="false">BG96</f>
        <v>3.2999251651592</v>
      </c>
      <c r="AD316" s="42"/>
      <c r="AE316" s="42"/>
      <c r="AF316" s="12"/>
    </row>
    <row r="317" customFormat="false" ht="14.25" hidden="false" customHeight="false" outlineLevel="0" collapsed="false">
      <c r="B317" s="7"/>
      <c r="C317" s="46" t="n">
        <v>15</v>
      </c>
      <c r="D317" s="46"/>
      <c r="E317" s="44" t="n">
        <f aca="false">AI97</f>
        <v>21</v>
      </c>
      <c r="F317" s="44"/>
      <c r="G317" s="44"/>
      <c r="H317" s="44" t="n">
        <f aca="false">AJ97</f>
        <v>22.5</v>
      </c>
      <c r="I317" s="44"/>
      <c r="J317" s="44"/>
      <c r="K317" s="41" t="str">
        <f aca="false">AM97</f>
        <v>Sand</v>
      </c>
      <c r="L317" s="41"/>
      <c r="M317" s="41"/>
      <c r="N317" s="43" t="n">
        <f aca="false">AX97</f>
        <v>38988</v>
      </c>
      <c r="O317" s="43"/>
      <c r="P317" s="43"/>
      <c r="Q317" s="42" t="n">
        <f aca="false">AY97</f>
        <v>0.3</v>
      </c>
      <c r="R317" s="42"/>
      <c r="S317" s="42" t="n">
        <f aca="false">AQ97</f>
        <v>306.45</v>
      </c>
      <c r="T317" s="42"/>
      <c r="U317" s="42"/>
      <c r="V317" s="42" t="n">
        <f aca="false">BC97</f>
        <v>127.607493683403</v>
      </c>
      <c r="W317" s="42"/>
      <c r="X317" s="42"/>
      <c r="Y317" s="32" t="n">
        <f aca="false">BD97</f>
        <v>0.0537079639877145</v>
      </c>
      <c r="Z317" s="32"/>
      <c r="AA317" s="32" t="n">
        <f aca="false">BE97</f>
        <v>0.0954553363186186</v>
      </c>
      <c r="AB317" s="32"/>
      <c r="AC317" s="42" t="n">
        <f aca="false">BG97</f>
        <v>3.77758359885262</v>
      </c>
      <c r="AD317" s="42"/>
      <c r="AE317" s="42"/>
      <c r="AF317" s="12"/>
    </row>
    <row r="318" customFormat="false" ht="14.25" hidden="false" customHeight="false" outlineLevel="0" collapsed="false">
      <c r="B318" s="7"/>
      <c r="C318" s="46" t="n">
        <v>16</v>
      </c>
      <c r="D318" s="46"/>
      <c r="E318" s="44" t="n">
        <f aca="false">AI98</f>
        <v>22.5</v>
      </c>
      <c r="F318" s="44"/>
      <c r="G318" s="44"/>
      <c r="H318" s="44" t="n">
        <f aca="false">AJ98</f>
        <v>24</v>
      </c>
      <c r="I318" s="44"/>
      <c r="J318" s="44"/>
      <c r="K318" s="41" t="str">
        <f aca="false">AM98</f>
        <v>Clay</v>
      </c>
      <c r="L318" s="41"/>
      <c r="M318" s="41"/>
      <c r="N318" s="43" t="n">
        <f aca="false">AX98</f>
        <v>87500</v>
      </c>
      <c r="O318" s="43"/>
      <c r="P318" s="43"/>
      <c r="Q318" s="42" t="n">
        <f aca="false">AY98</f>
        <v>0.5</v>
      </c>
      <c r="R318" s="42"/>
      <c r="S318" s="42" t="n">
        <f aca="false">AQ98</f>
        <v>321.75</v>
      </c>
      <c r="T318" s="42"/>
      <c r="U318" s="42"/>
      <c r="V318" s="42" t="n">
        <f aca="false">BC98</f>
        <v>126.181305793762</v>
      </c>
      <c r="W318" s="42"/>
      <c r="X318" s="42"/>
      <c r="Y318" s="32" t="n">
        <f aca="false">BD98</f>
        <v>0.0599907785392672</v>
      </c>
      <c r="Z318" s="32"/>
      <c r="AA318" s="32" t="n">
        <f aca="false">BE98</f>
        <v>0.0985756744132035</v>
      </c>
      <c r="AB318" s="32"/>
      <c r="AC318" s="42" t="n">
        <f aca="false">BG98</f>
        <v>1.0839470682313</v>
      </c>
      <c r="AD318" s="42"/>
      <c r="AE318" s="42"/>
      <c r="AF318" s="12"/>
    </row>
    <row r="319" customFormat="false" ht="14.25" hidden="false" customHeight="false" outlineLevel="0" collapsed="false">
      <c r="B319" s="7"/>
      <c r="C319" s="46" t="n">
        <v>17</v>
      </c>
      <c r="D319" s="46"/>
      <c r="E319" s="44" t="n">
        <f aca="false">AI99</f>
        <v>24</v>
      </c>
      <c r="F319" s="44"/>
      <c r="G319" s="44"/>
      <c r="H319" s="44" t="n">
        <f aca="false">AJ99</f>
        <v>25.5</v>
      </c>
      <c r="I319" s="44"/>
      <c r="J319" s="44"/>
      <c r="K319" s="41" t="str">
        <f aca="false">AM99</f>
        <v>Clay</v>
      </c>
      <c r="L319" s="41"/>
      <c r="M319" s="41"/>
      <c r="N319" s="43" t="n">
        <f aca="false">AX99</f>
        <v>60000</v>
      </c>
      <c r="O319" s="43"/>
      <c r="P319" s="43"/>
      <c r="Q319" s="42" t="n">
        <f aca="false">AY99</f>
        <v>0.5</v>
      </c>
      <c r="R319" s="42"/>
      <c r="S319" s="42" t="n">
        <f aca="false">AQ99</f>
        <v>337.05</v>
      </c>
      <c r="T319" s="42"/>
      <c r="U319" s="42"/>
      <c r="V319" s="42" t="n">
        <f aca="false">BC99</f>
        <v>124.670301678981</v>
      </c>
      <c r="W319" s="42"/>
      <c r="X319" s="42"/>
      <c r="Y319" s="32" t="n">
        <f aca="false">BD99</f>
        <v>0.0664468184683822</v>
      </c>
      <c r="Z319" s="32"/>
      <c r="AA319" s="32" t="n">
        <f aca="false">BE99</f>
        <v>0.101410214319719</v>
      </c>
      <c r="AB319" s="32"/>
      <c r="AC319" s="42" t="n">
        <f aca="false">BG99</f>
        <v>1.62433964616534</v>
      </c>
      <c r="AD319" s="42"/>
      <c r="AE319" s="42"/>
      <c r="AF319" s="12"/>
    </row>
    <row r="320" customFormat="false" ht="14.25" hidden="false" customHeight="false" outlineLevel="0" collapsed="false">
      <c r="B320" s="7"/>
      <c r="C320" s="46" t="n">
        <v>18</v>
      </c>
      <c r="D320" s="46"/>
      <c r="E320" s="44" t="n">
        <f aca="false">AI100</f>
        <v>25.5</v>
      </c>
      <c r="F320" s="44"/>
      <c r="G320" s="44"/>
      <c r="H320" s="44" t="n">
        <f aca="false">AJ100</f>
        <v>27</v>
      </c>
      <c r="I320" s="44"/>
      <c r="J320" s="44"/>
      <c r="K320" s="41" t="str">
        <f aca="false">AM100</f>
        <v>Clay</v>
      </c>
      <c r="L320" s="41"/>
      <c r="M320" s="41"/>
      <c r="N320" s="43" t="n">
        <f aca="false">AX100</f>
        <v>52500</v>
      </c>
      <c r="O320" s="43"/>
      <c r="P320" s="43"/>
      <c r="Q320" s="42" t="n">
        <f aca="false">AY100</f>
        <v>0.5</v>
      </c>
      <c r="R320" s="42"/>
      <c r="S320" s="42" t="n">
        <f aca="false">AQ100</f>
        <v>352.35</v>
      </c>
      <c r="T320" s="42"/>
      <c r="U320" s="42"/>
      <c r="V320" s="42" t="n">
        <f aca="false">BC100</f>
        <v>123.084711322374</v>
      </c>
      <c r="W320" s="42"/>
      <c r="X320" s="42"/>
      <c r="Y320" s="32" t="n">
        <f aca="false">BD100</f>
        <v>0.0730509745149719</v>
      </c>
      <c r="Z320" s="32"/>
      <c r="AA320" s="32" t="n">
        <f aca="false">BE100</f>
        <v>0.103978506876715</v>
      </c>
      <c r="AB320" s="32"/>
      <c r="AC320" s="42" t="n">
        <f aca="false">BG100</f>
        <v>1.89897789865368</v>
      </c>
      <c r="AD320" s="42"/>
      <c r="AE320" s="42"/>
      <c r="AF320" s="12"/>
    </row>
    <row r="321" customFormat="false" ht="14.25" hidden="false" customHeight="false" outlineLevel="0" collapsed="false">
      <c r="B321" s="7"/>
      <c r="C321" s="46" t="n">
        <v>19</v>
      </c>
      <c r="D321" s="46"/>
      <c r="E321" s="44" t="n">
        <f aca="false">AI101</f>
        <v>27</v>
      </c>
      <c r="F321" s="44"/>
      <c r="G321" s="44"/>
      <c r="H321" s="44" t="n">
        <f aca="false">AJ101</f>
        <v>28.5</v>
      </c>
      <c r="I321" s="44"/>
      <c r="J321" s="44"/>
      <c r="K321" s="41" t="str">
        <f aca="false">AM101</f>
        <v>Sand</v>
      </c>
      <c r="L321" s="41"/>
      <c r="M321" s="41"/>
      <c r="N321" s="43" t="n">
        <f aca="false">AX101</f>
        <v>22743</v>
      </c>
      <c r="O321" s="43"/>
      <c r="P321" s="43"/>
      <c r="Q321" s="42" t="n">
        <f aca="false">AY101</f>
        <v>0.3</v>
      </c>
      <c r="R321" s="42"/>
      <c r="S321" s="42" t="n">
        <f aca="false">AQ101</f>
        <v>367.65</v>
      </c>
      <c r="T321" s="42"/>
      <c r="U321" s="42"/>
      <c r="V321" s="42" t="n">
        <f aca="false">BC101</f>
        <v>121.434759989289</v>
      </c>
      <c r="W321" s="42"/>
      <c r="X321" s="42"/>
      <c r="Y321" s="32" t="n">
        <f aca="false">BD101</f>
        <v>0.0797798670040491</v>
      </c>
      <c r="Z321" s="32"/>
      <c r="AA321" s="32" t="n">
        <f aca="false">BE101</f>
        <v>0.106299134641581</v>
      </c>
      <c r="AB321" s="32"/>
      <c r="AC321" s="42" t="n">
        <f aca="false">BG101</f>
        <v>6.48720988598545</v>
      </c>
      <c r="AD321" s="42"/>
      <c r="AE321" s="42"/>
      <c r="AF321" s="12"/>
    </row>
    <row r="322" customFormat="false" ht="14.25" hidden="false" customHeight="false" outlineLevel="0" collapsed="false">
      <c r="B322" s="7"/>
      <c r="C322" s="46" t="n">
        <v>20</v>
      </c>
      <c r="D322" s="46"/>
      <c r="E322" s="44" t="n">
        <f aca="false">AI102</f>
        <v>28.5</v>
      </c>
      <c r="F322" s="44"/>
      <c r="G322" s="44"/>
      <c r="H322" s="44" t="n">
        <f aca="false">AJ102</f>
        <v>30</v>
      </c>
      <c r="I322" s="44"/>
      <c r="J322" s="44"/>
      <c r="K322" s="41" t="str">
        <f aca="false">AM102</f>
        <v>Clay</v>
      </c>
      <c r="L322" s="41"/>
      <c r="M322" s="41"/>
      <c r="N322" s="43" t="n">
        <f aca="false">AX102</f>
        <v>120000</v>
      </c>
      <c r="O322" s="43"/>
      <c r="P322" s="43"/>
      <c r="Q322" s="42" t="n">
        <f aca="false">AY102</f>
        <v>0.5</v>
      </c>
      <c r="R322" s="42"/>
      <c r="S322" s="42" t="n">
        <f aca="false">AQ102</f>
        <v>382.95</v>
      </c>
      <c r="T322" s="42"/>
      <c r="U322" s="42"/>
      <c r="V322" s="42" t="n">
        <f aca="false">BC102</f>
        <v>119.73043805321</v>
      </c>
      <c r="W322" s="42"/>
      <c r="X322" s="42"/>
      <c r="Y322" s="32" t="n">
        <f aca="false">BD102</f>
        <v>0.0866118704592208</v>
      </c>
      <c r="Z322" s="32"/>
      <c r="AA322" s="32" t="n">
        <f aca="false">BE102</f>
        <v>0.108389669938441</v>
      </c>
      <c r="AB322" s="32"/>
      <c r="AC322" s="42" t="n">
        <f aca="false">BG102</f>
        <v>0.859466034660599</v>
      </c>
      <c r="AD322" s="42"/>
      <c r="AE322" s="42"/>
      <c r="AF322" s="12"/>
    </row>
    <row r="323" customFormat="false" ht="14.25" hidden="false" customHeight="false" outlineLevel="0" collapsed="false">
      <c r="B323" s="7"/>
      <c r="C323" s="46" t="n">
        <v>21</v>
      </c>
      <c r="D323" s="46"/>
      <c r="E323" s="44" t="n">
        <f aca="false">AI103</f>
        <v>30</v>
      </c>
      <c r="F323" s="44"/>
      <c r="G323" s="44"/>
      <c r="H323" s="44" t="n">
        <f aca="false">AJ103</f>
        <v>31.5</v>
      </c>
      <c r="I323" s="44"/>
      <c r="J323" s="44"/>
      <c r="K323" s="41" t="str">
        <f aca="false">AM103</f>
        <v>Clay</v>
      </c>
      <c r="L323" s="41"/>
      <c r="M323" s="41"/>
      <c r="N323" s="43" t="n">
        <f aca="false">AX103</f>
        <v>125000</v>
      </c>
      <c r="O323" s="43"/>
      <c r="P323" s="43"/>
      <c r="Q323" s="42" t="n">
        <f aca="false">AY103</f>
        <v>0.5</v>
      </c>
      <c r="R323" s="42"/>
      <c r="S323" s="42" t="n">
        <f aca="false">AQ103</f>
        <v>398.25</v>
      </c>
      <c r="T323" s="42"/>
      <c r="U323" s="42"/>
      <c r="V323" s="42" t="n">
        <f aca="false">BC103</f>
        <v>117.981324211207</v>
      </c>
      <c r="W323" s="42"/>
      <c r="X323" s="42"/>
      <c r="Y323" s="32" t="n">
        <f aca="false">BD103</f>
        <v>0.0935271002119951</v>
      </c>
      <c r="Z323" s="32"/>
      <c r="AA323" s="32" t="n">
        <f aca="false">BE103</f>
        <v>0.11026665771977</v>
      </c>
      <c r="AB323" s="32"/>
      <c r="AC323" s="42" t="n">
        <f aca="false">BG103</f>
        <v>0.835138466783045</v>
      </c>
      <c r="AD323" s="42"/>
      <c r="AE323" s="42"/>
      <c r="AF323" s="12"/>
    </row>
    <row r="324" customFormat="false" ht="14.25" hidden="false" customHeight="false" outlineLevel="0" collapsed="false">
      <c r="B324" s="7"/>
      <c r="C324" s="46" t="n">
        <v>22</v>
      </c>
      <c r="D324" s="46"/>
      <c r="E324" s="44" t="n">
        <f aca="false">AI104</f>
        <v>31.5</v>
      </c>
      <c r="F324" s="44"/>
      <c r="G324" s="44"/>
      <c r="H324" s="44" t="n">
        <f aca="false">AJ104</f>
        <v>33</v>
      </c>
      <c r="I324" s="44"/>
      <c r="J324" s="44"/>
      <c r="K324" s="41" t="str">
        <f aca="false">AM104</f>
        <v>Clay</v>
      </c>
      <c r="L324" s="41"/>
      <c r="M324" s="41"/>
      <c r="N324" s="43" t="n">
        <f aca="false">AX104</f>
        <v>125000</v>
      </c>
      <c r="O324" s="43"/>
      <c r="P324" s="43"/>
      <c r="Q324" s="42" t="n">
        <f aca="false">AY104</f>
        <v>0.5</v>
      </c>
      <c r="R324" s="42"/>
      <c r="S324" s="42" t="n">
        <f aca="false">AQ104</f>
        <v>413.55</v>
      </c>
      <c r="T324" s="42"/>
      <c r="U324" s="42"/>
      <c r="V324" s="42" t="n">
        <f aca="false">BC104</f>
        <v>116.196457021307</v>
      </c>
      <c r="W324" s="42"/>
      <c r="X324" s="42"/>
      <c r="Y324" s="32" t="n">
        <f aca="false">BD104</f>
        <v>0.100507369360851</v>
      </c>
      <c r="Z324" s="32"/>
      <c r="AA324" s="32" t="n">
        <f aca="false">BE104</f>
        <v>0.111945618485189</v>
      </c>
      <c r="AB324" s="32"/>
      <c r="AC324" s="42" t="n">
        <f aca="false">BG104</f>
        <v>0.842993144568987</v>
      </c>
      <c r="AD324" s="42"/>
      <c r="AE324" s="42"/>
      <c r="AF324" s="12"/>
    </row>
    <row r="325" customFormat="false" ht="14.25" hidden="false" customHeight="false" outlineLevel="0" collapsed="false">
      <c r="B325" s="7"/>
      <c r="C325" s="46" t="n">
        <v>23</v>
      </c>
      <c r="D325" s="46"/>
      <c r="E325" s="44" t="n">
        <f aca="false">AI105</f>
        <v>33</v>
      </c>
      <c r="F325" s="44"/>
      <c r="G325" s="44"/>
      <c r="H325" s="44" t="n">
        <f aca="false">AJ105</f>
        <v>34.5</v>
      </c>
      <c r="I325" s="44"/>
      <c r="J325" s="44"/>
      <c r="K325" s="41" t="str">
        <f aca="false">AM105</f>
        <v>Clay</v>
      </c>
      <c r="L325" s="41"/>
      <c r="M325" s="41"/>
      <c r="N325" s="43" t="n">
        <f aca="false">AX105</f>
        <v>125000</v>
      </c>
      <c r="O325" s="43"/>
      <c r="P325" s="43"/>
      <c r="Q325" s="42" t="n">
        <f aca="false">AY105</f>
        <v>0.5</v>
      </c>
      <c r="R325" s="42"/>
      <c r="S325" s="42" t="n">
        <f aca="false">AQ105</f>
        <v>428.85</v>
      </c>
      <c r="T325" s="42"/>
      <c r="U325" s="42"/>
      <c r="V325" s="42" t="n">
        <f aca="false">BC105</f>
        <v>114.384248493289</v>
      </c>
      <c r="W325" s="42"/>
      <c r="X325" s="42"/>
      <c r="Y325" s="32" t="n">
        <f aca="false">BD105</f>
        <v>0.107536123549061</v>
      </c>
      <c r="Z325" s="32"/>
      <c r="AA325" s="32" t="n">
        <f aca="false">BE105</f>
        <v>0.113441066921048</v>
      </c>
      <c r="AB325" s="32"/>
      <c r="AC325" s="42" t="n">
        <f aca="false">BG105</f>
        <v>0.848848585801754</v>
      </c>
      <c r="AD325" s="42"/>
      <c r="AE325" s="42"/>
      <c r="AF325" s="12"/>
    </row>
    <row r="326" customFormat="false" ht="14.25" hidden="false" customHeight="false" outlineLevel="0" collapsed="false">
      <c r="B326" s="7"/>
      <c r="C326" s="46" t="n">
        <v>24</v>
      </c>
      <c r="D326" s="46"/>
      <c r="E326" s="44" t="n">
        <f aca="false">AI106</f>
        <v>34.5</v>
      </c>
      <c r="F326" s="44"/>
      <c r="G326" s="44"/>
      <c r="H326" s="44" t="n">
        <f aca="false">AJ106</f>
        <v>36</v>
      </c>
      <c r="I326" s="44"/>
      <c r="J326" s="44"/>
      <c r="K326" s="41" t="str">
        <f aca="false">AM106</f>
        <v>Clay</v>
      </c>
      <c r="L326" s="41"/>
      <c r="M326" s="41"/>
      <c r="N326" s="43" t="n">
        <f aca="false">AX106</f>
        <v>125000</v>
      </c>
      <c r="O326" s="43"/>
      <c r="P326" s="43"/>
      <c r="Q326" s="42" t="n">
        <f aca="false">AY106</f>
        <v>0.5</v>
      </c>
      <c r="R326" s="42"/>
      <c r="S326" s="42" t="n">
        <f aca="false">AQ106</f>
        <v>444.15</v>
      </c>
      <c r="T326" s="42"/>
      <c r="U326" s="42"/>
      <c r="V326" s="42" t="n">
        <f aca="false">BC106</f>
        <v>112.552433017023</v>
      </c>
      <c r="W326" s="42"/>
      <c r="X326" s="42"/>
      <c r="Y326" s="32" t="n">
        <f aca="false">BD106</f>
        <v>0.114598360022051</v>
      </c>
      <c r="Z326" s="32"/>
      <c r="AA326" s="32" t="n">
        <f aca="false">BE106</f>
        <v>0.114766542433847</v>
      </c>
      <c r="AB326" s="32"/>
      <c r="AC326" s="42" t="n">
        <f aca="false">BG106</f>
        <v>0.852892174370052</v>
      </c>
      <c r="AD326" s="42"/>
      <c r="AE326" s="42"/>
      <c r="AF326" s="12"/>
    </row>
    <row r="327" customFormat="false" ht="14.25" hidden="false" customHeight="false" outlineLevel="0" collapsed="false">
      <c r="B327" s="7"/>
      <c r="C327" s="46" t="n">
        <v>25</v>
      </c>
      <c r="D327" s="46"/>
      <c r="E327" s="44" t="n">
        <f aca="false">AI107</f>
        <v>36</v>
      </c>
      <c r="F327" s="44"/>
      <c r="G327" s="44"/>
      <c r="H327" s="44" t="n">
        <f aca="false">AJ107</f>
        <v>37.5</v>
      </c>
      <c r="I327" s="44"/>
      <c r="J327" s="44"/>
      <c r="K327" s="41" t="str">
        <f aca="false">AM107</f>
        <v>Sand</v>
      </c>
      <c r="L327" s="41"/>
      <c r="M327" s="41"/>
      <c r="N327" s="43" t="n">
        <f aca="false">AX107</f>
        <v>54150</v>
      </c>
      <c r="O327" s="43"/>
      <c r="P327" s="43"/>
      <c r="Q327" s="42" t="n">
        <f aca="false">AY107</f>
        <v>0.3</v>
      </c>
      <c r="R327" s="42"/>
      <c r="S327" s="42" t="n">
        <f aca="false">AQ107</f>
        <v>459.45</v>
      </c>
      <c r="T327" s="42"/>
      <c r="U327" s="42"/>
      <c r="V327" s="42" t="n">
        <f aca="false">BC107</f>
        <v>110.708045010863</v>
      </c>
      <c r="W327" s="42"/>
      <c r="X327" s="42"/>
      <c r="Y327" s="32" t="n">
        <f aca="false">BD107</f>
        <v>0.121680536390531</v>
      </c>
      <c r="Z327" s="32"/>
      <c r="AA327" s="32" t="n">
        <f aca="false">BE107</f>
        <v>0.115934648292991</v>
      </c>
      <c r="AB327" s="32"/>
      <c r="AC327" s="42" t="n">
        <f aca="false">BG107</f>
        <v>2.62135903731908</v>
      </c>
      <c r="AD327" s="42"/>
      <c r="AE327" s="42"/>
      <c r="AF327" s="12"/>
    </row>
    <row r="328" customFormat="false" ht="14.25" hidden="false" customHeight="false" outlineLevel="0" collapsed="false">
      <c r="B328" s="7"/>
      <c r="C328" s="46" t="n">
        <v>26</v>
      </c>
      <c r="D328" s="46"/>
      <c r="E328" s="44" t="n">
        <f aca="false">AI108</f>
        <v>37.5</v>
      </c>
      <c r="F328" s="44"/>
      <c r="G328" s="44"/>
      <c r="H328" s="44" t="n">
        <f aca="false">AJ108</f>
        <v>39</v>
      </c>
      <c r="I328" s="44"/>
      <c r="J328" s="44"/>
      <c r="K328" s="41" t="str">
        <f aca="false">AM108</f>
        <v>Clay</v>
      </c>
      <c r="L328" s="41"/>
      <c r="M328" s="41"/>
      <c r="N328" s="43" t="n">
        <f aca="false">AX108</f>
        <v>125000</v>
      </c>
      <c r="O328" s="43"/>
      <c r="P328" s="43"/>
      <c r="Q328" s="42" t="n">
        <f aca="false">AY108</f>
        <v>0.5</v>
      </c>
      <c r="R328" s="42"/>
      <c r="S328" s="42" t="n">
        <f aca="false">AQ108</f>
        <v>474.75</v>
      </c>
      <c r="T328" s="42"/>
      <c r="U328" s="42"/>
      <c r="V328" s="42" t="n">
        <f aca="false">BC108</f>
        <v>108.857419132691</v>
      </c>
      <c r="W328" s="42"/>
      <c r="X328" s="42"/>
      <c r="Y328" s="32" t="n">
        <f aca="false">BD108</f>
        <v>0.128770473532044</v>
      </c>
      <c r="Z328" s="32"/>
      <c r="AA328" s="32" t="n">
        <f aca="false">BE108</f>
        <v>0.116957096633813</v>
      </c>
      <c r="AB328" s="32"/>
      <c r="AC328" s="42" t="n">
        <f aca="false">BG108</f>
        <v>0.856237528706172</v>
      </c>
      <c r="AD328" s="42"/>
      <c r="AE328" s="42"/>
      <c r="AF328" s="12"/>
    </row>
    <row r="329" customFormat="false" ht="14.25" hidden="false" customHeight="false" outlineLevel="0" collapsed="false">
      <c r="B329" s="7"/>
      <c r="C329" s="46" t="n">
        <v>27</v>
      </c>
      <c r="D329" s="46"/>
      <c r="E329" s="44" t="n">
        <f aca="false">AI109</f>
        <v>39</v>
      </c>
      <c r="F329" s="44"/>
      <c r="G329" s="44"/>
      <c r="H329" s="44" t="n">
        <f aca="false">AJ109</f>
        <v>40.5</v>
      </c>
      <c r="I329" s="44"/>
      <c r="J329" s="44"/>
      <c r="K329" s="41" t="str">
        <f aca="false">AM109</f>
        <v>Clay</v>
      </c>
      <c r="L329" s="41"/>
      <c r="M329" s="41"/>
      <c r="N329" s="43" t="n">
        <f aca="false">AX109</f>
        <v>125000</v>
      </c>
      <c r="O329" s="43"/>
      <c r="P329" s="43"/>
      <c r="Q329" s="42" t="n">
        <f aca="false">AY109</f>
        <v>0.5</v>
      </c>
      <c r="R329" s="42"/>
      <c r="S329" s="42" t="n">
        <f aca="false">AQ109</f>
        <v>490.05</v>
      </c>
      <c r="T329" s="42"/>
      <c r="U329" s="42"/>
      <c r="V329" s="42" t="n">
        <f aca="false">BC109</f>
        <v>107.006207567439</v>
      </c>
      <c r="W329" s="42"/>
      <c r="X329" s="42"/>
      <c r="Y329" s="32" t="n">
        <f aca="false">BD109</f>
        <v>0.135857256153312</v>
      </c>
      <c r="Z329" s="32"/>
      <c r="AA329" s="32" t="n">
        <f aca="false">BE109</f>
        <v>0.117844757073459</v>
      </c>
      <c r="AB329" s="32"/>
      <c r="AC329" s="42" t="n">
        <f aca="false">BG109</f>
        <v>0.85585656360535</v>
      </c>
      <c r="AD329" s="42"/>
      <c r="AE329" s="42"/>
      <c r="AF329" s="12"/>
    </row>
    <row r="330" customFormat="false" ht="14.25" hidden="false" customHeight="false" outlineLevel="0" collapsed="false">
      <c r="B330" s="7"/>
      <c r="C330" s="46" t="n">
        <v>28</v>
      </c>
      <c r="D330" s="46"/>
      <c r="E330" s="44" t="n">
        <f aca="false">AI110</f>
        <v>40.5</v>
      </c>
      <c r="F330" s="44"/>
      <c r="G330" s="44"/>
      <c r="H330" s="44" t="n">
        <f aca="false">AJ110</f>
        <v>42</v>
      </c>
      <c r="I330" s="44"/>
      <c r="J330" s="44"/>
      <c r="K330" s="41" t="str">
        <f aca="false">AM110</f>
        <v>Clay</v>
      </c>
      <c r="L330" s="41"/>
      <c r="M330" s="41"/>
      <c r="N330" s="43" t="n">
        <f aca="false">AX110</f>
        <v>125000</v>
      </c>
      <c r="O330" s="43"/>
      <c r="P330" s="43"/>
      <c r="Q330" s="42" t="n">
        <f aca="false">AY110</f>
        <v>0.5</v>
      </c>
      <c r="R330" s="42"/>
      <c r="S330" s="42" t="n">
        <f aca="false">AQ110</f>
        <v>505.35</v>
      </c>
      <c r="T330" s="42"/>
      <c r="U330" s="42"/>
      <c r="V330" s="42" t="n">
        <f aca="false">BC110</f>
        <v>105.159409672716</v>
      </c>
      <c r="W330" s="42"/>
      <c r="X330" s="42"/>
      <c r="Y330" s="32" t="n">
        <f aca="false">BD110</f>
        <v>0.142931133731755</v>
      </c>
      <c r="Z330" s="32"/>
      <c r="AA330" s="32" t="n">
        <f aca="false">BE110</f>
        <v>0.118607707144671</v>
      </c>
      <c r="AB330" s="32"/>
      <c r="AC330" s="42" t="n">
        <f aca="false">BG110</f>
        <v>0.85429804739342</v>
      </c>
      <c r="AD330" s="42"/>
      <c r="AE330" s="42"/>
      <c r="AF330" s="12"/>
    </row>
    <row r="331" customFormat="false" ht="14.25" hidden="false" customHeight="false" outlineLevel="0" collapsed="false">
      <c r="B331" s="7"/>
      <c r="C331" s="46" t="n">
        <v>29</v>
      </c>
      <c r="D331" s="46"/>
      <c r="E331" s="44" t="n">
        <f aca="false">AI111</f>
        <v>42</v>
      </c>
      <c r="F331" s="44"/>
      <c r="G331" s="44"/>
      <c r="H331" s="44" t="n">
        <f aca="false">AJ111</f>
        <v>43.5</v>
      </c>
      <c r="I331" s="44"/>
      <c r="J331" s="44"/>
      <c r="K331" s="41" t="str">
        <f aca="false">AM111</f>
        <v>Clay</v>
      </c>
      <c r="L331" s="41"/>
      <c r="M331" s="41"/>
      <c r="N331" s="43" t="n">
        <f aca="false">AX111</f>
        <v>125000</v>
      </c>
      <c r="O331" s="43"/>
      <c r="P331" s="43"/>
      <c r="Q331" s="42" t="n">
        <f aca="false">AY111</f>
        <v>0.5</v>
      </c>
      <c r="R331" s="42"/>
      <c r="S331" s="42" t="n">
        <f aca="false">AQ111</f>
        <v>520.65</v>
      </c>
      <c r="T331" s="42"/>
      <c r="U331" s="42"/>
      <c r="V331" s="42" t="n">
        <f aca="false">BC111</f>
        <v>103.321410046931</v>
      </c>
      <c r="W331" s="42"/>
      <c r="X331" s="42"/>
      <c r="Y331" s="32" t="n">
        <f aca="false">BD111</f>
        <v>0.149983423865366</v>
      </c>
      <c r="Z331" s="32"/>
      <c r="AA331" s="32" t="n">
        <f aca="false">BE111</f>
        <v>0.11925528314828</v>
      </c>
      <c r="AB331" s="32"/>
      <c r="AC331" s="42" t="n">
        <f aca="false">BG111</f>
        <v>0</v>
      </c>
      <c r="AD331" s="42"/>
      <c r="AE331" s="42"/>
      <c r="AF331" s="12"/>
    </row>
    <row r="332" customFormat="false" ht="14.25" hidden="false" customHeight="false" outlineLevel="0" collapsed="false">
      <c r="B332" s="7"/>
      <c r="C332" s="46" t="n">
        <v>30</v>
      </c>
      <c r="D332" s="46"/>
      <c r="E332" s="44" t="n">
        <f aca="false">AI112</f>
        <v>43.5</v>
      </c>
      <c r="F332" s="44"/>
      <c r="G332" s="44"/>
      <c r="H332" s="44" t="n">
        <f aca="false">AJ112</f>
        <v>45</v>
      </c>
      <c r="I332" s="44"/>
      <c r="J332" s="44"/>
      <c r="K332" s="41" t="str">
        <f aca="false">AM112</f>
        <v>Clay</v>
      </c>
      <c r="L332" s="41"/>
      <c r="M332" s="41"/>
      <c r="N332" s="43" t="n">
        <f aca="false">AX112</f>
        <v>125000</v>
      </c>
      <c r="O332" s="43"/>
      <c r="P332" s="43"/>
      <c r="Q332" s="42" t="n">
        <f aca="false">AY112</f>
        <v>0.5</v>
      </c>
      <c r="R332" s="42"/>
      <c r="S332" s="42" t="n">
        <f aca="false">AQ112</f>
        <v>535.95</v>
      </c>
      <c r="T332" s="42"/>
      <c r="U332" s="42"/>
      <c r="V332" s="42" t="n">
        <f aca="false">BC112</f>
        <v>101.496021828265</v>
      </c>
      <c r="W332" s="42"/>
      <c r="X332" s="42"/>
      <c r="Y332" s="32" t="n">
        <f aca="false">BD112</f>
        <v>0.157006419484548</v>
      </c>
      <c r="Z332" s="32"/>
      <c r="AA332" s="32" t="n">
        <f aca="false">BE112</f>
        <v>0.119796130362691</v>
      </c>
      <c r="AB332" s="32"/>
      <c r="AC332" s="42" t="n">
        <f aca="false">BG112</f>
        <v>0</v>
      </c>
      <c r="AD332" s="42"/>
      <c r="AE332" s="42"/>
      <c r="AF332" s="12"/>
    </row>
    <row r="333" customFormat="false" ht="14.25" hidden="false" customHeight="false" outlineLevel="0" collapsed="false">
      <c r="B333" s="7"/>
      <c r="C333" s="46" t="n">
        <v>31</v>
      </c>
      <c r="D333" s="46"/>
      <c r="E333" s="44" t="n">
        <f aca="false">AI113</f>
        <v>45</v>
      </c>
      <c r="F333" s="44"/>
      <c r="G333" s="44"/>
      <c r="H333" s="44" t="n">
        <f aca="false">AJ113</f>
        <v>46.5</v>
      </c>
      <c r="I333" s="44"/>
      <c r="J333" s="44"/>
      <c r="K333" s="41" t="str">
        <f aca="false">AM113</f>
        <v>Clay</v>
      </c>
      <c r="L333" s="41"/>
      <c r="M333" s="41"/>
      <c r="N333" s="43" t="n">
        <f aca="false">AX113</f>
        <v>82500</v>
      </c>
      <c r="O333" s="43"/>
      <c r="P333" s="43"/>
      <c r="Q333" s="42" t="n">
        <f aca="false">AY113</f>
        <v>0.5</v>
      </c>
      <c r="R333" s="42"/>
      <c r="S333" s="42" t="n">
        <f aca="false">AQ113</f>
        <v>551.25</v>
      </c>
      <c r="T333" s="42"/>
      <c r="U333" s="42"/>
      <c r="V333" s="42" t="n">
        <f aca="false">BC113</f>
        <v>99.6865327062518</v>
      </c>
      <c r="W333" s="42"/>
      <c r="X333" s="42"/>
      <c r="Y333" s="32" t="n">
        <f aca="false">BD113</f>
        <v>0.163993300910008</v>
      </c>
      <c r="Z333" s="32"/>
      <c r="AA333" s="32" t="n">
        <f aca="false">BE113</f>
        <v>0.120238251830284</v>
      </c>
      <c r="AB333" s="32"/>
      <c r="AC333" s="42" t="n">
        <f aca="false">BG113</f>
        <v>0</v>
      </c>
      <c r="AD333" s="42"/>
      <c r="AE333" s="42"/>
      <c r="AF333" s="12"/>
    </row>
    <row r="334" customFormat="false" ht="14.25" hidden="false" customHeight="false" outlineLevel="0" collapsed="false">
      <c r="B334" s="7"/>
      <c r="C334" s="46" t="n">
        <v>32</v>
      </c>
      <c r="D334" s="46"/>
      <c r="E334" s="44" t="n">
        <f aca="false">AI114</f>
        <v>46.5</v>
      </c>
      <c r="F334" s="44"/>
      <c r="G334" s="44"/>
      <c r="H334" s="44" t="n">
        <f aca="false">AJ114</f>
        <v>48</v>
      </c>
      <c r="I334" s="44"/>
      <c r="J334" s="44"/>
      <c r="K334" s="41" t="str">
        <f aca="false">AM114</f>
        <v>Clay</v>
      </c>
      <c r="L334" s="41"/>
      <c r="M334" s="41"/>
      <c r="N334" s="43" t="n">
        <f aca="false">AX114</f>
        <v>90000</v>
      </c>
      <c r="O334" s="43"/>
      <c r="P334" s="43"/>
      <c r="Q334" s="42" t="n">
        <f aca="false">AY114</f>
        <v>0.5</v>
      </c>
      <c r="R334" s="42"/>
      <c r="S334" s="42" t="n">
        <f aca="false">AQ114</f>
        <v>566.55</v>
      </c>
      <c r="T334" s="42"/>
      <c r="U334" s="42"/>
      <c r="V334" s="42" t="n">
        <f aca="false">BC114</f>
        <v>97.8957517150986</v>
      </c>
      <c r="W334" s="42"/>
      <c r="X334" s="42"/>
      <c r="Y334" s="32" t="n">
        <f aca="false">BD114</f>
        <v>0.170938053366324</v>
      </c>
      <c r="Z334" s="32"/>
      <c r="AA334" s="32" t="n">
        <f aca="false">BE114</f>
        <v>0.120589055170862</v>
      </c>
      <c r="AB334" s="32"/>
      <c r="AC334" s="42" t="n">
        <f aca="false">BG114</f>
        <v>0</v>
      </c>
      <c r="AD334" s="42"/>
      <c r="AE334" s="42"/>
      <c r="AF334" s="12"/>
    </row>
    <row r="335" customFormat="false" ht="14.25" hidden="false" customHeight="false" outlineLevel="0" collapsed="false">
      <c r="B335" s="7"/>
      <c r="C335" s="46" t="n">
        <v>33</v>
      </c>
      <c r="D335" s="46"/>
      <c r="E335" s="44" t="n">
        <f aca="false">AI115</f>
        <v>48</v>
      </c>
      <c r="F335" s="44"/>
      <c r="G335" s="44"/>
      <c r="H335" s="44" t="n">
        <f aca="false">AJ115</f>
        <v>49.5</v>
      </c>
      <c r="I335" s="44"/>
      <c r="J335" s="44"/>
      <c r="K335" s="41" t="str">
        <f aca="false">AM115</f>
        <v>Clay</v>
      </c>
      <c r="L335" s="41"/>
      <c r="M335" s="41"/>
      <c r="N335" s="43" t="n">
        <f aca="false">AX115</f>
        <v>77500</v>
      </c>
      <c r="O335" s="43"/>
      <c r="P335" s="43"/>
      <c r="Q335" s="42" t="n">
        <f aca="false">AY115</f>
        <v>0.5</v>
      </c>
      <c r="R335" s="42"/>
      <c r="S335" s="42" t="n">
        <f aca="false">AQ115</f>
        <v>581.85</v>
      </c>
      <c r="T335" s="42"/>
      <c r="U335" s="42"/>
      <c r="V335" s="42" t="n">
        <f aca="false">BC115</f>
        <v>96.1260553748583</v>
      </c>
      <c r="W335" s="42"/>
      <c r="X335" s="42"/>
      <c r="Y335" s="32" t="n">
        <f aca="false">BD115</f>
        <v>0.177835390268971</v>
      </c>
      <c r="Z335" s="32"/>
      <c r="AA335" s="32" t="n">
        <f aca="false">BE115</f>
        <v>0.120855397057084</v>
      </c>
      <c r="AB335" s="32"/>
      <c r="AC335" s="42" t="n">
        <f aca="false">BG115</f>
        <v>0</v>
      </c>
      <c r="AD335" s="42"/>
      <c r="AE335" s="42"/>
      <c r="AF335" s="12"/>
    </row>
    <row r="336" customFormat="false" ht="14.25" hidden="false" customHeight="false" outlineLevel="0" collapsed="false">
      <c r="B336" s="7"/>
      <c r="C336" s="46" t="n">
        <v>34</v>
      </c>
      <c r="D336" s="46"/>
      <c r="E336" s="44" t="n">
        <f aca="false">AI116</f>
        <v>49.5</v>
      </c>
      <c r="F336" s="44"/>
      <c r="G336" s="44"/>
      <c r="H336" s="44" t="n">
        <f aca="false">AJ116</f>
        <v>51</v>
      </c>
      <c r="I336" s="44"/>
      <c r="J336" s="44"/>
      <c r="K336" s="41" t="str">
        <f aca="false">AM116</f>
        <v>Sand</v>
      </c>
      <c r="L336" s="41"/>
      <c r="M336" s="41"/>
      <c r="N336" s="43" t="n">
        <f aca="false">AX116</f>
        <v>32490</v>
      </c>
      <c r="O336" s="43"/>
      <c r="P336" s="43"/>
      <c r="Q336" s="42" t="n">
        <f aca="false">AY116</f>
        <v>0.3</v>
      </c>
      <c r="R336" s="42"/>
      <c r="S336" s="42" t="n">
        <f aca="false">AQ116</f>
        <v>597.15</v>
      </c>
      <c r="T336" s="42"/>
      <c r="U336" s="42"/>
      <c r="V336" s="42" t="n">
        <f aca="false">BC116</f>
        <v>94.379432156388</v>
      </c>
      <c r="W336" s="42"/>
      <c r="X336" s="42"/>
      <c r="Y336" s="32" t="n">
        <f aca="false">BD116</f>
        <v>0.184680682380465</v>
      </c>
      <c r="Z336" s="32"/>
      <c r="AA336" s="32" t="n">
        <f aca="false">BE116</f>
        <v>0.121043625132288</v>
      </c>
      <c r="AB336" s="32"/>
      <c r="AC336" s="42" t="n">
        <f aca="false">BG116</f>
        <v>0</v>
      </c>
      <c r="AD336" s="42"/>
      <c r="AE336" s="42"/>
      <c r="AF336" s="12"/>
    </row>
    <row r="337" customFormat="false" ht="14.25" hidden="false" customHeight="false" outlineLevel="0" collapsed="false">
      <c r="B337" s="7"/>
      <c r="C337" s="46" t="n">
        <v>35</v>
      </c>
      <c r="D337" s="46"/>
      <c r="E337" s="44" t="n">
        <f aca="false">AI117</f>
        <v>51</v>
      </c>
      <c r="F337" s="44"/>
      <c r="G337" s="44"/>
      <c r="H337" s="44" t="n">
        <f aca="false">AJ117</f>
        <v>52.5</v>
      </c>
      <c r="I337" s="44"/>
      <c r="J337" s="44"/>
      <c r="K337" s="41" t="str">
        <f aca="false">AM117</f>
        <v>Sand</v>
      </c>
      <c r="L337" s="41"/>
      <c r="M337" s="41"/>
      <c r="N337" s="43" t="n">
        <f aca="false">AX117</f>
        <v>36822</v>
      </c>
      <c r="O337" s="43"/>
      <c r="P337" s="43"/>
      <c r="Q337" s="42" t="n">
        <f aca="false">AY117</f>
        <v>0.3</v>
      </c>
      <c r="R337" s="42"/>
      <c r="S337" s="42" t="n">
        <f aca="false">AQ117</f>
        <v>612.449999999999</v>
      </c>
      <c r="T337" s="42"/>
      <c r="U337" s="42"/>
      <c r="V337" s="42" t="n">
        <f aca="false">BC117</f>
        <v>92.657524576064</v>
      </c>
      <c r="W337" s="42"/>
      <c r="X337" s="42"/>
      <c r="Y337" s="32" t="n">
        <f aca="false">BD117</f>
        <v>0.191469892767081</v>
      </c>
      <c r="Z337" s="32"/>
      <c r="AA337" s="32" t="n">
        <f aca="false">BE117</f>
        <v>0.121159617263437</v>
      </c>
      <c r="AB337" s="32"/>
      <c r="AC337" s="42" t="n">
        <f aca="false">BG117</f>
        <v>0</v>
      </c>
      <c r="AD337" s="42"/>
      <c r="AE337" s="42"/>
      <c r="AF337" s="12"/>
    </row>
    <row r="338" customFormat="false" ht="14.25" hidden="false" customHeight="false" outlineLevel="0" collapsed="false">
      <c r="B338" s="7"/>
      <c r="C338" s="46" t="n">
        <v>36</v>
      </c>
      <c r="D338" s="46"/>
      <c r="E338" s="44" t="n">
        <f aca="false">AI118</f>
        <v>52.5</v>
      </c>
      <c r="F338" s="44"/>
      <c r="G338" s="44"/>
      <c r="H338" s="44" t="n">
        <f aca="false">AJ118</f>
        <v>54</v>
      </c>
      <c r="I338" s="44"/>
      <c r="J338" s="44"/>
      <c r="K338" s="41" t="str">
        <f aca="false">AM118</f>
        <v>Clay</v>
      </c>
      <c r="L338" s="41"/>
      <c r="M338" s="41"/>
      <c r="N338" s="43" t="n">
        <f aca="false">AX118</f>
        <v>77500</v>
      </c>
      <c r="O338" s="43"/>
      <c r="P338" s="43"/>
      <c r="Q338" s="42" t="n">
        <f aca="false">AY118</f>
        <v>0.5</v>
      </c>
      <c r="R338" s="42"/>
      <c r="S338" s="42" t="n">
        <f aca="false">AQ118</f>
        <v>627.749999999999</v>
      </c>
      <c r="T338" s="42"/>
      <c r="U338" s="42"/>
      <c r="V338" s="42" t="n">
        <f aca="false">BC118</f>
        <v>90.9616684860851</v>
      </c>
      <c r="W338" s="42"/>
      <c r="X338" s="42"/>
      <c r="Y338" s="32" t="n">
        <f aca="false">BD118</f>
        <v>0.19819951737019</v>
      </c>
      <c r="Z338" s="32"/>
      <c r="AA338" s="32" t="n">
        <f aca="false">BE118</f>
        <v>0.121208818106769</v>
      </c>
      <c r="AB338" s="32"/>
      <c r="AC338" s="42" t="n">
        <f aca="false">BG118</f>
        <v>0</v>
      </c>
      <c r="AD338" s="42"/>
      <c r="AE338" s="42"/>
      <c r="AF338" s="12"/>
    </row>
    <row r="339" customFormat="false" ht="14.25" hidden="false" customHeight="false" outlineLevel="0" collapsed="false">
      <c r="B339" s="7"/>
      <c r="C339" s="46" t="n">
        <v>37</v>
      </c>
      <c r="D339" s="46"/>
      <c r="E339" s="44" t="n">
        <f aca="false">AI119</f>
        <v>54</v>
      </c>
      <c r="F339" s="44"/>
      <c r="G339" s="44"/>
      <c r="H339" s="44" t="n">
        <f aca="false">AJ119</f>
        <v>55.5</v>
      </c>
      <c r="I339" s="44"/>
      <c r="J339" s="44"/>
      <c r="K339" s="41" t="str">
        <f aca="false">AM119</f>
        <v>Sand</v>
      </c>
      <c r="L339" s="41"/>
      <c r="M339" s="41"/>
      <c r="N339" s="43" t="n">
        <f aca="false">AX119</f>
        <v>31407</v>
      </c>
      <c r="O339" s="43"/>
      <c r="P339" s="43"/>
      <c r="Q339" s="42" t="n">
        <f aca="false">AY119</f>
        <v>0.3</v>
      </c>
      <c r="R339" s="42"/>
      <c r="S339" s="42" t="n">
        <f aca="false">AQ119</f>
        <v>643.049999999999</v>
      </c>
      <c r="T339" s="42"/>
      <c r="U339" s="42"/>
      <c r="V339" s="42" t="n">
        <f aca="false">BC119</f>
        <v>89.2929293261871</v>
      </c>
      <c r="W339" s="42"/>
      <c r="X339" s="42"/>
      <c r="Y339" s="32" t="n">
        <f aca="false">BD119</f>
        <v>0.204866530926182</v>
      </c>
      <c r="Z339" s="32"/>
      <c r="AA339" s="32" t="n">
        <f aca="false">BE119</f>
        <v>0.121196273026185</v>
      </c>
      <c r="AB339" s="32"/>
      <c r="AC339" s="42" t="n">
        <f aca="false">BG119</f>
        <v>0</v>
      </c>
      <c r="AD339" s="42"/>
      <c r="AE339" s="42"/>
      <c r="AF339" s="12"/>
    </row>
    <row r="340" customFormat="false" ht="14.25" hidden="false" customHeight="false" outlineLevel="0" collapsed="false">
      <c r="B340" s="7"/>
      <c r="C340" s="46" t="n">
        <v>38</v>
      </c>
      <c r="D340" s="46"/>
      <c r="E340" s="44" t="n">
        <f aca="false">AI120</f>
        <v>55.5</v>
      </c>
      <c r="F340" s="44"/>
      <c r="G340" s="44"/>
      <c r="H340" s="44" t="n">
        <f aca="false">AJ120</f>
        <v>57</v>
      </c>
      <c r="I340" s="44"/>
      <c r="J340" s="44"/>
      <c r="K340" s="41" t="str">
        <f aca="false">AM120</f>
        <v>Sand</v>
      </c>
      <c r="L340" s="41"/>
      <c r="M340" s="41"/>
      <c r="N340" s="43" t="n">
        <f aca="false">AX120</f>
        <v>27075</v>
      </c>
      <c r="O340" s="43"/>
      <c r="P340" s="43"/>
      <c r="Q340" s="42" t="n">
        <f aca="false">AY120</f>
        <v>0.3</v>
      </c>
      <c r="R340" s="42"/>
      <c r="S340" s="42" t="n">
        <f aca="false">AQ120</f>
        <v>658.349999999999</v>
      </c>
      <c r="T340" s="42"/>
      <c r="U340" s="42"/>
      <c r="V340" s="42" t="n">
        <f aca="false">BC120</f>
        <v>87.6521352527307</v>
      </c>
      <c r="W340" s="42"/>
      <c r="X340" s="42"/>
      <c r="Y340" s="32" t="n">
        <f aca="false">BD120</f>
        <v>0.211468337918076</v>
      </c>
      <c r="Z340" s="32"/>
      <c r="AA340" s="32" t="n">
        <f aca="false">BE120</f>
        <v>0.121126659448925</v>
      </c>
      <c r="AB340" s="32"/>
      <c r="AC340" s="42" t="n">
        <f aca="false">BG120</f>
        <v>0</v>
      </c>
      <c r="AD340" s="42"/>
      <c r="AE340" s="42"/>
      <c r="AF340" s="12"/>
    </row>
    <row r="341" customFormat="false" ht="14.25" hidden="false" customHeight="false" outlineLevel="0" collapsed="false">
      <c r="B341" s="7"/>
      <c r="C341" s="46" t="n">
        <v>39</v>
      </c>
      <c r="D341" s="46"/>
      <c r="E341" s="44" t="n">
        <f aca="false">AI121</f>
        <v>57</v>
      </c>
      <c r="F341" s="44"/>
      <c r="G341" s="44"/>
      <c r="H341" s="44" t="n">
        <f aca="false">AJ121</f>
        <v>58.5</v>
      </c>
      <c r="I341" s="44"/>
      <c r="J341" s="44"/>
      <c r="K341" s="41" t="str">
        <f aca="false">AM121</f>
        <v>Sand</v>
      </c>
      <c r="L341" s="41"/>
      <c r="M341" s="41"/>
      <c r="N341" s="43" t="n">
        <f aca="false">AX121</f>
        <v>37905</v>
      </c>
      <c r="O341" s="43"/>
      <c r="P341" s="43"/>
      <c r="Q341" s="42" t="n">
        <f aca="false">AY121</f>
        <v>0.3</v>
      </c>
      <c r="R341" s="42"/>
      <c r="S341" s="42" t="n">
        <f aca="false">AQ121</f>
        <v>673.649999999999</v>
      </c>
      <c r="T341" s="42"/>
      <c r="U341" s="42"/>
      <c r="V341" s="42" t="n">
        <f aca="false">BC121</f>
        <v>86.0399071706701</v>
      </c>
      <c r="W341" s="42"/>
      <c r="X341" s="42"/>
      <c r="Y341" s="32" t="n">
        <f aca="false">BD121</f>
        <v>0.218002728213384</v>
      </c>
      <c r="Z341" s="32"/>
      <c r="AA341" s="32" t="n">
        <f aca="false">BE121</f>
        <v>0.121004315773392</v>
      </c>
      <c r="AB341" s="32"/>
      <c r="AC341" s="42" t="n">
        <f aca="false">BG121</f>
        <v>0</v>
      </c>
      <c r="AD341" s="42"/>
      <c r="AE341" s="42"/>
      <c r="AF341" s="12"/>
    </row>
    <row r="342" customFormat="false" ht="14.25" hidden="false" customHeight="false" outlineLevel="0" collapsed="false">
      <c r="B342" s="7"/>
      <c r="C342" s="46" t="n">
        <v>40</v>
      </c>
      <c r="D342" s="46"/>
      <c r="E342" s="44" t="n">
        <f aca="false">AI122</f>
        <v>58.5</v>
      </c>
      <c r="F342" s="44"/>
      <c r="G342" s="44"/>
      <c r="H342" s="44" t="n">
        <f aca="false">AJ122</f>
        <v>59.5</v>
      </c>
      <c r="I342" s="44"/>
      <c r="J342" s="44"/>
      <c r="K342" s="41" t="str">
        <f aca="false">AM122</f>
        <v>Sand</v>
      </c>
      <c r="L342" s="41"/>
      <c r="M342" s="41"/>
      <c r="N342" s="43" t="n">
        <f aca="false">AX122</f>
        <v>45486</v>
      </c>
      <c r="O342" s="43"/>
      <c r="P342" s="43"/>
      <c r="Q342" s="42" t="n">
        <f aca="false">AY122</f>
        <v>0.3</v>
      </c>
      <c r="R342" s="42"/>
      <c r="S342" s="42" t="n">
        <f aca="false">AQ122</f>
        <v>686.399999999999</v>
      </c>
      <c r="T342" s="42"/>
      <c r="U342" s="42"/>
      <c r="V342" s="42" t="n">
        <f aca="false">BC122</f>
        <v>84.7185277966616</v>
      </c>
      <c r="W342" s="42"/>
      <c r="X342" s="42"/>
      <c r="Y342" s="32" t="n">
        <f aca="false">BD122</f>
        <v>0.222320600711722</v>
      </c>
      <c r="Z342" s="32"/>
      <c r="AA342" s="32" t="n">
        <f aca="false">BE122</f>
        <v>0.120895459060618</v>
      </c>
      <c r="AB342" s="32"/>
      <c r="AC342" s="42" t="n">
        <f aca="false">BG122</f>
        <v>0</v>
      </c>
      <c r="AD342" s="42"/>
      <c r="AE342" s="42"/>
      <c r="AF342" s="12"/>
    </row>
    <row r="343" customFormat="false" ht="14.25" hidden="false" customHeight="false" outlineLevel="0" collapsed="false">
      <c r="B343" s="7"/>
      <c r="C343" s="60" t="n">
        <v>41</v>
      </c>
      <c r="D343" s="60"/>
      <c r="E343" s="61" t="n">
        <f aca="false">AI123</f>
        <v>59.5</v>
      </c>
      <c r="F343" s="61"/>
      <c r="G343" s="61"/>
      <c r="H343" s="61" t="n">
        <f aca="false">AJ123</f>
        <v>60</v>
      </c>
      <c r="I343" s="61"/>
      <c r="J343" s="61"/>
      <c r="K343" s="48" t="str">
        <f aca="false">AM123</f>
        <v>Sand</v>
      </c>
      <c r="L343" s="48"/>
      <c r="M343" s="48"/>
      <c r="N343" s="66" t="n">
        <f aca="false">AX123</f>
        <v>49818</v>
      </c>
      <c r="O343" s="66"/>
      <c r="P343" s="66"/>
      <c r="Q343" s="49" t="n">
        <f aca="false">AY123</f>
        <v>0.3</v>
      </c>
      <c r="R343" s="49"/>
      <c r="S343" s="49" t="n">
        <f aca="false">AQ123</f>
        <v>694.049999999999</v>
      </c>
      <c r="T343" s="49"/>
      <c r="U343" s="49"/>
      <c r="V343" s="49" t="n">
        <f aca="false">BC123</f>
        <v>83.9354445039259</v>
      </c>
      <c r="W343" s="49"/>
      <c r="X343" s="49"/>
      <c r="Y343" s="35" t="n">
        <f aca="false">BD123</f>
        <v>0.224467837031054</v>
      </c>
      <c r="Z343" s="35"/>
      <c r="AA343" s="35" t="n">
        <f aca="false">BE123</f>
        <v>0.120833267963286</v>
      </c>
      <c r="AB343" s="35"/>
      <c r="AC343" s="49" t="n">
        <f aca="false">BG123</f>
        <v>0</v>
      </c>
      <c r="AD343" s="49"/>
      <c r="AE343" s="49"/>
      <c r="AF343" s="12"/>
    </row>
    <row r="344" customFormat="false" ht="14.25" hidden="false" customHeight="false" outlineLevel="0" collapsed="false">
      <c r="B344" s="7"/>
      <c r="AF344" s="12"/>
    </row>
    <row r="345" customFormat="false" ht="14.25" hidden="false" customHeight="true" outlineLevel="0" collapsed="false">
      <c r="B345" s="7"/>
      <c r="C345" s="20" t="s">
        <v>293</v>
      </c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1" t="s">
        <v>294</v>
      </c>
      <c r="P345" s="21"/>
      <c r="Q345" s="21"/>
      <c r="R345" s="21"/>
      <c r="S345" s="21"/>
      <c r="T345" s="21"/>
      <c r="U345" s="21"/>
      <c r="V345" s="21"/>
      <c r="W345" s="21"/>
      <c r="X345" s="22" t="s">
        <v>295</v>
      </c>
      <c r="Y345" s="22"/>
      <c r="Z345" s="22"/>
      <c r="AA345" s="24" t="n">
        <f aca="false">SUM(BG83:BG123)</f>
        <v>61.5402263521212</v>
      </c>
      <c r="AB345" s="24"/>
      <c r="AC345" s="24"/>
      <c r="AD345" s="20" t="s">
        <v>45</v>
      </c>
      <c r="AE345" s="20"/>
      <c r="AF345" s="12"/>
    </row>
    <row r="346" customFormat="false" ht="14.25" hidden="false" customHeight="false" outlineLevel="0" collapsed="false">
      <c r="B346" s="7"/>
      <c r="C346" s="20" t="s">
        <v>296</v>
      </c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1"/>
      <c r="P346" s="21"/>
      <c r="Q346" s="21"/>
      <c r="R346" s="21"/>
      <c r="S346" s="21"/>
      <c r="T346" s="21"/>
      <c r="U346" s="21"/>
      <c r="V346" s="21"/>
      <c r="W346" s="21"/>
      <c r="X346" s="22"/>
      <c r="Y346" s="22"/>
      <c r="Z346" s="22"/>
      <c r="AA346" s="51" t="n">
        <f aca="false">SUMPRODUCT(--(AM83:AM123="Sand"),BG83:BG123)</f>
        <v>40.0385949375401</v>
      </c>
      <c r="AB346" s="51"/>
      <c r="AC346" s="51"/>
      <c r="AD346" s="20" t="s">
        <v>45</v>
      </c>
      <c r="AE346" s="20"/>
      <c r="AF346" s="12"/>
    </row>
    <row r="347" customFormat="false" ht="14.25" hidden="false" customHeight="false" outlineLevel="0" collapsed="false">
      <c r="B347" s="7"/>
      <c r="C347" s="20" t="s">
        <v>297</v>
      </c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1"/>
      <c r="P347" s="21"/>
      <c r="Q347" s="21"/>
      <c r="R347" s="21"/>
      <c r="S347" s="21"/>
      <c r="T347" s="21"/>
      <c r="U347" s="21"/>
      <c r="V347" s="21"/>
      <c r="W347" s="21"/>
      <c r="X347" s="22"/>
      <c r="Y347" s="22"/>
      <c r="Z347" s="22"/>
      <c r="AA347" s="51" t="n">
        <f aca="false">$AA$345-$AA$346</f>
        <v>21.5016314145811</v>
      </c>
      <c r="AB347" s="51"/>
      <c r="AC347" s="51"/>
      <c r="AD347" s="20" t="s">
        <v>45</v>
      </c>
      <c r="AE347" s="20"/>
      <c r="AF347" s="12"/>
    </row>
    <row r="348" customFormat="false" ht="14.25" hidden="false" customHeight="false" outlineLevel="0" collapsed="false">
      <c r="B348" s="7"/>
      <c r="AF348" s="12"/>
    </row>
    <row r="349" customFormat="false" ht="14.25" hidden="false" customHeight="false" outlineLevel="0" collapsed="false">
      <c r="B349" s="7"/>
      <c r="AF349" s="12"/>
    </row>
    <row r="350" customFormat="false" ht="14.25" hidden="false" customHeight="false" outlineLevel="0" collapsed="false">
      <c r="B350" s="7"/>
      <c r="AF350" s="12"/>
    </row>
    <row r="351" customFormat="false" ht="14.25" hidden="false" customHeight="false" outlineLevel="0" collapsed="false">
      <c r="B351" s="7"/>
      <c r="AF351" s="12"/>
    </row>
    <row r="352" customFormat="false" ht="14.25" hidden="false" customHeight="false" outlineLevel="0" collapsed="false">
      <c r="B352" s="7"/>
      <c r="AF352" s="12"/>
    </row>
    <row r="353" customFormat="false" ht="14.25" hidden="false" customHeight="false" outlineLevel="0" collapsed="false">
      <c r="B353" s="7"/>
      <c r="AF353" s="12"/>
    </row>
    <row r="354" customFormat="false" ht="14.25" hidden="false" customHeight="false" outlineLevel="0" collapsed="false">
      <c r="B354" s="7"/>
      <c r="AF354" s="12"/>
    </row>
    <row r="355" customFormat="false" ht="14.25" hidden="false" customHeight="false" outlineLevel="0" collapsed="false">
      <c r="B355" s="7"/>
      <c r="AF355" s="12"/>
    </row>
    <row r="356" customFormat="false" ht="14.25" hidden="false" customHeight="false" outlineLevel="0" collapsed="false">
      <c r="B356" s="7"/>
      <c r="AF356" s="12"/>
    </row>
    <row r="357" customFormat="false" ht="14.25" hidden="false" customHeight="false" outlineLevel="0" collapsed="false">
      <c r="B357" s="7"/>
      <c r="AF357" s="12"/>
    </row>
    <row r="358" customFormat="false" ht="14.25" hidden="false" customHeight="false" outlineLevel="0" collapsed="false">
      <c r="B358" s="7"/>
      <c r="AF358" s="12"/>
    </row>
    <row r="359" customFormat="false" ht="14.25" hidden="false" customHeight="false" outlineLevel="0" collapsed="false">
      <c r="B359" s="7"/>
      <c r="AF359" s="12"/>
    </row>
    <row r="360" customFormat="false" ht="14.25" hidden="false" customHeight="false" outlineLevel="0" collapsed="false">
      <c r="B360" s="7"/>
      <c r="AF360" s="12"/>
    </row>
    <row r="361" customFormat="false" ht="14.25" hidden="false" customHeight="true" outlineLevel="0" collapsed="false">
      <c r="B361" s="36"/>
      <c r="C361" s="37"/>
      <c r="D361" s="37"/>
      <c r="E361" s="37"/>
      <c r="F361" s="37"/>
      <c r="G361" s="37"/>
      <c r="H361" s="37"/>
      <c r="I361" s="37"/>
      <c r="J361" s="37"/>
      <c r="K361" s="37"/>
      <c r="L361" s="37"/>
      <c r="M361" s="37"/>
      <c r="N361" s="37"/>
      <c r="O361" s="37"/>
      <c r="P361" s="37"/>
      <c r="Q361" s="37"/>
      <c r="R361" s="37"/>
      <c r="S361" s="37"/>
      <c r="T361" s="37"/>
      <c r="U361" s="37"/>
      <c r="V361" s="37"/>
      <c r="W361" s="37"/>
      <c r="X361" s="38" t="s">
        <v>93</v>
      </c>
      <c r="Y361" s="38"/>
      <c r="Z361" s="38"/>
      <c r="AA361" s="38"/>
      <c r="AB361" s="38" t="n">
        <v>5</v>
      </c>
      <c r="AC361" s="38"/>
      <c r="AD361" s="38"/>
      <c r="AE361" s="38"/>
      <c r="AF361" s="39"/>
    </row>
    <row r="362" customFormat="false" ht="14.25" hidden="false" customHeight="true" outlineLevel="0" collapsed="false">
      <c r="B362" s="1"/>
      <c r="C362" s="2" t="s">
        <v>0</v>
      </c>
      <c r="D362" s="2"/>
      <c r="E362" s="2"/>
      <c r="F362" s="2"/>
      <c r="G362" s="2"/>
      <c r="H362" s="3" t="s">
        <v>1</v>
      </c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4" t="s">
        <v>2</v>
      </c>
      <c r="Y362" s="4"/>
      <c r="Z362" s="4"/>
      <c r="AA362" s="4"/>
      <c r="AB362" s="5" t="s">
        <v>3</v>
      </c>
      <c r="AC362" s="5"/>
      <c r="AD362" s="5"/>
      <c r="AE362" s="5"/>
      <c r="AF362" s="6"/>
    </row>
    <row r="363" customFormat="false" ht="14.25" hidden="false" customHeight="true" outlineLevel="0" collapsed="false">
      <c r="B363" s="7"/>
      <c r="C363" s="8" t="s">
        <v>4</v>
      </c>
      <c r="D363" s="8"/>
      <c r="E363" s="8"/>
      <c r="F363" s="8"/>
      <c r="G363" s="8"/>
      <c r="H363" s="9" t="s">
        <v>5</v>
      </c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10" t="s">
        <v>6</v>
      </c>
      <c r="Y363" s="10"/>
      <c r="Z363" s="10"/>
      <c r="AA363" s="10"/>
      <c r="AB363" s="11" t="n">
        <v>46301</v>
      </c>
      <c r="AC363" s="11"/>
      <c r="AD363" s="11"/>
      <c r="AE363" s="11"/>
      <c r="AF363" s="12"/>
    </row>
    <row r="364" customFormat="false" ht="14.25" hidden="false" customHeight="true" outlineLevel="0" collapsed="false">
      <c r="B364" s="7"/>
      <c r="C364" s="8" t="s">
        <v>7</v>
      </c>
      <c r="D364" s="8"/>
      <c r="E364" s="8"/>
      <c r="F364" s="8"/>
      <c r="G364" s="8"/>
      <c r="H364" s="9" t="s">
        <v>340</v>
      </c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10" t="s">
        <v>9</v>
      </c>
      <c r="Y364" s="10"/>
      <c r="Z364" s="10"/>
      <c r="AA364" s="10"/>
      <c r="AB364" s="11" t="s">
        <v>3</v>
      </c>
      <c r="AC364" s="11"/>
      <c r="AD364" s="11"/>
      <c r="AE364" s="11"/>
      <c r="AF364" s="12"/>
    </row>
    <row r="365" customFormat="false" ht="14.25" hidden="false" customHeight="true" outlineLevel="0" collapsed="false">
      <c r="B365" s="13"/>
      <c r="C365" s="14" t="s">
        <v>10</v>
      </c>
      <c r="D365" s="14"/>
      <c r="E365" s="14"/>
      <c r="F365" s="14"/>
      <c r="G365" s="14"/>
      <c r="H365" s="15" t="s">
        <v>134</v>
      </c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6" t="s">
        <v>12</v>
      </c>
      <c r="Y365" s="16"/>
      <c r="Z365" s="16"/>
      <c r="AA365" s="16"/>
      <c r="AB365" s="17" t="n">
        <v>46301</v>
      </c>
      <c r="AC365" s="17"/>
      <c r="AD365" s="17"/>
      <c r="AE365" s="17"/>
      <c r="AF365" s="18"/>
    </row>
    <row r="366" customFormat="false" ht="14.25" hidden="false" customHeight="false" outlineLevel="0" collapsed="false">
      <c r="B366" s="7"/>
      <c r="AF366" s="12"/>
    </row>
    <row r="367" customFormat="false" ht="14.25" hidden="false" customHeight="false" outlineLevel="0" collapsed="false">
      <c r="B367" s="7"/>
      <c r="AF367" s="12"/>
    </row>
    <row r="368" customFormat="false" ht="14.25" hidden="false" customHeight="false" outlineLevel="0" collapsed="false">
      <c r="B368" s="7"/>
      <c r="AF368" s="12"/>
    </row>
    <row r="369" customFormat="false" ht="14.25" hidden="false" customHeight="false" outlineLevel="0" collapsed="false">
      <c r="B369" s="7"/>
      <c r="AF369" s="12"/>
    </row>
    <row r="370" customFormat="false" ht="14.25" hidden="false" customHeight="false" outlineLevel="0" collapsed="false">
      <c r="B370" s="7"/>
      <c r="AF370" s="12"/>
    </row>
    <row r="371" customFormat="false" ht="14.25" hidden="false" customHeight="false" outlineLevel="0" collapsed="false">
      <c r="B371" s="7"/>
      <c r="AF371" s="12"/>
    </row>
    <row r="372" customFormat="false" ht="14.25" hidden="false" customHeight="false" outlineLevel="0" collapsed="false">
      <c r="B372" s="7"/>
      <c r="AF372" s="12"/>
    </row>
    <row r="373" customFormat="false" ht="14.25" hidden="false" customHeight="false" outlineLevel="0" collapsed="false">
      <c r="B373" s="7"/>
      <c r="AF373" s="12"/>
    </row>
    <row r="374" customFormat="false" ht="14.25" hidden="false" customHeight="false" outlineLevel="0" collapsed="false">
      <c r="B374" s="7"/>
      <c r="AF374" s="12"/>
    </row>
    <row r="375" customFormat="false" ht="14.25" hidden="false" customHeight="false" outlineLevel="0" collapsed="false">
      <c r="B375" s="7"/>
      <c r="AF375" s="12"/>
    </row>
    <row r="376" customFormat="false" ht="14.25" hidden="false" customHeight="false" outlineLevel="0" collapsed="false">
      <c r="B376" s="7"/>
      <c r="AF376" s="12"/>
    </row>
    <row r="377" customFormat="false" ht="14.25" hidden="false" customHeight="false" outlineLevel="0" collapsed="false">
      <c r="B377" s="7"/>
      <c r="AF377" s="12"/>
    </row>
    <row r="378" customFormat="false" ht="14.25" hidden="false" customHeight="false" outlineLevel="0" collapsed="false">
      <c r="B378" s="7"/>
      <c r="AF378" s="12"/>
    </row>
    <row r="379" customFormat="false" ht="14.25" hidden="false" customHeight="false" outlineLevel="0" collapsed="false">
      <c r="B379" s="7"/>
      <c r="AF379" s="12"/>
    </row>
    <row r="380" customFormat="false" ht="14.25" hidden="false" customHeight="false" outlineLevel="0" collapsed="false">
      <c r="B380" s="7"/>
      <c r="AF380" s="12"/>
    </row>
    <row r="381" customFormat="false" ht="14.25" hidden="false" customHeight="false" outlineLevel="0" collapsed="false">
      <c r="B381" s="7"/>
      <c r="AF381" s="12"/>
    </row>
    <row r="382" customFormat="false" ht="14.25" hidden="false" customHeight="false" outlineLevel="0" collapsed="false">
      <c r="B382" s="7"/>
      <c r="AF382" s="12"/>
    </row>
    <row r="383" customFormat="false" ht="14.25" hidden="false" customHeight="false" outlineLevel="0" collapsed="false">
      <c r="B383" s="7"/>
      <c r="AF383" s="12"/>
    </row>
    <row r="384" customFormat="false" ht="14.25" hidden="false" customHeight="false" outlineLevel="0" collapsed="false">
      <c r="B384" s="7"/>
      <c r="AF384" s="12"/>
    </row>
    <row r="385" customFormat="false" ht="14.25" hidden="false" customHeight="false" outlineLevel="0" collapsed="false">
      <c r="B385" s="7"/>
      <c r="AF385" s="12"/>
    </row>
    <row r="386" customFormat="false" ht="14.25" hidden="false" customHeight="false" outlineLevel="0" collapsed="false">
      <c r="B386" s="7"/>
      <c r="C386" s="52" t="s">
        <v>298</v>
      </c>
      <c r="D386" s="52"/>
      <c r="E386" s="52"/>
      <c r="F386" s="52"/>
      <c r="G386" s="52"/>
      <c r="H386" s="52"/>
      <c r="I386" s="52"/>
      <c r="J386" s="52"/>
      <c r="K386" s="52"/>
      <c r="L386" s="52"/>
      <c r="M386" s="52"/>
      <c r="N386" s="52"/>
      <c r="O386" s="52"/>
      <c r="P386" s="52"/>
      <c r="Q386" s="52"/>
      <c r="R386" s="52"/>
      <c r="S386" s="52"/>
      <c r="T386" s="52"/>
      <c r="U386" s="52"/>
      <c r="V386" s="52"/>
      <c r="W386" s="52"/>
      <c r="X386" s="52"/>
      <c r="Y386" s="52"/>
      <c r="Z386" s="52"/>
      <c r="AA386" s="52"/>
      <c r="AB386" s="52"/>
      <c r="AC386" s="52"/>
      <c r="AD386" s="52"/>
      <c r="AE386" s="52"/>
      <c r="AF386" s="12"/>
    </row>
    <row r="387" customFormat="false" ht="14.25" hidden="false" customHeight="false" outlineLevel="0" collapsed="false">
      <c r="B387" s="7"/>
      <c r="AF387" s="12"/>
    </row>
    <row r="388" customFormat="false" ht="14.25" hidden="false" customHeight="false" outlineLevel="0" collapsed="false">
      <c r="B388" s="7"/>
      <c r="C388" s="9" t="s">
        <v>299</v>
      </c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12"/>
    </row>
    <row r="389" customFormat="false" ht="14.25" hidden="false" customHeight="false" outlineLevel="0" collapsed="false">
      <c r="B389" s="7"/>
      <c r="C389" s="20" t="s">
        <v>300</v>
      </c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  <c r="AE389" s="20"/>
      <c r="AF389" s="12"/>
    </row>
    <row r="390" customFormat="false" ht="14.25" hidden="false" customHeight="false" outlineLevel="0" collapsed="false">
      <c r="B390" s="7"/>
      <c r="C390" s="20" t="s">
        <v>301</v>
      </c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  <c r="AD390" s="20"/>
      <c r="AE390" s="20"/>
      <c r="AF390" s="12"/>
    </row>
    <row r="391" customFormat="false" ht="14.25" hidden="false" customHeight="false" outlineLevel="0" collapsed="false">
      <c r="B391" s="7"/>
      <c r="AF391" s="12"/>
    </row>
    <row r="392" customFormat="false" ht="14.25" hidden="false" customHeight="false" outlineLevel="0" collapsed="false">
      <c r="B392" s="7"/>
      <c r="AF392" s="12"/>
    </row>
    <row r="393" customFormat="false" ht="14.25" hidden="false" customHeight="false" outlineLevel="0" collapsed="false">
      <c r="B393" s="7"/>
      <c r="AF393" s="12"/>
    </row>
    <row r="394" customFormat="false" ht="14.25" hidden="false" customHeight="false" outlineLevel="0" collapsed="false">
      <c r="B394" s="7"/>
      <c r="AF394" s="12"/>
    </row>
    <row r="395" customFormat="false" ht="14.25" hidden="false" customHeight="false" outlineLevel="0" collapsed="false">
      <c r="B395" s="7"/>
      <c r="AF395" s="12"/>
    </row>
    <row r="396" customFormat="false" ht="14.25" hidden="false" customHeight="false" outlineLevel="0" collapsed="false">
      <c r="B396" s="7"/>
      <c r="AF396" s="12"/>
    </row>
    <row r="397" customFormat="false" ht="14.25" hidden="false" customHeight="false" outlineLevel="0" collapsed="false">
      <c r="B397" s="7"/>
      <c r="AF397" s="12"/>
    </row>
    <row r="398" customFormat="false" ht="14.25" hidden="false" customHeight="false" outlineLevel="0" collapsed="false">
      <c r="B398" s="7"/>
      <c r="AF398" s="12"/>
    </row>
    <row r="399" customFormat="false" ht="14.25" hidden="false" customHeight="false" outlineLevel="0" collapsed="false">
      <c r="B399" s="7"/>
      <c r="AF399" s="12"/>
    </row>
    <row r="400" customFormat="false" ht="14.25" hidden="false" customHeight="false" outlineLevel="0" collapsed="false">
      <c r="B400" s="7"/>
      <c r="AF400" s="12"/>
    </row>
    <row r="401" customFormat="false" ht="14.25" hidden="false" customHeight="false" outlineLevel="0" collapsed="false">
      <c r="B401" s="7"/>
      <c r="AF401" s="12"/>
    </row>
    <row r="402" customFormat="false" ht="14.25" hidden="false" customHeight="false" outlineLevel="0" collapsed="false">
      <c r="B402" s="7"/>
      <c r="AF402" s="12"/>
    </row>
    <row r="403" customFormat="false" ht="14.25" hidden="false" customHeight="false" outlineLevel="0" collapsed="false">
      <c r="B403" s="7"/>
      <c r="AF403" s="12"/>
    </row>
    <row r="404" customFormat="false" ht="14.25" hidden="false" customHeight="false" outlineLevel="0" collapsed="false">
      <c r="B404" s="7"/>
      <c r="AF404" s="12"/>
    </row>
    <row r="405" customFormat="false" ht="14.25" hidden="false" customHeight="false" outlineLevel="0" collapsed="false">
      <c r="B405" s="7"/>
      <c r="AF405" s="12"/>
    </row>
    <row r="406" customFormat="false" ht="14.25" hidden="false" customHeight="false" outlineLevel="0" collapsed="false">
      <c r="B406" s="7"/>
      <c r="AF406" s="12"/>
    </row>
    <row r="407" customFormat="false" ht="14.25" hidden="false" customHeight="false" outlineLevel="0" collapsed="false">
      <c r="B407" s="7"/>
      <c r="C407" s="52" t="s">
        <v>302</v>
      </c>
      <c r="D407" s="52"/>
      <c r="E407" s="52"/>
      <c r="F407" s="52"/>
      <c r="G407" s="52"/>
      <c r="H407" s="52"/>
      <c r="I407" s="52"/>
      <c r="J407" s="52"/>
      <c r="K407" s="52"/>
      <c r="L407" s="52"/>
      <c r="M407" s="52"/>
      <c r="N407" s="52"/>
      <c r="O407" s="52"/>
      <c r="P407" s="52"/>
      <c r="Q407" s="52"/>
      <c r="R407" s="52"/>
      <c r="S407" s="52"/>
      <c r="T407" s="52"/>
      <c r="U407" s="52"/>
      <c r="V407" s="52"/>
      <c r="W407" s="52"/>
      <c r="X407" s="52"/>
      <c r="Y407" s="52"/>
      <c r="Z407" s="52"/>
      <c r="AA407" s="52"/>
      <c r="AB407" s="52"/>
      <c r="AC407" s="52"/>
      <c r="AD407" s="52"/>
      <c r="AE407" s="52"/>
      <c r="AF407" s="12"/>
    </row>
    <row r="408" customFormat="false" ht="14.25" hidden="false" customHeight="false" outlineLevel="0" collapsed="false">
      <c r="B408" s="7"/>
      <c r="AF408" s="12"/>
    </row>
    <row r="409" customFormat="false" ht="14.25" hidden="false" customHeight="false" outlineLevel="0" collapsed="false">
      <c r="B409" s="7"/>
      <c r="AF409" s="12"/>
    </row>
    <row r="410" customFormat="false" ht="14.25" hidden="false" customHeight="false" outlineLevel="0" collapsed="false">
      <c r="B410" s="7"/>
      <c r="AF410" s="12"/>
    </row>
    <row r="411" customFormat="false" ht="14.25" hidden="false" customHeight="false" outlineLevel="0" collapsed="false">
      <c r="B411" s="7"/>
      <c r="AF411" s="12"/>
    </row>
    <row r="412" customFormat="false" ht="14.25" hidden="false" customHeight="false" outlineLevel="0" collapsed="false">
      <c r="B412" s="7"/>
      <c r="AF412" s="12"/>
    </row>
    <row r="413" customFormat="false" ht="14.25" hidden="false" customHeight="false" outlineLevel="0" collapsed="false">
      <c r="B413" s="7"/>
      <c r="AF413" s="12"/>
    </row>
    <row r="414" customFormat="false" ht="14.25" hidden="false" customHeight="false" outlineLevel="0" collapsed="false">
      <c r="B414" s="7"/>
      <c r="AF414" s="12"/>
    </row>
    <row r="415" customFormat="false" ht="14.25" hidden="false" customHeight="false" outlineLevel="0" collapsed="false">
      <c r="B415" s="7"/>
      <c r="AF415" s="12"/>
    </row>
    <row r="416" customFormat="false" ht="14.25" hidden="false" customHeight="false" outlineLevel="0" collapsed="false">
      <c r="B416" s="7"/>
      <c r="AF416" s="12"/>
    </row>
    <row r="417" customFormat="false" ht="14.25" hidden="false" customHeight="false" outlineLevel="0" collapsed="false">
      <c r="B417" s="7"/>
      <c r="AF417" s="12"/>
    </row>
    <row r="418" customFormat="false" ht="14.25" hidden="false" customHeight="false" outlineLevel="0" collapsed="false">
      <c r="B418" s="7"/>
      <c r="AF418" s="12"/>
    </row>
    <row r="419" customFormat="false" ht="14.25" hidden="false" customHeight="false" outlineLevel="0" collapsed="false">
      <c r="B419" s="7"/>
      <c r="AF419" s="12"/>
    </row>
    <row r="420" customFormat="false" ht="14.25" hidden="false" customHeight="false" outlineLevel="0" collapsed="false">
      <c r="B420" s="7"/>
      <c r="AF420" s="12"/>
    </row>
    <row r="421" customFormat="false" ht="14.25" hidden="false" customHeight="false" outlineLevel="0" collapsed="false">
      <c r="B421" s="7"/>
      <c r="AF421" s="12"/>
    </row>
    <row r="422" customFormat="false" ht="14.25" hidden="false" customHeight="false" outlineLevel="0" collapsed="false">
      <c r="B422" s="7"/>
      <c r="AF422" s="12"/>
    </row>
    <row r="423" customFormat="false" ht="14.25" hidden="false" customHeight="false" outlineLevel="0" collapsed="false">
      <c r="B423" s="7"/>
      <c r="AF423" s="12"/>
    </row>
    <row r="424" customFormat="false" ht="14.25" hidden="false" customHeight="false" outlineLevel="0" collapsed="false">
      <c r="B424" s="7"/>
      <c r="AF424" s="12"/>
    </row>
    <row r="425" customFormat="false" ht="14.25" hidden="false" customHeight="false" outlineLevel="0" collapsed="false">
      <c r="B425" s="7"/>
      <c r="AF425" s="12"/>
    </row>
    <row r="426" customFormat="false" ht="14.25" hidden="false" customHeight="false" outlineLevel="0" collapsed="false">
      <c r="B426" s="7"/>
      <c r="AF426" s="12"/>
    </row>
    <row r="427" customFormat="false" ht="14.25" hidden="false" customHeight="false" outlineLevel="0" collapsed="false">
      <c r="B427" s="7"/>
      <c r="AF427" s="12"/>
    </row>
    <row r="428" customFormat="false" ht="14.25" hidden="false" customHeight="false" outlineLevel="0" collapsed="false">
      <c r="B428" s="7"/>
      <c r="AF428" s="12"/>
    </row>
    <row r="429" customFormat="false" ht="14.25" hidden="false" customHeight="false" outlineLevel="0" collapsed="false">
      <c r="B429" s="7"/>
      <c r="AF429" s="12"/>
    </row>
    <row r="430" customFormat="false" ht="14.25" hidden="false" customHeight="false" outlineLevel="0" collapsed="false">
      <c r="B430" s="7"/>
      <c r="AF430" s="12"/>
    </row>
    <row r="431" customFormat="false" ht="14.25" hidden="false" customHeight="false" outlineLevel="0" collapsed="false">
      <c r="B431" s="7"/>
      <c r="AF431" s="12"/>
    </row>
    <row r="432" customFormat="false" ht="14.25" hidden="false" customHeight="false" outlineLevel="0" collapsed="false">
      <c r="B432" s="7"/>
      <c r="AF432" s="12"/>
    </row>
    <row r="433" customFormat="false" ht="14.25" hidden="false" customHeight="true" outlineLevel="0" collapsed="false">
      <c r="B433" s="36"/>
      <c r="C433" s="37"/>
      <c r="D433" s="37"/>
      <c r="E433" s="37"/>
      <c r="F433" s="37"/>
      <c r="G433" s="37"/>
      <c r="H433" s="37"/>
      <c r="I433" s="37"/>
      <c r="J433" s="37"/>
      <c r="K433" s="37"/>
      <c r="L433" s="37"/>
      <c r="M433" s="37"/>
      <c r="N433" s="37"/>
      <c r="O433" s="37"/>
      <c r="P433" s="37"/>
      <c r="Q433" s="37"/>
      <c r="R433" s="37"/>
      <c r="S433" s="37"/>
      <c r="T433" s="37"/>
      <c r="U433" s="37"/>
      <c r="V433" s="37"/>
      <c r="W433" s="37"/>
      <c r="X433" s="38" t="s">
        <v>93</v>
      </c>
      <c r="Y433" s="38"/>
      <c r="Z433" s="38"/>
      <c r="AA433" s="38"/>
      <c r="AB433" s="38" t="n">
        <v>6</v>
      </c>
      <c r="AC433" s="38"/>
      <c r="AD433" s="38"/>
      <c r="AE433" s="38"/>
      <c r="AF433" s="39"/>
    </row>
    <row r="434" customFormat="false" ht="14.25" hidden="false" customHeight="true" outlineLevel="0" collapsed="false">
      <c r="B434" s="1"/>
      <c r="C434" s="2" t="s">
        <v>0</v>
      </c>
      <c r="D434" s="2"/>
      <c r="E434" s="2"/>
      <c r="F434" s="2"/>
      <c r="G434" s="2"/>
      <c r="H434" s="3" t="s">
        <v>1</v>
      </c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4" t="s">
        <v>2</v>
      </c>
      <c r="Y434" s="4"/>
      <c r="Z434" s="4"/>
      <c r="AA434" s="4"/>
      <c r="AB434" s="5" t="s">
        <v>3</v>
      </c>
      <c r="AC434" s="5"/>
      <c r="AD434" s="5"/>
      <c r="AE434" s="5"/>
      <c r="AF434" s="6"/>
    </row>
    <row r="435" customFormat="false" ht="14.25" hidden="false" customHeight="true" outlineLevel="0" collapsed="false">
      <c r="B435" s="7"/>
      <c r="C435" s="8" t="s">
        <v>4</v>
      </c>
      <c r="D435" s="8"/>
      <c r="E435" s="8"/>
      <c r="F435" s="8"/>
      <c r="G435" s="8"/>
      <c r="H435" s="9" t="s">
        <v>5</v>
      </c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10" t="s">
        <v>6</v>
      </c>
      <c r="Y435" s="10"/>
      <c r="Z435" s="10"/>
      <c r="AA435" s="10"/>
      <c r="AB435" s="11" t="n">
        <v>46301</v>
      </c>
      <c r="AC435" s="11"/>
      <c r="AD435" s="11"/>
      <c r="AE435" s="11"/>
      <c r="AF435" s="12"/>
    </row>
    <row r="436" customFormat="false" ht="14.25" hidden="false" customHeight="true" outlineLevel="0" collapsed="false">
      <c r="B436" s="7"/>
      <c r="C436" s="8" t="s">
        <v>7</v>
      </c>
      <c r="D436" s="8"/>
      <c r="E436" s="8"/>
      <c r="F436" s="8"/>
      <c r="G436" s="8"/>
      <c r="H436" s="9" t="s">
        <v>340</v>
      </c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10" t="s">
        <v>9</v>
      </c>
      <c r="Y436" s="10"/>
      <c r="Z436" s="10"/>
      <c r="AA436" s="10"/>
      <c r="AB436" s="11" t="s">
        <v>3</v>
      </c>
      <c r="AC436" s="11"/>
      <c r="AD436" s="11"/>
      <c r="AE436" s="11"/>
      <c r="AF436" s="12"/>
    </row>
    <row r="437" customFormat="false" ht="14.25" hidden="false" customHeight="true" outlineLevel="0" collapsed="false">
      <c r="B437" s="13"/>
      <c r="C437" s="14" t="s">
        <v>10</v>
      </c>
      <c r="D437" s="14"/>
      <c r="E437" s="14"/>
      <c r="F437" s="14"/>
      <c r="G437" s="14"/>
      <c r="H437" s="15" t="s">
        <v>134</v>
      </c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6" t="s">
        <v>12</v>
      </c>
      <c r="Y437" s="16"/>
      <c r="Z437" s="16"/>
      <c r="AA437" s="16"/>
      <c r="AB437" s="17" t="n">
        <v>46301</v>
      </c>
      <c r="AC437" s="17"/>
      <c r="AD437" s="17"/>
      <c r="AE437" s="17"/>
      <c r="AF437" s="18"/>
    </row>
    <row r="438" customFormat="false" ht="14.25" hidden="false" customHeight="false" outlineLevel="0" collapsed="false">
      <c r="B438" s="7"/>
      <c r="AF438" s="12"/>
    </row>
    <row r="439" customFormat="false" ht="14.25" hidden="false" customHeight="false" outlineLevel="0" collapsed="false">
      <c r="B439" s="7"/>
      <c r="C439" s="20" t="s">
        <v>346</v>
      </c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  <c r="AC439" s="20"/>
      <c r="AD439" s="20"/>
      <c r="AE439" s="20"/>
      <c r="AF439" s="12"/>
    </row>
    <row r="440" customFormat="false" ht="27" hidden="false" customHeight="true" outlineLevel="0" collapsed="false">
      <c r="B440" s="7"/>
      <c r="C440" s="28" t="s">
        <v>157</v>
      </c>
      <c r="D440" s="28"/>
      <c r="E440" s="28" t="s">
        <v>158</v>
      </c>
      <c r="F440" s="28"/>
      <c r="G440" s="28"/>
      <c r="H440" s="28" t="s">
        <v>160</v>
      </c>
      <c r="I440" s="28"/>
      <c r="J440" s="28"/>
      <c r="K440" s="28" t="s">
        <v>291</v>
      </c>
      <c r="L440" s="28"/>
      <c r="M440" s="28"/>
      <c r="N440" s="28" t="s">
        <v>292</v>
      </c>
      <c r="O440" s="28"/>
      <c r="P440" s="28"/>
      <c r="Q440" s="28" t="s">
        <v>304</v>
      </c>
      <c r="R440" s="28"/>
      <c r="S440" s="28"/>
      <c r="T440" s="28" t="s">
        <v>164</v>
      </c>
      <c r="U440" s="28"/>
      <c r="V440" s="28" t="s">
        <v>187</v>
      </c>
      <c r="W440" s="28"/>
      <c r="X440" s="28" t="s">
        <v>188</v>
      </c>
      <c r="Y440" s="28"/>
      <c r="Z440" s="28" t="s">
        <v>190</v>
      </c>
      <c r="AA440" s="28"/>
      <c r="AB440" s="28"/>
      <c r="AC440" s="28" t="s">
        <v>191</v>
      </c>
      <c r="AD440" s="28"/>
      <c r="AE440" s="28"/>
      <c r="AF440" s="12"/>
    </row>
    <row r="441" customFormat="false" ht="14.25" hidden="false" customHeight="true" outlineLevel="0" collapsed="false">
      <c r="B441" s="7"/>
      <c r="C441" s="29"/>
      <c r="D441" s="29"/>
      <c r="E441" s="29" t="s">
        <v>19</v>
      </c>
      <c r="F441" s="29"/>
      <c r="G441" s="29"/>
      <c r="H441" s="29"/>
      <c r="I441" s="29"/>
      <c r="J441" s="29"/>
      <c r="K441" s="29" t="s">
        <v>26</v>
      </c>
      <c r="L441" s="29"/>
      <c r="M441" s="29"/>
      <c r="N441" s="29" t="s">
        <v>26</v>
      </c>
      <c r="O441" s="29"/>
      <c r="P441" s="29"/>
      <c r="Q441" s="29" t="s">
        <v>26</v>
      </c>
      <c r="R441" s="29"/>
      <c r="S441" s="29"/>
      <c r="T441" s="29" t="s">
        <v>38</v>
      </c>
      <c r="U441" s="29"/>
      <c r="V441" s="29" t="s">
        <v>38</v>
      </c>
      <c r="W441" s="29"/>
      <c r="X441" s="29" t="s">
        <v>38</v>
      </c>
      <c r="Y441" s="29"/>
      <c r="Z441" s="29" t="s">
        <v>45</v>
      </c>
      <c r="AA441" s="29"/>
      <c r="AB441" s="29"/>
      <c r="AC441" s="29" t="s">
        <v>124</v>
      </c>
      <c r="AD441" s="29"/>
      <c r="AE441" s="29"/>
      <c r="AF441" s="12"/>
    </row>
    <row r="442" customFormat="false" ht="14.25" hidden="false" customHeight="false" outlineLevel="0" collapsed="false">
      <c r="B442" s="7"/>
      <c r="C442" s="46" t="n">
        <v>1</v>
      </c>
      <c r="D442" s="46"/>
      <c r="E442" s="44" t="n">
        <f aca="false">AI83</f>
        <v>0</v>
      </c>
      <c r="F442" s="44"/>
      <c r="G442" s="44"/>
      <c r="H442" s="41" t="str">
        <f aca="false">AM83</f>
        <v>Silt</v>
      </c>
      <c r="I442" s="41"/>
      <c r="J442" s="41"/>
      <c r="K442" s="42" t="n">
        <f aca="false">AQ83</f>
        <v>14.7</v>
      </c>
      <c r="L442" s="42"/>
      <c r="M442" s="42"/>
      <c r="N442" s="42" t="n">
        <f aca="false">BC83</f>
        <v>135.999510418892</v>
      </c>
      <c r="O442" s="42"/>
      <c r="P442" s="42"/>
      <c r="Q442" s="55" t="n">
        <f aca="false">BJ83</f>
        <v>113.636363636364</v>
      </c>
      <c r="R442" s="55"/>
      <c r="S442" s="55"/>
      <c r="T442" s="44" t="n">
        <f aca="false">AU83</f>
        <v>0.59</v>
      </c>
      <c r="U442" s="44"/>
      <c r="V442" s="67" t="n">
        <f aca="false">BH83</f>
        <v>0.162639</v>
      </c>
      <c r="W442" s="67"/>
      <c r="X442" s="67" t="n">
        <f aca="false">BI83</f>
        <v>0.0325278</v>
      </c>
      <c r="Y442" s="67"/>
      <c r="Z442" s="68" t="n">
        <f aca="false">BK83</f>
        <v>30.7105917152086</v>
      </c>
      <c r="AA442" s="68"/>
      <c r="AB442" s="68"/>
      <c r="AC442" s="69" t="n">
        <f aca="false">BM83</f>
        <v>0.0504185692541857</v>
      </c>
      <c r="AD442" s="69"/>
      <c r="AE442" s="69"/>
      <c r="AF442" s="12"/>
    </row>
    <row r="443" customFormat="false" ht="14.25" hidden="false" customHeight="false" outlineLevel="0" collapsed="false">
      <c r="B443" s="7"/>
      <c r="C443" s="46" t="n">
        <v>2</v>
      </c>
      <c r="D443" s="46"/>
      <c r="E443" s="44" t="n">
        <f aca="false">AI84</f>
        <v>1.5</v>
      </c>
      <c r="F443" s="44"/>
      <c r="G443" s="44"/>
      <c r="H443" s="41" t="str">
        <f aca="false">AM84</f>
        <v>Silt</v>
      </c>
      <c r="I443" s="41"/>
      <c r="J443" s="41"/>
      <c r="K443" s="42" t="n">
        <f aca="false">AQ84</f>
        <v>44.1</v>
      </c>
      <c r="L443" s="42"/>
      <c r="M443" s="42"/>
      <c r="N443" s="42" t="n">
        <f aca="false">BC84</f>
        <v>135.986832457853</v>
      </c>
      <c r="O443" s="42"/>
      <c r="P443" s="42"/>
      <c r="Q443" s="55" t="n">
        <f aca="false">BJ84</f>
        <v>113.636363636364</v>
      </c>
      <c r="R443" s="55"/>
      <c r="S443" s="55"/>
      <c r="T443" s="44" t="n">
        <f aca="false">AU84</f>
        <v>0.495</v>
      </c>
      <c r="U443" s="44"/>
      <c r="V443" s="67" t="n">
        <f aca="false">BH84</f>
        <v>0.16299</v>
      </c>
      <c r="W443" s="67"/>
      <c r="X443" s="67" t="n">
        <f aca="false">BI84</f>
        <v>0.032598</v>
      </c>
      <c r="Y443" s="67"/>
      <c r="Z443" s="68" t="n">
        <f aca="false">BK84</f>
        <v>46.1464013397047</v>
      </c>
      <c r="AA443" s="68"/>
      <c r="AB443" s="68"/>
      <c r="AC443" s="69" t="n">
        <f aca="false">BM84</f>
        <v>0.0504185692541857</v>
      </c>
      <c r="AD443" s="69"/>
      <c r="AE443" s="69"/>
      <c r="AF443" s="12"/>
    </row>
    <row r="444" customFormat="false" ht="14.25" hidden="false" customHeight="false" outlineLevel="0" collapsed="false">
      <c r="B444" s="7"/>
      <c r="C444" s="46" t="n">
        <v>3</v>
      </c>
      <c r="D444" s="46"/>
      <c r="E444" s="44" t="n">
        <f aca="false">AI85</f>
        <v>3</v>
      </c>
      <c r="F444" s="44"/>
      <c r="G444" s="44"/>
      <c r="H444" s="41" t="str">
        <f aca="false">AM85</f>
        <v>Sand</v>
      </c>
      <c r="I444" s="41"/>
      <c r="J444" s="41"/>
      <c r="K444" s="42" t="n">
        <f aca="false">AQ85</f>
        <v>83.3</v>
      </c>
      <c r="L444" s="42"/>
      <c r="M444" s="42"/>
      <c r="N444" s="42" t="n">
        <f aca="false">BC85</f>
        <v>135.912241466939</v>
      </c>
      <c r="O444" s="42"/>
      <c r="P444" s="42"/>
      <c r="Q444" s="55" t="n">
        <f aca="false">BJ85</f>
        <v>0</v>
      </c>
      <c r="R444" s="55"/>
      <c r="S444" s="55"/>
      <c r="T444" s="44" t="n">
        <f aca="false">AU85</f>
        <v>0.65</v>
      </c>
      <c r="U444" s="44"/>
      <c r="V444" s="67" t="n">
        <f aca="false">BH85</f>
        <v>0</v>
      </c>
      <c r="W444" s="67"/>
      <c r="X444" s="67" t="n">
        <f aca="false">BI85</f>
        <v>0</v>
      </c>
      <c r="Y444" s="67"/>
      <c r="Z444" s="68" t="n">
        <f aca="false">BK85</f>
        <v>0</v>
      </c>
      <c r="AA444" s="68"/>
      <c r="AB444" s="68"/>
      <c r="AC444" s="69" t="n">
        <f aca="false">BM85</f>
        <v>0</v>
      </c>
      <c r="AD444" s="69"/>
      <c r="AE444" s="69"/>
      <c r="AF444" s="12"/>
    </row>
    <row r="445" customFormat="false" ht="14.25" hidden="false" customHeight="false" outlineLevel="0" collapsed="false">
      <c r="B445" s="7"/>
      <c r="C445" s="46" t="n">
        <v>4</v>
      </c>
      <c r="D445" s="46"/>
      <c r="E445" s="44" t="n">
        <f aca="false">AI86</f>
        <v>5.5</v>
      </c>
      <c r="F445" s="44"/>
      <c r="G445" s="44"/>
      <c r="H445" s="41" t="str">
        <f aca="false">AM86</f>
        <v>Sand</v>
      </c>
      <c r="I445" s="41"/>
      <c r="J445" s="41"/>
      <c r="K445" s="42" t="n">
        <f aca="false">AQ86</f>
        <v>112.7</v>
      </c>
      <c r="L445" s="42"/>
      <c r="M445" s="42"/>
      <c r="N445" s="42" t="n">
        <f aca="false">BC86</f>
        <v>135.785414089253</v>
      </c>
      <c r="O445" s="42"/>
      <c r="P445" s="42"/>
      <c r="Q445" s="55" t="n">
        <f aca="false">BJ86</f>
        <v>0</v>
      </c>
      <c r="R445" s="55"/>
      <c r="S445" s="55"/>
      <c r="T445" s="44" t="n">
        <f aca="false">AU86</f>
        <v>0.65</v>
      </c>
      <c r="U445" s="44"/>
      <c r="V445" s="67" t="n">
        <f aca="false">BH86</f>
        <v>0</v>
      </c>
      <c r="W445" s="67"/>
      <c r="X445" s="67" t="n">
        <f aca="false">BI86</f>
        <v>0</v>
      </c>
      <c r="Y445" s="67"/>
      <c r="Z445" s="68" t="n">
        <f aca="false">BK86</f>
        <v>0</v>
      </c>
      <c r="AA445" s="68"/>
      <c r="AB445" s="68"/>
      <c r="AC445" s="69" t="n">
        <f aca="false">BM86</f>
        <v>0</v>
      </c>
      <c r="AD445" s="69"/>
      <c r="AE445" s="69"/>
      <c r="AF445" s="12"/>
    </row>
    <row r="446" customFormat="false" ht="14.25" hidden="false" customHeight="false" outlineLevel="0" collapsed="false">
      <c r="B446" s="7"/>
      <c r="C446" s="46" t="n">
        <v>5</v>
      </c>
      <c r="D446" s="46"/>
      <c r="E446" s="44" t="n">
        <f aca="false">AI87</f>
        <v>6</v>
      </c>
      <c r="F446" s="44"/>
      <c r="G446" s="44"/>
      <c r="H446" s="41" t="str">
        <f aca="false">AM87</f>
        <v>Clay</v>
      </c>
      <c r="I446" s="41"/>
      <c r="J446" s="41"/>
      <c r="K446" s="42" t="n">
        <f aca="false">AQ87</f>
        <v>132.3</v>
      </c>
      <c r="L446" s="42"/>
      <c r="M446" s="42"/>
      <c r="N446" s="42" t="n">
        <f aca="false">BC87</f>
        <v>135.656483291149</v>
      </c>
      <c r="O446" s="42"/>
      <c r="P446" s="42"/>
      <c r="Q446" s="55" t="n">
        <f aca="false">BJ87</f>
        <v>681.818181818182</v>
      </c>
      <c r="R446" s="55"/>
      <c r="S446" s="55"/>
      <c r="T446" s="44" t="n">
        <f aca="false">AU87</f>
        <v>0.59</v>
      </c>
      <c r="U446" s="44"/>
      <c r="V446" s="67" t="n">
        <f aca="false">BH87</f>
        <v>0.162639</v>
      </c>
      <c r="W446" s="67"/>
      <c r="X446" s="67" t="n">
        <f aca="false">BI87</f>
        <v>0.0325278</v>
      </c>
      <c r="Y446" s="67"/>
      <c r="Z446" s="68" t="n">
        <f aca="false">BK87</f>
        <v>9.40557985128329</v>
      </c>
      <c r="AA446" s="68"/>
      <c r="AB446" s="68"/>
      <c r="AC446" s="69" t="n">
        <f aca="false">BM87</f>
        <v>0.0504185692541857</v>
      </c>
      <c r="AD446" s="69"/>
      <c r="AE446" s="69"/>
      <c r="AF446" s="12"/>
    </row>
    <row r="447" customFormat="false" ht="14.25" hidden="false" customHeight="false" outlineLevel="0" collapsed="false">
      <c r="B447" s="7"/>
      <c r="C447" s="46" t="n">
        <v>6</v>
      </c>
      <c r="D447" s="46"/>
      <c r="E447" s="44" t="n">
        <f aca="false">AI88</f>
        <v>7.5</v>
      </c>
      <c r="F447" s="44"/>
      <c r="G447" s="44"/>
      <c r="H447" s="41" t="str">
        <f aca="false">AM88</f>
        <v>Clay</v>
      </c>
      <c r="I447" s="41"/>
      <c r="J447" s="41"/>
      <c r="K447" s="42" t="n">
        <f aca="false">AQ88</f>
        <v>161.7</v>
      </c>
      <c r="L447" s="42"/>
      <c r="M447" s="42"/>
      <c r="N447" s="42" t="n">
        <f aca="false">BC88</f>
        <v>135.384419937794</v>
      </c>
      <c r="O447" s="42"/>
      <c r="P447" s="42"/>
      <c r="Q447" s="55" t="n">
        <f aca="false">BJ88</f>
        <v>318.181818181818</v>
      </c>
      <c r="R447" s="55"/>
      <c r="S447" s="55"/>
      <c r="T447" s="44" t="n">
        <f aca="false">AU88</f>
        <v>0.732</v>
      </c>
      <c r="U447" s="44"/>
      <c r="V447" s="67" t="n">
        <f aca="false">BH88</f>
        <v>0.23337</v>
      </c>
      <c r="W447" s="67"/>
      <c r="X447" s="67" t="n">
        <f aca="false">BI88</f>
        <v>0.046674</v>
      </c>
      <c r="Y447" s="67"/>
      <c r="Z447" s="68" t="n">
        <f aca="false">BK88</f>
        <v>10.6782885895518</v>
      </c>
      <c r="AA447" s="68"/>
      <c r="AB447" s="68"/>
      <c r="AC447" s="69" t="n">
        <f aca="false">BM88</f>
        <v>0.0760503653580562</v>
      </c>
      <c r="AD447" s="69"/>
      <c r="AE447" s="69"/>
      <c r="AF447" s="12"/>
    </row>
    <row r="448" customFormat="false" ht="14.25" hidden="false" customHeight="false" outlineLevel="0" collapsed="false">
      <c r="B448" s="7"/>
      <c r="C448" s="46" t="n">
        <v>7</v>
      </c>
      <c r="D448" s="46"/>
      <c r="E448" s="44" t="n">
        <f aca="false">AI89</f>
        <v>9</v>
      </c>
      <c r="F448" s="44"/>
      <c r="G448" s="44"/>
      <c r="H448" s="41" t="str">
        <f aca="false">AM89</f>
        <v>Clay</v>
      </c>
      <c r="I448" s="41"/>
      <c r="J448" s="41"/>
      <c r="K448" s="42" t="n">
        <f aca="false">AQ89</f>
        <v>184.05</v>
      </c>
      <c r="L448" s="42"/>
      <c r="M448" s="42"/>
      <c r="N448" s="42" t="n">
        <f aca="false">BC89</f>
        <v>135.006063558054</v>
      </c>
      <c r="O448" s="42"/>
      <c r="P448" s="42"/>
      <c r="Q448" s="55" t="n">
        <f aca="false">BJ89</f>
        <v>272.727272727273</v>
      </c>
      <c r="R448" s="55"/>
      <c r="S448" s="55"/>
      <c r="T448" s="44" t="n">
        <f aca="false">AU89</f>
        <v>0.59</v>
      </c>
      <c r="U448" s="44"/>
      <c r="V448" s="67" t="n">
        <f aca="false">BH89</f>
        <v>0.162639</v>
      </c>
      <c r="W448" s="67"/>
      <c r="X448" s="67" t="n">
        <f aca="false">BI89</f>
        <v>0.0325278</v>
      </c>
      <c r="Y448" s="67"/>
      <c r="Z448" s="68" t="n">
        <f aca="false">BK89</f>
        <v>15.6957348703504</v>
      </c>
      <c r="AA448" s="68"/>
      <c r="AB448" s="68"/>
      <c r="AC448" s="69" t="n">
        <f aca="false">BM89</f>
        <v>0.0504185692541857</v>
      </c>
      <c r="AD448" s="69"/>
      <c r="AE448" s="69"/>
      <c r="AF448" s="12"/>
    </row>
    <row r="449" customFormat="false" ht="14.25" hidden="false" customHeight="false" outlineLevel="0" collapsed="false">
      <c r="B449" s="7"/>
      <c r="C449" s="46" t="n">
        <v>8</v>
      </c>
      <c r="D449" s="46"/>
      <c r="E449" s="44" t="n">
        <f aca="false">AI90</f>
        <v>10.5</v>
      </c>
      <c r="F449" s="44"/>
      <c r="G449" s="44"/>
      <c r="H449" s="41" t="str">
        <f aca="false">AM90</f>
        <v>Sand</v>
      </c>
      <c r="I449" s="41"/>
      <c r="J449" s="41"/>
      <c r="K449" s="42" t="n">
        <f aca="false">AQ90</f>
        <v>199.35</v>
      </c>
      <c r="L449" s="42"/>
      <c r="M449" s="42"/>
      <c r="N449" s="42" t="n">
        <f aca="false">BC90</f>
        <v>134.511190640081</v>
      </c>
      <c r="O449" s="42"/>
      <c r="P449" s="42"/>
      <c r="Q449" s="55" t="n">
        <f aca="false">BJ90</f>
        <v>0</v>
      </c>
      <c r="R449" s="55"/>
      <c r="S449" s="55"/>
      <c r="T449" s="44" t="n">
        <f aca="false">AU90</f>
        <v>0.435</v>
      </c>
      <c r="U449" s="44"/>
      <c r="V449" s="67" t="n">
        <f aca="false">BH90</f>
        <v>0</v>
      </c>
      <c r="W449" s="67"/>
      <c r="X449" s="67" t="n">
        <f aca="false">BI90</f>
        <v>0</v>
      </c>
      <c r="Y449" s="67"/>
      <c r="Z449" s="68" t="n">
        <f aca="false">BK90</f>
        <v>0</v>
      </c>
      <c r="AA449" s="68"/>
      <c r="AB449" s="68"/>
      <c r="AC449" s="69" t="n">
        <f aca="false">BM90</f>
        <v>0</v>
      </c>
      <c r="AD449" s="69"/>
      <c r="AE449" s="69"/>
      <c r="AF449" s="12"/>
    </row>
    <row r="450" customFormat="false" ht="14.25" hidden="false" customHeight="false" outlineLevel="0" collapsed="false">
      <c r="B450" s="7"/>
      <c r="C450" s="46" t="n">
        <v>9</v>
      </c>
      <c r="D450" s="46"/>
      <c r="E450" s="44" t="n">
        <f aca="false">AI91</f>
        <v>12</v>
      </c>
      <c r="F450" s="44"/>
      <c r="G450" s="44"/>
      <c r="H450" s="41" t="str">
        <f aca="false">AM91</f>
        <v>Sand</v>
      </c>
      <c r="I450" s="41"/>
      <c r="J450" s="41"/>
      <c r="K450" s="42" t="n">
        <f aca="false">AQ91</f>
        <v>214.65</v>
      </c>
      <c r="L450" s="42"/>
      <c r="M450" s="42"/>
      <c r="N450" s="42" t="n">
        <f aca="false">BC91</f>
        <v>133.893072357031</v>
      </c>
      <c r="O450" s="42"/>
      <c r="P450" s="42"/>
      <c r="Q450" s="55" t="n">
        <f aca="false">BJ91</f>
        <v>0</v>
      </c>
      <c r="R450" s="55"/>
      <c r="S450" s="55"/>
      <c r="T450" s="44" t="n">
        <f aca="false">AU91</f>
        <v>0.65</v>
      </c>
      <c r="U450" s="44"/>
      <c r="V450" s="67" t="n">
        <f aca="false">BH91</f>
        <v>0</v>
      </c>
      <c r="W450" s="67"/>
      <c r="X450" s="67" t="n">
        <f aca="false">BI91</f>
        <v>0</v>
      </c>
      <c r="Y450" s="67"/>
      <c r="Z450" s="68" t="n">
        <f aca="false">BK91</f>
        <v>0</v>
      </c>
      <c r="AA450" s="68"/>
      <c r="AB450" s="68"/>
      <c r="AC450" s="69" t="n">
        <f aca="false">BM91</f>
        <v>0</v>
      </c>
      <c r="AD450" s="69"/>
      <c r="AE450" s="69"/>
      <c r="AF450" s="12"/>
    </row>
    <row r="451" customFormat="false" ht="14.25" hidden="false" customHeight="false" outlineLevel="0" collapsed="false">
      <c r="B451" s="7"/>
      <c r="C451" s="46" t="n">
        <v>10</v>
      </c>
      <c r="D451" s="46"/>
      <c r="E451" s="44" t="n">
        <f aca="false">AI92</f>
        <v>13.5</v>
      </c>
      <c r="F451" s="44"/>
      <c r="G451" s="44"/>
      <c r="H451" s="41" t="str">
        <f aca="false">AM92</f>
        <v>Clay</v>
      </c>
      <c r="I451" s="41"/>
      <c r="J451" s="41"/>
      <c r="K451" s="42" t="n">
        <f aca="false">AQ92</f>
        <v>229.95</v>
      </c>
      <c r="L451" s="42"/>
      <c r="M451" s="42"/>
      <c r="N451" s="42" t="n">
        <f aca="false">BC92</f>
        <v>133.148368665013</v>
      </c>
      <c r="O451" s="42"/>
      <c r="P451" s="42"/>
      <c r="Q451" s="55" t="n">
        <f aca="false">BJ92</f>
        <v>340.909090909091</v>
      </c>
      <c r="R451" s="55"/>
      <c r="S451" s="55"/>
      <c r="T451" s="44" t="n">
        <f aca="false">AU92</f>
        <v>0.572</v>
      </c>
      <c r="U451" s="44"/>
      <c r="V451" s="67" t="n">
        <f aca="false">BH92</f>
        <v>0.154935</v>
      </c>
      <c r="W451" s="67"/>
      <c r="X451" s="67" t="n">
        <f aca="false">BI92</f>
        <v>0.030987</v>
      </c>
      <c r="Y451" s="67"/>
      <c r="Z451" s="68" t="n">
        <f aca="false">BK92</f>
        <v>9.10490738235985</v>
      </c>
      <c r="AA451" s="68"/>
      <c r="AB451" s="68"/>
      <c r="AC451" s="69" t="n">
        <f aca="false">BM92</f>
        <v>0.0504185692541857</v>
      </c>
      <c r="AD451" s="69"/>
      <c r="AE451" s="69"/>
      <c r="AF451" s="12"/>
    </row>
    <row r="452" customFormat="false" ht="14.25" hidden="false" customHeight="false" outlineLevel="0" collapsed="false">
      <c r="B452" s="7"/>
      <c r="C452" s="46" t="n">
        <v>11</v>
      </c>
      <c r="D452" s="46"/>
      <c r="E452" s="44" t="n">
        <f aca="false">AI93</f>
        <v>15</v>
      </c>
      <c r="F452" s="44"/>
      <c r="G452" s="44"/>
      <c r="H452" s="41" t="str">
        <f aca="false">AM93</f>
        <v>Clay</v>
      </c>
      <c r="I452" s="41"/>
      <c r="J452" s="41"/>
      <c r="K452" s="42" t="n">
        <f aca="false">AQ93</f>
        <v>245.25</v>
      </c>
      <c r="L452" s="42"/>
      <c r="M452" s="42"/>
      <c r="N452" s="42" t="n">
        <f aca="false">BC93</f>
        <v>132.27687978272</v>
      </c>
      <c r="O452" s="42"/>
      <c r="P452" s="42"/>
      <c r="Q452" s="55" t="n">
        <f aca="false">BJ93</f>
        <v>340.909090909091</v>
      </c>
      <c r="R452" s="55"/>
      <c r="S452" s="55"/>
      <c r="T452" s="44" t="n">
        <f aca="false">AU93</f>
        <v>0.59</v>
      </c>
      <c r="U452" s="44"/>
      <c r="V452" s="67" t="n">
        <f aca="false">BH93</f>
        <v>0.162639</v>
      </c>
      <c r="W452" s="67"/>
      <c r="X452" s="67" t="n">
        <f aca="false">BI93</f>
        <v>0.0325278</v>
      </c>
      <c r="Y452" s="67"/>
      <c r="Z452" s="68" t="n">
        <f aca="false">BK93</f>
        <v>11.1876007021369</v>
      </c>
      <c r="AA452" s="68"/>
      <c r="AB452" s="68"/>
      <c r="AC452" s="69" t="n">
        <f aca="false">BM93</f>
        <v>0.0504185692541857</v>
      </c>
      <c r="AD452" s="69"/>
      <c r="AE452" s="69"/>
      <c r="AF452" s="12"/>
    </row>
    <row r="453" customFormat="false" ht="14.25" hidden="false" customHeight="false" outlineLevel="0" collapsed="false">
      <c r="B453" s="7"/>
      <c r="C453" s="46" t="n">
        <v>12</v>
      </c>
      <c r="D453" s="46"/>
      <c r="E453" s="44" t="n">
        <f aca="false">AI94</f>
        <v>16.5</v>
      </c>
      <c r="F453" s="44"/>
      <c r="G453" s="44"/>
      <c r="H453" s="41" t="str">
        <f aca="false">AM94</f>
        <v>Silt</v>
      </c>
      <c r="I453" s="41"/>
      <c r="J453" s="41"/>
      <c r="K453" s="42" t="n">
        <f aca="false">AQ94</f>
        <v>260.55</v>
      </c>
      <c r="L453" s="42"/>
      <c r="M453" s="42"/>
      <c r="N453" s="42" t="n">
        <f aca="false">BC94</f>
        <v>131.281191431882</v>
      </c>
      <c r="O453" s="42"/>
      <c r="P453" s="42"/>
      <c r="Q453" s="55" t="n">
        <f aca="false">BJ94</f>
        <v>477.272727272727</v>
      </c>
      <c r="R453" s="55"/>
      <c r="S453" s="55"/>
      <c r="T453" s="44" t="n">
        <f aca="false">AU94</f>
        <v>0.571</v>
      </c>
      <c r="U453" s="44"/>
      <c r="V453" s="67" t="n">
        <f aca="false">BH94</f>
        <v>0.11385</v>
      </c>
      <c r="W453" s="67"/>
      <c r="X453" s="67" t="n">
        <f aca="false">BI94</f>
        <v>0.02277</v>
      </c>
      <c r="Y453" s="67"/>
      <c r="Z453" s="68" t="n">
        <f aca="false">BK94</f>
        <v>3.85266502501077</v>
      </c>
      <c r="AA453" s="68"/>
      <c r="AB453" s="68"/>
      <c r="AC453" s="69" t="n">
        <f aca="false">BM94</f>
        <v>0.0504185692541857</v>
      </c>
      <c r="AD453" s="69"/>
      <c r="AE453" s="69"/>
      <c r="AF453" s="12"/>
    </row>
    <row r="454" customFormat="false" ht="14.25" hidden="false" customHeight="false" outlineLevel="0" collapsed="false">
      <c r="B454" s="7"/>
      <c r="C454" s="46" t="n">
        <v>13</v>
      </c>
      <c r="D454" s="46"/>
      <c r="E454" s="44" t="n">
        <f aca="false">AI95</f>
        <v>18</v>
      </c>
      <c r="F454" s="44"/>
      <c r="G454" s="44"/>
      <c r="H454" s="41" t="str">
        <f aca="false">AM95</f>
        <v>Sand</v>
      </c>
      <c r="I454" s="41"/>
      <c r="J454" s="41"/>
      <c r="K454" s="42" t="n">
        <f aca="false">AQ95</f>
        <v>275.85</v>
      </c>
      <c r="L454" s="42"/>
      <c r="M454" s="42"/>
      <c r="N454" s="42" t="n">
        <f aca="false">BC95</f>
        <v>130.166251943235</v>
      </c>
      <c r="O454" s="42"/>
      <c r="P454" s="42"/>
      <c r="Q454" s="55" t="n">
        <f aca="false">BJ95</f>
        <v>0</v>
      </c>
      <c r="R454" s="55"/>
      <c r="S454" s="55"/>
      <c r="T454" s="44" t="n">
        <f aca="false">AU95</f>
        <v>0.497</v>
      </c>
      <c r="U454" s="44"/>
      <c r="V454" s="67" t="n">
        <f aca="false">BH95</f>
        <v>0</v>
      </c>
      <c r="W454" s="67"/>
      <c r="X454" s="67" t="n">
        <f aca="false">BI95</f>
        <v>0</v>
      </c>
      <c r="Y454" s="67"/>
      <c r="Z454" s="68" t="n">
        <f aca="false">BK95</f>
        <v>0</v>
      </c>
      <c r="AA454" s="68"/>
      <c r="AB454" s="68"/>
      <c r="AC454" s="69" t="n">
        <f aca="false">BM95</f>
        <v>0</v>
      </c>
      <c r="AD454" s="69"/>
      <c r="AE454" s="69"/>
      <c r="AF454" s="12"/>
    </row>
    <row r="455" customFormat="false" ht="14.25" hidden="false" customHeight="false" outlineLevel="0" collapsed="false">
      <c r="B455" s="7"/>
      <c r="C455" s="46" t="n">
        <v>14</v>
      </c>
      <c r="D455" s="46"/>
      <c r="E455" s="44" t="n">
        <f aca="false">AI96</f>
        <v>19.5</v>
      </c>
      <c r="F455" s="44"/>
      <c r="G455" s="44"/>
      <c r="H455" s="41" t="str">
        <f aca="false">AM96</f>
        <v>Sand</v>
      </c>
      <c r="I455" s="41"/>
      <c r="J455" s="41"/>
      <c r="K455" s="42" t="n">
        <f aca="false">AQ96</f>
        <v>291.15</v>
      </c>
      <c r="L455" s="42"/>
      <c r="M455" s="42"/>
      <c r="N455" s="42" t="n">
        <f aca="false">BC96</f>
        <v>128.938917112008</v>
      </c>
      <c r="O455" s="42"/>
      <c r="P455" s="42"/>
      <c r="Q455" s="55" t="n">
        <f aca="false">BJ96</f>
        <v>0</v>
      </c>
      <c r="R455" s="55"/>
      <c r="S455" s="55"/>
      <c r="T455" s="44" t="n">
        <f aca="false">AU96</f>
        <v>0.476</v>
      </c>
      <c r="U455" s="44"/>
      <c r="V455" s="67" t="n">
        <f aca="false">BH96</f>
        <v>0</v>
      </c>
      <c r="W455" s="67"/>
      <c r="X455" s="67" t="n">
        <f aca="false">BI96</f>
        <v>0</v>
      </c>
      <c r="Y455" s="67"/>
      <c r="Z455" s="68" t="n">
        <f aca="false">BK96</f>
        <v>0</v>
      </c>
      <c r="AA455" s="68"/>
      <c r="AB455" s="68"/>
      <c r="AC455" s="69" t="n">
        <f aca="false">BM96</f>
        <v>0</v>
      </c>
      <c r="AD455" s="69"/>
      <c r="AE455" s="69"/>
      <c r="AF455" s="12"/>
    </row>
    <row r="456" customFormat="false" ht="14.25" hidden="false" customHeight="false" outlineLevel="0" collapsed="false">
      <c r="B456" s="7"/>
      <c r="C456" s="46" t="n">
        <v>15</v>
      </c>
      <c r="D456" s="46"/>
      <c r="E456" s="44" t="n">
        <f aca="false">AI97</f>
        <v>21</v>
      </c>
      <c r="F456" s="44"/>
      <c r="G456" s="44"/>
      <c r="H456" s="41" t="str">
        <f aca="false">AM97</f>
        <v>Sand</v>
      </c>
      <c r="I456" s="41"/>
      <c r="J456" s="41"/>
      <c r="K456" s="42" t="n">
        <f aca="false">AQ97</f>
        <v>306.45</v>
      </c>
      <c r="L456" s="42"/>
      <c r="M456" s="42"/>
      <c r="N456" s="42" t="n">
        <f aca="false">BC97</f>
        <v>127.607493683403</v>
      </c>
      <c r="O456" s="42"/>
      <c r="P456" s="42"/>
      <c r="Q456" s="55" t="n">
        <f aca="false">BJ97</f>
        <v>0</v>
      </c>
      <c r="R456" s="55"/>
      <c r="S456" s="55"/>
      <c r="T456" s="44" t="n">
        <f aca="false">AU97</f>
        <v>0.65</v>
      </c>
      <c r="U456" s="44"/>
      <c r="V456" s="67" t="n">
        <f aca="false">BH97</f>
        <v>0</v>
      </c>
      <c r="W456" s="67"/>
      <c r="X456" s="67" t="n">
        <f aca="false">BI97</f>
        <v>0</v>
      </c>
      <c r="Y456" s="67"/>
      <c r="Z456" s="68" t="n">
        <f aca="false">BK97</f>
        <v>0</v>
      </c>
      <c r="AA456" s="68"/>
      <c r="AB456" s="68"/>
      <c r="AC456" s="69" t="n">
        <f aca="false">BM97</f>
        <v>0</v>
      </c>
      <c r="AD456" s="69"/>
      <c r="AE456" s="69"/>
      <c r="AF456" s="12"/>
    </row>
    <row r="457" customFormat="false" ht="14.25" hidden="false" customHeight="false" outlineLevel="0" collapsed="false">
      <c r="B457" s="7"/>
      <c r="C457" s="46" t="n">
        <v>16</v>
      </c>
      <c r="D457" s="46"/>
      <c r="E457" s="44" t="n">
        <f aca="false">AI98</f>
        <v>22.5</v>
      </c>
      <c r="F457" s="44"/>
      <c r="G457" s="44"/>
      <c r="H457" s="41" t="str">
        <f aca="false">AM98</f>
        <v>Clay</v>
      </c>
      <c r="I457" s="41"/>
      <c r="J457" s="41"/>
      <c r="K457" s="42" t="n">
        <f aca="false">AQ98</f>
        <v>321.75</v>
      </c>
      <c r="L457" s="42"/>
      <c r="M457" s="42"/>
      <c r="N457" s="42" t="n">
        <f aca="false">BC98</f>
        <v>126.181305793762</v>
      </c>
      <c r="O457" s="42"/>
      <c r="P457" s="42"/>
      <c r="Q457" s="55" t="n">
        <f aca="false">BJ98</f>
        <v>795.454545454546</v>
      </c>
      <c r="R457" s="55"/>
      <c r="S457" s="55"/>
      <c r="T457" s="44" t="n">
        <f aca="false">AU98</f>
        <v>0.715</v>
      </c>
      <c r="U457" s="44"/>
      <c r="V457" s="67" t="n">
        <f aca="false">BH98</f>
        <v>0.21411</v>
      </c>
      <c r="W457" s="67"/>
      <c r="X457" s="67" t="n">
        <f aca="false">BI98</f>
        <v>0.042822</v>
      </c>
      <c r="Y457" s="67"/>
      <c r="Z457" s="68" t="n">
        <f aca="false">BK98</f>
        <v>5.38182129333129</v>
      </c>
      <c r="AA457" s="68"/>
      <c r="AB457" s="68"/>
      <c r="AC457" s="69" t="n">
        <f aca="false">BM98</f>
        <v>0.0655663315896779</v>
      </c>
      <c r="AD457" s="69"/>
      <c r="AE457" s="69"/>
      <c r="AF457" s="12"/>
    </row>
    <row r="458" customFormat="false" ht="14.25" hidden="false" customHeight="false" outlineLevel="0" collapsed="false">
      <c r="B458" s="7"/>
      <c r="C458" s="46" t="n">
        <v>17</v>
      </c>
      <c r="D458" s="46"/>
      <c r="E458" s="44" t="n">
        <f aca="false">AI99</f>
        <v>24</v>
      </c>
      <c r="F458" s="44"/>
      <c r="G458" s="44"/>
      <c r="H458" s="41" t="str">
        <f aca="false">AM99</f>
        <v>Clay</v>
      </c>
      <c r="I458" s="41"/>
      <c r="J458" s="41"/>
      <c r="K458" s="42" t="n">
        <f aca="false">AQ99</f>
        <v>337.05</v>
      </c>
      <c r="L458" s="42"/>
      <c r="M458" s="42"/>
      <c r="N458" s="42" t="n">
        <f aca="false">BC99</f>
        <v>124.670301678981</v>
      </c>
      <c r="O458" s="42"/>
      <c r="P458" s="42"/>
      <c r="Q458" s="55" t="n">
        <f aca="false">BJ99</f>
        <v>545.454545454546</v>
      </c>
      <c r="R458" s="55"/>
      <c r="S458" s="55"/>
      <c r="T458" s="44" t="n">
        <f aca="false">AU99</f>
        <v>0.59</v>
      </c>
      <c r="U458" s="44"/>
      <c r="V458" s="67" t="n">
        <f aca="false">BH99</f>
        <v>0.162639</v>
      </c>
      <c r="W458" s="67"/>
      <c r="X458" s="67" t="n">
        <f aca="false">BI99</f>
        <v>0.0325278</v>
      </c>
      <c r="Y458" s="67"/>
      <c r="Z458" s="68" t="n">
        <f aca="false">BK99</f>
        <v>4.19438736726019</v>
      </c>
      <c r="AA458" s="68"/>
      <c r="AB458" s="68"/>
      <c r="AC458" s="69" t="n">
        <f aca="false">BM99</f>
        <v>0.0504185692541857</v>
      </c>
      <c r="AD458" s="69"/>
      <c r="AE458" s="69"/>
      <c r="AF458" s="12"/>
    </row>
    <row r="459" customFormat="false" ht="14.25" hidden="false" customHeight="false" outlineLevel="0" collapsed="false">
      <c r="B459" s="7"/>
      <c r="C459" s="46" t="n">
        <v>18</v>
      </c>
      <c r="D459" s="46"/>
      <c r="E459" s="44" t="n">
        <f aca="false">AI100</f>
        <v>25.5</v>
      </c>
      <c r="F459" s="44"/>
      <c r="G459" s="44"/>
      <c r="H459" s="41" t="str">
        <f aca="false">AM100</f>
        <v>Clay</v>
      </c>
      <c r="I459" s="41"/>
      <c r="J459" s="41"/>
      <c r="K459" s="42" t="n">
        <f aca="false">AQ100</f>
        <v>352.35</v>
      </c>
      <c r="L459" s="42"/>
      <c r="M459" s="42"/>
      <c r="N459" s="42" t="n">
        <f aca="false">BC100</f>
        <v>123.084711322374</v>
      </c>
      <c r="O459" s="42"/>
      <c r="P459" s="42"/>
      <c r="Q459" s="55" t="n">
        <f aca="false">BJ100</f>
        <v>477.272727272727</v>
      </c>
      <c r="R459" s="55"/>
      <c r="S459" s="55"/>
      <c r="T459" s="44" t="n">
        <f aca="false">AU100</f>
        <v>0.401</v>
      </c>
      <c r="U459" s="44"/>
      <c r="V459" s="67" t="n">
        <f aca="false">BH100</f>
        <v>0.162639</v>
      </c>
      <c r="W459" s="67"/>
      <c r="X459" s="67" t="n">
        <f aca="false">BI100</f>
        <v>0.0325278</v>
      </c>
      <c r="Y459" s="67"/>
      <c r="Z459" s="68" t="n">
        <f aca="false">BK100</f>
        <v>4.53148509628649</v>
      </c>
      <c r="AA459" s="68"/>
      <c r="AB459" s="68"/>
      <c r="AC459" s="69" t="n">
        <f aca="false">BM100</f>
        <v>0.0504185692541857</v>
      </c>
      <c r="AD459" s="69"/>
      <c r="AE459" s="69"/>
      <c r="AF459" s="12"/>
    </row>
    <row r="460" customFormat="false" ht="14.25" hidden="false" customHeight="false" outlineLevel="0" collapsed="false">
      <c r="B460" s="7"/>
      <c r="C460" s="46" t="n">
        <v>19</v>
      </c>
      <c r="D460" s="46"/>
      <c r="E460" s="44" t="n">
        <f aca="false">AI101</f>
        <v>27</v>
      </c>
      <c r="F460" s="44"/>
      <c r="G460" s="44"/>
      <c r="H460" s="41" t="str">
        <f aca="false">AM101</f>
        <v>Sand</v>
      </c>
      <c r="I460" s="41"/>
      <c r="J460" s="41"/>
      <c r="K460" s="42" t="n">
        <f aca="false">AQ101</f>
        <v>367.65</v>
      </c>
      <c r="L460" s="42"/>
      <c r="M460" s="42"/>
      <c r="N460" s="42" t="n">
        <f aca="false">BC101</f>
        <v>121.434759989289</v>
      </c>
      <c r="O460" s="42"/>
      <c r="P460" s="42"/>
      <c r="Q460" s="55" t="n">
        <f aca="false">BJ101</f>
        <v>0</v>
      </c>
      <c r="R460" s="55"/>
      <c r="S460" s="55"/>
      <c r="T460" s="44" t="n">
        <f aca="false">AU101</f>
        <v>0.474</v>
      </c>
      <c r="U460" s="44"/>
      <c r="V460" s="67" t="n">
        <f aca="false">BH101</f>
        <v>0</v>
      </c>
      <c r="W460" s="67"/>
      <c r="X460" s="67" t="n">
        <f aca="false">BI101</f>
        <v>0</v>
      </c>
      <c r="Y460" s="67"/>
      <c r="Z460" s="68" t="n">
        <f aca="false">BK101</f>
        <v>0</v>
      </c>
      <c r="AA460" s="68"/>
      <c r="AB460" s="68"/>
      <c r="AC460" s="69" t="n">
        <f aca="false">BM101</f>
        <v>0</v>
      </c>
      <c r="AD460" s="69"/>
      <c r="AE460" s="69"/>
      <c r="AF460" s="12"/>
    </row>
    <row r="461" customFormat="false" ht="14.25" hidden="false" customHeight="false" outlineLevel="0" collapsed="false">
      <c r="B461" s="7"/>
      <c r="C461" s="46" t="n">
        <v>20</v>
      </c>
      <c r="D461" s="46"/>
      <c r="E461" s="44" t="n">
        <f aca="false">AI102</f>
        <v>28.5</v>
      </c>
      <c r="F461" s="44"/>
      <c r="G461" s="44"/>
      <c r="H461" s="41" t="str">
        <f aca="false">AM102</f>
        <v>Clay</v>
      </c>
      <c r="I461" s="41"/>
      <c r="J461" s="41"/>
      <c r="K461" s="42" t="n">
        <f aca="false">AQ102</f>
        <v>382.95</v>
      </c>
      <c r="L461" s="42"/>
      <c r="M461" s="42"/>
      <c r="N461" s="42" t="n">
        <f aca="false">BC102</f>
        <v>119.73043805321</v>
      </c>
      <c r="O461" s="42"/>
      <c r="P461" s="42"/>
      <c r="Q461" s="55" t="n">
        <f aca="false">BJ102</f>
        <v>1090.90909090909</v>
      </c>
      <c r="R461" s="55"/>
      <c r="S461" s="55"/>
      <c r="T461" s="44" t="n">
        <f aca="false">AU102</f>
        <v>0.745</v>
      </c>
      <c r="U461" s="44"/>
      <c r="V461" s="67" t="n">
        <f aca="false">BH102</f>
        <v>0.25155</v>
      </c>
      <c r="W461" s="67"/>
      <c r="X461" s="67" t="n">
        <f aca="false">BI102</f>
        <v>0.05031</v>
      </c>
      <c r="Y461" s="67"/>
      <c r="Z461" s="68" t="n">
        <f aca="false">BK102</f>
        <v>5.10956047807909</v>
      </c>
      <c r="AA461" s="68"/>
      <c r="AB461" s="68"/>
      <c r="AC461" s="69" t="n">
        <f aca="false">BM102</f>
        <v>0.0874801187577237</v>
      </c>
      <c r="AD461" s="69"/>
      <c r="AE461" s="69"/>
      <c r="AF461" s="12"/>
    </row>
    <row r="462" customFormat="false" ht="14.25" hidden="false" customHeight="false" outlineLevel="0" collapsed="false">
      <c r="B462" s="7"/>
      <c r="C462" s="46" t="n">
        <v>21</v>
      </c>
      <c r="D462" s="46"/>
      <c r="E462" s="44" t="n">
        <f aca="false">AI103</f>
        <v>30</v>
      </c>
      <c r="F462" s="44"/>
      <c r="G462" s="44"/>
      <c r="H462" s="41" t="str">
        <f aca="false">AM103</f>
        <v>Clay</v>
      </c>
      <c r="I462" s="41"/>
      <c r="J462" s="41"/>
      <c r="K462" s="42" t="n">
        <f aca="false">AQ103</f>
        <v>398.25</v>
      </c>
      <c r="L462" s="42"/>
      <c r="M462" s="42"/>
      <c r="N462" s="42" t="n">
        <f aca="false">BC103</f>
        <v>117.981324211207</v>
      </c>
      <c r="O462" s="42"/>
      <c r="P462" s="42"/>
      <c r="Q462" s="55" t="n">
        <f aca="false">BJ103</f>
        <v>1136.36363636364</v>
      </c>
      <c r="R462" s="55"/>
      <c r="S462" s="55"/>
      <c r="T462" s="44" t="n">
        <f aca="false">AU103</f>
        <v>0.59</v>
      </c>
      <c r="U462" s="44"/>
      <c r="V462" s="67" t="n">
        <f aca="false">BH103</f>
        <v>0.162639</v>
      </c>
      <c r="W462" s="67"/>
      <c r="X462" s="67" t="n">
        <f aca="false">BI103</f>
        <v>0.0325278</v>
      </c>
      <c r="Y462" s="67"/>
      <c r="Z462" s="68" t="n">
        <f aca="false">BK103</f>
        <v>3.45802946456195</v>
      </c>
      <c r="AA462" s="68"/>
      <c r="AB462" s="68"/>
      <c r="AC462" s="69" t="n">
        <f aca="false">BM103</f>
        <v>0.0504185692541857</v>
      </c>
      <c r="AD462" s="69"/>
      <c r="AE462" s="69"/>
      <c r="AF462" s="12"/>
    </row>
    <row r="463" customFormat="false" ht="14.25" hidden="false" customHeight="false" outlineLevel="0" collapsed="false">
      <c r="B463" s="7"/>
      <c r="C463" s="46" t="n">
        <v>22</v>
      </c>
      <c r="D463" s="46"/>
      <c r="E463" s="44" t="n">
        <f aca="false">AI104</f>
        <v>31.5</v>
      </c>
      <c r="F463" s="44"/>
      <c r="G463" s="44"/>
      <c r="H463" s="41" t="str">
        <f aca="false">AM104</f>
        <v>Clay</v>
      </c>
      <c r="I463" s="41"/>
      <c r="J463" s="41"/>
      <c r="K463" s="42" t="n">
        <f aca="false">AQ104</f>
        <v>413.55</v>
      </c>
      <c r="L463" s="42"/>
      <c r="M463" s="42"/>
      <c r="N463" s="42" t="n">
        <f aca="false">BC104</f>
        <v>116.196457021307</v>
      </c>
      <c r="O463" s="42"/>
      <c r="P463" s="42"/>
      <c r="Q463" s="55" t="n">
        <f aca="false">BJ104</f>
        <v>1136.36363636364</v>
      </c>
      <c r="R463" s="55"/>
      <c r="S463" s="55"/>
      <c r="T463" s="44" t="n">
        <f aca="false">AU104</f>
        <v>0.59</v>
      </c>
      <c r="U463" s="44"/>
      <c r="V463" s="67" t="n">
        <f aca="false">BH104</f>
        <v>0.162639</v>
      </c>
      <c r="W463" s="67"/>
      <c r="X463" s="67" t="n">
        <f aca="false">BI104</f>
        <v>0.0325278</v>
      </c>
      <c r="Y463" s="67"/>
      <c r="Z463" s="68" t="n">
        <f aca="false">BK104</f>
        <v>3.30003846352494</v>
      </c>
      <c r="AA463" s="68"/>
      <c r="AB463" s="68"/>
      <c r="AC463" s="69" t="n">
        <f aca="false">BM104</f>
        <v>0.0504185692541857</v>
      </c>
      <c r="AD463" s="69"/>
      <c r="AE463" s="69"/>
      <c r="AF463" s="12"/>
    </row>
    <row r="464" customFormat="false" ht="14.25" hidden="false" customHeight="false" outlineLevel="0" collapsed="false">
      <c r="B464" s="7"/>
      <c r="C464" s="46" t="n">
        <v>23</v>
      </c>
      <c r="D464" s="46"/>
      <c r="E464" s="44" t="n">
        <f aca="false">AI105</f>
        <v>33</v>
      </c>
      <c r="F464" s="44"/>
      <c r="G464" s="44"/>
      <c r="H464" s="41" t="str">
        <f aca="false">AM105</f>
        <v>Clay</v>
      </c>
      <c r="I464" s="41"/>
      <c r="J464" s="41"/>
      <c r="K464" s="42" t="n">
        <f aca="false">AQ105</f>
        <v>428.85</v>
      </c>
      <c r="L464" s="42"/>
      <c r="M464" s="42"/>
      <c r="N464" s="42" t="n">
        <f aca="false">BC105</f>
        <v>114.384248493289</v>
      </c>
      <c r="O464" s="42"/>
      <c r="P464" s="42"/>
      <c r="Q464" s="55" t="n">
        <f aca="false">BJ105</f>
        <v>1136.36363636364</v>
      </c>
      <c r="R464" s="55"/>
      <c r="S464" s="55"/>
      <c r="T464" s="44" t="n">
        <f aca="false">AU105</f>
        <v>0.59</v>
      </c>
      <c r="U464" s="44"/>
      <c r="V464" s="67" t="n">
        <f aca="false">BH105</f>
        <v>0.162639</v>
      </c>
      <c r="W464" s="67"/>
      <c r="X464" s="67" t="n">
        <f aca="false">BI105</f>
        <v>0.0325278</v>
      </c>
      <c r="Y464" s="67"/>
      <c r="Z464" s="68" t="n">
        <f aca="false">BK105</f>
        <v>3.15095350344031</v>
      </c>
      <c r="AA464" s="68"/>
      <c r="AB464" s="68"/>
      <c r="AC464" s="69" t="n">
        <f aca="false">BM105</f>
        <v>0.0504185692541857</v>
      </c>
      <c r="AD464" s="69"/>
      <c r="AE464" s="69"/>
      <c r="AF464" s="12"/>
    </row>
    <row r="465" customFormat="false" ht="14.25" hidden="false" customHeight="false" outlineLevel="0" collapsed="false">
      <c r="B465" s="7"/>
      <c r="C465" s="46" t="n">
        <v>24</v>
      </c>
      <c r="D465" s="46"/>
      <c r="E465" s="44" t="n">
        <f aca="false">AI106</f>
        <v>34.5</v>
      </c>
      <c r="F465" s="44"/>
      <c r="G465" s="44"/>
      <c r="H465" s="41" t="str">
        <f aca="false">AM106</f>
        <v>Clay</v>
      </c>
      <c r="I465" s="41"/>
      <c r="J465" s="41"/>
      <c r="K465" s="42" t="n">
        <f aca="false">AQ106</f>
        <v>444.15</v>
      </c>
      <c r="L465" s="42"/>
      <c r="M465" s="42"/>
      <c r="N465" s="42" t="n">
        <f aca="false">BC106</f>
        <v>112.552433017023</v>
      </c>
      <c r="O465" s="42"/>
      <c r="P465" s="42"/>
      <c r="Q465" s="55" t="n">
        <f aca="false">BJ106</f>
        <v>1136.36363636364</v>
      </c>
      <c r="R465" s="55"/>
      <c r="S465" s="55"/>
      <c r="T465" s="44" t="n">
        <f aca="false">AU106</f>
        <v>0.51</v>
      </c>
      <c r="U465" s="44"/>
      <c r="V465" s="67" t="n">
        <f aca="false">BH106</f>
        <v>0.13851</v>
      </c>
      <c r="W465" s="67"/>
      <c r="X465" s="67" t="n">
        <f aca="false">BI106</f>
        <v>0.027702</v>
      </c>
      <c r="Y465" s="67"/>
      <c r="Z465" s="68" t="n">
        <f aca="false">BK106</f>
        <v>2.69938890648024</v>
      </c>
      <c r="AA465" s="68"/>
      <c r="AB465" s="68"/>
      <c r="AC465" s="69" t="n">
        <f aca="false">BM106</f>
        <v>0.0504185692541857</v>
      </c>
      <c r="AD465" s="69"/>
      <c r="AE465" s="69"/>
      <c r="AF465" s="12"/>
    </row>
    <row r="466" customFormat="false" ht="14.25" hidden="false" customHeight="false" outlineLevel="0" collapsed="false">
      <c r="B466" s="7"/>
      <c r="C466" s="46" t="n">
        <v>25</v>
      </c>
      <c r="D466" s="46"/>
      <c r="E466" s="44" t="n">
        <f aca="false">AI107</f>
        <v>36</v>
      </c>
      <c r="F466" s="44"/>
      <c r="G466" s="44"/>
      <c r="H466" s="41" t="str">
        <f aca="false">AM107</f>
        <v>Sand</v>
      </c>
      <c r="I466" s="41"/>
      <c r="J466" s="41"/>
      <c r="K466" s="42" t="n">
        <f aca="false">AQ107</f>
        <v>459.45</v>
      </c>
      <c r="L466" s="42"/>
      <c r="M466" s="42"/>
      <c r="N466" s="42" t="n">
        <f aca="false">BC107</f>
        <v>110.708045010863</v>
      </c>
      <c r="O466" s="42"/>
      <c r="P466" s="42"/>
      <c r="Q466" s="55" t="n">
        <f aca="false">BJ107</f>
        <v>0</v>
      </c>
      <c r="R466" s="55"/>
      <c r="S466" s="55"/>
      <c r="T466" s="44" t="n">
        <f aca="false">AU107</f>
        <v>0.65</v>
      </c>
      <c r="U466" s="44"/>
      <c r="V466" s="67" t="n">
        <f aca="false">BH107</f>
        <v>0</v>
      </c>
      <c r="W466" s="67"/>
      <c r="X466" s="67" t="n">
        <f aca="false">BI107</f>
        <v>0</v>
      </c>
      <c r="Y466" s="67"/>
      <c r="Z466" s="68" t="n">
        <f aca="false">BK107</f>
        <v>0</v>
      </c>
      <c r="AA466" s="68"/>
      <c r="AB466" s="68"/>
      <c r="AC466" s="69" t="n">
        <f aca="false">BM107</f>
        <v>0</v>
      </c>
      <c r="AD466" s="69"/>
      <c r="AE466" s="69"/>
      <c r="AF466" s="12"/>
    </row>
    <row r="467" customFormat="false" ht="14.25" hidden="false" customHeight="false" outlineLevel="0" collapsed="false">
      <c r="B467" s="7"/>
      <c r="C467" s="46" t="n">
        <v>26</v>
      </c>
      <c r="D467" s="46"/>
      <c r="E467" s="44" t="n">
        <f aca="false">AI108</f>
        <v>37.5</v>
      </c>
      <c r="F467" s="44"/>
      <c r="G467" s="44"/>
      <c r="H467" s="41" t="str">
        <f aca="false">AM108</f>
        <v>Clay</v>
      </c>
      <c r="I467" s="41"/>
      <c r="J467" s="41"/>
      <c r="K467" s="42" t="n">
        <f aca="false">AQ108</f>
        <v>474.75</v>
      </c>
      <c r="L467" s="42"/>
      <c r="M467" s="42"/>
      <c r="N467" s="42" t="n">
        <f aca="false">BC108</f>
        <v>108.857419132691</v>
      </c>
      <c r="O467" s="42"/>
      <c r="P467" s="42"/>
      <c r="Q467" s="55" t="n">
        <f aca="false">BJ108</f>
        <v>1136.36363636364</v>
      </c>
      <c r="R467" s="55"/>
      <c r="S467" s="55"/>
      <c r="T467" s="44" t="n">
        <f aca="false">AU108</f>
        <v>1.001</v>
      </c>
      <c r="U467" s="44"/>
      <c r="V467" s="67" t="n">
        <f aca="false">BH108</f>
        <v>0.29304</v>
      </c>
      <c r="W467" s="67"/>
      <c r="X467" s="67" t="n">
        <f aca="false">BI108</f>
        <v>0.058608</v>
      </c>
      <c r="Y467" s="67"/>
      <c r="Z467" s="68" t="n">
        <f aca="false">BK108</f>
        <v>3.93894222900056</v>
      </c>
      <c r="AA467" s="68"/>
      <c r="AB467" s="68"/>
      <c r="AC467" s="69" t="n">
        <f aca="false">BM108</f>
        <v>0.122561700249364</v>
      </c>
      <c r="AD467" s="69"/>
      <c r="AE467" s="69"/>
      <c r="AF467" s="12"/>
    </row>
    <row r="468" customFormat="false" ht="14.25" hidden="false" customHeight="false" outlineLevel="0" collapsed="false">
      <c r="B468" s="7"/>
      <c r="C468" s="46" t="n">
        <v>27</v>
      </c>
      <c r="D468" s="46"/>
      <c r="E468" s="44" t="n">
        <f aca="false">AI109</f>
        <v>39</v>
      </c>
      <c r="F468" s="44"/>
      <c r="G468" s="44"/>
      <c r="H468" s="41" t="str">
        <f aca="false">AM109</f>
        <v>Clay</v>
      </c>
      <c r="I468" s="41"/>
      <c r="J468" s="41"/>
      <c r="K468" s="42" t="n">
        <f aca="false">AQ109</f>
        <v>490.05</v>
      </c>
      <c r="L468" s="42"/>
      <c r="M468" s="42"/>
      <c r="N468" s="42" t="n">
        <f aca="false">BC109</f>
        <v>107.006207567439</v>
      </c>
      <c r="O468" s="42"/>
      <c r="P468" s="42"/>
      <c r="Q468" s="55" t="n">
        <f aca="false">BJ109</f>
        <v>1136.36363636364</v>
      </c>
      <c r="R468" s="55"/>
      <c r="S468" s="55"/>
      <c r="T468" s="44" t="n">
        <f aca="false">AU109</f>
        <v>0.59</v>
      </c>
      <c r="U468" s="44"/>
      <c r="V468" s="67" t="n">
        <f aca="false">BH109</f>
        <v>0.162639</v>
      </c>
      <c r="W468" s="67"/>
      <c r="X468" s="67" t="n">
        <f aca="false">BI109</f>
        <v>0.0325278</v>
      </c>
      <c r="Y468" s="67"/>
      <c r="Z468" s="68" t="n">
        <f aca="false">BK109</f>
        <v>2.63213805353889</v>
      </c>
      <c r="AA468" s="68"/>
      <c r="AB468" s="68"/>
      <c r="AC468" s="69" t="n">
        <f aca="false">BM109</f>
        <v>0.0504185692541857</v>
      </c>
      <c r="AD468" s="69"/>
      <c r="AE468" s="69"/>
      <c r="AF468" s="12"/>
    </row>
    <row r="469" customFormat="false" ht="14.25" hidden="false" customHeight="false" outlineLevel="0" collapsed="false">
      <c r="B469" s="7"/>
      <c r="C469" s="46" t="n">
        <v>28</v>
      </c>
      <c r="D469" s="46"/>
      <c r="E469" s="44" t="n">
        <f aca="false">AI110</f>
        <v>40.5</v>
      </c>
      <c r="F469" s="44"/>
      <c r="G469" s="44"/>
      <c r="H469" s="41" t="str">
        <f aca="false">AM110</f>
        <v>Clay</v>
      </c>
      <c r="I469" s="41"/>
      <c r="J469" s="41"/>
      <c r="K469" s="42" t="n">
        <f aca="false">AQ110</f>
        <v>505.35</v>
      </c>
      <c r="L469" s="42"/>
      <c r="M469" s="42"/>
      <c r="N469" s="42" t="n">
        <f aca="false">BC110</f>
        <v>105.159409672716</v>
      </c>
      <c r="O469" s="42"/>
      <c r="P469" s="42"/>
      <c r="Q469" s="55" t="n">
        <f aca="false">BJ110</f>
        <v>1136.36363636364</v>
      </c>
      <c r="R469" s="55"/>
      <c r="S469" s="55"/>
      <c r="T469" s="44" t="n">
        <f aca="false">AU110</f>
        <v>0.836</v>
      </c>
      <c r="U469" s="44"/>
      <c r="V469" s="67" t="n">
        <f aca="false">BH110</f>
        <v>0.24138</v>
      </c>
      <c r="W469" s="67"/>
      <c r="X469" s="67" t="n">
        <f aca="false">BI110</f>
        <v>0.048276</v>
      </c>
      <c r="Y469" s="67"/>
      <c r="Z469" s="68" t="n">
        <f aca="false">BK110</f>
        <v>3.23812421678909</v>
      </c>
      <c r="AA469" s="68"/>
      <c r="AB469" s="68"/>
      <c r="AC469" s="69" t="n">
        <f aca="false">BM110</f>
        <v>0.0808896533802925</v>
      </c>
      <c r="AD469" s="69"/>
      <c r="AE469" s="69"/>
      <c r="AF469" s="12"/>
    </row>
    <row r="470" customFormat="false" ht="14.25" hidden="false" customHeight="false" outlineLevel="0" collapsed="false">
      <c r="B470" s="7"/>
      <c r="C470" s="46" t="n">
        <v>29</v>
      </c>
      <c r="D470" s="46"/>
      <c r="E470" s="44" t="n">
        <f aca="false">AI111</f>
        <v>42</v>
      </c>
      <c r="F470" s="44"/>
      <c r="G470" s="44"/>
      <c r="H470" s="41" t="str">
        <f aca="false">AM111</f>
        <v>Clay</v>
      </c>
      <c r="I470" s="41"/>
      <c r="J470" s="41"/>
      <c r="K470" s="42" t="n">
        <f aca="false">AQ111</f>
        <v>520.65</v>
      </c>
      <c r="L470" s="42"/>
      <c r="M470" s="42"/>
      <c r="N470" s="42" t="n">
        <f aca="false">BC111</f>
        <v>103.321410046931</v>
      </c>
      <c r="O470" s="42"/>
      <c r="P470" s="42"/>
      <c r="Q470" s="55" t="n">
        <f aca="false">BJ111</f>
        <v>1136.36363636364</v>
      </c>
      <c r="R470" s="55"/>
      <c r="S470" s="55"/>
      <c r="T470" s="44" t="n">
        <f aca="false">AU111</f>
        <v>0.59</v>
      </c>
      <c r="U470" s="44"/>
      <c r="V470" s="67" t="n">
        <f aca="false">BH111</f>
        <v>0.162639</v>
      </c>
      <c r="W470" s="67"/>
      <c r="X470" s="67" t="n">
        <f aca="false">BI111</f>
        <v>0.0325278</v>
      </c>
      <c r="Y470" s="67"/>
      <c r="Z470" s="68" t="n">
        <f aca="false">BK111</f>
        <v>0</v>
      </c>
      <c r="AA470" s="68"/>
      <c r="AB470" s="68"/>
      <c r="AC470" s="69" t="n">
        <f aca="false">BM111</f>
        <v>0</v>
      </c>
      <c r="AD470" s="69"/>
      <c r="AE470" s="69"/>
      <c r="AF470" s="12"/>
    </row>
    <row r="471" customFormat="false" ht="14.25" hidden="false" customHeight="false" outlineLevel="0" collapsed="false">
      <c r="B471" s="7"/>
      <c r="C471" s="46" t="n">
        <v>30</v>
      </c>
      <c r="D471" s="46"/>
      <c r="E471" s="44" t="n">
        <f aca="false">AI112</f>
        <v>43.5</v>
      </c>
      <c r="F471" s="44"/>
      <c r="G471" s="44"/>
      <c r="H471" s="41" t="str">
        <f aca="false">AM112</f>
        <v>Clay</v>
      </c>
      <c r="I471" s="41"/>
      <c r="J471" s="41"/>
      <c r="K471" s="42" t="n">
        <f aca="false">AQ112</f>
        <v>535.95</v>
      </c>
      <c r="L471" s="42"/>
      <c r="M471" s="42"/>
      <c r="N471" s="42" t="n">
        <f aca="false">BC112</f>
        <v>101.496021828265</v>
      </c>
      <c r="O471" s="42"/>
      <c r="P471" s="42"/>
      <c r="Q471" s="55" t="n">
        <f aca="false">BJ112</f>
        <v>1136.36363636364</v>
      </c>
      <c r="R471" s="55"/>
      <c r="S471" s="55"/>
      <c r="T471" s="44" t="n">
        <f aca="false">AU112</f>
        <v>0.703</v>
      </c>
      <c r="U471" s="44"/>
      <c r="V471" s="67" t="n">
        <f aca="false">BH112</f>
        <v>0.1809</v>
      </c>
      <c r="W471" s="67"/>
      <c r="X471" s="67" t="n">
        <f aca="false">BI112</f>
        <v>0.03618</v>
      </c>
      <c r="Y471" s="67"/>
      <c r="Z471" s="68" t="n">
        <f aca="false">BK112</f>
        <v>0</v>
      </c>
      <c r="AA471" s="68"/>
      <c r="AB471" s="68"/>
      <c r="AC471" s="69" t="n">
        <f aca="false">BM112</f>
        <v>0</v>
      </c>
      <c r="AD471" s="69"/>
      <c r="AE471" s="69"/>
      <c r="AF471" s="12"/>
    </row>
    <row r="472" customFormat="false" ht="14.25" hidden="false" customHeight="false" outlineLevel="0" collapsed="false">
      <c r="B472" s="7"/>
      <c r="C472" s="46" t="n">
        <v>31</v>
      </c>
      <c r="D472" s="46"/>
      <c r="E472" s="44" t="n">
        <f aca="false">AI113</f>
        <v>45</v>
      </c>
      <c r="F472" s="44"/>
      <c r="G472" s="44"/>
      <c r="H472" s="41" t="str">
        <f aca="false">AM113</f>
        <v>Clay</v>
      </c>
      <c r="I472" s="41"/>
      <c r="J472" s="41"/>
      <c r="K472" s="42" t="n">
        <f aca="false">AQ113</f>
        <v>551.25</v>
      </c>
      <c r="L472" s="42"/>
      <c r="M472" s="42"/>
      <c r="N472" s="42" t="n">
        <f aca="false">BC113</f>
        <v>99.6865327062518</v>
      </c>
      <c r="O472" s="42"/>
      <c r="P472" s="42"/>
      <c r="Q472" s="55" t="n">
        <f aca="false">BJ113</f>
        <v>750</v>
      </c>
      <c r="R472" s="55"/>
      <c r="S472" s="55"/>
      <c r="T472" s="44" t="n">
        <f aca="false">AU113</f>
        <v>0.59</v>
      </c>
      <c r="U472" s="44"/>
      <c r="V472" s="67" t="n">
        <f aca="false">BH113</f>
        <v>0.162639</v>
      </c>
      <c r="W472" s="67"/>
      <c r="X472" s="67" t="n">
        <f aca="false">BI113</f>
        <v>0.0325278</v>
      </c>
      <c r="Y472" s="67"/>
      <c r="Z472" s="68" t="n">
        <f aca="false">BK113</f>
        <v>0</v>
      </c>
      <c r="AA472" s="68"/>
      <c r="AB472" s="68"/>
      <c r="AC472" s="69" t="n">
        <f aca="false">BM113</f>
        <v>0</v>
      </c>
      <c r="AD472" s="69"/>
      <c r="AE472" s="69"/>
      <c r="AF472" s="12"/>
    </row>
    <row r="473" customFormat="false" ht="14.25" hidden="false" customHeight="false" outlineLevel="0" collapsed="false">
      <c r="B473" s="7"/>
      <c r="C473" s="46" t="n">
        <v>32</v>
      </c>
      <c r="D473" s="46"/>
      <c r="E473" s="44" t="n">
        <f aca="false">AI114</f>
        <v>46.5</v>
      </c>
      <c r="F473" s="44"/>
      <c r="G473" s="44"/>
      <c r="H473" s="41" t="str">
        <f aca="false">AM114</f>
        <v>Clay</v>
      </c>
      <c r="I473" s="41"/>
      <c r="J473" s="41"/>
      <c r="K473" s="42" t="n">
        <f aca="false">AQ114</f>
        <v>566.55</v>
      </c>
      <c r="L473" s="42"/>
      <c r="M473" s="42"/>
      <c r="N473" s="42" t="n">
        <f aca="false">BC114</f>
        <v>97.8957517150986</v>
      </c>
      <c r="O473" s="42"/>
      <c r="P473" s="42"/>
      <c r="Q473" s="55" t="n">
        <f aca="false">BJ114</f>
        <v>818.181818181818</v>
      </c>
      <c r="R473" s="55"/>
      <c r="S473" s="55"/>
      <c r="T473" s="44" t="n">
        <f aca="false">AU114</f>
        <v>0.841</v>
      </c>
      <c r="U473" s="44"/>
      <c r="V473" s="67" t="n">
        <f aca="false">BH114</f>
        <v>0.26424</v>
      </c>
      <c r="W473" s="67"/>
      <c r="X473" s="67" t="n">
        <f aca="false">BI114</f>
        <v>0.052848</v>
      </c>
      <c r="Y473" s="67"/>
      <c r="Z473" s="68" t="n">
        <f aca="false">BK114</f>
        <v>0</v>
      </c>
      <c r="AA473" s="68"/>
      <c r="AB473" s="68"/>
      <c r="AC473" s="69" t="n">
        <f aca="false">BM114</f>
        <v>0</v>
      </c>
      <c r="AD473" s="69"/>
      <c r="AE473" s="69"/>
      <c r="AF473" s="12"/>
    </row>
    <row r="474" customFormat="false" ht="14.25" hidden="false" customHeight="false" outlineLevel="0" collapsed="false">
      <c r="B474" s="7"/>
      <c r="C474" s="46" t="n">
        <v>33</v>
      </c>
      <c r="D474" s="46"/>
      <c r="E474" s="44" t="n">
        <f aca="false">AI115</f>
        <v>48</v>
      </c>
      <c r="F474" s="44"/>
      <c r="G474" s="44"/>
      <c r="H474" s="41" t="str">
        <f aca="false">AM115</f>
        <v>Clay</v>
      </c>
      <c r="I474" s="41"/>
      <c r="J474" s="41"/>
      <c r="K474" s="42" t="n">
        <f aca="false">AQ115</f>
        <v>581.85</v>
      </c>
      <c r="L474" s="42"/>
      <c r="M474" s="42"/>
      <c r="N474" s="42" t="n">
        <f aca="false">BC115</f>
        <v>96.1260553748583</v>
      </c>
      <c r="O474" s="42"/>
      <c r="P474" s="42"/>
      <c r="Q474" s="55" t="n">
        <f aca="false">BJ115</f>
        <v>704.545454545455</v>
      </c>
      <c r="R474" s="55"/>
      <c r="S474" s="55"/>
      <c r="T474" s="44" t="n">
        <f aca="false">AU115</f>
        <v>0.59</v>
      </c>
      <c r="U474" s="44"/>
      <c r="V474" s="67" t="n">
        <f aca="false">BH115</f>
        <v>0.162639</v>
      </c>
      <c r="W474" s="67"/>
      <c r="X474" s="67" t="n">
        <f aca="false">BI115</f>
        <v>0.0325278</v>
      </c>
      <c r="Y474" s="67"/>
      <c r="Z474" s="68" t="n">
        <f aca="false">BK115</f>
        <v>0</v>
      </c>
      <c r="AA474" s="68"/>
      <c r="AB474" s="68"/>
      <c r="AC474" s="69" t="n">
        <f aca="false">BM115</f>
        <v>0</v>
      </c>
      <c r="AD474" s="69"/>
      <c r="AE474" s="69"/>
      <c r="AF474" s="12"/>
    </row>
    <row r="475" customFormat="false" ht="14.25" hidden="false" customHeight="false" outlineLevel="0" collapsed="false">
      <c r="B475" s="7"/>
      <c r="C475" s="46" t="n">
        <v>34</v>
      </c>
      <c r="D475" s="46"/>
      <c r="E475" s="44" t="n">
        <f aca="false">AI116</f>
        <v>49.5</v>
      </c>
      <c r="F475" s="44"/>
      <c r="G475" s="44"/>
      <c r="H475" s="41" t="str">
        <f aca="false">AM116</f>
        <v>Sand</v>
      </c>
      <c r="I475" s="41"/>
      <c r="J475" s="41"/>
      <c r="K475" s="42" t="n">
        <f aca="false">AQ116</f>
        <v>597.15</v>
      </c>
      <c r="L475" s="42"/>
      <c r="M475" s="42"/>
      <c r="N475" s="42" t="n">
        <f aca="false">BC116</f>
        <v>94.379432156388</v>
      </c>
      <c r="O475" s="42"/>
      <c r="P475" s="42"/>
      <c r="Q475" s="55" t="n">
        <f aca="false">BJ116</f>
        <v>0</v>
      </c>
      <c r="R475" s="55"/>
      <c r="S475" s="55"/>
      <c r="T475" s="44" t="n">
        <f aca="false">AU116</f>
        <v>0.357</v>
      </c>
      <c r="U475" s="44"/>
      <c r="V475" s="67" t="n">
        <f aca="false">BH116</f>
        <v>0</v>
      </c>
      <c r="W475" s="67"/>
      <c r="X475" s="67" t="n">
        <f aca="false">BI116</f>
        <v>0</v>
      </c>
      <c r="Y475" s="67"/>
      <c r="Z475" s="68" t="n">
        <f aca="false">BK116</f>
        <v>0</v>
      </c>
      <c r="AA475" s="68"/>
      <c r="AB475" s="68"/>
      <c r="AC475" s="69" t="n">
        <f aca="false">BM116</f>
        <v>0</v>
      </c>
      <c r="AD475" s="69"/>
      <c r="AE475" s="69"/>
      <c r="AF475" s="12"/>
    </row>
    <row r="476" customFormat="false" ht="14.25" hidden="false" customHeight="false" outlineLevel="0" collapsed="false">
      <c r="B476" s="7"/>
      <c r="C476" s="46" t="n">
        <v>35</v>
      </c>
      <c r="D476" s="46"/>
      <c r="E476" s="44" t="n">
        <f aca="false">AI117</f>
        <v>51</v>
      </c>
      <c r="F476" s="44"/>
      <c r="G476" s="44"/>
      <c r="H476" s="41" t="str">
        <f aca="false">AM117</f>
        <v>Sand</v>
      </c>
      <c r="I476" s="41"/>
      <c r="J476" s="41"/>
      <c r="K476" s="42" t="n">
        <f aca="false">AQ117</f>
        <v>612.449999999999</v>
      </c>
      <c r="L476" s="42"/>
      <c r="M476" s="42"/>
      <c r="N476" s="42" t="n">
        <f aca="false">BC117</f>
        <v>92.657524576064</v>
      </c>
      <c r="O476" s="42"/>
      <c r="P476" s="42"/>
      <c r="Q476" s="55" t="n">
        <f aca="false">BJ117</f>
        <v>0</v>
      </c>
      <c r="R476" s="55"/>
      <c r="S476" s="55"/>
      <c r="T476" s="44" t="n">
        <f aca="false">AU117</f>
        <v>0.65</v>
      </c>
      <c r="U476" s="44"/>
      <c r="V476" s="67" t="n">
        <f aca="false">BH117</f>
        <v>0</v>
      </c>
      <c r="W476" s="67"/>
      <c r="X476" s="67" t="n">
        <f aca="false">BI117</f>
        <v>0</v>
      </c>
      <c r="Y476" s="67"/>
      <c r="Z476" s="68" t="n">
        <f aca="false">BK117</f>
        <v>0</v>
      </c>
      <c r="AA476" s="68"/>
      <c r="AB476" s="68"/>
      <c r="AC476" s="69" t="n">
        <f aca="false">BM117</f>
        <v>0</v>
      </c>
      <c r="AD476" s="69"/>
      <c r="AE476" s="69"/>
      <c r="AF476" s="12"/>
    </row>
    <row r="477" customFormat="false" ht="14.25" hidden="false" customHeight="false" outlineLevel="0" collapsed="false">
      <c r="B477" s="7"/>
      <c r="C477" s="46" t="n">
        <v>36</v>
      </c>
      <c r="D477" s="46"/>
      <c r="E477" s="44" t="n">
        <f aca="false">AI118</f>
        <v>52.5</v>
      </c>
      <c r="F477" s="44"/>
      <c r="G477" s="44"/>
      <c r="H477" s="41" t="str">
        <f aca="false">AM118</f>
        <v>Clay</v>
      </c>
      <c r="I477" s="41"/>
      <c r="J477" s="41"/>
      <c r="K477" s="42" t="n">
        <f aca="false">AQ118</f>
        <v>627.749999999999</v>
      </c>
      <c r="L477" s="42"/>
      <c r="M477" s="42"/>
      <c r="N477" s="42" t="n">
        <f aca="false">BC118</f>
        <v>90.9616684860851</v>
      </c>
      <c r="O477" s="42"/>
      <c r="P477" s="42"/>
      <c r="Q477" s="55" t="n">
        <f aca="false">BJ118</f>
        <v>704.545454545455</v>
      </c>
      <c r="R477" s="55"/>
      <c r="S477" s="55"/>
      <c r="T477" s="44" t="n">
        <f aca="false">AU118</f>
        <v>0.59</v>
      </c>
      <c r="U477" s="44"/>
      <c r="V477" s="67" t="n">
        <f aca="false">BH118</f>
        <v>0.162639</v>
      </c>
      <c r="W477" s="67"/>
      <c r="X477" s="67" t="n">
        <f aca="false">BI118</f>
        <v>0.0325278</v>
      </c>
      <c r="Y477" s="67"/>
      <c r="Z477" s="68" t="n">
        <f aca="false">BK118</f>
        <v>0</v>
      </c>
      <c r="AA477" s="68"/>
      <c r="AB477" s="68"/>
      <c r="AC477" s="69" t="n">
        <f aca="false">BM118</f>
        <v>0</v>
      </c>
      <c r="AD477" s="69"/>
      <c r="AE477" s="69"/>
      <c r="AF477" s="12"/>
    </row>
    <row r="478" customFormat="false" ht="14.25" hidden="false" customHeight="false" outlineLevel="0" collapsed="false">
      <c r="B478" s="7"/>
      <c r="C478" s="46" t="n">
        <v>37</v>
      </c>
      <c r="D478" s="46"/>
      <c r="E478" s="44" t="n">
        <f aca="false">AI119</f>
        <v>54</v>
      </c>
      <c r="F478" s="44"/>
      <c r="G478" s="44"/>
      <c r="H478" s="41" t="str">
        <f aca="false">AM119</f>
        <v>Sand</v>
      </c>
      <c r="I478" s="41"/>
      <c r="J478" s="41"/>
      <c r="K478" s="42" t="n">
        <f aca="false">AQ119</f>
        <v>643.049999999999</v>
      </c>
      <c r="L478" s="42"/>
      <c r="M478" s="42"/>
      <c r="N478" s="42" t="n">
        <f aca="false">BC119</f>
        <v>89.2929293261871</v>
      </c>
      <c r="O478" s="42"/>
      <c r="P478" s="42"/>
      <c r="Q478" s="55" t="n">
        <f aca="false">BJ119</f>
        <v>0</v>
      </c>
      <c r="R478" s="55"/>
      <c r="S478" s="55"/>
      <c r="T478" s="44" t="n">
        <f aca="false">AU119</f>
        <v>0.65</v>
      </c>
      <c r="U478" s="44"/>
      <c r="V478" s="67" t="n">
        <f aca="false">BH119</f>
        <v>0</v>
      </c>
      <c r="W478" s="67"/>
      <c r="X478" s="67" t="n">
        <f aca="false">BI119</f>
        <v>0</v>
      </c>
      <c r="Y478" s="67"/>
      <c r="Z478" s="68" t="n">
        <f aca="false">BK119</f>
        <v>0</v>
      </c>
      <c r="AA478" s="68"/>
      <c r="AB478" s="68"/>
      <c r="AC478" s="69" t="n">
        <f aca="false">BM119</f>
        <v>0</v>
      </c>
      <c r="AD478" s="69"/>
      <c r="AE478" s="69"/>
      <c r="AF478" s="12"/>
    </row>
    <row r="479" customFormat="false" ht="14.25" hidden="false" customHeight="false" outlineLevel="0" collapsed="false">
      <c r="B479" s="7"/>
      <c r="C479" s="46" t="n">
        <v>38</v>
      </c>
      <c r="D479" s="46"/>
      <c r="E479" s="44" t="n">
        <f aca="false">AI120</f>
        <v>55.5</v>
      </c>
      <c r="F479" s="44"/>
      <c r="G479" s="44"/>
      <c r="H479" s="41" t="str">
        <f aca="false">AM120</f>
        <v>Sand</v>
      </c>
      <c r="I479" s="41"/>
      <c r="J479" s="41"/>
      <c r="K479" s="42" t="n">
        <f aca="false">AQ120</f>
        <v>658.349999999999</v>
      </c>
      <c r="L479" s="42"/>
      <c r="M479" s="42"/>
      <c r="N479" s="42" t="n">
        <f aca="false">BC120</f>
        <v>87.6521352527307</v>
      </c>
      <c r="O479" s="42"/>
      <c r="P479" s="42"/>
      <c r="Q479" s="55" t="n">
        <f aca="false">BJ120</f>
        <v>0</v>
      </c>
      <c r="R479" s="55"/>
      <c r="S479" s="55"/>
      <c r="T479" s="44" t="n">
        <f aca="false">AU120</f>
        <v>0.65</v>
      </c>
      <c r="U479" s="44"/>
      <c r="V479" s="67" t="n">
        <f aca="false">BH120</f>
        <v>0</v>
      </c>
      <c r="W479" s="67"/>
      <c r="X479" s="67" t="n">
        <f aca="false">BI120</f>
        <v>0</v>
      </c>
      <c r="Y479" s="67"/>
      <c r="Z479" s="68" t="n">
        <f aca="false">BK120</f>
        <v>0</v>
      </c>
      <c r="AA479" s="68"/>
      <c r="AB479" s="68"/>
      <c r="AC479" s="69" t="n">
        <f aca="false">BM120</f>
        <v>0</v>
      </c>
      <c r="AD479" s="69"/>
      <c r="AE479" s="69"/>
      <c r="AF479" s="12"/>
    </row>
    <row r="480" customFormat="false" ht="14.25" hidden="false" customHeight="false" outlineLevel="0" collapsed="false">
      <c r="B480" s="7"/>
      <c r="C480" s="46" t="n">
        <v>39</v>
      </c>
      <c r="D480" s="46"/>
      <c r="E480" s="44" t="n">
        <f aca="false">AI121</f>
        <v>57</v>
      </c>
      <c r="F480" s="44"/>
      <c r="G480" s="44"/>
      <c r="H480" s="41" t="str">
        <f aca="false">AM121</f>
        <v>Sand</v>
      </c>
      <c r="I480" s="41"/>
      <c r="J480" s="41"/>
      <c r="K480" s="42" t="n">
        <f aca="false">AQ121</f>
        <v>673.649999999999</v>
      </c>
      <c r="L480" s="42"/>
      <c r="M480" s="42"/>
      <c r="N480" s="42" t="n">
        <f aca="false">BC121</f>
        <v>86.0399071706701</v>
      </c>
      <c r="O480" s="42"/>
      <c r="P480" s="42"/>
      <c r="Q480" s="55" t="n">
        <f aca="false">BJ121</f>
        <v>0</v>
      </c>
      <c r="R480" s="55"/>
      <c r="S480" s="55"/>
      <c r="T480" s="44" t="n">
        <f aca="false">AU121</f>
        <v>0.65</v>
      </c>
      <c r="U480" s="44"/>
      <c r="V480" s="67" t="n">
        <f aca="false">BH121</f>
        <v>0</v>
      </c>
      <c r="W480" s="67"/>
      <c r="X480" s="67" t="n">
        <f aca="false">BI121</f>
        <v>0</v>
      </c>
      <c r="Y480" s="67"/>
      <c r="Z480" s="68" t="n">
        <f aca="false">BK121</f>
        <v>0</v>
      </c>
      <c r="AA480" s="68"/>
      <c r="AB480" s="68"/>
      <c r="AC480" s="69" t="n">
        <f aca="false">BM121</f>
        <v>0</v>
      </c>
      <c r="AD480" s="69"/>
      <c r="AE480" s="69"/>
      <c r="AF480" s="12"/>
    </row>
    <row r="481" customFormat="false" ht="14.25" hidden="false" customHeight="false" outlineLevel="0" collapsed="false">
      <c r="B481" s="7"/>
      <c r="C481" s="46" t="n">
        <v>40</v>
      </c>
      <c r="D481" s="46"/>
      <c r="E481" s="44" t="n">
        <f aca="false">AI122</f>
        <v>58.5</v>
      </c>
      <c r="F481" s="44"/>
      <c r="G481" s="44"/>
      <c r="H481" s="41" t="str">
        <f aca="false">AM122</f>
        <v>Sand</v>
      </c>
      <c r="I481" s="41"/>
      <c r="J481" s="41"/>
      <c r="K481" s="42" t="n">
        <f aca="false">AQ122</f>
        <v>686.399999999999</v>
      </c>
      <c r="L481" s="42"/>
      <c r="M481" s="42"/>
      <c r="N481" s="42" t="n">
        <f aca="false">BC122</f>
        <v>84.7185277966616</v>
      </c>
      <c r="O481" s="42"/>
      <c r="P481" s="42"/>
      <c r="Q481" s="55" t="n">
        <f aca="false">BJ122</f>
        <v>0</v>
      </c>
      <c r="R481" s="55"/>
      <c r="S481" s="55"/>
      <c r="T481" s="44" t="n">
        <f aca="false">AU122</f>
        <v>0.65</v>
      </c>
      <c r="U481" s="44"/>
      <c r="V481" s="67" t="n">
        <f aca="false">BH122</f>
        <v>0</v>
      </c>
      <c r="W481" s="67"/>
      <c r="X481" s="67" t="n">
        <f aca="false">BI122</f>
        <v>0</v>
      </c>
      <c r="Y481" s="67"/>
      <c r="Z481" s="68" t="n">
        <f aca="false">BK122</f>
        <v>0</v>
      </c>
      <c r="AA481" s="68"/>
      <c r="AB481" s="68"/>
      <c r="AC481" s="69" t="n">
        <f aca="false">BM122</f>
        <v>0</v>
      </c>
      <c r="AD481" s="69"/>
      <c r="AE481" s="69"/>
      <c r="AF481" s="12"/>
    </row>
    <row r="482" customFormat="false" ht="14.25" hidden="false" customHeight="false" outlineLevel="0" collapsed="false">
      <c r="B482" s="7"/>
      <c r="C482" s="60" t="n">
        <v>41</v>
      </c>
      <c r="D482" s="60"/>
      <c r="E482" s="61" t="n">
        <f aca="false">AI123</f>
        <v>59.5</v>
      </c>
      <c r="F482" s="61"/>
      <c r="G482" s="61"/>
      <c r="H482" s="48" t="str">
        <f aca="false">AM123</f>
        <v>Sand</v>
      </c>
      <c r="I482" s="48"/>
      <c r="J482" s="48"/>
      <c r="K482" s="49" t="n">
        <f aca="false">AQ123</f>
        <v>694.049999999999</v>
      </c>
      <c r="L482" s="49"/>
      <c r="M482" s="49"/>
      <c r="N482" s="49" t="n">
        <f aca="false">BC123</f>
        <v>83.9354445039259</v>
      </c>
      <c r="O482" s="49"/>
      <c r="P482" s="49"/>
      <c r="Q482" s="62" t="n">
        <f aca="false">BJ123</f>
        <v>0</v>
      </c>
      <c r="R482" s="62"/>
      <c r="S482" s="62"/>
      <c r="T482" s="61" t="n">
        <f aca="false">AU123</f>
        <v>0.65</v>
      </c>
      <c r="U482" s="61"/>
      <c r="V482" s="70" t="n">
        <f aca="false">BH123</f>
        <v>0</v>
      </c>
      <c r="W482" s="70"/>
      <c r="X482" s="70" t="n">
        <f aca="false">BI123</f>
        <v>0</v>
      </c>
      <c r="Y482" s="70"/>
      <c r="Z482" s="71" t="n">
        <f aca="false">BK123</f>
        <v>0</v>
      </c>
      <c r="AA482" s="71"/>
      <c r="AB482" s="71"/>
      <c r="AC482" s="72" t="n">
        <f aca="false">BM123</f>
        <v>0</v>
      </c>
      <c r="AD482" s="72"/>
      <c r="AE482" s="72"/>
      <c r="AF482" s="12"/>
    </row>
    <row r="483" customFormat="false" ht="14.25" hidden="false" customHeight="false" outlineLevel="0" collapsed="false">
      <c r="B483" s="7"/>
      <c r="AF483" s="12"/>
    </row>
    <row r="484" customFormat="false" ht="14.25" hidden="false" customHeight="true" outlineLevel="0" collapsed="false">
      <c r="B484" s="7"/>
      <c r="C484" s="20" t="s">
        <v>305</v>
      </c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1" t="s">
        <v>306</v>
      </c>
      <c r="P484" s="21"/>
      <c r="Q484" s="21"/>
      <c r="R484" s="21"/>
      <c r="S484" s="21"/>
      <c r="T484" s="21"/>
      <c r="U484" s="21"/>
      <c r="V484" s="21"/>
      <c r="W484" s="21"/>
      <c r="X484" s="22" t="s">
        <v>307</v>
      </c>
      <c r="Y484" s="22"/>
      <c r="Z484" s="22"/>
      <c r="AA484" s="24" t="n">
        <f aca="false">SUM(BK83:BK123)</f>
        <v>178.416638547899</v>
      </c>
      <c r="AB484" s="24"/>
      <c r="AC484" s="24"/>
      <c r="AD484" s="20" t="s">
        <v>45</v>
      </c>
      <c r="AE484" s="20"/>
      <c r="AF484" s="12"/>
    </row>
    <row r="485" customFormat="false" ht="14.25" hidden="false" customHeight="true" outlineLevel="0" collapsed="false">
      <c r="B485" s="7"/>
      <c r="C485" s="20" t="s">
        <v>308</v>
      </c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1" t="s">
        <v>309</v>
      </c>
      <c r="P485" s="21"/>
      <c r="Q485" s="21"/>
      <c r="R485" s="21"/>
      <c r="S485" s="21"/>
      <c r="T485" s="21"/>
      <c r="U485" s="21"/>
      <c r="V485" s="21"/>
      <c r="W485" s="21"/>
      <c r="X485" s="22" t="s">
        <v>310</v>
      </c>
      <c r="Y485" s="22"/>
      <c r="Z485" s="22"/>
      <c r="AA485" s="50" t="n">
        <f aca="false">MAX(BM83:BM123)</f>
        <v>0.122561700249364</v>
      </c>
      <c r="AB485" s="50"/>
      <c r="AC485" s="50"/>
      <c r="AD485" s="20" t="s">
        <v>124</v>
      </c>
      <c r="AE485" s="20"/>
      <c r="AF485" s="12"/>
    </row>
    <row r="486" customFormat="false" ht="14.25" hidden="false" customHeight="false" outlineLevel="0" collapsed="false">
      <c r="B486" s="7"/>
      <c r="AF486" s="12"/>
    </row>
    <row r="487" customFormat="false" ht="14.25" hidden="false" customHeight="false" outlineLevel="0" collapsed="false">
      <c r="B487" s="7"/>
      <c r="AF487" s="12"/>
    </row>
    <row r="488" customFormat="false" ht="14.25" hidden="false" customHeight="false" outlineLevel="0" collapsed="false">
      <c r="B488" s="7"/>
      <c r="AF488" s="12"/>
    </row>
    <row r="489" customFormat="false" ht="14.25" hidden="false" customHeight="false" outlineLevel="0" collapsed="false">
      <c r="B489" s="7"/>
      <c r="AF489" s="12"/>
    </row>
    <row r="490" customFormat="false" ht="14.25" hidden="false" customHeight="false" outlineLevel="0" collapsed="false">
      <c r="B490" s="7"/>
      <c r="AF490" s="12"/>
    </row>
    <row r="491" customFormat="false" ht="14.25" hidden="false" customHeight="false" outlineLevel="0" collapsed="false">
      <c r="B491" s="7"/>
      <c r="AF491" s="12"/>
    </row>
    <row r="492" customFormat="false" ht="14.25" hidden="false" customHeight="false" outlineLevel="0" collapsed="false">
      <c r="B492" s="7"/>
      <c r="AF492" s="12"/>
    </row>
    <row r="493" customFormat="false" ht="14.25" hidden="false" customHeight="false" outlineLevel="0" collapsed="false">
      <c r="B493" s="7"/>
      <c r="AF493" s="12"/>
    </row>
    <row r="494" customFormat="false" ht="14.25" hidden="false" customHeight="false" outlineLevel="0" collapsed="false">
      <c r="B494" s="7"/>
      <c r="AF494" s="12"/>
    </row>
    <row r="495" customFormat="false" ht="14.25" hidden="false" customHeight="false" outlineLevel="0" collapsed="false">
      <c r="B495" s="7"/>
      <c r="AF495" s="12"/>
    </row>
    <row r="496" customFormat="false" ht="14.25" hidden="false" customHeight="false" outlineLevel="0" collapsed="false">
      <c r="B496" s="7"/>
      <c r="AF496" s="12"/>
    </row>
    <row r="497" customFormat="false" ht="14.25" hidden="false" customHeight="false" outlineLevel="0" collapsed="false">
      <c r="B497" s="7"/>
      <c r="AF497" s="12"/>
    </row>
    <row r="498" customFormat="false" ht="14.25" hidden="false" customHeight="false" outlineLevel="0" collapsed="false">
      <c r="B498" s="7"/>
      <c r="AF498" s="12"/>
    </row>
    <row r="499" customFormat="false" ht="14.25" hidden="false" customHeight="false" outlineLevel="0" collapsed="false">
      <c r="B499" s="7"/>
      <c r="AF499" s="12"/>
    </row>
    <row r="500" customFormat="false" ht="14.25" hidden="false" customHeight="false" outlineLevel="0" collapsed="false">
      <c r="B500" s="7"/>
      <c r="AF500" s="12"/>
    </row>
    <row r="501" customFormat="false" ht="14.25" hidden="false" customHeight="false" outlineLevel="0" collapsed="false">
      <c r="B501" s="7"/>
      <c r="AF501" s="12"/>
    </row>
    <row r="502" customFormat="false" ht="14.25" hidden="false" customHeight="false" outlineLevel="0" collapsed="false">
      <c r="B502" s="7"/>
      <c r="AF502" s="12"/>
    </row>
    <row r="503" customFormat="false" ht="14.25" hidden="false" customHeight="false" outlineLevel="0" collapsed="false">
      <c r="B503" s="7"/>
      <c r="AF503" s="12"/>
    </row>
    <row r="504" customFormat="false" ht="14.25" hidden="false" customHeight="false" outlineLevel="0" collapsed="false">
      <c r="B504" s="7"/>
      <c r="AF504" s="12"/>
    </row>
    <row r="505" customFormat="false" ht="14.25" hidden="false" customHeight="true" outlineLevel="0" collapsed="false">
      <c r="B505" s="36"/>
      <c r="C505" s="37"/>
      <c r="D505" s="37"/>
      <c r="E505" s="37"/>
      <c r="F505" s="37"/>
      <c r="G505" s="37"/>
      <c r="H505" s="37"/>
      <c r="I505" s="37"/>
      <c r="J505" s="37"/>
      <c r="K505" s="37"/>
      <c r="L505" s="37"/>
      <c r="M505" s="37"/>
      <c r="N505" s="37"/>
      <c r="O505" s="37"/>
      <c r="P505" s="37"/>
      <c r="Q505" s="37"/>
      <c r="R505" s="37"/>
      <c r="S505" s="37"/>
      <c r="T505" s="37"/>
      <c r="U505" s="37"/>
      <c r="V505" s="37"/>
      <c r="W505" s="37"/>
      <c r="X505" s="38" t="s">
        <v>93</v>
      </c>
      <c r="Y505" s="38"/>
      <c r="Z505" s="38"/>
      <c r="AA505" s="38"/>
      <c r="AB505" s="38" t="n">
        <v>7</v>
      </c>
      <c r="AC505" s="38"/>
      <c r="AD505" s="38"/>
      <c r="AE505" s="38"/>
      <c r="AF505" s="39"/>
    </row>
    <row r="506" customFormat="false" ht="14.25" hidden="false" customHeight="true" outlineLevel="0" collapsed="false">
      <c r="B506" s="1"/>
      <c r="C506" s="2" t="s">
        <v>0</v>
      </c>
      <c r="D506" s="2"/>
      <c r="E506" s="2"/>
      <c r="F506" s="2"/>
      <c r="G506" s="2"/>
      <c r="H506" s="3" t="s">
        <v>1</v>
      </c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4" t="s">
        <v>2</v>
      </c>
      <c r="Y506" s="4"/>
      <c r="Z506" s="4"/>
      <c r="AA506" s="4"/>
      <c r="AB506" s="5" t="s">
        <v>3</v>
      </c>
      <c r="AC506" s="5"/>
      <c r="AD506" s="5"/>
      <c r="AE506" s="5"/>
      <c r="AF506" s="6"/>
    </row>
    <row r="507" customFormat="false" ht="14.25" hidden="false" customHeight="true" outlineLevel="0" collapsed="false">
      <c r="B507" s="7"/>
      <c r="C507" s="8" t="s">
        <v>4</v>
      </c>
      <c r="D507" s="8"/>
      <c r="E507" s="8"/>
      <c r="F507" s="8"/>
      <c r="G507" s="8"/>
      <c r="H507" s="9" t="s">
        <v>5</v>
      </c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10" t="s">
        <v>6</v>
      </c>
      <c r="Y507" s="10"/>
      <c r="Z507" s="10"/>
      <c r="AA507" s="10"/>
      <c r="AB507" s="11" t="n">
        <v>46301</v>
      </c>
      <c r="AC507" s="11"/>
      <c r="AD507" s="11"/>
      <c r="AE507" s="11"/>
      <c r="AF507" s="12"/>
    </row>
    <row r="508" customFormat="false" ht="14.25" hidden="false" customHeight="true" outlineLevel="0" collapsed="false">
      <c r="B508" s="7"/>
      <c r="C508" s="8" t="s">
        <v>7</v>
      </c>
      <c r="D508" s="8"/>
      <c r="E508" s="8"/>
      <c r="F508" s="8"/>
      <c r="G508" s="8"/>
      <c r="H508" s="9" t="s">
        <v>340</v>
      </c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10" t="s">
        <v>9</v>
      </c>
      <c r="Y508" s="10"/>
      <c r="Z508" s="10"/>
      <c r="AA508" s="10"/>
      <c r="AB508" s="11" t="s">
        <v>3</v>
      </c>
      <c r="AC508" s="11"/>
      <c r="AD508" s="11"/>
      <c r="AE508" s="11"/>
      <c r="AF508" s="12"/>
    </row>
    <row r="509" customFormat="false" ht="14.25" hidden="false" customHeight="true" outlineLevel="0" collapsed="false">
      <c r="B509" s="13"/>
      <c r="C509" s="14" t="s">
        <v>10</v>
      </c>
      <c r="D509" s="14"/>
      <c r="E509" s="14"/>
      <c r="F509" s="14"/>
      <c r="G509" s="14"/>
      <c r="H509" s="15" t="s">
        <v>134</v>
      </c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6" t="s">
        <v>12</v>
      </c>
      <c r="Y509" s="16"/>
      <c r="Z509" s="16"/>
      <c r="AA509" s="16"/>
      <c r="AB509" s="17" t="n">
        <v>46301</v>
      </c>
      <c r="AC509" s="17"/>
      <c r="AD509" s="17"/>
      <c r="AE509" s="17"/>
      <c r="AF509" s="18"/>
    </row>
    <row r="510" customFormat="false" ht="14.25" hidden="false" customHeight="false" outlineLevel="0" collapsed="false">
      <c r="B510" s="7"/>
      <c r="AF510" s="12"/>
    </row>
    <row r="511" customFormat="false" ht="14.25" hidden="false" customHeight="false" outlineLevel="0" collapsed="false">
      <c r="B511" s="7"/>
      <c r="C511" s="9" t="s">
        <v>311</v>
      </c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9"/>
      <c r="AF511" s="12"/>
    </row>
    <row r="512" customFormat="false" ht="14.25" hidden="false" customHeight="false" outlineLevel="0" collapsed="false">
      <c r="B512" s="7"/>
      <c r="AF512" s="12"/>
    </row>
    <row r="513" customFormat="false" ht="14.25" hidden="false" customHeight="true" outlineLevel="0" collapsed="false">
      <c r="B513" s="7"/>
      <c r="C513" s="20" t="s">
        <v>312</v>
      </c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1"/>
      <c r="P513" s="21"/>
      <c r="Q513" s="21"/>
      <c r="R513" s="21"/>
      <c r="S513" s="21"/>
      <c r="T513" s="21"/>
      <c r="U513" s="21"/>
      <c r="V513" s="21"/>
      <c r="W513" s="21"/>
      <c r="X513" s="22" t="s">
        <v>248</v>
      </c>
      <c r="Y513" s="22"/>
      <c r="Z513" s="22"/>
      <c r="AA513" s="51" t="n">
        <f aca="false">$AA$185</f>
        <v>147.335753575358</v>
      </c>
      <c r="AB513" s="51"/>
      <c r="AC513" s="51"/>
      <c r="AD513" s="20" t="s">
        <v>26</v>
      </c>
      <c r="AE513" s="20"/>
      <c r="AF513" s="12"/>
    </row>
    <row r="514" customFormat="false" ht="14.25" hidden="false" customHeight="false" outlineLevel="0" collapsed="false">
      <c r="B514" s="7"/>
      <c r="C514" s="20" t="s">
        <v>280</v>
      </c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X514" s="73" t="str">
        <f aca="false">$X$189</f>
        <v>qall ≥ q …. OK!!</v>
      </c>
      <c r="Y514" s="73"/>
      <c r="Z514" s="73"/>
      <c r="AA514" s="73"/>
      <c r="AB514" s="73"/>
      <c r="AC514" s="73"/>
      <c r="AD514" s="73"/>
      <c r="AE514" s="73"/>
      <c r="AF514" s="12"/>
    </row>
    <row r="515" customFormat="false" ht="14.25" hidden="false" customHeight="true" outlineLevel="0" collapsed="false">
      <c r="B515" s="7"/>
      <c r="C515" s="20" t="s">
        <v>313</v>
      </c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1" t="s">
        <v>314</v>
      </c>
      <c r="P515" s="21"/>
      <c r="Q515" s="21"/>
      <c r="R515" s="21"/>
      <c r="S515" s="21"/>
      <c r="T515" s="21"/>
      <c r="U515" s="21"/>
      <c r="V515" s="21"/>
      <c r="W515" s="21"/>
      <c r="X515" s="22" t="s">
        <v>248</v>
      </c>
      <c r="Y515" s="22"/>
      <c r="Z515" s="22"/>
      <c r="AA515" s="51" t="n">
        <f aca="false">$AA$204</f>
        <v>169.397359735974</v>
      </c>
      <c r="AB515" s="51"/>
      <c r="AC515" s="51"/>
      <c r="AD515" s="20" t="s">
        <v>26</v>
      </c>
      <c r="AE515" s="20"/>
      <c r="AF515" s="12"/>
    </row>
    <row r="516" customFormat="false" ht="14.25" hidden="false" customHeight="false" outlineLevel="0" collapsed="false">
      <c r="B516" s="7"/>
      <c r="C516" s="20" t="s">
        <v>280</v>
      </c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X516" s="73" t="str">
        <f aca="false">$X$208</f>
        <v>qall ≥ q …. OK!!</v>
      </c>
      <c r="Y516" s="73"/>
      <c r="Z516" s="73"/>
      <c r="AA516" s="73"/>
      <c r="AB516" s="73"/>
      <c r="AC516" s="73"/>
      <c r="AD516" s="73"/>
      <c r="AE516" s="73"/>
      <c r="AF516" s="12"/>
    </row>
    <row r="517" customFormat="false" ht="14.25" hidden="false" customHeight="true" outlineLevel="0" collapsed="false">
      <c r="B517" s="7"/>
      <c r="C517" s="20" t="s">
        <v>315</v>
      </c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1" t="s">
        <v>316</v>
      </c>
      <c r="P517" s="21"/>
      <c r="Q517" s="21"/>
      <c r="R517" s="21"/>
      <c r="S517" s="21"/>
      <c r="T517" s="21"/>
      <c r="U517" s="21"/>
      <c r="V517" s="21"/>
      <c r="W517" s="21"/>
      <c r="X517" s="22" t="s">
        <v>252</v>
      </c>
      <c r="Y517" s="22"/>
      <c r="Z517" s="22"/>
      <c r="AA517" s="50" t="n">
        <f aca="false">$AA$259</f>
        <v>2.98325163398693</v>
      </c>
      <c r="AB517" s="50"/>
      <c r="AC517" s="50"/>
      <c r="AD517" s="20" t="s">
        <v>38</v>
      </c>
      <c r="AE517" s="20"/>
      <c r="AF517" s="12"/>
    </row>
    <row r="518" customFormat="false" ht="14.25" hidden="false" customHeight="false" outlineLevel="0" collapsed="false">
      <c r="B518" s="7"/>
      <c r="C518" s="20" t="s">
        <v>280</v>
      </c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X518" s="73" t="str">
        <f aca="false">$X$260</f>
        <v>FS ≥ FS req …. OK!!</v>
      </c>
      <c r="Y518" s="73"/>
      <c r="Z518" s="73"/>
      <c r="AA518" s="73"/>
      <c r="AB518" s="73"/>
      <c r="AC518" s="73"/>
      <c r="AD518" s="73"/>
      <c r="AE518" s="73"/>
      <c r="AF518" s="12"/>
    </row>
    <row r="519" customFormat="false" ht="14.25" hidden="false" customHeight="true" outlineLevel="0" collapsed="false">
      <c r="B519" s="7"/>
      <c r="C519" s="20" t="s">
        <v>317</v>
      </c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1" t="s">
        <v>318</v>
      </c>
      <c r="P519" s="21"/>
      <c r="Q519" s="21"/>
      <c r="R519" s="21"/>
      <c r="S519" s="21"/>
      <c r="T519" s="21"/>
      <c r="U519" s="21"/>
      <c r="V519" s="21"/>
      <c r="W519" s="21"/>
      <c r="X519" s="22" t="s">
        <v>295</v>
      </c>
      <c r="Y519" s="22"/>
      <c r="Z519" s="22"/>
      <c r="AA519" s="51" t="n">
        <f aca="false">$AA$345</f>
        <v>61.5402263521212</v>
      </c>
      <c r="AB519" s="51"/>
      <c r="AC519" s="51"/>
      <c r="AD519" s="20" t="s">
        <v>45</v>
      </c>
      <c r="AE519" s="20"/>
      <c r="AF519" s="12"/>
    </row>
    <row r="520" customFormat="false" ht="14.25" hidden="false" customHeight="true" outlineLevel="0" collapsed="false">
      <c r="B520" s="7"/>
      <c r="C520" s="20" t="s">
        <v>319</v>
      </c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1" t="s">
        <v>320</v>
      </c>
      <c r="P520" s="21"/>
      <c r="Q520" s="21"/>
      <c r="R520" s="21"/>
      <c r="S520" s="21"/>
      <c r="T520" s="21"/>
      <c r="U520" s="21"/>
      <c r="V520" s="21"/>
      <c r="W520" s="21"/>
      <c r="X520" s="22" t="s">
        <v>307</v>
      </c>
      <c r="Y520" s="22"/>
      <c r="Z520" s="22"/>
      <c r="AA520" s="51" t="n">
        <f aca="false">$AA$484</f>
        <v>178.416638547899</v>
      </c>
      <c r="AB520" s="51"/>
      <c r="AC520" s="51"/>
      <c r="AD520" s="20" t="s">
        <v>45</v>
      </c>
      <c r="AE520" s="20"/>
      <c r="AF520" s="12"/>
    </row>
    <row r="521" customFormat="false" ht="14.25" hidden="false" customHeight="true" outlineLevel="0" collapsed="false">
      <c r="B521" s="7"/>
      <c r="C521" s="20" t="s">
        <v>123</v>
      </c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1" t="s">
        <v>320</v>
      </c>
      <c r="P521" s="21"/>
      <c r="Q521" s="21"/>
      <c r="R521" s="21"/>
      <c r="S521" s="21"/>
      <c r="T521" s="21"/>
      <c r="U521" s="21"/>
      <c r="V521" s="21"/>
      <c r="W521" s="21"/>
      <c r="X521" s="22" t="s">
        <v>310</v>
      </c>
      <c r="Y521" s="22"/>
      <c r="Z521" s="22"/>
      <c r="AA521" s="50" t="n">
        <f aca="false">$AA$485</f>
        <v>0.122561700249364</v>
      </c>
      <c r="AB521" s="50"/>
      <c r="AC521" s="50"/>
      <c r="AD521" s="20" t="s">
        <v>124</v>
      </c>
      <c r="AE521" s="20"/>
      <c r="AF521" s="12"/>
    </row>
    <row r="522" customFormat="false" ht="14.25" hidden="false" customHeight="true" outlineLevel="0" collapsed="false">
      <c r="B522" s="7"/>
      <c r="C522" s="20" t="s">
        <v>321</v>
      </c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1" t="s">
        <v>322</v>
      </c>
      <c r="P522" s="21"/>
      <c r="Q522" s="21"/>
      <c r="R522" s="21"/>
      <c r="S522" s="21"/>
      <c r="T522" s="21"/>
      <c r="U522" s="21"/>
      <c r="V522" s="21"/>
      <c r="W522" s="21"/>
      <c r="X522" s="22" t="s">
        <v>323</v>
      </c>
      <c r="Y522" s="22"/>
      <c r="Z522" s="22"/>
      <c r="AA522" s="24" t="n">
        <f aca="false">$AA$345+$AA$484</f>
        <v>239.956864900021</v>
      </c>
      <c r="AB522" s="24"/>
      <c r="AC522" s="24"/>
      <c r="AD522" s="20" t="s">
        <v>45</v>
      </c>
      <c r="AE522" s="20"/>
      <c r="AF522" s="12"/>
    </row>
    <row r="523" customFormat="false" ht="14.25" hidden="true" customHeight="false" outlineLevel="0" collapsed="false">
      <c r="B523" s="7"/>
      <c r="C523" s="9" t="s">
        <v>324</v>
      </c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X523" s="64" t="str">
        <f aca="false">IF($AA$522&lt;=Input!$AA$22,"S ≤ S all …. OK!!","S &gt; S all …. NG!!")</f>
        <v>S &gt; S all …. NG!!</v>
      </c>
      <c r="Y523" s="64"/>
      <c r="Z523" s="64"/>
      <c r="AA523" s="64"/>
      <c r="AB523" s="64"/>
      <c r="AC523" s="64"/>
      <c r="AD523" s="64"/>
      <c r="AE523" s="64"/>
      <c r="AF523" s="12"/>
    </row>
    <row r="524" customFormat="false" ht="14.25" hidden="false" customHeight="false" outlineLevel="0" collapsed="false">
      <c r="B524" s="7"/>
      <c r="AF524" s="12"/>
    </row>
    <row r="525" customFormat="false" ht="14.25" hidden="false" customHeight="false" outlineLevel="0" collapsed="false">
      <c r="B525" s="7"/>
      <c r="C525" s="19" t="s">
        <v>325</v>
      </c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  <c r="AA525" s="19"/>
      <c r="AB525" s="19"/>
      <c r="AC525" s="19"/>
      <c r="AD525" s="19"/>
      <c r="AE525" s="19"/>
      <c r="AF525" s="12"/>
    </row>
    <row r="526" customFormat="false" ht="14.25" hidden="false" customHeight="false" outlineLevel="0" collapsed="false">
      <c r="B526" s="7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  <c r="AA526" s="19"/>
      <c r="AB526" s="19"/>
      <c r="AC526" s="19"/>
      <c r="AD526" s="19"/>
      <c r="AE526" s="19"/>
      <c r="AF526" s="12"/>
    </row>
    <row r="527" customFormat="false" ht="14.25" hidden="false" customHeight="false" outlineLevel="0" collapsed="false">
      <c r="B527" s="7"/>
      <c r="AF527" s="12"/>
    </row>
    <row r="528" customFormat="false" ht="14.25" hidden="false" customHeight="false" outlineLevel="0" collapsed="false">
      <c r="B528" s="7"/>
      <c r="C528" s="9" t="s">
        <v>347</v>
      </c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  <c r="AE528" s="9"/>
      <c r="AF528" s="12"/>
    </row>
    <row r="529" customFormat="false" ht="14.25" hidden="false" customHeight="false" outlineLevel="0" collapsed="false">
      <c r="B529" s="7"/>
      <c r="AF529" s="12"/>
    </row>
    <row r="530" customFormat="false" ht="14.25" hidden="false" customHeight="false" outlineLevel="0" collapsed="false">
      <c r="B530" s="7"/>
      <c r="AF530" s="12"/>
    </row>
    <row r="531" customFormat="false" ht="14.25" hidden="false" customHeight="false" outlineLevel="0" collapsed="false">
      <c r="B531" s="7"/>
      <c r="AF531" s="12"/>
    </row>
    <row r="532" customFormat="false" ht="14.25" hidden="false" customHeight="false" outlineLevel="0" collapsed="false">
      <c r="B532" s="7"/>
      <c r="AF532" s="12"/>
    </row>
    <row r="533" customFormat="false" ht="14.25" hidden="false" customHeight="false" outlineLevel="0" collapsed="false">
      <c r="B533" s="7"/>
      <c r="AF533" s="12"/>
    </row>
    <row r="534" customFormat="false" ht="14.25" hidden="false" customHeight="false" outlineLevel="0" collapsed="false">
      <c r="B534" s="7"/>
      <c r="AF534" s="12"/>
    </row>
    <row r="535" customFormat="false" ht="14.25" hidden="false" customHeight="false" outlineLevel="0" collapsed="false">
      <c r="B535" s="7"/>
      <c r="AF535" s="12"/>
    </row>
    <row r="536" customFormat="false" ht="14.25" hidden="false" customHeight="false" outlineLevel="0" collapsed="false">
      <c r="B536" s="7"/>
      <c r="AF536" s="12"/>
    </row>
    <row r="537" customFormat="false" ht="14.25" hidden="false" customHeight="false" outlineLevel="0" collapsed="false">
      <c r="B537" s="7"/>
      <c r="AF537" s="12"/>
    </row>
    <row r="538" customFormat="false" ht="14.25" hidden="false" customHeight="false" outlineLevel="0" collapsed="false">
      <c r="B538" s="7"/>
      <c r="AF538" s="12"/>
    </row>
    <row r="539" customFormat="false" ht="14.25" hidden="false" customHeight="false" outlineLevel="0" collapsed="false">
      <c r="B539" s="7"/>
      <c r="AF539" s="12"/>
    </row>
    <row r="540" customFormat="false" ht="14.25" hidden="false" customHeight="false" outlineLevel="0" collapsed="false">
      <c r="B540" s="7"/>
      <c r="AF540" s="12"/>
    </row>
    <row r="541" customFormat="false" ht="14.25" hidden="false" customHeight="false" outlineLevel="0" collapsed="false">
      <c r="B541" s="7"/>
      <c r="AF541" s="12"/>
    </row>
    <row r="542" customFormat="false" ht="14.25" hidden="false" customHeight="false" outlineLevel="0" collapsed="false">
      <c r="B542" s="7"/>
      <c r="AF542" s="12"/>
    </row>
    <row r="543" customFormat="false" ht="14.25" hidden="false" customHeight="false" outlineLevel="0" collapsed="false">
      <c r="B543" s="7"/>
      <c r="AF543" s="12"/>
    </row>
    <row r="544" customFormat="false" ht="14.25" hidden="false" customHeight="false" outlineLevel="0" collapsed="false">
      <c r="B544" s="7"/>
      <c r="AF544" s="12"/>
    </row>
    <row r="545" customFormat="false" ht="14.25" hidden="false" customHeight="false" outlineLevel="0" collapsed="false">
      <c r="B545" s="7"/>
      <c r="AF545" s="12"/>
    </row>
    <row r="546" customFormat="false" ht="14.25" hidden="false" customHeight="false" outlineLevel="0" collapsed="false">
      <c r="B546" s="7"/>
      <c r="AF546" s="12"/>
    </row>
    <row r="547" customFormat="false" ht="14.25" hidden="false" customHeight="false" outlineLevel="0" collapsed="false">
      <c r="B547" s="7"/>
      <c r="AF547" s="12"/>
    </row>
    <row r="548" customFormat="false" ht="14.25" hidden="false" customHeight="false" outlineLevel="0" collapsed="false">
      <c r="B548" s="7"/>
      <c r="AF548" s="12"/>
    </row>
    <row r="549" customFormat="false" ht="14.25" hidden="false" customHeight="false" outlineLevel="0" collapsed="false">
      <c r="B549" s="7"/>
      <c r="AF549" s="12"/>
    </row>
    <row r="550" customFormat="false" ht="14.25" hidden="false" customHeight="false" outlineLevel="0" collapsed="false">
      <c r="B550" s="7"/>
      <c r="AF550" s="12"/>
    </row>
    <row r="551" customFormat="false" ht="14.25" hidden="false" customHeight="false" outlineLevel="0" collapsed="false">
      <c r="B551" s="7"/>
      <c r="AF551" s="12"/>
    </row>
    <row r="552" customFormat="false" ht="14.25" hidden="false" customHeight="false" outlineLevel="0" collapsed="false">
      <c r="B552" s="7"/>
      <c r="AF552" s="12"/>
    </row>
    <row r="553" customFormat="false" ht="14.25" hidden="false" customHeight="false" outlineLevel="0" collapsed="false">
      <c r="B553" s="7"/>
      <c r="AF553" s="12"/>
    </row>
    <row r="554" customFormat="false" ht="14.25" hidden="false" customHeight="false" outlineLevel="0" collapsed="false">
      <c r="B554" s="7"/>
      <c r="AF554" s="12"/>
    </row>
    <row r="555" customFormat="false" ht="14.25" hidden="false" customHeight="false" outlineLevel="0" collapsed="false">
      <c r="B555" s="7"/>
      <c r="AF555" s="12"/>
    </row>
    <row r="556" customFormat="false" ht="14.25" hidden="false" customHeight="false" outlineLevel="0" collapsed="false">
      <c r="B556" s="7"/>
      <c r="AF556" s="12"/>
    </row>
    <row r="557" customFormat="false" ht="14.25" hidden="false" customHeight="false" outlineLevel="0" collapsed="false">
      <c r="B557" s="7"/>
      <c r="AF557" s="12"/>
    </row>
    <row r="558" customFormat="false" ht="14.25" hidden="false" customHeight="false" outlineLevel="0" collapsed="false">
      <c r="B558" s="7"/>
      <c r="AF558" s="12"/>
    </row>
    <row r="559" customFormat="false" ht="14.25" hidden="false" customHeight="false" outlineLevel="0" collapsed="false">
      <c r="B559" s="7"/>
      <c r="AF559" s="12"/>
    </row>
    <row r="560" customFormat="false" ht="14.25" hidden="false" customHeight="false" outlineLevel="0" collapsed="false">
      <c r="B560" s="7"/>
      <c r="AF560" s="12"/>
    </row>
    <row r="561" customFormat="false" ht="14.25" hidden="false" customHeight="false" outlineLevel="0" collapsed="false">
      <c r="B561" s="7"/>
      <c r="AF561" s="12"/>
    </row>
    <row r="562" customFormat="false" ht="14.25" hidden="false" customHeight="false" outlineLevel="0" collapsed="false">
      <c r="B562" s="7"/>
      <c r="AF562" s="12"/>
    </row>
    <row r="563" customFormat="false" ht="14.25" hidden="false" customHeight="false" outlineLevel="0" collapsed="false">
      <c r="B563" s="7"/>
      <c r="AF563" s="12"/>
    </row>
    <row r="564" customFormat="false" ht="14.25" hidden="false" customHeight="false" outlineLevel="0" collapsed="false">
      <c r="B564" s="7"/>
      <c r="AF564" s="12"/>
    </row>
    <row r="565" customFormat="false" ht="14.25" hidden="false" customHeight="false" outlineLevel="0" collapsed="false">
      <c r="B565" s="7"/>
      <c r="AF565" s="12"/>
    </row>
    <row r="566" customFormat="false" ht="14.25" hidden="false" customHeight="false" outlineLevel="0" collapsed="false">
      <c r="B566" s="7"/>
      <c r="AF566" s="12"/>
    </row>
    <row r="567" customFormat="false" ht="14.25" hidden="false" customHeight="false" outlineLevel="0" collapsed="false">
      <c r="B567" s="7"/>
      <c r="AF567" s="12"/>
    </row>
    <row r="568" customFormat="false" ht="14.25" hidden="false" customHeight="false" outlineLevel="0" collapsed="false">
      <c r="B568" s="7"/>
      <c r="AF568" s="12"/>
    </row>
    <row r="569" customFormat="false" ht="14.25" hidden="false" customHeight="false" outlineLevel="0" collapsed="false">
      <c r="B569" s="7"/>
      <c r="AF569" s="12"/>
    </row>
    <row r="570" customFormat="false" ht="14.25" hidden="false" customHeight="false" outlineLevel="0" collapsed="false">
      <c r="B570" s="7"/>
      <c r="AF570" s="12"/>
    </row>
    <row r="571" customFormat="false" ht="14.25" hidden="false" customHeight="false" outlineLevel="0" collapsed="false">
      <c r="B571" s="7"/>
      <c r="AF571" s="12"/>
    </row>
    <row r="572" customFormat="false" ht="14.25" hidden="false" customHeight="false" outlineLevel="0" collapsed="false">
      <c r="B572" s="7"/>
      <c r="AF572" s="12"/>
    </row>
    <row r="573" customFormat="false" ht="14.25" hidden="false" customHeight="false" outlineLevel="0" collapsed="false">
      <c r="B573" s="7"/>
      <c r="AF573" s="12"/>
    </row>
    <row r="574" customFormat="false" ht="14.25" hidden="false" customHeight="false" outlineLevel="0" collapsed="false">
      <c r="B574" s="7"/>
      <c r="AF574" s="12"/>
    </row>
    <row r="575" customFormat="false" ht="14.25" hidden="false" customHeight="false" outlineLevel="0" collapsed="false">
      <c r="B575" s="7"/>
      <c r="AF575" s="12"/>
    </row>
    <row r="576" customFormat="false" ht="14.25" hidden="false" customHeight="false" outlineLevel="0" collapsed="false">
      <c r="B576" s="7"/>
      <c r="AF576" s="12"/>
    </row>
    <row r="577" customFormat="false" ht="14.25" hidden="false" customHeight="true" outlineLevel="0" collapsed="false">
      <c r="B577" s="36"/>
      <c r="C577" s="37"/>
      <c r="D577" s="37"/>
      <c r="E577" s="37"/>
      <c r="F577" s="37"/>
      <c r="G577" s="37"/>
      <c r="H577" s="37"/>
      <c r="I577" s="37"/>
      <c r="J577" s="37"/>
      <c r="K577" s="37"/>
      <c r="L577" s="37"/>
      <c r="M577" s="37"/>
      <c r="N577" s="37"/>
      <c r="O577" s="37"/>
      <c r="P577" s="37"/>
      <c r="Q577" s="37"/>
      <c r="R577" s="37"/>
      <c r="S577" s="37"/>
      <c r="T577" s="37"/>
      <c r="U577" s="37"/>
      <c r="V577" s="37"/>
      <c r="W577" s="37"/>
      <c r="X577" s="38" t="s">
        <v>93</v>
      </c>
      <c r="Y577" s="38"/>
      <c r="Z577" s="38"/>
      <c r="AA577" s="38"/>
      <c r="AB577" s="38" t="n">
        <v>8</v>
      </c>
      <c r="AC577" s="38"/>
      <c r="AD577" s="38"/>
      <c r="AE577" s="38"/>
      <c r="AF577" s="39"/>
    </row>
  </sheetData>
  <mergeCells count="1932">
    <mergeCell ref="C2:G2"/>
    <mergeCell ref="H2:W2"/>
    <mergeCell ref="X2:AA2"/>
    <mergeCell ref="AB2:AE2"/>
    <mergeCell ref="C3:G3"/>
    <mergeCell ref="H3:W3"/>
    <mergeCell ref="X3:AA3"/>
    <mergeCell ref="AB3:AE3"/>
    <mergeCell ref="C4:G4"/>
    <mergeCell ref="H4:W4"/>
    <mergeCell ref="X4:AA4"/>
    <mergeCell ref="AB4:AE4"/>
    <mergeCell ref="C5:G5"/>
    <mergeCell ref="H5:W5"/>
    <mergeCell ref="X5:AA5"/>
    <mergeCell ref="AB5:AE5"/>
    <mergeCell ref="C7:AE7"/>
    <mergeCell ref="C8:AE8"/>
    <mergeCell ref="C9:AE9"/>
    <mergeCell ref="C11:AE11"/>
    <mergeCell ref="C12:N12"/>
    <mergeCell ref="O12:W12"/>
    <mergeCell ref="X12:Z12"/>
    <mergeCell ref="AA12:AC12"/>
    <mergeCell ref="AD12:AE12"/>
    <mergeCell ref="C13:N13"/>
    <mergeCell ref="O13:W13"/>
    <mergeCell ref="X13:Z13"/>
    <mergeCell ref="AA13:AC13"/>
    <mergeCell ref="AD13:AE13"/>
    <mergeCell ref="C14:N14"/>
    <mergeCell ref="O14:W14"/>
    <mergeCell ref="X14:Z14"/>
    <mergeCell ref="AA14:AC14"/>
    <mergeCell ref="AD14:AE14"/>
    <mergeCell ref="C15:N15"/>
    <mergeCell ref="O15:W15"/>
    <mergeCell ref="X15:Z15"/>
    <mergeCell ref="AA15:AC15"/>
    <mergeCell ref="AD15:AE15"/>
    <mergeCell ref="C16:N16"/>
    <mergeCell ref="O16:W16"/>
    <mergeCell ref="X16:Z16"/>
    <mergeCell ref="AA16:AC16"/>
    <mergeCell ref="AD16:AE16"/>
    <mergeCell ref="C17:N17"/>
    <mergeCell ref="O17:W17"/>
    <mergeCell ref="X17:Z17"/>
    <mergeCell ref="AA17:AC17"/>
    <mergeCell ref="AD17:AE17"/>
    <mergeCell ref="C19:AE19"/>
    <mergeCell ref="C20:N20"/>
    <mergeCell ref="O20:W20"/>
    <mergeCell ref="X20:Z20"/>
    <mergeCell ref="AA20:AC20"/>
    <mergeCell ref="AD20:AE20"/>
    <mergeCell ref="C21:N21"/>
    <mergeCell ref="O21:W21"/>
    <mergeCell ref="X21:Z21"/>
    <mergeCell ref="AA21:AC21"/>
    <mergeCell ref="AD21:AE21"/>
    <mergeCell ref="C22:N22"/>
    <mergeCell ref="O22:W22"/>
    <mergeCell ref="X22:Z22"/>
    <mergeCell ref="AA22:AC22"/>
    <mergeCell ref="AD22:AE22"/>
    <mergeCell ref="C23:N23"/>
    <mergeCell ref="O23:W23"/>
    <mergeCell ref="X23:Z23"/>
    <mergeCell ref="AA23:AC23"/>
    <mergeCell ref="AD23:AE23"/>
    <mergeCell ref="C41:AE41"/>
    <mergeCell ref="X73:AA73"/>
    <mergeCell ref="AB73:AE73"/>
    <mergeCell ref="C74:G74"/>
    <mergeCell ref="H74:W74"/>
    <mergeCell ref="X74:AA74"/>
    <mergeCell ref="AB74:AE74"/>
    <mergeCell ref="C75:G75"/>
    <mergeCell ref="H75:W75"/>
    <mergeCell ref="X75:AA75"/>
    <mergeCell ref="AB75:AE75"/>
    <mergeCell ref="C76:G76"/>
    <mergeCell ref="H76:W76"/>
    <mergeCell ref="X76:AA76"/>
    <mergeCell ref="AB76:AE76"/>
    <mergeCell ref="C77:G77"/>
    <mergeCell ref="H77:W77"/>
    <mergeCell ref="X77:AA77"/>
    <mergeCell ref="AB77:AE77"/>
    <mergeCell ref="C79:AE79"/>
    <mergeCell ref="C80:AE80"/>
    <mergeCell ref="C81:D81"/>
    <mergeCell ref="E81:G81"/>
    <mergeCell ref="H81:J81"/>
    <mergeCell ref="K81:M81"/>
    <mergeCell ref="N81:P81"/>
    <mergeCell ref="Q81:S81"/>
    <mergeCell ref="T81:U81"/>
    <mergeCell ref="V81:W81"/>
    <mergeCell ref="X81:Y81"/>
    <mergeCell ref="Z81:AB81"/>
    <mergeCell ref="AC81:AE81"/>
    <mergeCell ref="C82:D82"/>
    <mergeCell ref="E82:G82"/>
    <mergeCell ref="H82:J82"/>
    <mergeCell ref="K82:M82"/>
    <mergeCell ref="N82:P82"/>
    <mergeCell ref="Q82:S82"/>
    <mergeCell ref="T82:U82"/>
    <mergeCell ref="V82:W82"/>
    <mergeCell ref="X82:Y82"/>
    <mergeCell ref="Z82:AB82"/>
    <mergeCell ref="AC82:AE82"/>
    <mergeCell ref="C83:D83"/>
    <mergeCell ref="E83:G83"/>
    <mergeCell ref="H83:J83"/>
    <mergeCell ref="K83:M83"/>
    <mergeCell ref="N83:P83"/>
    <mergeCell ref="Q83:S83"/>
    <mergeCell ref="T83:U83"/>
    <mergeCell ref="V83:W83"/>
    <mergeCell ref="X83:Y83"/>
    <mergeCell ref="Z83:AB83"/>
    <mergeCell ref="AC83:AE83"/>
    <mergeCell ref="C84:D84"/>
    <mergeCell ref="E84:G84"/>
    <mergeCell ref="H84:J84"/>
    <mergeCell ref="K84:M84"/>
    <mergeCell ref="N84:P84"/>
    <mergeCell ref="Q84:S84"/>
    <mergeCell ref="T84:U84"/>
    <mergeCell ref="V84:W84"/>
    <mergeCell ref="X84:Y84"/>
    <mergeCell ref="Z84:AB84"/>
    <mergeCell ref="AC84:AE84"/>
    <mergeCell ref="C85:D85"/>
    <mergeCell ref="E85:G85"/>
    <mergeCell ref="H85:J85"/>
    <mergeCell ref="K85:M85"/>
    <mergeCell ref="N85:P85"/>
    <mergeCell ref="Q85:S85"/>
    <mergeCell ref="T85:U85"/>
    <mergeCell ref="V85:W85"/>
    <mergeCell ref="X85:Y85"/>
    <mergeCell ref="Z85:AB85"/>
    <mergeCell ref="AC85:AE85"/>
    <mergeCell ref="C86:D86"/>
    <mergeCell ref="E86:G86"/>
    <mergeCell ref="H86:J86"/>
    <mergeCell ref="K86:M86"/>
    <mergeCell ref="N86:P86"/>
    <mergeCell ref="Q86:S86"/>
    <mergeCell ref="T86:U86"/>
    <mergeCell ref="V86:W86"/>
    <mergeCell ref="X86:Y86"/>
    <mergeCell ref="Z86:AB86"/>
    <mergeCell ref="AC86:AE86"/>
    <mergeCell ref="C87:D87"/>
    <mergeCell ref="E87:G87"/>
    <mergeCell ref="H87:J87"/>
    <mergeCell ref="K87:M87"/>
    <mergeCell ref="N87:P87"/>
    <mergeCell ref="Q87:S87"/>
    <mergeCell ref="T87:U87"/>
    <mergeCell ref="V87:W87"/>
    <mergeCell ref="X87:Y87"/>
    <mergeCell ref="Z87:AB87"/>
    <mergeCell ref="AC87:AE87"/>
    <mergeCell ref="C88:D88"/>
    <mergeCell ref="E88:G88"/>
    <mergeCell ref="H88:J88"/>
    <mergeCell ref="K88:M88"/>
    <mergeCell ref="N88:P88"/>
    <mergeCell ref="Q88:S88"/>
    <mergeCell ref="T88:U88"/>
    <mergeCell ref="V88:W88"/>
    <mergeCell ref="X88:Y88"/>
    <mergeCell ref="Z88:AB88"/>
    <mergeCell ref="AC88:AE88"/>
    <mergeCell ref="C89:D89"/>
    <mergeCell ref="E89:G89"/>
    <mergeCell ref="H89:J89"/>
    <mergeCell ref="K89:M89"/>
    <mergeCell ref="N89:P89"/>
    <mergeCell ref="Q89:S89"/>
    <mergeCell ref="T89:U89"/>
    <mergeCell ref="V89:W89"/>
    <mergeCell ref="X89:Y89"/>
    <mergeCell ref="Z89:AB89"/>
    <mergeCell ref="AC89:AE89"/>
    <mergeCell ref="C90:D90"/>
    <mergeCell ref="E90:G90"/>
    <mergeCell ref="H90:J90"/>
    <mergeCell ref="K90:M90"/>
    <mergeCell ref="N90:P90"/>
    <mergeCell ref="Q90:S90"/>
    <mergeCell ref="T90:U90"/>
    <mergeCell ref="V90:W90"/>
    <mergeCell ref="X90:Y90"/>
    <mergeCell ref="Z90:AB90"/>
    <mergeCell ref="AC90:AE90"/>
    <mergeCell ref="C91:D91"/>
    <mergeCell ref="E91:G91"/>
    <mergeCell ref="H91:J91"/>
    <mergeCell ref="K91:M91"/>
    <mergeCell ref="N91:P91"/>
    <mergeCell ref="Q91:S91"/>
    <mergeCell ref="T91:U91"/>
    <mergeCell ref="V91:W91"/>
    <mergeCell ref="X91:Y91"/>
    <mergeCell ref="Z91:AB91"/>
    <mergeCell ref="AC91:AE91"/>
    <mergeCell ref="C92:D92"/>
    <mergeCell ref="E92:G92"/>
    <mergeCell ref="H92:J92"/>
    <mergeCell ref="K92:M92"/>
    <mergeCell ref="N92:P92"/>
    <mergeCell ref="Q92:S92"/>
    <mergeCell ref="T92:U92"/>
    <mergeCell ref="V92:W92"/>
    <mergeCell ref="X92:Y92"/>
    <mergeCell ref="Z92:AB92"/>
    <mergeCell ref="AC92:AE92"/>
    <mergeCell ref="C93:D93"/>
    <mergeCell ref="E93:G93"/>
    <mergeCell ref="H93:J93"/>
    <mergeCell ref="K93:M93"/>
    <mergeCell ref="N93:P93"/>
    <mergeCell ref="Q93:S93"/>
    <mergeCell ref="T93:U93"/>
    <mergeCell ref="V93:W93"/>
    <mergeCell ref="X93:Y93"/>
    <mergeCell ref="Z93:AB93"/>
    <mergeCell ref="AC93:AE93"/>
    <mergeCell ref="C94:D94"/>
    <mergeCell ref="E94:G94"/>
    <mergeCell ref="H94:J94"/>
    <mergeCell ref="K94:M94"/>
    <mergeCell ref="N94:P94"/>
    <mergeCell ref="Q94:S94"/>
    <mergeCell ref="T94:U94"/>
    <mergeCell ref="V94:W94"/>
    <mergeCell ref="X94:Y94"/>
    <mergeCell ref="Z94:AB94"/>
    <mergeCell ref="AC94:AE94"/>
    <mergeCell ref="C95:D95"/>
    <mergeCell ref="E95:G95"/>
    <mergeCell ref="H95:J95"/>
    <mergeCell ref="K95:M95"/>
    <mergeCell ref="N95:P95"/>
    <mergeCell ref="Q95:S95"/>
    <mergeCell ref="T95:U95"/>
    <mergeCell ref="V95:W95"/>
    <mergeCell ref="X95:Y95"/>
    <mergeCell ref="Z95:AB95"/>
    <mergeCell ref="AC95:AE95"/>
    <mergeCell ref="C96:D96"/>
    <mergeCell ref="E96:G96"/>
    <mergeCell ref="H96:J96"/>
    <mergeCell ref="K96:M96"/>
    <mergeCell ref="N96:P96"/>
    <mergeCell ref="Q96:S96"/>
    <mergeCell ref="T96:U96"/>
    <mergeCell ref="V96:W96"/>
    <mergeCell ref="X96:Y96"/>
    <mergeCell ref="Z96:AB96"/>
    <mergeCell ref="AC96:AE96"/>
    <mergeCell ref="C97:D97"/>
    <mergeCell ref="E97:G97"/>
    <mergeCell ref="H97:J97"/>
    <mergeCell ref="K97:M97"/>
    <mergeCell ref="N97:P97"/>
    <mergeCell ref="Q97:S97"/>
    <mergeCell ref="T97:U97"/>
    <mergeCell ref="V97:W97"/>
    <mergeCell ref="X97:Y97"/>
    <mergeCell ref="Z97:AB97"/>
    <mergeCell ref="AC97:AE97"/>
    <mergeCell ref="C98:D98"/>
    <mergeCell ref="E98:G98"/>
    <mergeCell ref="H98:J98"/>
    <mergeCell ref="K98:M98"/>
    <mergeCell ref="N98:P98"/>
    <mergeCell ref="Q98:S98"/>
    <mergeCell ref="T98:U98"/>
    <mergeCell ref="V98:W98"/>
    <mergeCell ref="X98:Y98"/>
    <mergeCell ref="Z98:AB98"/>
    <mergeCell ref="AC98:AE98"/>
    <mergeCell ref="C99:D99"/>
    <mergeCell ref="E99:G99"/>
    <mergeCell ref="H99:J99"/>
    <mergeCell ref="K99:M99"/>
    <mergeCell ref="N99:P99"/>
    <mergeCell ref="Q99:S99"/>
    <mergeCell ref="T99:U99"/>
    <mergeCell ref="V99:W99"/>
    <mergeCell ref="X99:Y99"/>
    <mergeCell ref="Z99:AB99"/>
    <mergeCell ref="AC99:AE99"/>
    <mergeCell ref="C100:D100"/>
    <mergeCell ref="E100:G100"/>
    <mergeCell ref="H100:J100"/>
    <mergeCell ref="K100:M100"/>
    <mergeCell ref="N100:P100"/>
    <mergeCell ref="Q100:S100"/>
    <mergeCell ref="T100:U100"/>
    <mergeCell ref="V100:W100"/>
    <mergeCell ref="X100:Y100"/>
    <mergeCell ref="Z100:AB100"/>
    <mergeCell ref="AC100:AE100"/>
    <mergeCell ref="C101:D101"/>
    <mergeCell ref="E101:G101"/>
    <mergeCell ref="H101:J101"/>
    <mergeCell ref="K101:M101"/>
    <mergeCell ref="N101:P101"/>
    <mergeCell ref="Q101:S101"/>
    <mergeCell ref="T101:U101"/>
    <mergeCell ref="V101:W101"/>
    <mergeCell ref="X101:Y101"/>
    <mergeCell ref="Z101:AB101"/>
    <mergeCell ref="AC101:AE101"/>
    <mergeCell ref="C102:D102"/>
    <mergeCell ref="E102:G102"/>
    <mergeCell ref="H102:J102"/>
    <mergeCell ref="K102:M102"/>
    <mergeCell ref="N102:P102"/>
    <mergeCell ref="Q102:S102"/>
    <mergeCell ref="T102:U102"/>
    <mergeCell ref="V102:W102"/>
    <mergeCell ref="X102:Y102"/>
    <mergeCell ref="Z102:AB102"/>
    <mergeCell ref="AC102:AE102"/>
    <mergeCell ref="C103:D103"/>
    <mergeCell ref="E103:G103"/>
    <mergeCell ref="H103:J103"/>
    <mergeCell ref="K103:M103"/>
    <mergeCell ref="N103:P103"/>
    <mergeCell ref="Q103:S103"/>
    <mergeCell ref="T103:U103"/>
    <mergeCell ref="V103:W103"/>
    <mergeCell ref="X103:Y103"/>
    <mergeCell ref="Z103:AB103"/>
    <mergeCell ref="AC103:AE103"/>
    <mergeCell ref="C104:D104"/>
    <mergeCell ref="E104:G104"/>
    <mergeCell ref="H104:J104"/>
    <mergeCell ref="K104:M104"/>
    <mergeCell ref="N104:P104"/>
    <mergeCell ref="Q104:S104"/>
    <mergeCell ref="T104:U104"/>
    <mergeCell ref="V104:W104"/>
    <mergeCell ref="X104:Y104"/>
    <mergeCell ref="Z104:AB104"/>
    <mergeCell ref="AC104:AE104"/>
    <mergeCell ref="C105:D105"/>
    <mergeCell ref="E105:G105"/>
    <mergeCell ref="H105:J105"/>
    <mergeCell ref="K105:M105"/>
    <mergeCell ref="N105:P105"/>
    <mergeCell ref="Q105:S105"/>
    <mergeCell ref="T105:U105"/>
    <mergeCell ref="V105:W105"/>
    <mergeCell ref="X105:Y105"/>
    <mergeCell ref="Z105:AB105"/>
    <mergeCell ref="AC105:AE105"/>
    <mergeCell ref="C106:D106"/>
    <mergeCell ref="E106:G106"/>
    <mergeCell ref="H106:J106"/>
    <mergeCell ref="K106:M106"/>
    <mergeCell ref="N106:P106"/>
    <mergeCell ref="Q106:S106"/>
    <mergeCell ref="T106:U106"/>
    <mergeCell ref="V106:W106"/>
    <mergeCell ref="X106:Y106"/>
    <mergeCell ref="Z106:AB106"/>
    <mergeCell ref="AC106:AE106"/>
    <mergeCell ref="C107:D107"/>
    <mergeCell ref="E107:G107"/>
    <mergeCell ref="H107:J107"/>
    <mergeCell ref="K107:M107"/>
    <mergeCell ref="N107:P107"/>
    <mergeCell ref="Q107:S107"/>
    <mergeCell ref="T107:U107"/>
    <mergeCell ref="V107:W107"/>
    <mergeCell ref="X107:Y107"/>
    <mergeCell ref="Z107:AB107"/>
    <mergeCell ref="AC107:AE107"/>
    <mergeCell ref="C108:D108"/>
    <mergeCell ref="E108:G108"/>
    <mergeCell ref="H108:J108"/>
    <mergeCell ref="K108:M108"/>
    <mergeCell ref="N108:P108"/>
    <mergeCell ref="Q108:S108"/>
    <mergeCell ref="T108:U108"/>
    <mergeCell ref="V108:W108"/>
    <mergeCell ref="X108:Y108"/>
    <mergeCell ref="Z108:AB108"/>
    <mergeCell ref="AC108:AE108"/>
    <mergeCell ref="C109:D109"/>
    <mergeCell ref="E109:G109"/>
    <mergeCell ref="H109:J109"/>
    <mergeCell ref="K109:M109"/>
    <mergeCell ref="N109:P109"/>
    <mergeCell ref="Q109:S109"/>
    <mergeCell ref="T109:U109"/>
    <mergeCell ref="V109:W109"/>
    <mergeCell ref="X109:Y109"/>
    <mergeCell ref="Z109:AB109"/>
    <mergeCell ref="AC109:AE109"/>
    <mergeCell ref="C110:D110"/>
    <mergeCell ref="E110:G110"/>
    <mergeCell ref="H110:J110"/>
    <mergeCell ref="K110:M110"/>
    <mergeCell ref="N110:P110"/>
    <mergeCell ref="Q110:S110"/>
    <mergeCell ref="T110:U110"/>
    <mergeCell ref="V110:W110"/>
    <mergeCell ref="X110:Y110"/>
    <mergeCell ref="Z110:AB110"/>
    <mergeCell ref="AC110:AE110"/>
    <mergeCell ref="C111:D111"/>
    <mergeCell ref="E111:G111"/>
    <mergeCell ref="H111:J111"/>
    <mergeCell ref="K111:M111"/>
    <mergeCell ref="N111:P111"/>
    <mergeCell ref="Q111:S111"/>
    <mergeCell ref="T111:U111"/>
    <mergeCell ref="V111:W111"/>
    <mergeCell ref="X111:Y111"/>
    <mergeCell ref="Z111:AB111"/>
    <mergeCell ref="AC111:AE111"/>
    <mergeCell ref="C112:D112"/>
    <mergeCell ref="E112:G112"/>
    <mergeCell ref="H112:J112"/>
    <mergeCell ref="K112:M112"/>
    <mergeCell ref="N112:P112"/>
    <mergeCell ref="Q112:S112"/>
    <mergeCell ref="T112:U112"/>
    <mergeCell ref="V112:W112"/>
    <mergeCell ref="X112:Y112"/>
    <mergeCell ref="Z112:AB112"/>
    <mergeCell ref="AC112:AE112"/>
    <mergeCell ref="C113:D113"/>
    <mergeCell ref="E113:G113"/>
    <mergeCell ref="H113:J113"/>
    <mergeCell ref="K113:M113"/>
    <mergeCell ref="N113:P113"/>
    <mergeCell ref="Q113:S113"/>
    <mergeCell ref="T113:U113"/>
    <mergeCell ref="V113:W113"/>
    <mergeCell ref="X113:Y113"/>
    <mergeCell ref="Z113:AB113"/>
    <mergeCell ref="AC113:AE113"/>
    <mergeCell ref="C114:D114"/>
    <mergeCell ref="E114:G114"/>
    <mergeCell ref="H114:J114"/>
    <mergeCell ref="K114:M114"/>
    <mergeCell ref="N114:P114"/>
    <mergeCell ref="Q114:S114"/>
    <mergeCell ref="T114:U114"/>
    <mergeCell ref="V114:W114"/>
    <mergeCell ref="X114:Y114"/>
    <mergeCell ref="Z114:AB114"/>
    <mergeCell ref="AC114:AE114"/>
    <mergeCell ref="C115:D115"/>
    <mergeCell ref="E115:G115"/>
    <mergeCell ref="H115:J115"/>
    <mergeCell ref="K115:M115"/>
    <mergeCell ref="N115:P115"/>
    <mergeCell ref="Q115:S115"/>
    <mergeCell ref="T115:U115"/>
    <mergeCell ref="V115:W115"/>
    <mergeCell ref="X115:Y115"/>
    <mergeCell ref="Z115:AB115"/>
    <mergeCell ref="AC115:AE115"/>
    <mergeCell ref="C116:D116"/>
    <mergeCell ref="E116:G116"/>
    <mergeCell ref="H116:J116"/>
    <mergeCell ref="K116:M116"/>
    <mergeCell ref="N116:P116"/>
    <mergeCell ref="Q116:S116"/>
    <mergeCell ref="T116:U116"/>
    <mergeCell ref="V116:W116"/>
    <mergeCell ref="X116:Y116"/>
    <mergeCell ref="Z116:AB116"/>
    <mergeCell ref="AC116:AE116"/>
    <mergeCell ref="C117:D117"/>
    <mergeCell ref="E117:G117"/>
    <mergeCell ref="H117:J117"/>
    <mergeCell ref="K117:M117"/>
    <mergeCell ref="N117:P117"/>
    <mergeCell ref="Q117:S117"/>
    <mergeCell ref="T117:U117"/>
    <mergeCell ref="V117:W117"/>
    <mergeCell ref="X117:Y117"/>
    <mergeCell ref="Z117:AB117"/>
    <mergeCell ref="AC117:AE117"/>
    <mergeCell ref="C118:D118"/>
    <mergeCell ref="E118:G118"/>
    <mergeCell ref="H118:J118"/>
    <mergeCell ref="K118:M118"/>
    <mergeCell ref="N118:P118"/>
    <mergeCell ref="Q118:S118"/>
    <mergeCell ref="T118:U118"/>
    <mergeCell ref="V118:W118"/>
    <mergeCell ref="X118:Y118"/>
    <mergeCell ref="Z118:AB118"/>
    <mergeCell ref="AC118:AE118"/>
    <mergeCell ref="C119:D119"/>
    <mergeCell ref="E119:G119"/>
    <mergeCell ref="H119:J119"/>
    <mergeCell ref="K119:M119"/>
    <mergeCell ref="N119:P119"/>
    <mergeCell ref="Q119:S119"/>
    <mergeCell ref="T119:U119"/>
    <mergeCell ref="V119:W119"/>
    <mergeCell ref="X119:Y119"/>
    <mergeCell ref="Z119:AB119"/>
    <mergeCell ref="AC119:AE119"/>
    <mergeCell ref="C120:D120"/>
    <mergeCell ref="E120:G120"/>
    <mergeCell ref="H120:J120"/>
    <mergeCell ref="K120:M120"/>
    <mergeCell ref="N120:P120"/>
    <mergeCell ref="Q120:S120"/>
    <mergeCell ref="T120:U120"/>
    <mergeCell ref="V120:W120"/>
    <mergeCell ref="X120:Y120"/>
    <mergeCell ref="Z120:AB120"/>
    <mergeCell ref="AC120:AE120"/>
    <mergeCell ref="C121:D121"/>
    <mergeCell ref="E121:G121"/>
    <mergeCell ref="H121:J121"/>
    <mergeCell ref="K121:M121"/>
    <mergeCell ref="N121:P121"/>
    <mergeCell ref="Q121:S121"/>
    <mergeCell ref="T121:U121"/>
    <mergeCell ref="V121:W121"/>
    <mergeCell ref="X121:Y121"/>
    <mergeCell ref="Z121:AB121"/>
    <mergeCell ref="AC121:AE121"/>
    <mergeCell ref="C122:D122"/>
    <mergeCell ref="E122:G122"/>
    <mergeCell ref="H122:J122"/>
    <mergeCell ref="K122:M122"/>
    <mergeCell ref="N122:P122"/>
    <mergeCell ref="Q122:S122"/>
    <mergeCell ref="T122:U122"/>
    <mergeCell ref="V122:W122"/>
    <mergeCell ref="X122:Y122"/>
    <mergeCell ref="Z122:AB122"/>
    <mergeCell ref="AC122:AE122"/>
    <mergeCell ref="C123:D123"/>
    <mergeCell ref="E123:G123"/>
    <mergeCell ref="H123:J123"/>
    <mergeCell ref="K123:M123"/>
    <mergeCell ref="N123:P123"/>
    <mergeCell ref="Q123:S123"/>
    <mergeCell ref="T123:U123"/>
    <mergeCell ref="V123:W123"/>
    <mergeCell ref="X123:Y123"/>
    <mergeCell ref="Z123:AB123"/>
    <mergeCell ref="AC123:AE123"/>
    <mergeCell ref="C124:AE124"/>
    <mergeCell ref="C125:AE125"/>
    <mergeCell ref="X145:AA145"/>
    <mergeCell ref="AB145:AE145"/>
    <mergeCell ref="C146:G146"/>
    <mergeCell ref="H146:W146"/>
    <mergeCell ref="X146:AA146"/>
    <mergeCell ref="AB146:AE146"/>
    <mergeCell ref="C147:G147"/>
    <mergeCell ref="H147:W147"/>
    <mergeCell ref="X147:AA147"/>
    <mergeCell ref="AB147:AE147"/>
    <mergeCell ref="C148:G148"/>
    <mergeCell ref="H148:W148"/>
    <mergeCell ref="X148:AA148"/>
    <mergeCell ref="AB148:AE148"/>
    <mergeCell ref="C149:G149"/>
    <mergeCell ref="H149:W149"/>
    <mergeCell ref="X149:AA149"/>
    <mergeCell ref="AB149:AE149"/>
    <mergeCell ref="C151:AE151"/>
    <mergeCell ref="C152:AE152"/>
    <mergeCell ref="C153:AE153"/>
    <mergeCell ref="C154:AE154"/>
    <mergeCell ref="C155:AE155"/>
    <mergeCell ref="C156:AE156"/>
    <mergeCell ref="C170:AE170"/>
    <mergeCell ref="C172:AE172"/>
    <mergeCell ref="C173:N173"/>
    <mergeCell ref="O173:W173"/>
    <mergeCell ref="X173:Z173"/>
    <mergeCell ref="AA173:AC173"/>
    <mergeCell ref="AD173:AE173"/>
    <mergeCell ref="C174:N174"/>
    <mergeCell ref="O174:W174"/>
    <mergeCell ref="X174:Z174"/>
    <mergeCell ref="AA174:AC174"/>
    <mergeCell ref="AD174:AE174"/>
    <mergeCell ref="C175:N175"/>
    <mergeCell ref="O175:W175"/>
    <mergeCell ref="X175:Z175"/>
    <mergeCell ref="AA175:AC175"/>
    <mergeCell ref="AD175:AE175"/>
    <mergeCell ref="C176:N176"/>
    <mergeCell ref="O176:W176"/>
    <mergeCell ref="X176:Z176"/>
    <mergeCell ref="AA176:AC176"/>
    <mergeCell ref="AD176:AE176"/>
    <mergeCell ref="C177:N177"/>
    <mergeCell ref="O177:W177"/>
    <mergeCell ref="X177:Z177"/>
    <mergeCell ref="AA177:AC177"/>
    <mergeCell ref="AD177:AE177"/>
    <mergeCell ref="C178:N178"/>
    <mergeCell ref="O178:W178"/>
    <mergeCell ref="X178:Z178"/>
    <mergeCell ref="AA178:AC178"/>
    <mergeCell ref="AD178:AE178"/>
    <mergeCell ref="C179:N179"/>
    <mergeCell ref="O179:W179"/>
    <mergeCell ref="X179:Z179"/>
    <mergeCell ref="AA179:AC179"/>
    <mergeCell ref="AD179:AE179"/>
    <mergeCell ref="C180:N180"/>
    <mergeCell ref="O180:W180"/>
    <mergeCell ref="X180:Z180"/>
    <mergeCell ref="AA180:AC180"/>
    <mergeCell ref="AD180:AE180"/>
    <mergeCell ref="C181:N181"/>
    <mergeCell ref="O181:W181"/>
    <mergeCell ref="X181:Z181"/>
    <mergeCell ref="AA181:AC181"/>
    <mergeCell ref="AD181:AE181"/>
    <mergeCell ref="C182:N182"/>
    <mergeCell ref="O182:W182"/>
    <mergeCell ref="X182:Z182"/>
    <mergeCell ref="AA182:AC182"/>
    <mergeCell ref="AD182:AE182"/>
    <mergeCell ref="C183:N183"/>
    <mergeCell ref="O183:W183"/>
    <mergeCell ref="X183:Z183"/>
    <mergeCell ref="AA183:AC183"/>
    <mergeCell ref="AD183:AE183"/>
    <mergeCell ref="C184:N184"/>
    <mergeCell ref="O184:W184"/>
    <mergeCell ref="X184:Z184"/>
    <mergeCell ref="AA184:AC184"/>
    <mergeCell ref="AD184:AE184"/>
    <mergeCell ref="C185:N185"/>
    <mergeCell ref="O185:W185"/>
    <mergeCell ref="X185:Z185"/>
    <mergeCell ref="AA185:AC185"/>
    <mergeCell ref="AD185:AE185"/>
    <mergeCell ref="C186:N186"/>
    <mergeCell ref="O186:W186"/>
    <mergeCell ref="X186:Z186"/>
    <mergeCell ref="AA186:AC186"/>
    <mergeCell ref="AD186:AE186"/>
    <mergeCell ref="C187:N187"/>
    <mergeCell ref="O187:W187"/>
    <mergeCell ref="X187:Z187"/>
    <mergeCell ref="AA187:AC187"/>
    <mergeCell ref="AD187:AE187"/>
    <mergeCell ref="C188:N188"/>
    <mergeCell ref="O188:W188"/>
    <mergeCell ref="X188:Z188"/>
    <mergeCell ref="AA188:AC188"/>
    <mergeCell ref="AD188:AE188"/>
    <mergeCell ref="C189:N189"/>
    <mergeCell ref="X189:AE189"/>
    <mergeCell ref="C191:AE191"/>
    <mergeCell ref="C192:N192"/>
    <mergeCell ref="O192:W192"/>
    <mergeCell ref="X192:Z192"/>
    <mergeCell ref="AA192:AC192"/>
    <mergeCell ref="AD192:AE192"/>
    <mergeCell ref="C193:N193"/>
    <mergeCell ref="O193:W193"/>
    <mergeCell ref="X193:Z193"/>
    <mergeCell ref="AA193:AC193"/>
    <mergeCell ref="AD193:AE193"/>
    <mergeCell ref="C194:N194"/>
    <mergeCell ref="O194:W194"/>
    <mergeCell ref="X194:Z194"/>
    <mergeCell ref="AA194:AC194"/>
    <mergeCell ref="AD194:AE194"/>
    <mergeCell ref="C195:N195"/>
    <mergeCell ref="O195:W195"/>
    <mergeCell ref="X195:Z195"/>
    <mergeCell ref="AA195:AC195"/>
    <mergeCell ref="AD195:AE195"/>
    <mergeCell ref="C196:N196"/>
    <mergeCell ref="O196:W196"/>
    <mergeCell ref="X196:Z196"/>
    <mergeCell ref="AA196:AC196"/>
    <mergeCell ref="AD196:AE196"/>
    <mergeCell ref="C197:N197"/>
    <mergeCell ref="O197:W197"/>
    <mergeCell ref="X197:Z197"/>
    <mergeCell ref="AA197:AC197"/>
    <mergeCell ref="AD197:AE197"/>
    <mergeCell ref="C198:N198"/>
    <mergeCell ref="O198:W198"/>
    <mergeCell ref="X198:Z198"/>
    <mergeCell ref="AA198:AC198"/>
    <mergeCell ref="AD198:AE198"/>
    <mergeCell ref="C199:N199"/>
    <mergeCell ref="O199:W199"/>
    <mergeCell ref="X199:Z199"/>
    <mergeCell ref="AA199:AC199"/>
    <mergeCell ref="AD199:AE199"/>
    <mergeCell ref="C200:N200"/>
    <mergeCell ref="O200:W200"/>
    <mergeCell ref="X200:Z200"/>
    <mergeCell ref="AA200:AC200"/>
    <mergeCell ref="AD200:AE200"/>
    <mergeCell ref="C201:N201"/>
    <mergeCell ref="O201:W201"/>
    <mergeCell ref="X201:Z201"/>
    <mergeCell ref="AA201:AC201"/>
    <mergeCell ref="AD201:AE201"/>
    <mergeCell ref="C202:N202"/>
    <mergeCell ref="O202:W202"/>
    <mergeCell ref="X202:Z202"/>
    <mergeCell ref="AA202:AC202"/>
    <mergeCell ref="AD202:AE202"/>
    <mergeCell ref="C203:N203"/>
    <mergeCell ref="O203:W203"/>
    <mergeCell ref="X203:Z203"/>
    <mergeCell ref="AA203:AC203"/>
    <mergeCell ref="AD203:AE203"/>
    <mergeCell ref="C204:N204"/>
    <mergeCell ref="O204:W204"/>
    <mergeCell ref="X204:Z204"/>
    <mergeCell ref="AA204:AC204"/>
    <mergeCell ref="AD204:AE204"/>
    <mergeCell ref="C205:N205"/>
    <mergeCell ref="O205:W205"/>
    <mergeCell ref="X205:Z205"/>
    <mergeCell ref="AA205:AC205"/>
    <mergeCell ref="AD205:AE205"/>
    <mergeCell ref="C206:N206"/>
    <mergeCell ref="O206:W206"/>
    <mergeCell ref="X206:Z206"/>
    <mergeCell ref="AA206:AC206"/>
    <mergeCell ref="AD206:AE206"/>
    <mergeCell ref="C207:N207"/>
    <mergeCell ref="O207:W207"/>
    <mergeCell ref="X207:Z207"/>
    <mergeCell ref="AA207:AC207"/>
    <mergeCell ref="AD207:AE207"/>
    <mergeCell ref="C208:N208"/>
    <mergeCell ref="X208:AE208"/>
    <mergeCell ref="X217:AA217"/>
    <mergeCell ref="AB217:AE217"/>
    <mergeCell ref="C218:G218"/>
    <mergeCell ref="H218:W218"/>
    <mergeCell ref="X218:AA218"/>
    <mergeCell ref="AB218:AE218"/>
    <mergeCell ref="C219:G219"/>
    <mergeCell ref="H219:W219"/>
    <mergeCell ref="X219:AA219"/>
    <mergeCell ref="AB219:AE219"/>
    <mergeCell ref="C220:G220"/>
    <mergeCell ref="H220:W220"/>
    <mergeCell ref="X220:AA220"/>
    <mergeCell ref="AB220:AE220"/>
    <mergeCell ref="C221:G221"/>
    <mergeCell ref="H221:W221"/>
    <mergeCell ref="X221:AA221"/>
    <mergeCell ref="AB221:AE221"/>
    <mergeCell ref="C223:AE223"/>
    <mergeCell ref="C224:N224"/>
    <mergeCell ref="O224:W224"/>
    <mergeCell ref="X224:Z224"/>
    <mergeCell ref="AA224:AC224"/>
    <mergeCell ref="AD224:AE224"/>
    <mergeCell ref="C225:N225"/>
    <mergeCell ref="O225:W225"/>
    <mergeCell ref="X225:Z225"/>
    <mergeCell ref="AA225:AC225"/>
    <mergeCell ref="AD225:AE225"/>
    <mergeCell ref="C226:AE226"/>
    <mergeCell ref="C228:AE228"/>
    <mergeCell ref="C229:AE229"/>
    <mergeCell ref="C230:AE230"/>
    <mergeCell ref="C231:AE231"/>
    <mergeCell ref="C251:AE251"/>
    <mergeCell ref="C253:N253"/>
    <mergeCell ref="O253:W253"/>
    <mergeCell ref="X253:Z253"/>
    <mergeCell ref="AA253:AC253"/>
    <mergeCell ref="AD253:AE253"/>
    <mergeCell ref="C254:N254"/>
    <mergeCell ref="O254:W254"/>
    <mergeCell ref="X254:Z254"/>
    <mergeCell ref="AA254:AC254"/>
    <mergeCell ref="AD254:AE254"/>
    <mergeCell ref="C255:N255"/>
    <mergeCell ref="O255:W255"/>
    <mergeCell ref="X255:Z255"/>
    <mergeCell ref="AA255:AC255"/>
    <mergeCell ref="AD255:AE255"/>
    <mergeCell ref="C256:N256"/>
    <mergeCell ref="O256:W256"/>
    <mergeCell ref="X256:Z256"/>
    <mergeCell ref="AA256:AC256"/>
    <mergeCell ref="AD256:AE256"/>
    <mergeCell ref="C257:N257"/>
    <mergeCell ref="X257:AE257"/>
    <mergeCell ref="C258:N258"/>
    <mergeCell ref="O258:W258"/>
    <mergeCell ref="X258:Z258"/>
    <mergeCell ref="AA258:AC258"/>
    <mergeCell ref="AD258:AE258"/>
    <mergeCell ref="C259:N259"/>
    <mergeCell ref="O259:W259"/>
    <mergeCell ref="X259:Z259"/>
    <mergeCell ref="AA259:AC259"/>
    <mergeCell ref="AD259:AE259"/>
    <mergeCell ref="C260:N260"/>
    <mergeCell ref="X260:AE260"/>
    <mergeCell ref="C261:AE261"/>
    <mergeCell ref="X289:AA289"/>
    <mergeCell ref="AB289:AE289"/>
    <mergeCell ref="C290:G290"/>
    <mergeCell ref="H290:W290"/>
    <mergeCell ref="X290:AA290"/>
    <mergeCell ref="AB290:AE290"/>
    <mergeCell ref="C291:G291"/>
    <mergeCell ref="H291:W291"/>
    <mergeCell ref="X291:AA291"/>
    <mergeCell ref="AB291:AE291"/>
    <mergeCell ref="C292:G292"/>
    <mergeCell ref="H292:W292"/>
    <mergeCell ref="X292:AA292"/>
    <mergeCell ref="AB292:AE292"/>
    <mergeCell ref="C293:G293"/>
    <mergeCell ref="H293:W293"/>
    <mergeCell ref="X293:AA293"/>
    <mergeCell ref="AB293:AE293"/>
    <mergeCell ref="C295:AE295"/>
    <mergeCell ref="C296:AE296"/>
    <mergeCell ref="C297:AE297"/>
    <mergeCell ref="C298:AE298"/>
    <mergeCell ref="C299:AE299"/>
    <mergeCell ref="C300:AE300"/>
    <mergeCell ref="C301:D301"/>
    <mergeCell ref="E301:G301"/>
    <mergeCell ref="H301:J301"/>
    <mergeCell ref="K301:M301"/>
    <mergeCell ref="N301:P301"/>
    <mergeCell ref="Q301:R301"/>
    <mergeCell ref="S301:U301"/>
    <mergeCell ref="V301:X301"/>
    <mergeCell ref="Y301:Z301"/>
    <mergeCell ref="AA301:AB301"/>
    <mergeCell ref="AC301:AE301"/>
    <mergeCell ref="C302:D302"/>
    <mergeCell ref="E302:G302"/>
    <mergeCell ref="H302:J302"/>
    <mergeCell ref="K302:M302"/>
    <mergeCell ref="N302:P302"/>
    <mergeCell ref="Q302:R302"/>
    <mergeCell ref="S302:U302"/>
    <mergeCell ref="V302:X302"/>
    <mergeCell ref="Y302:Z302"/>
    <mergeCell ref="AA302:AB302"/>
    <mergeCell ref="AC302:AE302"/>
    <mergeCell ref="C303:D303"/>
    <mergeCell ref="E303:G303"/>
    <mergeCell ref="H303:J303"/>
    <mergeCell ref="K303:M303"/>
    <mergeCell ref="N303:P303"/>
    <mergeCell ref="Q303:R303"/>
    <mergeCell ref="S303:U303"/>
    <mergeCell ref="V303:X303"/>
    <mergeCell ref="Y303:Z303"/>
    <mergeCell ref="AA303:AB303"/>
    <mergeCell ref="AC303:AE303"/>
    <mergeCell ref="C304:D304"/>
    <mergeCell ref="E304:G304"/>
    <mergeCell ref="H304:J304"/>
    <mergeCell ref="K304:M304"/>
    <mergeCell ref="N304:P304"/>
    <mergeCell ref="Q304:R304"/>
    <mergeCell ref="S304:U304"/>
    <mergeCell ref="V304:X304"/>
    <mergeCell ref="Y304:Z304"/>
    <mergeCell ref="AA304:AB304"/>
    <mergeCell ref="AC304:AE304"/>
    <mergeCell ref="C305:D305"/>
    <mergeCell ref="E305:G305"/>
    <mergeCell ref="H305:J305"/>
    <mergeCell ref="K305:M305"/>
    <mergeCell ref="N305:P305"/>
    <mergeCell ref="Q305:R305"/>
    <mergeCell ref="S305:U305"/>
    <mergeCell ref="V305:X305"/>
    <mergeCell ref="Y305:Z305"/>
    <mergeCell ref="AA305:AB305"/>
    <mergeCell ref="AC305:AE305"/>
    <mergeCell ref="C306:D306"/>
    <mergeCell ref="E306:G306"/>
    <mergeCell ref="H306:J306"/>
    <mergeCell ref="K306:M306"/>
    <mergeCell ref="N306:P306"/>
    <mergeCell ref="Q306:R306"/>
    <mergeCell ref="S306:U306"/>
    <mergeCell ref="V306:X306"/>
    <mergeCell ref="Y306:Z306"/>
    <mergeCell ref="AA306:AB306"/>
    <mergeCell ref="AC306:AE306"/>
    <mergeCell ref="C307:D307"/>
    <mergeCell ref="E307:G307"/>
    <mergeCell ref="H307:J307"/>
    <mergeCell ref="K307:M307"/>
    <mergeCell ref="N307:P307"/>
    <mergeCell ref="Q307:R307"/>
    <mergeCell ref="S307:U307"/>
    <mergeCell ref="V307:X307"/>
    <mergeCell ref="Y307:Z307"/>
    <mergeCell ref="AA307:AB307"/>
    <mergeCell ref="AC307:AE307"/>
    <mergeCell ref="C308:D308"/>
    <mergeCell ref="E308:G308"/>
    <mergeCell ref="H308:J308"/>
    <mergeCell ref="K308:M308"/>
    <mergeCell ref="N308:P308"/>
    <mergeCell ref="Q308:R308"/>
    <mergeCell ref="S308:U308"/>
    <mergeCell ref="V308:X308"/>
    <mergeCell ref="Y308:Z308"/>
    <mergeCell ref="AA308:AB308"/>
    <mergeCell ref="AC308:AE308"/>
    <mergeCell ref="C309:D309"/>
    <mergeCell ref="E309:G309"/>
    <mergeCell ref="H309:J309"/>
    <mergeCell ref="K309:M309"/>
    <mergeCell ref="N309:P309"/>
    <mergeCell ref="Q309:R309"/>
    <mergeCell ref="S309:U309"/>
    <mergeCell ref="V309:X309"/>
    <mergeCell ref="Y309:Z309"/>
    <mergeCell ref="AA309:AB309"/>
    <mergeCell ref="AC309:AE309"/>
    <mergeCell ref="C310:D310"/>
    <mergeCell ref="E310:G310"/>
    <mergeCell ref="H310:J310"/>
    <mergeCell ref="K310:M310"/>
    <mergeCell ref="N310:P310"/>
    <mergeCell ref="Q310:R310"/>
    <mergeCell ref="S310:U310"/>
    <mergeCell ref="V310:X310"/>
    <mergeCell ref="Y310:Z310"/>
    <mergeCell ref="AA310:AB310"/>
    <mergeCell ref="AC310:AE310"/>
    <mergeCell ref="C311:D311"/>
    <mergeCell ref="E311:G311"/>
    <mergeCell ref="H311:J311"/>
    <mergeCell ref="K311:M311"/>
    <mergeCell ref="N311:P311"/>
    <mergeCell ref="Q311:R311"/>
    <mergeCell ref="S311:U311"/>
    <mergeCell ref="V311:X311"/>
    <mergeCell ref="Y311:Z311"/>
    <mergeCell ref="AA311:AB311"/>
    <mergeCell ref="AC311:AE311"/>
    <mergeCell ref="C312:D312"/>
    <mergeCell ref="E312:G312"/>
    <mergeCell ref="H312:J312"/>
    <mergeCell ref="K312:M312"/>
    <mergeCell ref="N312:P312"/>
    <mergeCell ref="Q312:R312"/>
    <mergeCell ref="S312:U312"/>
    <mergeCell ref="V312:X312"/>
    <mergeCell ref="Y312:Z312"/>
    <mergeCell ref="AA312:AB312"/>
    <mergeCell ref="AC312:AE312"/>
    <mergeCell ref="C313:D313"/>
    <mergeCell ref="E313:G313"/>
    <mergeCell ref="H313:J313"/>
    <mergeCell ref="K313:M313"/>
    <mergeCell ref="N313:P313"/>
    <mergeCell ref="Q313:R313"/>
    <mergeCell ref="S313:U313"/>
    <mergeCell ref="V313:X313"/>
    <mergeCell ref="Y313:Z313"/>
    <mergeCell ref="AA313:AB313"/>
    <mergeCell ref="AC313:AE313"/>
    <mergeCell ref="C314:D314"/>
    <mergeCell ref="E314:G314"/>
    <mergeCell ref="H314:J314"/>
    <mergeCell ref="K314:M314"/>
    <mergeCell ref="N314:P314"/>
    <mergeCell ref="Q314:R314"/>
    <mergeCell ref="S314:U314"/>
    <mergeCell ref="V314:X314"/>
    <mergeCell ref="Y314:Z314"/>
    <mergeCell ref="AA314:AB314"/>
    <mergeCell ref="AC314:AE314"/>
    <mergeCell ref="C315:D315"/>
    <mergeCell ref="E315:G315"/>
    <mergeCell ref="H315:J315"/>
    <mergeCell ref="K315:M315"/>
    <mergeCell ref="N315:P315"/>
    <mergeCell ref="Q315:R315"/>
    <mergeCell ref="S315:U315"/>
    <mergeCell ref="V315:X315"/>
    <mergeCell ref="Y315:Z315"/>
    <mergeCell ref="AA315:AB315"/>
    <mergeCell ref="AC315:AE315"/>
    <mergeCell ref="C316:D316"/>
    <mergeCell ref="E316:G316"/>
    <mergeCell ref="H316:J316"/>
    <mergeCell ref="K316:M316"/>
    <mergeCell ref="N316:P316"/>
    <mergeCell ref="Q316:R316"/>
    <mergeCell ref="S316:U316"/>
    <mergeCell ref="V316:X316"/>
    <mergeCell ref="Y316:Z316"/>
    <mergeCell ref="AA316:AB316"/>
    <mergeCell ref="AC316:AE316"/>
    <mergeCell ref="C317:D317"/>
    <mergeCell ref="E317:G317"/>
    <mergeCell ref="H317:J317"/>
    <mergeCell ref="K317:M317"/>
    <mergeCell ref="N317:P317"/>
    <mergeCell ref="Q317:R317"/>
    <mergeCell ref="S317:U317"/>
    <mergeCell ref="V317:X317"/>
    <mergeCell ref="Y317:Z317"/>
    <mergeCell ref="AA317:AB317"/>
    <mergeCell ref="AC317:AE317"/>
    <mergeCell ref="C318:D318"/>
    <mergeCell ref="E318:G318"/>
    <mergeCell ref="H318:J318"/>
    <mergeCell ref="K318:M318"/>
    <mergeCell ref="N318:P318"/>
    <mergeCell ref="Q318:R318"/>
    <mergeCell ref="S318:U318"/>
    <mergeCell ref="V318:X318"/>
    <mergeCell ref="Y318:Z318"/>
    <mergeCell ref="AA318:AB318"/>
    <mergeCell ref="AC318:AE318"/>
    <mergeCell ref="C319:D319"/>
    <mergeCell ref="E319:G319"/>
    <mergeCell ref="H319:J319"/>
    <mergeCell ref="K319:M319"/>
    <mergeCell ref="N319:P319"/>
    <mergeCell ref="Q319:R319"/>
    <mergeCell ref="S319:U319"/>
    <mergeCell ref="V319:X319"/>
    <mergeCell ref="Y319:Z319"/>
    <mergeCell ref="AA319:AB319"/>
    <mergeCell ref="AC319:AE319"/>
    <mergeCell ref="C320:D320"/>
    <mergeCell ref="E320:G320"/>
    <mergeCell ref="H320:J320"/>
    <mergeCell ref="K320:M320"/>
    <mergeCell ref="N320:P320"/>
    <mergeCell ref="Q320:R320"/>
    <mergeCell ref="S320:U320"/>
    <mergeCell ref="V320:X320"/>
    <mergeCell ref="Y320:Z320"/>
    <mergeCell ref="AA320:AB320"/>
    <mergeCell ref="AC320:AE320"/>
    <mergeCell ref="C321:D321"/>
    <mergeCell ref="E321:G321"/>
    <mergeCell ref="H321:J321"/>
    <mergeCell ref="K321:M321"/>
    <mergeCell ref="N321:P321"/>
    <mergeCell ref="Q321:R321"/>
    <mergeCell ref="S321:U321"/>
    <mergeCell ref="V321:X321"/>
    <mergeCell ref="Y321:Z321"/>
    <mergeCell ref="AA321:AB321"/>
    <mergeCell ref="AC321:AE321"/>
    <mergeCell ref="C322:D322"/>
    <mergeCell ref="E322:G322"/>
    <mergeCell ref="H322:J322"/>
    <mergeCell ref="K322:M322"/>
    <mergeCell ref="N322:P322"/>
    <mergeCell ref="Q322:R322"/>
    <mergeCell ref="S322:U322"/>
    <mergeCell ref="V322:X322"/>
    <mergeCell ref="Y322:Z322"/>
    <mergeCell ref="AA322:AB322"/>
    <mergeCell ref="AC322:AE322"/>
    <mergeCell ref="C323:D323"/>
    <mergeCell ref="E323:G323"/>
    <mergeCell ref="H323:J323"/>
    <mergeCell ref="K323:M323"/>
    <mergeCell ref="N323:P323"/>
    <mergeCell ref="Q323:R323"/>
    <mergeCell ref="S323:U323"/>
    <mergeCell ref="V323:X323"/>
    <mergeCell ref="Y323:Z323"/>
    <mergeCell ref="AA323:AB323"/>
    <mergeCell ref="AC323:AE323"/>
    <mergeCell ref="C324:D324"/>
    <mergeCell ref="E324:G324"/>
    <mergeCell ref="H324:J324"/>
    <mergeCell ref="K324:M324"/>
    <mergeCell ref="N324:P324"/>
    <mergeCell ref="Q324:R324"/>
    <mergeCell ref="S324:U324"/>
    <mergeCell ref="V324:X324"/>
    <mergeCell ref="Y324:Z324"/>
    <mergeCell ref="AA324:AB324"/>
    <mergeCell ref="AC324:AE324"/>
    <mergeCell ref="C325:D325"/>
    <mergeCell ref="E325:G325"/>
    <mergeCell ref="H325:J325"/>
    <mergeCell ref="K325:M325"/>
    <mergeCell ref="N325:P325"/>
    <mergeCell ref="Q325:R325"/>
    <mergeCell ref="S325:U325"/>
    <mergeCell ref="V325:X325"/>
    <mergeCell ref="Y325:Z325"/>
    <mergeCell ref="AA325:AB325"/>
    <mergeCell ref="AC325:AE325"/>
    <mergeCell ref="C326:D326"/>
    <mergeCell ref="E326:G326"/>
    <mergeCell ref="H326:J326"/>
    <mergeCell ref="K326:M326"/>
    <mergeCell ref="N326:P326"/>
    <mergeCell ref="Q326:R326"/>
    <mergeCell ref="S326:U326"/>
    <mergeCell ref="V326:X326"/>
    <mergeCell ref="Y326:Z326"/>
    <mergeCell ref="AA326:AB326"/>
    <mergeCell ref="AC326:AE326"/>
    <mergeCell ref="C327:D327"/>
    <mergeCell ref="E327:G327"/>
    <mergeCell ref="H327:J327"/>
    <mergeCell ref="K327:M327"/>
    <mergeCell ref="N327:P327"/>
    <mergeCell ref="Q327:R327"/>
    <mergeCell ref="S327:U327"/>
    <mergeCell ref="V327:X327"/>
    <mergeCell ref="Y327:Z327"/>
    <mergeCell ref="AA327:AB327"/>
    <mergeCell ref="AC327:AE327"/>
    <mergeCell ref="C328:D328"/>
    <mergeCell ref="E328:G328"/>
    <mergeCell ref="H328:J328"/>
    <mergeCell ref="K328:M328"/>
    <mergeCell ref="N328:P328"/>
    <mergeCell ref="Q328:R328"/>
    <mergeCell ref="S328:U328"/>
    <mergeCell ref="V328:X328"/>
    <mergeCell ref="Y328:Z328"/>
    <mergeCell ref="AA328:AB328"/>
    <mergeCell ref="AC328:AE328"/>
    <mergeCell ref="C329:D329"/>
    <mergeCell ref="E329:G329"/>
    <mergeCell ref="H329:J329"/>
    <mergeCell ref="K329:M329"/>
    <mergeCell ref="N329:P329"/>
    <mergeCell ref="Q329:R329"/>
    <mergeCell ref="S329:U329"/>
    <mergeCell ref="V329:X329"/>
    <mergeCell ref="Y329:Z329"/>
    <mergeCell ref="AA329:AB329"/>
    <mergeCell ref="AC329:AE329"/>
    <mergeCell ref="C330:D330"/>
    <mergeCell ref="E330:G330"/>
    <mergeCell ref="H330:J330"/>
    <mergeCell ref="K330:M330"/>
    <mergeCell ref="N330:P330"/>
    <mergeCell ref="Q330:R330"/>
    <mergeCell ref="S330:U330"/>
    <mergeCell ref="V330:X330"/>
    <mergeCell ref="Y330:Z330"/>
    <mergeCell ref="AA330:AB330"/>
    <mergeCell ref="AC330:AE330"/>
    <mergeCell ref="C331:D331"/>
    <mergeCell ref="E331:G331"/>
    <mergeCell ref="H331:J331"/>
    <mergeCell ref="K331:M331"/>
    <mergeCell ref="N331:P331"/>
    <mergeCell ref="Q331:R331"/>
    <mergeCell ref="S331:U331"/>
    <mergeCell ref="V331:X331"/>
    <mergeCell ref="Y331:Z331"/>
    <mergeCell ref="AA331:AB331"/>
    <mergeCell ref="AC331:AE331"/>
    <mergeCell ref="C332:D332"/>
    <mergeCell ref="E332:G332"/>
    <mergeCell ref="H332:J332"/>
    <mergeCell ref="K332:M332"/>
    <mergeCell ref="N332:P332"/>
    <mergeCell ref="Q332:R332"/>
    <mergeCell ref="S332:U332"/>
    <mergeCell ref="V332:X332"/>
    <mergeCell ref="Y332:Z332"/>
    <mergeCell ref="AA332:AB332"/>
    <mergeCell ref="AC332:AE332"/>
    <mergeCell ref="C333:D333"/>
    <mergeCell ref="E333:G333"/>
    <mergeCell ref="H333:J333"/>
    <mergeCell ref="K333:M333"/>
    <mergeCell ref="N333:P333"/>
    <mergeCell ref="Q333:R333"/>
    <mergeCell ref="S333:U333"/>
    <mergeCell ref="V333:X333"/>
    <mergeCell ref="Y333:Z333"/>
    <mergeCell ref="AA333:AB333"/>
    <mergeCell ref="AC333:AE333"/>
    <mergeCell ref="C334:D334"/>
    <mergeCell ref="E334:G334"/>
    <mergeCell ref="H334:J334"/>
    <mergeCell ref="K334:M334"/>
    <mergeCell ref="N334:P334"/>
    <mergeCell ref="Q334:R334"/>
    <mergeCell ref="S334:U334"/>
    <mergeCell ref="V334:X334"/>
    <mergeCell ref="Y334:Z334"/>
    <mergeCell ref="AA334:AB334"/>
    <mergeCell ref="AC334:AE334"/>
    <mergeCell ref="C335:D335"/>
    <mergeCell ref="E335:G335"/>
    <mergeCell ref="H335:J335"/>
    <mergeCell ref="K335:M335"/>
    <mergeCell ref="N335:P335"/>
    <mergeCell ref="Q335:R335"/>
    <mergeCell ref="S335:U335"/>
    <mergeCell ref="V335:X335"/>
    <mergeCell ref="Y335:Z335"/>
    <mergeCell ref="AA335:AB335"/>
    <mergeCell ref="AC335:AE335"/>
    <mergeCell ref="C336:D336"/>
    <mergeCell ref="E336:G336"/>
    <mergeCell ref="H336:J336"/>
    <mergeCell ref="K336:M336"/>
    <mergeCell ref="N336:P336"/>
    <mergeCell ref="Q336:R336"/>
    <mergeCell ref="S336:U336"/>
    <mergeCell ref="V336:X336"/>
    <mergeCell ref="Y336:Z336"/>
    <mergeCell ref="AA336:AB336"/>
    <mergeCell ref="AC336:AE336"/>
    <mergeCell ref="C337:D337"/>
    <mergeCell ref="E337:G337"/>
    <mergeCell ref="H337:J337"/>
    <mergeCell ref="K337:M337"/>
    <mergeCell ref="N337:P337"/>
    <mergeCell ref="Q337:R337"/>
    <mergeCell ref="S337:U337"/>
    <mergeCell ref="V337:X337"/>
    <mergeCell ref="Y337:Z337"/>
    <mergeCell ref="AA337:AB337"/>
    <mergeCell ref="AC337:AE337"/>
    <mergeCell ref="C338:D338"/>
    <mergeCell ref="E338:G338"/>
    <mergeCell ref="H338:J338"/>
    <mergeCell ref="K338:M338"/>
    <mergeCell ref="N338:P338"/>
    <mergeCell ref="Q338:R338"/>
    <mergeCell ref="S338:U338"/>
    <mergeCell ref="V338:X338"/>
    <mergeCell ref="Y338:Z338"/>
    <mergeCell ref="AA338:AB338"/>
    <mergeCell ref="AC338:AE338"/>
    <mergeCell ref="C339:D339"/>
    <mergeCell ref="E339:G339"/>
    <mergeCell ref="H339:J339"/>
    <mergeCell ref="K339:M339"/>
    <mergeCell ref="N339:P339"/>
    <mergeCell ref="Q339:R339"/>
    <mergeCell ref="S339:U339"/>
    <mergeCell ref="V339:X339"/>
    <mergeCell ref="Y339:Z339"/>
    <mergeCell ref="AA339:AB339"/>
    <mergeCell ref="AC339:AE339"/>
    <mergeCell ref="C340:D340"/>
    <mergeCell ref="E340:G340"/>
    <mergeCell ref="H340:J340"/>
    <mergeCell ref="K340:M340"/>
    <mergeCell ref="N340:P340"/>
    <mergeCell ref="Q340:R340"/>
    <mergeCell ref="S340:U340"/>
    <mergeCell ref="V340:X340"/>
    <mergeCell ref="Y340:Z340"/>
    <mergeCell ref="AA340:AB340"/>
    <mergeCell ref="AC340:AE340"/>
    <mergeCell ref="C341:D341"/>
    <mergeCell ref="E341:G341"/>
    <mergeCell ref="H341:J341"/>
    <mergeCell ref="K341:M341"/>
    <mergeCell ref="N341:P341"/>
    <mergeCell ref="Q341:R341"/>
    <mergeCell ref="S341:U341"/>
    <mergeCell ref="V341:X341"/>
    <mergeCell ref="Y341:Z341"/>
    <mergeCell ref="AA341:AB341"/>
    <mergeCell ref="AC341:AE341"/>
    <mergeCell ref="C342:D342"/>
    <mergeCell ref="E342:G342"/>
    <mergeCell ref="H342:J342"/>
    <mergeCell ref="K342:M342"/>
    <mergeCell ref="N342:P342"/>
    <mergeCell ref="Q342:R342"/>
    <mergeCell ref="S342:U342"/>
    <mergeCell ref="V342:X342"/>
    <mergeCell ref="Y342:Z342"/>
    <mergeCell ref="AA342:AB342"/>
    <mergeCell ref="AC342:AE342"/>
    <mergeCell ref="C343:D343"/>
    <mergeCell ref="E343:G343"/>
    <mergeCell ref="H343:J343"/>
    <mergeCell ref="K343:M343"/>
    <mergeCell ref="N343:P343"/>
    <mergeCell ref="Q343:R343"/>
    <mergeCell ref="S343:U343"/>
    <mergeCell ref="V343:X343"/>
    <mergeCell ref="Y343:Z343"/>
    <mergeCell ref="AA343:AB343"/>
    <mergeCell ref="AC343:AE343"/>
    <mergeCell ref="C345:N345"/>
    <mergeCell ref="O345:W345"/>
    <mergeCell ref="X345:Z345"/>
    <mergeCell ref="AA345:AC345"/>
    <mergeCell ref="AD345:AE345"/>
    <mergeCell ref="C346:N346"/>
    <mergeCell ref="O346:W346"/>
    <mergeCell ref="X346:Z346"/>
    <mergeCell ref="AA346:AC346"/>
    <mergeCell ref="AD346:AE346"/>
    <mergeCell ref="C347:N347"/>
    <mergeCell ref="O347:W347"/>
    <mergeCell ref="X347:Z347"/>
    <mergeCell ref="AA347:AC347"/>
    <mergeCell ref="AD347:AE347"/>
    <mergeCell ref="X361:AA361"/>
    <mergeCell ref="AB361:AE361"/>
    <mergeCell ref="C362:G362"/>
    <mergeCell ref="H362:W362"/>
    <mergeCell ref="X362:AA362"/>
    <mergeCell ref="AB362:AE362"/>
    <mergeCell ref="C363:G363"/>
    <mergeCell ref="H363:W363"/>
    <mergeCell ref="X363:AA363"/>
    <mergeCell ref="AB363:AE363"/>
    <mergeCell ref="C364:G364"/>
    <mergeCell ref="H364:W364"/>
    <mergeCell ref="X364:AA364"/>
    <mergeCell ref="AB364:AE364"/>
    <mergeCell ref="C365:G365"/>
    <mergeCell ref="H365:W365"/>
    <mergeCell ref="X365:AA365"/>
    <mergeCell ref="AB365:AE365"/>
    <mergeCell ref="C386:AE386"/>
    <mergeCell ref="C388:AE388"/>
    <mergeCell ref="C389:AE389"/>
    <mergeCell ref="C390:AE390"/>
    <mergeCell ref="C407:AE407"/>
    <mergeCell ref="X433:AA433"/>
    <mergeCell ref="AB433:AE433"/>
    <mergeCell ref="C434:G434"/>
    <mergeCell ref="H434:W434"/>
    <mergeCell ref="X434:AA434"/>
    <mergeCell ref="AB434:AE434"/>
    <mergeCell ref="C435:G435"/>
    <mergeCell ref="H435:W435"/>
    <mergeCell ref="X435:AA435"/>
    <mergeCell ref="AB435:AE435"/>
    <mergeCell ref="C436:G436"/>
    <mergeCell ref="H436:W436"/>
    <mergeCell ref="X436:AA436"/>
    <mergeCell ref="AB436:AE436"/>
    <mergeCell ref="C437:G437"/>
    <mergeCell ref="H437:W437"/>
    <mergeCell ref="X437:AA437"/>
    <mergeCell ref="AB437:AE437"/>
    <mergeCell ref="C439:AE439"/>
    <mergeCell ref="C440:D440"/>
    <mergeCell ref="E440:G440"/>
    <mergeCell ref="H440:J440"/>
    <mergeCell ref="K440:M440"/>
    <mergeCell ref="N440:P440"/>
    <mergeCell ref="Q440:S440"/>
    <mergeCell ref="T440:U440"/>
    <mergeCell ref="V440:W440"/>
    <mergeCell ref="X440:Y440"/>
    <mergeCell ref="Z440:AB440"/>
    <mergeCell ref="AC440:AE440"/>
    <mergeCell ref="C441:D441"/>
    <mergeCell ref="E441:G441"/>
    <mergeCell ref="H441:J441"/>
    <mergeCell ref="K441:M441"/>
    <mergeCell ref="N441:P441"/>
    <mergeCell ref="Q441:S441"/>
    <mergeCell ref="T441:U441"/>
    <mergeCell ref="V441:W441"/>
    <mergeCell ref="X441:Y441"/>
    <mergeCell ref="Z441:AB441"/>
    <mergeCell ref="AC441:AE441"/>
    <mergeCell ref="C442:D442"/>
    <mergeCell ref="E442:G442"/>
    <mergeCell ref="H442:J442"/>
    <mergeCell ref="K442:M442"/>
    <mergeCell ref="N442:P442"/>
    <mergeCell ref="Q442:S442"/>
    <mergeCell ref="T442:U442"/>
    <mergeCell ref="V442:W442"/>
    <mergeCell ref="X442:Y442"/>
    <mergeCell ref="Z442:AB442"/>
    <mergeCell ref="AC442:AE442"/>
    <mergeCell ref="C443:D443"/>
    <mergeCell ref="E443:G443"/>
    <mergeCell ref="H443:J443"/>
    <mergeCell ref="K443:M443"/>
    <mergeCell ref="N443:P443"/>
    <mergeCell ref="Q443:S443"/>
    <mergeCell ref="T443:U443"/>
    <mergeCell ref="V443:W443"/>
    <mergeCell ref="X443:Y443"/>
    <mergeCell ref="Z443:AB443"/>
    <mergeCell ref="AC443:AE443"/>
    <mergeCell ref="C444:D444"/>
    <mergeCell ref="E444:G444"/>
    <mergeCell ref="H444:J444"/>
    <mergeCell ref="K444:M444"/>
    <mergeCell ref="N444:P444"/>
    <mergeCell ref="Q444:S444"/>
    <mergeCell ref="T444:U444"/>
    <mergeCell ref="V444:W444"/>
    <mergeCell ref="X444:Y444"/>
    <mergeCell ref="Z444:AB444"/>
    <mergeCell ref="AC444:AE444"/>
    <mergeCell ref="C445:D445"/>
    <mergeCell ref="E445:G445"/>
    <mergeCell ref="H445:J445"/>
    <mergeCell ref="K445:M445"/>
    <mergeCell ref="N445:P445"/>
    <mergeCell ref="Q445:S445"/>
    <mergeCell ref="T445:U445"/>
    <mergeCell ref="V445:W445"/>
    <mergeCell ref="X445:Y445"/>
    <mergeCell ref="Z445:AB445"/>
    <mergeCell ref="AC445:AE445"/>
    <mergeCell ref="C446:D446"/>
    <mergeCell ref="E446:G446"/>
    <mergeCell ref="H446:J446"/>
    <mergeCell ref="K446:M446"/>
    <mergeCell ref="N446:P446"/>
    <mergeCell ref="Q446:S446"/>
    <mergeCell ref="T446:U446"/>
    <mergeCell ref="V446:W446"/>
    <mergeCell ref="X446:Y446"/>
    <mergeCell ref="Z446:AB446"/>
    <mergeCell ref="AC446:AE446"/>
    <mergeCell ref="C447:D447"/>
    <mergeCell ref="E447:G447"/>
    <mergeCell ref="H447:J447"/>
    <mergeCell ref="K447:M447"/>
    <mergeCell ref="N447:P447"/>
    <mergeCell ref="Q447:S447"/>
    <mergeCell ref="T447:U447"/>
    <mergeCell ref="V447:W447"/>
    <mergeCell ref="X447:Y447"/>
    <mergeCell ref="Z447:AB447"/>
    <mergeCell ref="AC447:AE447"/>
    <mergeCell ref="C448:D448"/>
    <mergeCell ref="E448:G448"/>
    <mergeCell ref="H448:J448"/>
    <mergeCell ref="K448:M448"/>
    <mergeCell ref="N448:P448"/>
    <mergeCell ref="Q448:S448"/>
    <mergeCell ref="T448:U448"/>
    <mergeCell ref="V448:W448"/>
    <mergeCell ref="X448:Y448"/>
    <mergeCell ref="Z448:AB448"/>
    <mergeCell ref="AC448:AE448"/>
    <mergeCell ref="C449:D449"/>
    <mergeCell ref="E449:G449"/>
    <mergeCell ref="H449:J449"/>
    <mergeCell ref="K449:M449"/>
    <mergeCell ref="N449:P449"/>
    <mergeCell ref="Q449:S449"/>
    <mergeCell ref="T449:U449"/>
    <mergeCell ref="V449:W449"/>
    <mergeCell ref="X449:Y449"/>
    <mergeCell ref="Z449:AB449"/>
    <mergeCell ref="AC449:AE449"/>
    <mergeCell ref="C450:D450"/>
    <mergeCell ref="E450:G450"/>
    <mergeCell ref="H450:J450"/>
    <mergeCell ref="K450:M450"/>
    <mergeCell ref="N450:P450"/>
    <mergeCell ref="Q450:S450"/>
    <mergeCell ref="T450:U450"/>
    <mergeCell ref="V450:W450"/>
    <mergeCell ref="X450:Y450"/>
    <mergeCell ref="Z450:AB450"/>
    <mergeCell ref="AC450:AE450"/>
    <mergeCell ref="C451:D451"/>
    <mergeCell ref="E451:G451"/>
    <mergeCell ref="H451:J451"/>
    <mergeCell ref="K451:M451"/>
    <mergeCell ref="N451:P451"/>
    <mergeCell ref="Q451:S451"/>
    <mergeCell ref="T451:U451"/>
    <mergeCell ref="V451:W451"/>
    <mergeCell ref="X451:Y451"/>
    <mergeCell ref="Z451:AB451"/>
    <mergeCell ref="AC451:AE451"/>
    <mergeCell ref="C452:D452"/>
    <mergeCell ref="E452:G452"/>
    <mergeCell ref="H452:J452"/>
    <mergeCell ref="K452:M452"/>
    <mergeCell ref="N452:P452"/>
    <mergeCell ref="Q452:S452"/>
    <mergeCell ref="T452:U452"/>
    <mergeCell ref="V452:W452"/>
    <mergeCell ref="X452:Y452"/>
    <mergeCell ref="Z452:AB452"/>
    <mergeCell ref="AC452:AE452"/>
    <mergeCell ref="C453:D453"/>
    <mergeCell ref="E453:G453"/>
    <mergeCell ref="H453:J453"/>
    <mergeCell ref="K453:M453"/>
    <mergeCell ref="N453:P453"/>
    <mergeCell ref="Q453:S453"/>
    <mergeCell ref="T453:U453"/>
    <mergeCell ref="V453:W453"/>
    <mergeCell ref="X453:Y453"/>
    <mergeCell ref="Z453:AB453"/>
    <mergeCell ref="AC453:AE453"/>
    <mergeCell ref="C454:D454"/>
    <mergeCell ref="E454:G454"/>
    <mergeCell ref="H454:J454"/>
    <mergeCell ref="K454:M454"/>
    <mergeCell ref="N454:P454"/>
    <mergeCell ref="Q454:S454"/>
    <mergeCell ref="T454:U454"/>
    <mergeCell ref="V454:W454"/>
    <mergeCell ref="X454:Y454"/>
    <mergeCell ref="Z454:AB454"/>
    <mergeCell ref="AC454:AE454"/>
    <mergeCell ref="C455:D455"/>
    <mergeCell ref="E455:G455"/>
    <mergeCell ref="H455:J455"/>
    <mergeCell ref="K455:M455"/>
    <mergeCell ref="N455:P455"/>
    <mergeCell ref="Q455:S455"/>
    <mergeCell ref="T455:U455"/>
    <mergeCell ref="V455:W455"/>
    <mergeCell ref="X455:Y455"/>
    <mergeCell ref="Z455:AB455"/>
    <mergeCell ref="AC455:AE455"/>
    <mergeCell ref="C456:D456"/>
    <mergeCell ref="E456:G456"/>
    <mergeCell ref="H456:J456"/>
    <mergeCell ref="K456:M456"/>
    <mergeCell ref="N456:P456"/>
    <mergeCell ref="Q456:S456"/>
    <mergeCell ref="T456:U456"/>
    <mergeCell ref="V456:W456"/>
    <mergeCell ref="X456:Y456"/>
    <mergeCell ref="Z456:AB456"/>
    <mergeCell ref="AC456:AE456"/>
    <mergeCell ref="C457:D457"/>
    <mergeCell ref="E457:G457"/>
    <mergeCell ref="H457:J457"/>
    <mergeCell ref="K457:M457"/>
    <mergeCell ref="N457:P457"/>
    <mergeCell ref="Q457:S457"/>
    <mergeCell ref="T457:U457"/>
    <mergeCell ref="V457:W457"/>
    <mergeCell ref="X457:Y457"/>
    <mergeCell ref="Z457:AB457"/>
    <mergeCell ref="AC457:AE457"/>
    <mergeCell ref="C458:D458"/>
    <mergeCell ref="E458:G458"/>
    <mergeCell ref="H458:J458"/>
    <mergeCell ref="K458:M458"/>
    <mergeCell ref="N458:P458"/>
    <mergeCell ref="Q458:S458"/>
    <mergeCell ref="T458:U458"/>
    <mergeCell ref="V458:W458"/>
    <mergeCell ref="X458:Y458"/>
    <mergeCell ref="Z458:AB458"/>
    <mergeCell ref="AC458:AE458"/>
    <mergeCell ref="C459:D459"/>
    <mergeCell ref="E459:G459"/>
    <mergeCell ref="H459:J459"/>
    <mergeCell ref="K459:M459"/>
    <mergeCell ref="N459:P459"/>
    <mergeCell ref="Q459:S459"/>
    <mergeCell ref="T459:U459"/>
    <mergeCell ref="V459:W459"/>
    <mergeCell ref="X459:Y459"/>
    <mergeCell ref="Z459:AB459"/>
    <mergeCell ref="AC459:AE459"/>
    <mergeCell ref="C460:D460"/>
    <mergeCell ref="E460:G460"/>
    <mergeCell ref="H460:J460"/>
    <mergeCell ref="K460:M460"/>
    <mergeCell ref="N460:P460"/>
    <mergeCell ref="Q460:S460"/>
    <mergeCell ref="T460:U460"/>
    <mergeCell ref="V460:W460"/>
    <mergeCell ref="X460:Y460"/>
    <mergeCell ref="Z460:AB460"/>
    <mergeCell ref="AC460:AE460"/>
    <mergeCell ref="C461:D461"/>
    <mergeCell ref="E461:G461"/>
    <mergeCell ref="H461:J461"/>
    <mergeCell ref="K461:M461"/>
    <mergeCell ref="N461:P461"/>
    <mergeCell ref="Q461:S461"/>
    <mergeCell ref="T461:U461"/>
    <mergeCell ref="V461:W461"/>
    <mergeCell ref="X461:Y461"/>
    <mergeCell ref="Z461:AB461"/>
    <mergeCell ref="AC461:AE461"/>
    <mergeCell ref="C462:D462"/>
    <mergeCell ref="E462:G462"/>
    <mergeCell ref="H462:J462"/>
    <mergeCell ref="K462:M462"/>
    <mergeCell ref="N462:P462"/>
    <mergeCell ref="Q462:S462"/>
    <mergeCell ref="T462:U462"/>
    <mergeCell ref="V462:W462"/>
    <mergeCell ref="X462:Y462"/>
    <mergeCell ref="Z462:AB462"/>
    <mergeCell ref="AC462:AE462"/>
    <mergeCell ref="C463:D463"/>
    <mergeCell ref="E463:G463"/>
    <mergeCell ref="H463:J463"/>
    <mergeCell ref="K463:M463"/>
    <mergeCell ref="N463:P463"/>
    <mergeCell ref="Q463:S463"/>
    <mergeCell ref="T463:U463"/>
    <mergeCell ref="V463:W463"/>
    <mergeCell ref="X463:Y463"/>
    <mergeCell ref="Z463:AB463"/>
    <mergeCell ref="AC463:AE463"/>
    <mergeCell ref="C464:D464"/>
    <mergeCell ref="E464:G464"/>
    <mergeCell ref="H464:J464"/>
    <mergeCell ref="K464:M464"/>
    <mergeCell ref="N464:P464"/>
    <mergeCell ref="Q464:S464"/>
    <mergeCell ref="T464:U464"/>
    <mergeCell ref="V464:W464"/>
    <mergeCell ref="X464:Y464"/>
    <mergeCell ref="Z464:AB464"/>
    <mergeCell ref="AC464:AE464"/>
    <mergeCell ref="C465:D465"/>
    <mergeCell ref="E465:G465"/>
    <mergeCell ref="H465:J465"/>
    <mergeCell ref="K465:M465"/>
    <mergeCell ref="N465:P465"/>
    <mergeCell ref="Q465:S465"/>
    <mergeCell ref="T465:U465"/>
    <mergeCell ref="V465:W465"/>
    <mergeCell ref="X465:Y465"/>
    <mergeCell ref="Z465:AB465"/>
    <mergeCell ref="AC465:AE465"/>
    <mergeCell ref="C466:D466"/>
    <mergeCell ref="E466:G466"/>
    <mergeCell ref="H466:J466"/>
    <mergeCell ref="K466:M466"/>
    <mergeCell ref="N466:P466"/>
    <mergeCell ref="Q466:S466"/>
    <mergeCell ref="T466:U466"/>
    <mergeCell ref="V466:W466"/>
    <mergeCell ref="X466:Y466"/>
    <mergeCell ref="Z466:AB466"/>
    <mergeCell ref="AC466:AE466"/>
    <mergeCell ref="C467:D467"/>
    <mergeCell ref="E467:G467"/>
    <mergeCell ref="H467:J467"/>
    <mergeCell ref="K467:M467"/>
    <mergeCell ref="N467:P467"/>
    <mergeCell ref="Q467:S467"/>
    <mergeCell ref="T467:U467"/>
    <mergeCell ref="V467:W467"/>
    <mergeCell ref="X467:Y467"/>
    <mergeCell ref="Z467:AB467"/>
    <mergeCell ref="AC467:AE467"/>
    <mergeCell ref="C468:D468"/>
    <mergeCell ref="E468:G468"/>
    <mergeCell ref="H468:J468"/>
    <mergeCell ref="K468:M468"/>
    <mergeCell ref="N468:P468"/>
    <mergeCell ref="Q468:S468"/>
    <mergeCell ref="T468:U468"/>
    <mergeCell ref="V468:W468"/>
    <mergeCell ref="X468:Y468"/>
    <mergeCell ref="Z468:AB468"/>
    <mergeCell ref="AC468:AE468"/>
    <mergeCell ref="C469:D469"/>
    <mergeCell ref="E469:G469"/>
    <mergeCell ref="H469:J469"/>
    <mergeCell ref="K469:M469"/>
    <mergeCell ref="N469:P469"/>
    <mergeCell ref="Q469:S469"/>
    <mergeCell ref="T469:U469"/>
    <mergeCell ref="V469:W469"/>
    <mergeCell ref="X469:Y469"/>
    <mergeCell ref="Z469:AB469"/>
    <mergeCell ref="AC469:AE469"/>
    <mergeCell ref="C470:D470"/>
    <mergeCell ref="E470:G470"/>
    <mergeCell ref="H470:J470"/>
    <mergeCell ref="K470:M470"/>
    <mergeCell ref="N470:P470"/>
    <mergeCell ref="Q470:S470"/>
    <mergeCell ref="T470:U470"/>
    <mergeCell ref="V470:W470"/>
    <mergeCell ref="X470:Y470"/>
    <mergeCell ref="Z470:AB470"/>
    <mergeCell ref="AC470:AE470"/>
    <mergeCell ref="C471:D471"/>
    <mergeCell ref="E471:G471"/>
    <mergeCell ref="H471:J471"/>
    <mergeCell ref="K471:M471"/>
    <mergeCell ref="N471:P471"/>
    <mergeCell ref="Q471:S471"/>
    <mergeCell ref="T471:U471"/>
    <mergeCell ref="V471:W471"/>
    <mergeCell ref="X471:Y471"/>
    <mergeCell ref="Z471:AB471"/>
    <mergeCell ref="AC471:AE471"/>
    <mergeCell ref="C472:D472"/>
    <mergeCell ref="E472:G472"/>
    <mergeCell ref="H472:J472"/>
    <mergeCell ref="K472:M472"/>
    <mergeCell ref="N472:P472"/>
    <mergeCell ref="Q472:S472"/>
    <mergeCell ref="T472:U472"/>
    <mergeCell ref="V472:W472"/>
    <mergeCell ref="X472:Y472"/>
    <mergeCell ref="Z472:AB472"/>
    <mergeCell ref="AC472:AE472"/>
    <mergeCell ref="C473:D473"/>
    <mergeCell ref="E473:G473"/>
    <mergeCell ref="H473:J473"/>
    <mergeCell ref="K473:M473"/>
    <mergeCell ref="N473:P473"/>
    <mergeCell ref="Q473:S473"/>
    <mergeCell ref="T473:U473"/>
    <mergeCell ref="V473:W473"/>
    <mergeCell ref="X473:Y473"/>
    <mergeCell ref="Z473:AB473"/>
    <mergeCell ref="AC473:AE473"/>
    <mergeCell ref="C474:D474"/>
    <mergeCell ref="E474:G474"/>
    <mergeCell ref="H474:J474"/>
    <mergeCell ref="K474:M474"/>
    <mergeCell ref="N474:P474"/>
    <mergeCell ref="Q474:S474"/>
    <mergeCell ref="T474:U474"/>
    <mergeCell ref="V474:W474"/>
    <mergeCell ref="X474:Y474"/>
    <mergeCell ref="Z474:AB474"/>
    <mergeCell ref="AC474:AE474"/>
    <mergeCell ref="C475:D475"/>
    <mergeCell ref="E475:G475"/>
    <mergeCell ref="H475:J475"/>
    <mergeCell ref="K475:M475"/>
    <mergeCell ref="N475:P475"/>
    <mergeCell ref="Q475:S475"/>
    <mergeCell ref="T475:U475"/>
    <mergeCell ref="V475:W475"/>
    <mergeCell ref="X475:Y475"/>
    <mergeCell ref="Z475:AB475"/>
    <mergeCell ref="AC475:AE475"/>
    <mergeCell ref="C476:D476"/>
    <mergeCell ref="E476:G476"/>
    <mergeCell ref="H476:J476"/>
    <mergeCell ref="K476:M476"/>
    <mergeCell ref="N476:P476"/>
    <mergeCell ref="Q476:S476"/>
    <mergeCell ref="T476:U476"/>
    <mergeCell ref="V476:W476"/>
    <mergeCell ref="X476:Y476"/>
    <mergeCell ref="Z476:AB476"/>
    <mergeCell ref="AC476:AE476"/>
    <mergeCell ref="C477:D477"/>
    <mergeCell ref="E477:G477"/>
    <mergeCell ref="H477:J477"/>
    <mergeCell ref="K477:M477"/>
    <mergeCell ref="N477:P477"/>
    <mergeCell ref="Q477:S477"/>
    <mergeCell ref="T477:U477"/>
    <mergeCell ref="V477:W477"/>
    <mergeCell ref="X477:Y477"/>
    <mergeCell ref="Z477:AB477"/>
    <mergeCell ref="AC477:AE477"/>
    <mergeCell ref="C478:D478"/>
    <mergeCell ref="E478:G478"/>
    <mergeCell ref="H478:J478"/>
    <mergeCell ref="K478:M478"/>
    <mergeCell ref="N478:P478"/>
    <mergeCell ref="Q478:S478"/>
    <mergeCell ref="T478:U478"/>
    <mergeCell ref="V478:W478"/>
    <mergeCell ref="X478:Y478"/>
    <mergeCell ref="Z478:AB478"/>
    <mergeCell ref="AC478:AE478"/>
    <mergeCell ref="C479:D479"/>
    <mergeCell ref="E479:G479"/>
    <mergeCell ref="H479:J479"/>
    <mergeCell ref="K479:M479"/>
    <mergeCell ref="N479:P479"/>
    <mergeCell ref="Q479:S479"/>
    <mergeCell ref="T479:U479"/>
    <mergeCell ref="V479:W479"/>
    <mergeCell ref="X479:Y479"/>
    <mergeCell ref="Z479:AB479"/>
    <mergeCell ref="AC479:AE479"/>
    <mergeCell ref="C480:D480"/>
    <mergeCell ref="E480:G480"/>
    <mergeCell ref="H480:J480"/>
    <mergeCell ref="K480:M480"/>
    <mergeCell ref="N480:P480"/>
    <mergeCell ref="Q480:S480"/>
    <mergeCell ref="T480:U480"/>
    <mergeCell ref="V480:W480"/>
    <mergeCell ref="X480:Y480"/>
    <mergeCell ref="Z480:AB480"/>
    <mergeCell ref="AC480:AE480"/>
    <mergeCell ref="C481:D481"/>
    <mergeCell ref="E481:G481"/>
    <mergeCell ref="H481:J481"/>
    <mergeCell ref="K481:M481"/>
    <mergeCell ref="N481:P481"/>
    <mergeCell ref="Q481:S481"/>
    <mergeCell ref="T481:U481"/>
    <mergeCell ref="V481:W481"/>
    <mergeCell ref="X481:Y481"/>
    <mergeCell ref="Z481:AB481"/>
    <mergeCell ref="AC481:AE481"/>
    <mergeCell ref="C482:D482"/>
    <mergeCell ref="E482:G482"/>
    <mergeCell ref="H482:J482"/>
    <mergeCell ref="K482:M482"/>
    <mergeCell ref="N482:P482"/>
    <mergeCell ref="Q482:S482"/>
    <mergeCell ref="T482:U482"/>
    <mergeCell ref="V482:W482"/>
    <mergeCell ref="X482:Y482"/>
    <mergeCell ref="Z482:AB482"/>
    <mergeCell ref="AC482:AE482"/>
    <mergeCell ref="C484:N484"/>
    <mergeCell ref="O484:W484"/>
    <mergeCell ref="X484:Z484"/>
    <mergeCell ref="AA484:AC484"/>
    <mergeCell ref="AD484:AE484"/>
    <mergeCell ref="C485:N485"/>
    <mergeCell ref="O485:W485"/>
    <mergeCell ref="X485:Z485"/>
    <mergeCell ref="AA485:AC485"/>
    <mergeCell ref="AD485:AE485"/>
    <mergeCell ref="X505:AA505"/>
    <mergeCell ref="AB505:AE505"/>
    <mergeCell ref="C506:G506"/>
    <mergeCell ref="H506:W506"/>
    <mergeCell ref="X506:AA506"/>
    <mergeCell ref="AB506:AE506"/>
    <mergeCell ref="C507:G507"/>
    <mergeCell ref="H507:W507"/>
    <mergeCell ref="X507:AA507"/>
    <mergeCell ref="AB507:AE507"/>
    <mergeCell ref="C508:G508"/>
    <mergeCell ref="H508:W508"/>
    <mergeCell ref="X508:AA508"/>
    <mergeCell ref="AB508:AE508"/>
    <mergeCell ref="C509:G509"/>
    <mergeCell ref="H509:W509"/>
    <mergeCell ref="X509:AA509"/>
    <mergeCell ref="AB509:AE509"/>
    <mergeCell ref="C511:AE511"/>
    <mergeCell ref="C513:N513"/>
    <mergeCell ref="O513:W513"/>
    <mergeCell ref="X513:Z513"/>
    <mergeCell ref="AA513:AC513"/>
    <mergeCell ref="AD513:AE513"/>
    <mergeCell ref="C514:N514"/>
    <mergeCell ref="X514:AE514"/>
    <mergeCell ref="C515:N515"/>
    <mergeCell ref="O515:W515"/>
    <mergeCell ref="X515:Z515"/>
    <mergeCell ref="AA515:AC515"/>
    <mergeCell ref="AD515:AE515"/>
    <mergeCell ref="C516:N516"/>
    <mergeCell ref="X516:AE516"/>
    <mergeCell ref="C517:N517"/>
    <mergeCell ref="O517:W517"/>
    <mergeCell ref="X517:Z517"/>
    <mergeCell ref="AA517:AC517"/>
    <mergeCell ref="AD517:AE517"/>
    <mergeCell ref="C518:N518"/>
    <mergeCell ref="X518:AE518"/>
    <mergeCell ref="C519:N519"/>
    <mergeCell ref="O519:W519"/>
    <mergeCell ref="X519:Z519"/>
    <mergeCell ref="AA519:AC519"/>
    <mergeCell ref="AD519:AE519"/>
    <mergeCell ref="C520:N520"/>
    <mergeCell ref="O520:W520"/>
    <mergeCell ref="X520:Z520"/>
    <mergeCell ref="AA520:AC520"/>
    <mergeCell ref="AD520:AE520"/>
    <mergeCell ref="C521:N521"/>
    <mergeCell ref="O521:W521"/>
    <mergeCell ref="X521:Z521"/>
    <mergeCell ref="AA521:AC521"/>
    <mergeCell ref="AD521:AE521"/>
    <mergeCell ref="C522:N522"/>
    <mergeCell ref="O522:W522"/>
    <mergeCell ref="X522:Z522"/>
    <mergeCell ref="AA522:AC522"/>
    <mergeCell ref="AD522:AE522"/>
    <mergeCell ref="C523:N523"/>
    <mergeCell ref="X523:AE523"/>
    <mergeCell ref="C525:AE525"/>
    <mergeCell ref="C526:AE526"/>
    <mergeCell ref="C528:AE528"/>
    <mergeCell ref="X577:AA577"/>
    <mergeCell ref="AB577:AE577"/>
  </mergeCells>
  <printOptions headings="false" gridLines="false" gridLinesSet="true" horizontalCentered="true" verticalCentered="false"/>
  <pageMargins left="0.5" right="0.5" top="0.6" bottom="0.6" header="0.511811023622047" footer="0.511811023622047"/>
  <pageSetup paperSize="9" scale="66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rowBreaks count="7" manualBreakCount="7">
    <brk id="73" man="true" max="16383" min="0"/>
    <brk id="145" man="true" max="16383" min="0"/>
    <brk id="217" man="true" max="16383" min="0"/>
    <brk id="289" man="true" max="16383" min="0"/>
    <brk id="361" man="true" max="16383" min="0"/>
    <brk id="433" man="true" max="16383" min="0"/>
    <brk id="505" man="true" max="16383" min="0"/>
  </rowBreak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Q577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C39" activeCellId="0" sqref="C39"/>
    </sheetView>
  </sheetViews>
  <sheetFormatPr defaultColWidth="8.5390625" defaultRowHeight="14.25" zeroHeight="false" outlineLevelRow="0" outlineLevelCol="0"/>
  <cols>
    <col collapsed="false" customWidth="true" hidden="false" outlineLevel="0" max="1" min="1" style="0" width="3.44"/>
    <col collapsed="false" customWidth="true" hidden="false" outlineLevel="0" max="2" min="2" style="0" width="4"/>
    <col collapsed="false" customWidth="true" hidden="false" outlineLevel="0" max="9" min="3" style="0" width="3.56"/>
    <col collapsed="false" customWidth="true" hidden="false" outlineLevel="0" max="10" min="10" style="0" width="3.89"/>
    <col collapsed="false" customWidth="true" hidden="false" outlineLevel="0" max="11" min="11" style="0" width="4"/>
    <col collapsed="false" customWidth="true" hidden="false" outlineLevel="0" max="31" min="12" style="0" width="4.56"/>
    <col collapsed="false" customWidth="true" hidden="false" outlineLevel="0" max="32" min="32" style="0" width="3.44"/>
    <col collapsed="false" customWidth="true" hidden="false" outlineLevel="0" max="68" min="35" style="0" width="9"/>
    <col collapsed="false" customWidth="true" hidden="false" outlineLevel="0" max="69" min="69" style="0" width="40"/>
  </cols>
  <sheetData>
    <row r="2" customFormat="false" ht="14.25" hidden="false" customHeight="true" outlineLevel="0" collapsed="false">
      <c r="B2" s="1"/>
      <c r="C2" s="2" t="s">
        <v>0</v>
      </c>
      <c r="D2" s="2"/>
      <c r="E2" s="2"/>
      <c r="F2" s="2"/>
      <c r="G2" s="2"/>
      <c r="H2" s="3" t="s">
        <v>1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4" t="s">
        <v>2</v>
      </c>
      <c r="Y2" s="4"/>
      <c r="Z2" s="4"/>
      <c r="AA2" s="4"/>
      <c r="AB2" s="5" t="s">
        <v>3</v>
      </c>
      <c r="AC2" s="5"/>
      <c r="AD2" s="5"/>
      <c r="AE2" s="5"/>
      <c r="AF2" s="6"/>
    </row>
    <row r="3" customFormat="false" ht="14.25" hidden="false" customHeight="true" outlineLevel="0" collapsed="false">
      <c r="B3" s="7"/>
      <c r="C3" s="8" t="s">
        <v>4</v>
      </c>
      <c r="D3" s="8"/>
      <c r="E3" s="8"/>
      <c r="F3" s="8"/>
      <c r="G3" s="8"/>
      <c r="H3" s="9" t="s">
        <v>5</v>
      </c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10" t="s">
        <v>6</v>
      </c>
      <c r="Y3" s="10"/>
      <c r="Z3" s="10"/>
      <c r="AA3" s="10"/>
      <c r="AB3" s="11" t="n">
        <v>46301</v>
      </c>
      <c r="AC3" s="11"/>
      <c r="AD3" s="11"/>
      <c r="AE3" s="11"/>
      <c r="AF3" s="12"/>
    </row>
    <row r="4" customFormat="false" ht="14.25" hidden="false" customHeight="true" outlineLevel="0" collapsed="false">
      <c r="B4" s="7"/>
      <c r="C4" s="8" t="s">
        <v>7</v>
      </c>
      <c r="D4" s="8"/>
      <c r="E4" s="8"/>
      <c r="F4" s="8"/>
      <c r="G4" s="8"/>
      <c r="H4" s="9" t="s">
        <v>348</v>
      </c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10" t="s">
        <v>9</v>
      </c>
      <c r="Y4" s="10"/>
      <c r="Z4" s="10"/>
      <c r="AA4" s="10"/>
      <c r="AB4" s="11" t="s">
        <v>3</v>
      </c>
      <c r="AC4" s="11"/>
      <c r="AD4" s="11"/>
      <c r="AE4" s="11"/>
      <c r="AF4" s="12"/>
    </row>
    <row r="5" customFormat="false" ht="14.25" hidden="false" customHeight="true" outlineLevel="0" collapsed="false">
      <c r="B5" s="13"/>
      <c r="C5" s="14" t="s">
        <v>10</v>
      </c>
      <c r="D5" s="14"/>
      <c r="E5" s="14"/>
      <c r="F5" s="14"/>
      <c r="G5" s="14"/>
      <c r="H5" s="15" t="s">
        <v>134</v>
      </c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6" t="s">
        <v>12</v>
      </c>
      <c r="Y5" s="16"/>
      <c r="Z5" s="16"/>
      <c r="AA5" s="16"/>
      <c r="AB5" s="17" t="n">
        <v>46301</v>
      </c>
      <c r="AC5" s="17"/>
      <c r="AD5" s="17"/>
      <c r="AE5" s="17"/>
      <c r="AF5" s="18"/>
    </row>
    <row r="6" customFormat="false" ht="14.25" hidden="false" customHeight="false" outlineLevel="0" collapsed="false">
      <c r="B6" s="7"/>
      <c r="AF6" s="12"/>
    </row>
    <row r="7" customFormat="false" ht="14.25" hidden="false" customHeight="false" outlineLevel="0" collapsed="false">
      <c r="B7" s="7"/>
      <c r="C7" s="9" t="s">
        <v>135</v>
      </c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12"/>
    </row>
    <row r="8" customFormat="false" ht="14.25" hidden="false" customHeight="false" outlineLevel="0" collapsed="false">
      <c r="B8" s="7"/>
      <c r="C8" s="20" t="s">
        <v>136</v>
      </c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12"/>
    </row>
    <row r="9" customFormat="false" ht="14.25" hidden="false" customHeight="false" outlineLevel="0" collapsed="false">
      <c r="B9" s="7"/>
      <c r="C9" s="20" t="s">
        <v>137</v>
      </c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12"/>
    </row>
    <row r="10" customFormat="false" ht="14.25" hidden="false" customHeight="false" outlineLevel="0" collapsed="false">
      <c r="B10" s="7"/>
      <c r="AF10" s="12"/>
    </row>
    <row r="11" customFormat="false" ht="14.25" hidden="false" customHeight="false" outlineLevel="0" collapsed="false">
      <c r="B11" s="7"/>
      <c r="C11" s="9" t="s">
        <v>138</v>
      </c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12"/>
    </row>
    <row r="12" customFormat="false" ht="14.25" hidden="false" customHeight="true" outlineLevel="0" collapsed="false">
      <c r="B12" s="7"/>
      <c r="C12" s="20" t="s">
        <v>16</v>
      </c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1"/>
      <c r="P12" s="21"/>
      <c r="Q12" s="21"/>
      <c r="R12" s="21"/>
      <c r="S12" s="21"/>
      <c r="T12" s="21"/>
      <c r="U12" s="21"/>
      <c r="V12" s="21"/>
      <c r="W12" s="21"/>
      <c r="X12" s="22" t="s">
        <v>18</v>
      </c>
      <c r="Y12" s="22"/>
      <c r="Z12" s="22"/>
      <c r="AA12" s="50" t="n">
        <f aca="false">Input!$AA$11</f>
        <v>2</v>
      </c>
      <c r="AB12" s="50"/>
      <c r="AC12" s="50"/>
      <c r="AD12" s="20" t="s">
        <v>19</v>
      </c>
      <c r="AE12" s="20"/>
      <c r="AF12" s="12"/>
    </row>
    <row r="13" customFormat="false" ht="14.25" hidden="false" customHeight="true" outlineLevel="0" collapsed="false">
      <c r="B13" s="7"/>
      <c r="C13" s="20" t="s">
        <v>139</v>
      </c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1"/>
      <c r="P13" s="21"/>
      <c r="Q13" s="21"/>
      <c r="R13" s="21"/>
      <c r="S13" s="21"/>
      <c r="T13" s="21"/>
      <c r="U13" s="21"/>
      <c r="V13" s="21"/>
      <c r="W13" s="21"/>
      <c r="X13" s="22" t="s">
        <v>25</v>
      </c>
      <c r="Y13" s="22"/>
      <c r="Z13" s="22"/>
      <c r="AA13" s="51" t="n">
        <f aca="false">Input!$AA$13</f>
        <v>100</v>
      </c>
      <c r="AB13" s="51"/>
      <c r="AC13" s="51"/>
      <c r="AD13" s="20" t="s">
        <v>26</v>
      </c>
      <c r="AE13" s="20"/>
      <c r="AF13" s="12"/>
    </row>
    <row r="14" customFormat="false" ht="14.25" hidden="false" customHeight="true" outlineLevel="0" collapsed="false">
      <c r="B14" s="7"/>
      <c r="C14" s="20" t="s">
        <v>27</v>
      </c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1" t="s">
        <v>28</v>
      </c>
      <c r="P14" s="21"/>
      <c r="Q14" s="21"/>
      <c r="R14" s="21"/>
      <c r="S14" s="21"/>
      <c r="T14" s="21"/>
      <c r="U14" s="21"/>
      <c r="V14" s="21"/>
      <c r="W14" s="21"/>
      <c r="X14" s="22" t="s">
        <v>29</v>
      </c>
      <c r="Y14" s="22"/>
      <c r="Z14" s="22"/>
      <c r="AA14" s="51" t="n">
        <f aca="false">Input!$AA$14</f>
        <v>136</v>
      </c>
      <c r="AB14" s="51"/>
      <c r="AC14" s="51"/>
      <c r="AD14" s="20" t="s">
        <v>26</v>
      </c>
      <c r="AE14" s="20"/>
      <c r="AF14" s="12"/>
    </row>
    <row r="15" customFormat="false" ht="14.25" hidden="false" customHeight="true" outlineLevel="0" collapsed="false">
      <c r="B15" s="7"/>
      <c r="C15" s="20" t="s">
        <v>140</v>
      </c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1" t="s">
        <v>141</v>
      </c>
      <c r="P15" s="21"/>
      <c r="Q15" s="21"/>
      <c r="R15" s="21"/>
      <c r="S15" s="21"/>
      <c r="T15" s="21"/>
      <c r="U15" s="21"/>
      <c r="V15" s="21"/>
      <c r="W15" s="21"/>
      <c r="X15" s="22" t="s">
        <v>31</v>
      </c>
      <c r="Y15" s="22"/>
      <c r="Z15" s="22"/>
      <c r="AA15" s="51" t="n">
        <f aca="false">Input!$AA$15</f>
        <v>74</v>
      </c>
      <c r="AB15" s="51"/>
      <c r="AC15" s="51"/>
      <c r="AD15" s="20" t="s">
        <v>19</v>
      </c>
      <c r="AE15" s="20"/>
      <c r="AF15" s="12"/>
    </row>
    <row r="16" customFormat="false" ht="14.25" hidden="false" customHeight="true" outlineLevel="0" collapsed="false">
      <c r="B16" s="7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1"/>
      <c r="P16" s="21"/>
      <c r="Q16" s="21"/>
      <c r="R16" s="21"/>
      <c r="S16" s="21"/>
      <c r="T16" s="21"/>
      <c r="U16" s="21"/>
      <c r="V16" s="21"/>
      <c r="W16" s="21"/>
      <c r="X16" s="22" t="s">
        <v>33</v>
      </c>
      <c r="Y16" s="22"/>
      <c r="Z16" s="22"/>
      <c r="AA16" s="51" t="n">
        <f aca="false">Input!$AA$16</f>
        <v>202</v>
      </c>
      <c r="AB16" s="51"/>
      <c r="AC16" s="51"/>
      <c r="AD16" s="20" t="s">
        <v>19</v>
      </c>
      <c r="AE16" s="20"/>
      <c r="AF16" s="12"/>
    </row>
    <row r="17" customFormat="false" ht="14.25" hidden="false" customHeight="true" outlineLevel="0" collapsed="false">
      <c r="B17" s="7"/>
      <c r="C17" s="20" t="s">
        <v>142</v>
      </c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1" t="s">
        <v>47</v>
      </c>
      <c r="P17" s="21"/>
      <c r="Q17" s="21"/>
      <c r="R17" s="21"/>
      <c r="S17" s="21"/>
      <c r="T17" s="21"/>
      <c r="U17" s="21"/>
      <c r="V17" s="21"/>
      <c r="W17" s="21"/>
      <c r="X17" s="22" t="s">
        <v>48</v>
      </c>
      <c r="Y17" s="22"/>
      <c r="Z17" s="22"/>
      <c r="AA17" s="51" t="n">
        <f aca="false">Input!$AA$23</f>
        <v>2</v>
      </c>
      <c r="AB17" s="51"/>
      <c r="AC17" s="51"/>
      <c r="AD17" s="20" t="s">
        <v>38</v>
      </c>
      <c r="AE17" s="20"/>
      <c r="AF17" s="12"/>
    </row>
    <row r="18" customFormat="false" ht="14.25" hidden="false" customHeight="false" outlineLevel="0" collapsed="false">
      <c r="B18" s="7"/>
      <c r="AF18" s="12"/>
    </row>
    <row r="19" customFormat="false" ht="14.25" hidden="false" customHeight="false" outlineLevel="0" collapsed="false">
      <c r="B19" s="7"/>
      <c r="C19" s="9" t="s">
        <v>143</v>
      </c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12"/>
    </row>
    <row r="20" customFormat="false" ht="14.25" hidden="false" customHeight="true" outlineLevel="0" collapsed="false">
      <c r="B20" s="7"/>
      <c r="C20" s="20" t="s">
        <v>144</v>
      </c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1"/>
      <c r="P20" s="21"/>
      <c r="Q20" s="21"/>
      <c r="R20" s="21"/>
      <c r="S20" s="21"/>
      <c r="T20" s="21"/>
      <c r="U20" s="21"/>
      <c r="V20" s="21"/>
      <c r="W20" s="21"/>
      <c r="X20" s="22" t="s">
        <v>145</v>
      </c>
      <c r="Y20" s="22"/>
      <c r="Z20" s="22"/>
      <c r="AA20" s="25" t="n">
        <v>7</v>
      </c>
      <c r="AB20" s="25"/>
      <c r="AC20" s="25"/>
      <c r="AD20" s="20" t="s">
        <v>19</v>
      </c>
      <c r="AE20" s="20"/>
      <c r="AF20" s="12"/>
    </row>
    <row r="21" customFormat="false" ht="14.25" hidden="false" customHeight="true" outlineLevel="0" collapsed="false">
      <c r="B21" s="7"/>
      <c r="C21" s="20" t="s">
        <v>146</v>
      </c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1"/>
      <c r="P21" s="21"/>
      <c r="Q21" s="21"/>
      <c r="R21" s="21"/>
      <c r="S21" s="21"/>
      <c r="T21" s="21"/>
      <c r="U21" s="21"/>
      <c r="V21" s="21"/>
      <c r="W21" s="21"/>
      <c r="X21" s="22" t="s">
        <v>147</v>
      </c>
      <c r="Y21" s="22"/>
      <c r="Z21" s="22"/>
      <c r="AA21" s="25" t="n">
        <v>18.3</v>
      </c>
      <c r="AB21" s="25"/>
      <c r="AC21" s="25"/>
      <c r="AD21" s="20" t="s">
        <v>23</v>
      </c>
      <c r="AE21" s="20"/>
      <c r="AF21" s="12"/>
    </row>
    <row r="22" customFormat="false" ht="14.25" hidden="false" customHeight="true" outlineLevel="0" collapsed="false">
      <c r="B22" s="7"/>
      <c r="C22" s="20" t="s">
        <v>148</v>
      </c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1"/>
      <c r="P22" s="21"/>
      <c r="Q22" s="21"/>
      <c r="R22" s="21"/>
      <c r="S22" s="21"/>
      <c r="T22" s="21"/>
      <c r="U22" s="21"/>
      <c r="V22" s="21"/>
      <c r="W22" s="21"/>
      <c r="X22" s="22" t="s">
        <v>149</v>
      </c>
      <c r="Y22" s="22"/>
      <c r="Z22" s="22"/>
      <c r="AA22" s="25" t="n">
        <v>18.2</v>
      </c>
      <c r="AB22" s="25"/>
      <c r="AC22" s="25"/>
      <c r="AD22" s="20" t="s">
        <v>23</v>
      </c>
      <c r="AE22" s="20"/>
      <c r="AF22" s="12"/>
    </row>
    <row r="23" customFormat="false" ht="14.25" hidden="false" customHeight="true" outlineLevel="0" collapsed="false">
      <c r="B23" s="7"/>
      <c r="C23" s="20" t="s">
        <v>150</v>
      </c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1" t="s">
        <v>151</v>
      </c>
      <c r="P23" s="21"/>
      <c r="Q23" s="21"/>
      <c r="R23" s="21"/>
      <c r="S23" s="21"/>
      <c r="T23" s="21"/>
      <c r="U23" s="21"/>
      <c r="V23" s="21"/>
      <c r="W23" s="21"/>
      <c r="X23" s="22" t="s">
        <v>152</v>
      </c>
      <c r="Y23" s="22"/>
      <c r="Z23" s="22"/>
      <c r="AA23" s="25" t="n">
        <v>0</v>
      </c>
      <c r="AB23" s="25"/>
      <c r="AC23" s="25"/>
      <c r="AD23" s="20" t="s">
        <v>19</v>
      </c>
      <c r="AE23" s="20"/>
      <c r="AF23" s="12"/>
    </row>
    <row r="24" customFormat="false" ht="14.25" hidden="false" customHeight="false" outlineLevel="0" collapsed="false">
      <c r="B24" s="7"/>
      <c r="AF24" s="12"/>
    </row>
    <row r="25" customFormat="false" ht="14.25" hidden="false" customHeight="false" outlineLevel="0" collapsed="false">
      <c r="B25" s="7"/>
      <c r="AF25" s="12"/>
    </row>
    <row r="26" customFormat="false" ht="14.25" hidden="false" customHeight="false" outlineLevel="0" collapsed="false">
      <c r="B26" s="7"/>
      <c r="AF26" s="12"/>
    </row>
    <row r="27" customFormat="false" ht="14.25" hidden="false" customHeight="false" outlineLevel="0" collapsed="false">
      <c r="B27" s="7"/>
      <c r="AF27" s="12"/>
    </row>
    <row r="28" customFormat="false" ht="14.25" hidden="false" customHeight="false" outlineLevel="0" collapsed="false">
      <c r="B28" s="7"/>
      <c r="AF28" s="12"/>
    </row>
    <row r="29" customFormat="false" ht="14.25" hidden="false" customHeight="false" outlineLevel="0" collapsed="false">
      <c r="B29" s="7"/>
      <c r="AF29" s="12"/>
    </row>
    <row r="30" customFormat="false" ht="14.25" hidden="false" customHeight="false" outlineLevel="0" collapsed="false">
      <c r="B30" s="7"/>
      <c r="AF30" s="12"/>
    </row>
    <row r="31" customFormat="false" ht="14.25" hidden="false" customHeight="false" outlineLevel="0" collapsed="false">
      <c r="B31" s="7"/>
      <c r="AF31" s="12"/>
    </row>
    <row r="32" customFormat="false" ht="14.25" hidden="false" customHeight="false" outlineLevel="0" collapsed="false">
      <c r="B32" s="7"/>
      <c r="AF32" s="12"/>
    </row>
    <row r="33" customFormat="false" ht="14.25" hidden="false" customHeight="false" outlineLevel="0" collapsed="false">
      <c r="B33" s="7"/>
      <c r="AF33" s="12"/>
    </row>
    <row r="34" customFormat="false" ht="14.25" hidden="false" customHeight="false" outlineLevel="0" collapsed="false">
      <c r="B34" s="7"/>
      <c r="AF34" s="12"/>
    </row>
    <row r="35" customFormat="false" ht="14.25" hidden="false" customHeight="false" outlineLevel="0" collapsed="false">
      <c r="B35" s="7"/>
      <c r="AF35" s="12"/>
    </row>
    <row r="36" customFormat="false" ht="14.25" hidden="false" customHeight="false" outlineLevel="0" collapsed="false">
      <c r="B36" s="7"/>
      <c r="AF36" s="12"/>
    </row>
    <row r="37" customFormat="false" ht="14.25" hidden="false" customHeight="false" outlineLevel="0" collapsed="false">
      <c r="B37" s="7"/>
      <c r="AF37" s="12"/>
    </row>
    <row r="38" customFormat="false" ht="14.25" hidden="false" customHeight="false" outlineLevel="0" collapsed="false">
      <c r="B38" s="7"/>
      <c r="AF38" s="12"/>
    </row>
    <row r="39" customFormat="false" ht="14.25" hidden="false" customHeight="false" outlineLevel="0" collapsed="false">
      <c r="B39" s="7"/>
      <c r="AF39" s="12"/>
    </row>
    <row r="40" customFormat="false" ht="14.25" hidden="false" customHeight="false" outlineLevel="0" collapsed="false">
      <c r="B40" s="7"/>
      <c r="AF40" s="12"/>
    </row>
    <row r="41" customFormat="false" ht="14.25" hidden="false" customHeight="false" outlineLevel="0" collapsed="false">
      <c r="B41" s="7"/>
      <c r="C41" s="52" t="s">
        <v>153</v>
      </c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  <c r="AA41" s="52"/>
      <c r="AB41" s="52"/>
      <c r="AC41" s="52"/>
      <c r="AD41" s="52"/>
      <c r="AE41" s="52"/>
      <c r="AF41" s="12"/>
    </row>
    <row r="42" customFormat="false" ht="14.25" hidden="false" customHeight="false" outlineLevel="0" collapsed="false">
      <c r="B42" s="7"/>
      <c r="AF42" s="12"/>
    </row>
    <row r="43" customFormat="false" ht="14.25" hidden="false" customHeight="false" outlineLevel="0" collapsed="false">
      <c r="B43" s="7"/>
      <c r="AF43" s="12"/>
    </row>
    <row r="44" customFormat="false" ht="14.25" hidden="false" customHeight="false" outlineLevel="0" collapsed="false">
      <c r="B44" s="7"/>
      <c r="AF44" s="12"/>
    </row>
    <row r="45" customFormat="false" ht="14.25" hidden="false" customHeight="false" outlineLevel="0" collapsed="false">
      <c r="B45" s="7"/>
      <c r="AF45" s="12"/>
    </row>
    <row r="46" customFormat="false" ht="14.25" hidden="false" customHeight="false" outlineLevel="0" collapsed="false">
      <c r="B46" s="7"/>
      <c r="AF46" s="12"/>
    </row>
    <row r="47" customFormat="false" ht="14.25" hidden="false" customHeight="false" outlineLevel="0" collapsed="false">
      <c r="B47" s="7"/>
      <c r="AF47" s="12"/>
    </row>
    <row r="48" customFormat="false" ht="14.25" hidden="false" customHeight="false" outlineLevel="0" collapsed="false">
      <c r="B48" s="7"/>
      <c r="AF48" s="12"/>
    </row>
    <row r="49" customFormat="false" ht="14.25" hidden="false" customHeight="false" outlineLevel="0" collapsed="false">
      <c r="B49" s="7"/>
      <c r="AF49" s="12"/>
    </row>
    <row r="50" customFormat="false" ht="14.25" hidden="false" customHeight="false" outlineLevel="0" collapsed="false">
      <c r="B50" s="7"/>
      <c r="AF50" s="12"/>
    </row>
    <row r="51" customFormat="false" ht="14.25" hidden="false" customHeight="false" outlineLevel="0" collapsed="false">
      <c r="B51" s="7"/>
      <c r="AF51" s="12"/>
    </row>
    <row r="52" customFormat="false" ht="14.25" hidden="false" customHeight="false" outlineLevel="0" collapsed="false">
      <c r="B52" s="7"/>
      <c r="AF52" s="12"/>
    </row>
    <row r="53" customFormat="false" ht="14.25" hidden="false" customHeight="false" outlineLevel="0" collapsed="false">
      <c r="B53" s="7"/>
      <c r="AF53" s="12"/>
    </row>
    <row r="54" customFormat="false" ht="14.25" hidden="false" customHeight="false" outlineLevel="0" collapsed="false">
      <c r="B54" s="7"/>
      <c r="AF54" s="12"/>
    </row>
    <row r="55" customFormat="false" ht="14.25" hidden="false" customHeight="false" outlineLevel="0" collapsed="false">
      <c r="B55" s="7"/>
      <c r="AF55" s="12"/>
    </row>
    <row r="56" customFormat="false" ht="14.25" hidden="false" customHeight="false" outlineLevel="0" collapsed="false">
      <c r="B56" s="7"/>
      <c r="AF56" s="12"/>
    </row>
    <row r="57" customFormat="false" ht="14.25" hidden="false" customHeight="false" outlineLevel="0" collapsed="false">
      <c r="B57" s="7"/>
      <c r="AF57" s="12"/>
    </row>
    <row r="58" customFormat="false" ht="14.25" hidden="false" customHeight="false" outlineLevel="0" collapsed="false">
      <c r="B58" s="7"/>
      <c r="AF58" s="12"/>
    </row>
    <row r="59" customFormat="false" ht="14.25" hidden="false" customHeight="false" outlineLevel="0" collapsed="false">
      <c r="B59" s="7"/>
      <c r="AF59" s="12"/>
    </row>
    <row r="60" customFormat="false" ht="14.25" hidden="false" customHeight="false" outlineLevel="0" collapsed="false">
      <c r="B60" s="7"/>
      <c r="AF60" s="12"/>
    </row>
    <row r="61" customFormat="false" ht="14.25" hidden="false" customHeight="false" outlineLevel="0" collapsed="false">
      <c r="B61" s="7"/>
      <c r="AF61" s="12"/>
    </row>
    <row r="62" customFormat="false" ht="14.25" hidden="false" customHeight="false" outlineLevel="0" collapsed="false">
      <c r="B62" s="7"/>
      <c r="AF62" s="12"/>
    </row>
    <row r="63" customFormat="false" ht="14.25" hidden="false" customHeight="false" outlineLevel="0" collapsed="false">
      <c r="B63" s="7"/>
      <c r="AF63" s="12"/>
    </row>
    <row r="64" customFormat="false" ht="14.25" hidden="false" customHeight="false" outlineLevel="0" collapsed="false">
      <c r="B64" s="7"/>
      <c r="AF64" s="12"/>
    </row>
    <row r="65" customFormat="false" ht="14.25" hidden="false" customHeight="false" outlineLevel="0" collapsed="false">
      <c r="B65" s="7"/>
      <c r="AF65" s="12"/>
    </row>
    <row r="66" customFormat="false" ht="14.25" hidden="false" customHeight="false" outlineLevel="0" collapsed="false">
      <c r="B66" s="7"/>
      <c r="AF66" s="12"/>
    </row>
    <row r="67" customFormat="false" ht="14.25" hidden="false" customHeight="false" outlineLevel="0" collapsed="false">
      <c r="B67" s="7"/>
      <c r="AF67" s="12"/>
    </row>
    <row r="68" customFormat="false" ht="14.25" hidden="false" customHeight="false" outlineLevel="0" collapsed="false">
      <c r="B68" s="7"/>
      <c r="AF68" s="12"/>
    </row>
    <row r="69" customFormat="false" ht="14.25" hidden="false" customHeight="false" outlineLevel="0" collapsed="false">
      <c r="B69" s="7"/>
      <c r="AF69" s="12"/>
    </row>
    <row r="70" customFormat="false" ht="14.25" hidden="false" customHeight="false" outlineLevel="0" collapsed="false">
      <c r="B70" s="7"/>
      <c r="AF70" s="12"/>
    </row>
    <row r="71" customFormat="false" ht="14.25" hidden="false" customHeight="false" outlineLevel="0" collapsed="false">
      <c r="B71" s="7"/>
      <c r="AF71" s="12"/>
    </row>
    <row r="72" customFormat="false" ht="14.25" hidden="false" customHeight="false" outlineLevel="0" collapsed="false">
      <c r="B72" s="7"/>
      <c r="AF72" s="12"/>
    </row>
    <row r="73" customFormat="false" ht="14.25" hidden="false" customHeight="true" outlineLevel="0" collapsed="false">
      <c r="B73" s="36"/>
      <c r="C73" s="37"/>
      <c r="D73" s="37"/>
      <c r="E73" s="37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8" t="s">
        <v>93</v>
      </c>
      <c r="Y73" s="38"/>
      <c r="Z73" s="38"/>
      <c r="AA73" s="38"/>
      <c r="AB73" s="38" t="n">
        <v>1</v>
      </c>
      <c r="AC73" s="38"/>
      <c r="AD73" s="38"/>
      <c r="AE73" s="38"/>
      <c r="AF73" s="39"/>
    </row>
    <row r="74" customFormat="false" ht="14.25" hidden="false" customHeight="true" outlineLevel="0" collapsed="false">
      <c r="B74" s="1"/>
      <c r="C74" s="2" t="s">
        <v>0</v>
      </c>
      <c r="D74" s="2"/>
      <c r="E74" s="2"/>
      <c r="F74" s="2"/>
      <c r="G74" s="2"/>
      <c r="H74" s="3" t="s">
        <v>1</v>
      </c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4" t="s">
        <v>2</v>
      </c>
      <c r="Y74" s="4"/>
      <c r="Z74" s="4"/>
      <c r="AA74" s="4"/>
      <c r="AB74" s="5" t="s">
        <v>3</v>
      </c>
      <c r="AC74" s="5"/>
      <c r="AD74" s="5"/>
      <c r="AE74" s="5"/>
      <c r="AF74" s="6"/>
    </row>
    <row r="75" customFormat="false" ht="14.25" hidden="false" customHeight="true" outlineLevel="0" collapsed="false">
      <c r="B75" s="7"/>
      <c r="C75" s="8" t="s">
        <v>4</v>
      </c>
      <c r="D75" s="8"/>
      <c r="E75" s="8"/>
      <c r="F75" s="8"/>
      <c r="G75" s="8"/>
      <c r="H75" s="9" t="s">
        <v>5</v>
      </c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10" t="s">
        <v>6</v>
      </c>
      <c r="Y75" s="10"/>
      <c r="Z75" s="10"/>
      <c r="AA75" s="10"/>
      <c r="AB75" s="11" t="n">
        <v>46301</v>
      </c>
      <c r="AC75" s="11"/>
      <c r="AD75" s="11"/>
      <c r="AE75" s="11"/>
      <c r="AF75" s="12"/>
    </row>
    <row r="76" customFormat="false" ht="14.25" hidden="false" customHeight="true" outlineLevel="0" collapsed="false">
      <c r="B76" s="7"/>
      <c r="C76" s="8" t="s">
        <v>7</v>
      </c>
      <c r="D76" s="8"/>
      <c r="E76" s="8"/>
      <c r="F76" s="8"/>
      <c r="G76" s="8"/>
      <c r="H76" s="9" t="s">
        <v>348</v>
      </c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10" t="s">
        <v>9</v>
      </c>
      <c r="Y76" s="10"/>
      <c r="Z76" s="10"/>
      <c r="AA76" s="10"/>
      <c r="AB76" s="11" t="s">
        <v>3</v>
      </c>
      <c r="AC76" s="11"/>
      <c r="AD76" s="11"/>
      <c r="AE76" s="11"/>
      <c r="AF76" s="12"/>
    </row>
    <row r="77" customFormat="false" ht="14.25" hidden="false" customHeight="true" outlineLevel="0" collapsed="false">
      <c r="B77" s="13"/>
      <c r="C77" s="14" t="s">
        <v>10</v>
      </c>
      <c r="D77" s="14"/>
      <c r="E77" s="14"/>
      <c r="F77" s="14"/>
      <c r="G77" s="14"/>
      <c r="H77" s="15" t="s">
        <v>134</v>
      </c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6" t="s">
        <v>12</v>
      </c>
      <c r="Y77" s="16"/>
      <c r="Z77" s="16"/>
      <c r="AA77" s="16"/>
      <c r="AB77" s="17" t="n">
        <v>46301</v>
      </c>
      <c r="AC77" s="17"/>
      <c r="AD77" s="17"/>
      <c r="AE77" s="17"/>
      <c r="AF77" s="18"/>
    </row>
    <row r="78" customFormat="false" ht="14.25" hidden="false" customHeight="false" outlineLevel="0" collapsed="false">
      <c r="B78" s="7"/>
      <c r="AF78" s="12"/>
    </row>
    <row r="79" customFormat="false" ht="14.25" hidden="false" customHeight="false" outlineLevel="0" collapsed="false">
      <c r="B79" s="7"/>
      <c r="C79" s="9" t="s">
        <v>154</v>
      </c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12"/>
    </row>
    <row r="80" customFormat="false" ht="14.25" hidden="false" customHeight="false" outlineLevel="0" collapsed="false">
      <c r="B80" s="7"/>
      <c r="C80" s="20" t="s">
        <v>349</v>
      </c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12"/>
      <c r="AI80" s="53" t="s">
        <v>156</v>
      </c>
    </row>
    <row r="81" customFormat="false" ht="27" hidden="false" customHeight="true" outlineLevel="0" collapsed="false">
      <c r="B81" s="7"/>
      <c r="C81" s="28" t="s">
        <v>157</v>
      </c>
      <c r="D81" s="28"/>
      <c r="E81" s="28" t="s">
        <v>158</v>
      </c>
      <c r="F81" s="28"/>
      <c r="G81" s="28"/>
      <c r="H81" s="28" t="s">
        <v>159</v>
      </c>
      <c r="I81" s="28"/>
      <c r="J81" s="28"/>
      <c r="K81" s="28" t="s">
        <v>160</v>
      </c>
      <c r="L81" s="28"/>
      <c r="M81" s="28"/>
      <c r="N81" s="28" t="s">
        <v>161</v>
      </c>
      <c r="O81" s="28"/>
      <c r="P81" s="28"/>
      <c r="Q81" s="28" t="s">
        <v>162</v>
      </c>
      <c r="R81" s="28"/>
      <c r="S81" s="28"/>
      <c r="T81" s="28" t="s">
        <v>88</v>
      </c>
      <c r="U81" s="28"/>
      <c r="V81" s="28" t="s">
        <v>163</v>
      </c>
      <c r="W81" s="28"/>
      <c r="X81" s="28" t="s">
        <v>164</v>
      </c>
      <c r="Y81" s="28"/>
      <c r="Z81" s="28" t="s">
        <v>165</v>
      </c>
      <c r="AA81" s="28"/>
      <c r="AB81" s="28"/>
      <c r="AC81" s="28" t="s">
        <v>166</v>
      </c>
      <c r="AD81" s="28"/>
      <c r="AE81" s="28"/>
      <c r="AF81" s="12"/>
      <c r="AI81" s="54" t="s">
        <v>167</v>
      </c>
      <c r="AJ81" s="54" t="s">
        <v>168</v>
      </c>
      <c r="AK81" s="54" t="s">
        <v>169</v>
      </c>
      <c r="AL81" s="54" t="s">
        <v>170</v>
      </c>
      <c r="AM81" s="54" t="s">
        <v>171</v>
      </c>
      <c r="AN81" s="54" t="s">
        <v>172</v>
      </c>
      <c r="AO81" s="54" t="s">
        <v>173</v>
      </c>
      <c r="AP81" s="54" t="s">
        <v>174</v>
      </c>
      <c r="AQ81" s="54" t="s">
        <v>175</v>
      </c>
      <c r="AR81" s="54" t="s">
        <v>88</v>
      </c>
      <c r="AS81" s="54" t="s">
        <v>176</v>
      </c>
      <c r="AT81" s="54" t="s">
        <v>163</v>
      </c>
      <c r="AU81" s="54" t="s">
        <v>164</v>
      </c>
      <c r="AV81" s="54" t="s">
        <v>165</v>
      </c>
      <c r="AW81" s="54" t="s">
        <v>177</v>
      </c>
      <c r="AX81" s="54" t="s">
        <v>178</v>
      </c>
      <c r="AY81" s="54" t="s">
        <v>179</v>
      </c>
      <c r="AZ81" s="54" t="s">
        <v>19</v>
      </c>
      <c r="BA81" s="54" t="s">
        <v>180</v>
      </c>
      <c r="BB81" s="54" t="s">
        <v>181</v>
      </c>
      <c r="BC81" s="54" t="s">
        <v>182</v>
      </c>
      <c r="BD81" s="54" t="s">
        <v>183</v>
      </c>
      <c r="BE81" s="54" t="s">
        <v>184</v>
      </c>
      <c r="BF81" s="54" t="s">
        <v>185</v>
      </c>
      <c r="BG81" s="54" t="s">
        <v>186</v>
      </c>
      <c r="BH81" s="54" t="s">
        <v>187</v>
      </c>
      <c r="BI81" s="54" t="s">
        <v>188</v>
      </c>
      <c r="BJ81" s="54" t="s">
        <v>189</v>
      </c>
      <c r="BK81" s="54" t="s">
        <v>190</v>
      </c>
      <c r="BL81" s="54" t="s">
        <v>89</v>
      </c>
      <c r="BM81" s="54" t="s">
        <v>191</v>
      </c>
      <c r="BN81" s="54" t="s">
        <v>192</v>
      </c>
      <c r="BO81" s="54" t="s">
        <v>193</v>
      </c>
      <c r="BP81" s="54" t="s">
        <v>194</v>
      </c>
      <c r="BQ81" s="54" t="s">
        <v>195</v>
      </c>
    </row>
    <row r="82" customFormat="false" ht="14.25" hidden="false" customHeight="true" outlineLevel="0" collapsed="false">
      <c r="B82" s="7"/>
      <c r="C82" s="29"/>
      <c r="D82" s="29"/>
      <c r="E82" s="29" t="s">
        <v>19</v>
      </c>
      <c r="F82" s="29"/>
      <c r="G82" s="29"/>
      <c r="H82" s="29" t="s">
        <v>19</v>
      </c>
      <c r="I82" s="29"/>
      <c r="J82" s="29"/>
      <c r="K82" s="29"/>
      <c r="L82" s="29"/>
      <c r="M82" s="29"/>
      <c r="N82" s="29"/>
      <c r="O82" s="29"/>
      <c r="P82" s="29"/>
      <c r="Q82" s="29" t="s">
        <v>23</v>
      </c>
      <c r="R82" s="29"/>
      <c r="S82" s="29"/>
      <c r="T82" s="29" t="s">
        <v>91</v>
      </c>
      <c r="U82" s="29"/>
      <c r="V82" s="29" t="s">
        <v>91</v>
      </c>
      <c r="W82" s="29"/>
      <c r="X82" s="29" t="s">
        <v>38</v>
      </c>
      <c r="Y82" s="29"/>
      <c r="Z82" s="29" t="s">
        <v>26</v>
      </c>
      <c r="AA82" s="29"/>
      <c r="AB82" s="29"/>
      <c r="AC82" s="29" t="s">
        <v>60</v>
      </c>
      <c r="AD82" s="29"/>
      <c r="AE82" s="29"/>
      <c r="AF82" s="12"/>
    </row>
    <row r="83" customFormat="false" ht="14.25" hidden="false" customHeight="false" outlineLevel="0" collapsed="false">
      <c r="B83" s="7"/>
      <c r="C83" s="46" t="n">
        <v>1</v>
      </c>
      <c r="D83" s="46"/>
      <c r="E83" s="44" t="n">
        <f aca="false">AI83</f>
        <v>0</v>
      </c>
      <c r="F83" s="44"/>
      <c r="G83" s="44"/>
      <c r="H83" s="44" t="n">
        <f aca="false">AJ83</f>
        <v>1.5</v>
      </c>
      <c r="I83" s="44"/>
      <c r="J83" s="44"/>
      <c r="K83" s="41" t="str">
        <f aca="false">AM83</f>
        <v>Sand</v>
      </c>
      <c r="L83" s="41"/>
      <c r="M83" s="41"/>
      <c r="N83" s="46" t="n">
        <f aca="false">AN83</f>
        <v>46</v>
      </c>
      <c r="O83" s="46"/>
      <c r="P83" s="46"/>
      <c r="Q83" s="42" t="n">
        <f aca="false">AO83</f>
        <v>18.3</v>
      </c>
      <c r="R83" s="42"/>
      <c r="S83" s="42"/>
      <c r="T83" s="46" t="str">
        <f aca="false">IF(AR83="","-",AR83)</f>
        <v>-</v>
      </c>
      <c r="U83" s="46"/>
      <c r="V83" s="46" t="str">
        <f aca="false">IF(AT83="","-",AT83)</f>
        <v>-</v>
      </c>
      <c r="W83" s="46"/>
      <c r="X83" s="44" t="n">
        <f aca="false">AU83</f>
        <v>0.65</v>
      </c>
      <c r="Y83" s="44"/>
      <c r="Z83" s="55" t="n">
        <f aca="false">AV83</f>
        <v>0</v>
      </c>
      <c r="AA83" s="55"/>
      <c r="AB83" s="55"/>
      <c r="AC83" s="42" t="n">
        <f aca="false">AW83</f>
        <v>40.70521011304</v>
      </c>
      <c r="AD83" s="42"/>
      <c r="AE83" s="42"/>
      <c r="AF83" s="12"/>
      <c r="AI83" s="56" t="n">
        <v>0</v>
      </c>
      <c r="AJ83" s="56" t="n">
        <v>1.5</v>
      </c>
      <c r="AK83" s="57" t="n">
        <f aca="false">AJ83-AI83</f>
        <v>1.5</v>
      </c>
      <c r="AL83" s="57" t="n">
        <f aca="false">(AI83+AJ83)/2</f>
        <v>0.75</v>
      </c>
      <c r="AM83" s="56" t="s">
        <v>199</v>
      </c>
      <c r="AN83" s="56" t="n">
        <v>46</v>
      </c>
      <c r="AO83" s="58" t="n">
        <f aca="false">IF(AL83&gt;$AA$20,$AA$22,$AA$21)</f>
        <v>18.3</v>
      </c>
      <c r="AP83" s="57" t="n">
        <f aca="false">AO83*AK83</f>
        <v>27.45</v>
      </c>
      <c r="AQ83" s="57" t="n">
        <f aca="false">AP83-AO83*AK83/2-10*MAX(AL83-$AA$20,0)</f>
        <v>13.725</v>
      </c>
      <c r="AR83" s="56"/>
      <c r="AS83" s="56"/>
      <c r="AT83" s="57" t="str">
        <f aca="false">IF(AR83="","",AR83-AS83)</f>
        <v/>
      </c>
      <c r="AU83" s="56" t="n">
        <v>0.65</v>
      </c>
      <c r="AV83" s="57" t="n">
        <f aca="false">IF(AM83="Sand",0,Input!$AA$34*AN83)</f>
        <v>0</v>
      </c>
      <c r="AW83" s="57" t="n">
        <f aca="false">IF(AM83="Sand",27.1+0.3*MIN(Input!$AA$35*AN83,60)-0.00054*MIN(Input!$AA$35*AN83,60)^2,MIN(MAX(DEGREES(ASIN(0.8-0.094*LN(MAX(IF(AT83="",10,AT83),5)))),20),30))</f>
        <v>40.70521011304</v>
      </c>
      <c r="AX83" s="57" t="n">
        <f aca="false">IF(AM83="Sand",Input!$AA$36*Input!$AA$35*AN83,Input!$AA$37*AV83)</f>
        <v>49818</v>
      </c>
      <c r="AY83" s="59" t="n">
        <f aca="false">IF(AM83="Sand",Input!$AA$38,0.5)</f>
        <v>0.3</v>
      </c>
      <c r="AZ83" s="57" t="n">
        <f aca="false">Input!$AA$15/2/AL83</f>
        <v>49.3333333333333</v>
      </c>
      <c r="BA83" s="57" t="n">
        <f aca="false">Input!$AA$16/2/AL83</f>
        <v>134.666666666667</v>
      </c>
      <c r="BB83" s="57" t="n">
        <f aca="false">1/(4*PI())*(2*AZ83*BA83*SQRT(AZ83^2+BA83^2+1)/(AZ83^2+BA83^2+1+AZ83^2*BA83^2)*(AZ83^2+BA83^2+2)/(AZ83^2+BA83^2+1)+ATAN2(AZ83^2+BA83^2+1-AZ83^2*BA83^2,2*AZ83*BA83*SQRT(AZ83^2+BA83^2+1)))</f>
        <v>0.249999100034729</v>
      </c>
      <c r="BC83" s="57" t="n">
        <f aca="false">4*Input!$AA$14*BB83</f>
        <v>135.999510418892</v>
      </c>
      <c r="BD83" s="57" t="n">
        <f aca="false">((Input!$AA$16/Input!$AA$15)*LN((1+SQRT((Input!$AA$16/Input!$AA$15)^2+1))*SQRT((Input!$AA$16/Input!$AA$15)^2+(AJ83/(Input!$AA$15/2))^2)/((Input!$AA$16/Input!$AA$15)*(1+SQRT((Input!$AA$16/Input!$AA$15)^2+(AJ83/(Input!$AA$15/2))^2+1))))+LN(((Input!$AA$16/Input!$AA$15)+SQRT((Input!$AA$16/Input!$AA$15)^2+1))*SQRT(1+(AJ83/(Input!$AA$15/2))^2)/((Input!$AA$16/Input!$AA$15)+SQRT((Input!$AA$16/Input!$AA$15)^2+(AJ83/(Input!$AA$15/2))^2+1))))/PI()</f>
        <v>0.000278357738281407</v>
      </c>
      <c r="BE83" s="57" t="n">
        <f aca="false">(AJ83/(Input!$AA$15/2))/(2*PI())*ATAN((Input!$AA$16/Input!$AA$15)/((AJ83/(Input!$AA$15/2))*SQRT((Input!$AA$16/Input!$AA$15)^2+(AJ83/(Input!$AA$15/2))^2+1)))</f>
        <v>0.00985670448566872</v>
      </c>
      <c r="BF83" s="57" t="n">
        <f aca="false">MAX(0,AJ83-MAX(AI83,$AA$23))/AK83*IF(BC83&gt;=Input!$AA$21*AQ83,1,0)</f>
        <v>1</v>
      </c>
      <c r="BG83" s="57" t="n">
        <f aca="false">4*Input!$AA$14*(Input!$AA$15/2)*(1-AY83^2)/AX83*((BD83-0)+(1-2*AY83)/(1-AY83)*(BE83-0))*1000*BF83</f>
        <v>2.17319689364481</v>
      </c>
      <c r="BH83" s="57" t="n">
        <f aca="false">IF(AM83="Sand",0,0.009*(AR83-10))</f>
        <v>0</v>
      </c>
      <c r="BI83" s="57" t="n">
        <f aca="false">BH83*Input!$AA$39</f>
        <v>0</v>
      </c>
      <c r="BJ83" s="57" t="n">
        <f aca="false">IF(AM83="Sand",0,MAX(AV83/Input!$AA$40,AQ83))</f>
        <v>0</v>
      </c>
      <c r="BK83" s="57" t="n">
        <f aca="false">IF(AM83="Sand",0,1000*AK83/(1+AU83)*IF(AQ83+BC83&lt;=BJ83,BI83*LOG10((AQ83+BC83)/AQ83),BI83*LOG10(BJ83/AQ83)+BH83*LOG10((AQ83+BC83)/BJ83)))*BF83</f>
        <v>0</v>
      </c>
      <c r="BL83" s="57" t="n">
        <f aca="false">IF(AM83="Sand",0,10^(INDEX(Input!$Q$51:$Q$57,MIN(MATCH(MIN(MAX(AR83,30),120),Input!$C$51:$C$57,1),6))+(MIN(MAX(AR83,30),120)-INDEX(Input!$C$51:$C$57,MIN(MATCH(MIN(MAX(AR83,30),120),Input!$C$51:$C$57,1),6)))/(INDEX(Input!$C$51:$C$57,MIN(MATCH(MIN(MAX(AR83,30),120),Input!$C$51:$C$57,1),6)+1)-INDEX(Input!$C$51:$C$57,MIN(MATCH(MIN(MAX(AR83,30),120),Input!$C$51:$C$57,1),6)))*(INDEX(Input!$Q$51:$Q$57,MIN(MATCH(MIN(MAX(AR83,30),120),Input!$C$51:$C$57,1),6)+1)-INDEX(Input!$Q$51:$Q$57,MIN(MATCH(MIN(MAX(AR83,30),120),Input!$C$51:$C$57,1),6)))))</f>
        <v>0</v>
      </c>
      <c r="BM83" s="57" t="n">
        <f aca="false">IF(OR(AM83="Sand",BF83=0),0,Input!$AA$41*(AK83/2)^2/(BL83*0.0001*31536000))</f>
        <v>0</v>
      </c>
      <c r="BN83" s="57" t="n">
        <f aca="false">MAX(0,MIN(AJ83,Input!$AA$20)-AI83)</f>
        <v>1.5</v>
      </c>
      <c r="BO83" s="57" t="n">
        <f aca="false">MAX(0,MIN(AJ83,Input!$AA$20)-MAX(AI83,$AA$23))</f>
        <v>1.5</v>
      </c>
      <c r="BP83" s="57" t="n">
        <f aca="false">BG83+BK83</f>
        <v>2.17319689364481</v>
      </c>
      <c r="BQ83" s="57" t="s">
        <v>329</v>
      </c>
    </row>
    <row r="84" customFormat="false" ht="14.25" hidden="false" customHeight="false" outlineLevel="0" collapsed="false">
      <c r="B84" s="7"/>
      <c r="C84" s="46" t="n">
        <v>2</v>
      </c>
      <c r="D84" s="46"/>
      <c r="E84" s="44" t="n">
        <f aca="false">AI84</f>
        <v>1.5</v>
      </c>
      <c r="F84" s="44"/>
      <c r="G84" s="44"/>
      <c r="H84" s="44" t="n">
        <f aca="false">AJ84</f>
        <v>3</v>
      </c>
      <c r="I84" s="44"/>
      <c r="J84" s="44"/>
      <c r="K84" s="41" t="str">
        <f aca="false">AM84</f>
        <v>Sand</v>
      </c>
      <c r="L84" s="41"/>
      <c r="M84" s="41"/>
      <c r="N84" s="46" t="n">
        <f aca="false">AN84</f>
        <v>46</v>
      </c>
      <c r="O84" s="46"/>
      <c r="P84" s="46"/>
      <c r="Q84" s="42" t="n">
        <f aca="false">AO84</f>
        <v>18.3</v>
      </c>
      <c r="R84" s="42"/>
      <c r="S84" s="42"/>
      <c r="T84" s="46" t="str">
        <f aca="false">IF(AR84="","-",AR84)</f>
        <v>-</v>
      </c>
      <c r="U84" s="46"/>
      <c r="V84" s="46" t="str">
        <f aca="false">IF(AT84="","-",AT84)</f>
        <v>-</v>
      </c>
      <c r="W84" s="46"/>
      <c r="X84" s="44" t="n">
        <f aca="false">AU84</f>
        <v>0.659</v>
      </c>
      <c r="Y84" s="44"/>
      <c r="Z84" s="55" t="n">
        <f aca="false">AV84</f>
        <v>0</v>
      </c>
      <c r="AA84" s="55"/>
      <c r="AB84" s="55"/>
      <c r="AC84" s="42" t="n">
        <f aca="false">AW84</f>
        <v>40.70521011304</v>
      </c>
      <c r="AD84" s="42"/>
      <c r="AE84" s="42"/>
      <c r="AF84" s="12"/>
      <c r="AI84" s="56" t="n">
        <v>1.5</v>
      </c>
      <c r="AJ84" s="56" t="n">
        <v>3</v>
      </c>
      <c r="AK84" s="57" t="n">
        <f aca="false">AJ84-AI84</f>
        <v>1.5</v>
      </c>
      <c r="AL84" s="57" t="n">
        <f aca="false">(AI84+AJ84)/2</f>
        <v>2.25</v>
      </c>
      <c r="AM84" s="56" t="s">
        <v>199</v>
      </c>
      <c r="AN84" s="56" t="n">
        <v>46</v>
      </c>
      <c r="AO84" s="58" t="n">
        <f aca="false">IF(AL84&gt;$AA$20,$AA$22,$AA$21)</f>
        <v>18.3</v>
      </c>
      <c r="AP84" s="57" t="n">
        <f aca="false">AP83+AO84*AK84</f>
        <v>54.9</v>
      </c>
      <c r="AQ84" s="57" t="n">
        <f aca="false">AP84-AO84*AK84/2-10*MAX(AL84-$AA$20,0)</f>
        <v>41.175</v>
      </c>
      <c r="AR84" s="56"/>
      <c r="AS84" s="56"/>
      <c r="AT84" s="57" t="str">
        <f aca="false">IF(AR84="","",AR84-AS84)</f>
        <v/>
      </c>
      <c r="AU84" s="56" t="n">
        <v>0.659</v>
      </c>
      <c r="AV84" s="57" t="n">
        <f aca="false">IF(AM84="Sand",0,Input!$AA$34*AN84)</f>
        <v>0</v>
      </c>
      <c r="AW84" s="57" t="n">
        <f aca="false">IF(AM84="Sand",27.1+0.3*MIN(Input!$AA$35*AN84,60)-0.00054*MIN(Input!$AA$35*AN84,60)^2,MIN(MAX(DEGREES(ASIN(0.8-0.094*LN(MAX(IF(AT84="",10,AT84),5)))),20),30))</f>
        <v>40.70521011304</v>
      </c>
      <c r="AX84" s="57" t="n">
        <f aca="false">IF(AM84="Sand",Input!$AA$36*Input!$AA$35*AN84,Input!$AA$37*AV84)</f>
        <v>49818</v>
      </c>
      <c r="AY84" s="59" t="n">
        <f aca="false">IF(AM84="Sand",Input!$AA$38,0.5)</f>
        <v>0.3</v>
      </c>
      <c r="AZ84" s="57" t="n">
        <f aca="false">Input!$AA$15/2/AL84</f>
        <v>16.4444444444444</v>
      </c>
      <c r="BA84" s="57" t="n">
        <f aca="false">Input!$AA$16/2/AL84</f>
        <v>44.8888888888889</v>
      </c>
      <c r="BB84" s="57" t="n">
        <f aca="false">1/(4*PI())*(2*AZ84*BA84*SQRT(AZ84^2+BA84^2+1)/(AZ84^2+BA84^2+1+AZ84^2*BA84^2)*(AZ84^2+BA84^2+2)/(AZ84^2+BA84^2+1)+ATAN2(AZ84^2+BA84^2+1-AZ84^2*BA84^2,2*AZ84*BA84*SQRT(AZ84^2+BA84^2+1)))</f>
        <v>0.249975794959289</v>
      </c>
      <c r="BC84" s="57" t="n">
        <f aca="false">4*Input!$AA$14*BB84</f>
        <v>135.986832457853</v>
      </c>
      <c r="BD84" s="57" t="n">
        <f aca="false">((Input!$AA$16/Input!$AA$15)*LN((1+SQRT((Input!$AA$16/Input!$AA$15)^2+1))*SQRT((Input!$AA$16/Input!$AA$15)^2+(AJ84/(Input!$AA$15/2))^2)/((Input!$AA$16/Input!$AA$15)*(1+SQRT((Input!$AA$16/Input!$AA$15)^2+(AJ84/(Input!$AA$15/2))^2+1))))+LN(((Input!$AA$16/Input!$AA$15)+SQRT((Input!$AA$16/Input!$AA$15)^2+1))*SQRT(1+(AJ84/(Input!$AA$15/2))^2)/((Input!$AA$16/Input!$AA$15)+SQRT((Input!$AA$16/Input!$AA$15)^2+(AJ84/(Input!$AA$15/2))^2+1))))/PI()</f>
        <v>0.0011108168584366</v>
      </c>
      <c r="BE84" s="57" t="n">
        <f aca="false">(AJ84/(Input!$AA$15/2))/(2*PI())*ATAN((Input!$AA$16/Input!$AA$15)/((AJ84/(Input!$AA$15/2))*SQRT((Input!$AA$16/Input!$AA$15)^2+(AJ84/(Input!$AA$15/2))^2+1)))</f>
        <v>0.0191582913405592</v>
      </c>
      <c r="BF84" s="57" t="n">
        <f aca="false">MAX(0,AJ84-MAX(AI84,$AA$23))/AK84*IF(BC84&gt;=Input!$AA$21*AQ84,1,0)</f>
        <v>1</v>
      </c>
      <c r="BG84" s="57" t="n">
        <f aca="false">4*Input!$AA$14*(Input!$AA$15/2)*(1-AY84^2)/AX84*((BD84-BD83)+(1-2*AY84)/(1-AY84)*(BE84-BE83))*1000*BF84</f>
        <v>2.2602942257229</v>
      </c>
      <c r="BH84" s="57" t="n">
        <f aca="false">IF(AM84="Sand",0,0.009*(AR84-10))</f>
        <v>0</v>
      </c>
      <c r="BI84" s="57" t="n">
        <f aca="false">BH84*Input!$AA$39</f>
        <v>0</v>
      </c>
      <c r="BJ84" s="57" t="n">
        <f aca="false">IF(AM84="Sand",0,MAX(AV84/Input!$AA$40,AQ84))</f>
        <v>0</v>
      </c>
      <c r="BK84" s="57" t="n">
        <f aca="false">IF(AM84="Sand",0,1000*AK84/(1+AU84)*IF(AQ84+BC84&lt;=BJ84,BI84*LOG10((AQ84+BC84)/AQ84),BI84*LOG10(BJ84/AQ84)+BH84*LOG10((AQ84+BC84)/BJ84)))*BF84</f>
        <v>0</v>
      </c>
      <c r="BL84" s="57" t="n">
        <f aca="false">IF(AM84="Sand",0,10^(INDEX(Input!$Q$51:$Q$57,MIN(MATCH(MIN(MAX(AR84,30),120),Input!$C$51:$C$57,1),6))+(MIN(MAX(AR84,30),120)-INDEX(Input!$C$51:$C$57,MIN(MATCH(MIN(MAX(AR84,30),120),Input!$C$51:$C$57,1),6)))/(INDEX(Input!$C$51:$C$57,MIN(MATCH(MIN(MAX(AR84,30),120),Input!$C$51:$C$57,1),6)+1)-INDEX(Input!$C$51:$C$57,MIN(MATCH(MIN(MAX(AR84,30),120),Input!$C$51:$C$57,1),6)))*(INDEX(Input!$Q$51:$Q$57,MIN(MATCH(MIN(MAX(AR84,30),120),Input!$C$51:$C$57,1),6)+1)-INDEX(Input!$Q$51:$Q$57,MIN(MATCH(MIN(MAX(AR84,30),120),Input!$C$51:$C$57,1),6)))))</f>
        <v>0</v>
      </c>
      <c r="BM84" s="57" t="n">
        <f aca="false">IF(OR(AM84="Sand",BF84=0),0,Input!$AA$41*(AK84/2)^2/(BL84*0.0001*31536000))</f>
        <v>0</v>
      </c>
      <c r="BN84" s="57" t="n">
        <f aca="false">MAX(0,MIN(AJ84,Input!$AA$20)-AI84)</f>
        <v>1.5</v>
      </c>
      <c r="BO84" s="57" t="n">
        <f aca="false">MAX(0,MIN(AJ84,Input!$AA$20)-MAX(AI84,$AA$23))</f>
        <v>1.5</v>
      </c>
      <c r="BP84" s="57" t="n">
        <f aca="false">BG84+BK84</f>
        <v>2.2602942257229</v>
      </c>
      <c r="BQ84" s="57"/>
    </row>
    <row r="85" customFormat="false" ht="14.25" hidden="false" customHeight="false" outlineLevel="0" collapsed="false">
      <c r="B85" s="7"/>
      <c r="C85" s="46" t="n">
        <v>3</v>
      </c>
      <c r="D85" s="46"/>
      <c r="E85" s="44" t="n">
        <f aca="false">AI85</f>
        <v>3</v>
      </c>
      <c r="F85" s="44"/>
      <c r="G85" s="44"/>
      <c r="H85" s="44" t="n">
        <f aca="false">AJ85</f>
        <v>4.5</v>
      </c>
      <c r="I85" s="44"/>
      <c r="J85" s="44"/>
      <c r="K85" s="41" t="str">
        <f aca="false">AM85</f>
        <v>Sand</v>
      </c>
      <c r="L85" s="41"/>
      <c r="M85" s="41"/>
      <c r="N85" s="46" t="n">
        <f aca="false">AN85</f>
        <v>50</v>
      </c>
      <c r="O85" s="46"/>
      <c r="P85" s="46"/>
      <c r="Q85" s="42" t="n">
        <f aca="false">AO85</f>
        <v>18.3</v>
      </c>
      <c r="R85" s="42"/>
      <c r="S85" s="42"/>
      <c r="T85" s="46" t="str">
        <f aca="false">IF(AR85="","-",AR85)</f>
        <v>-</v>
      </c>
      <c r="U85" s="46"/>
      <c r="V85" s="46" t="str">
        <f aca="false">IF(AT85="","-",AT85)</f>
        <v>-</v>
      </c>
      <c r="W85" s="46"/>
      <c r="X85" s="44" t="n">
        <f aca="false">AU85</f>
        <v>0.65</v>
      </c>
      <c r="Y85" s="44"/>
      <c r="Z85" s="55" t="n">
        <f aca="false">AV85</f>
        <v>0</v>
      </c>
      <c r="AA85" s="55"/>
      <c r="AB85" s="55"/>
      <c r="AC85" s="42" t="n">
        <f aca="false">AW85</f>
        <v>41.76159985</v>
      </c>
      <c r="AD85" s="42"/>
      <c r="AE85" s="42"/>
      <c r="AF85" s="12"/>
      <c r="AI85" s="56" t="n">
        <v>3</v>
      </c>
      <c r="AJ85" s="56" t="n">
        <v>4.5</v>
      </c>
      <c r="AK85" s="57" t="n">
        <f aca="false">AJ85-AI85</f>
        <v>1.5</v>
      </c>
      <c r="AL85" s="57" t="n">
        <f aca="false">(AI85+AJ85)/2</f>
        <v>3.75</v>
      </c>
      <c r="AM85" s="56" t="s">
        <v>199</v>
      </c>
      <c r="AN85" s="56" t="n">
        <v>50</v>
      </c>
      <c r="AO85" s="58" t="n">
        <f aca="false">IF(AL85&gt;$AA$20,$AA$22,$AA$21)</f>
        <v>18.3</v>
      </c>
      <c r="AP85" s="57" t="n">
        <f aca="false">AP84+AO85*AK85</f>
        <v>82.35</v>
      </c>
      <c r="AQ85" s="57" t="n">
        <f aca="false">AP85-AO85*AK85/2-10*MAX(AL85-$AA$20,0)</f>
        <v>68.625</v>
      </c>
      <c r="AR85" s="56"/>
      <c r="AS85" s="56"/>
      <c r="AT85" s="57" t="str">
        <f aca="false">IF(AR85="","",AR85-AS85)</f>
        <v/>
      </c>
      <c r="AU85" s="56" t="n">
        <v>0.65</v>
      </c>
      <c r="AV85" s="57" t="n">
        <f aca="false">IF(AM85="Sand",0,Input!$AA$34*AN85)</f>
        <v>0</v>
      </c>
      <c r="AW85" s="57" t="n">
        <f aca="false">IF(AM85="Sand",27.1+0.3*MIN(Input!$AA$35*AN85,60)-0.00054*MIN(Input!$AA$35*AN85,60)^2,MIN(MAX(DEGREES(ASIN(0.8-0.094*LN(MAX(IF(AT85="",10,AT85),5)))),20),30))</f>
        <v>41.76159985</v>
      </c>
      <c r="AX85" s="57" t="n">
        <f aca="false">IF(AM85="Sand",Input!$AA$36*Input!$AA$35*AN85,Input!$AA$37*AV85)</f>
        <v>54150</v>
      </c>
      <c r="AY85" s="59" t="n">
        <f aca="false">IF(AM85="Sand",Input!$AA$38,0.5)</f>
        <v>0.3</v>
      </c>
      <c r="AZ85" s="57" t="n">
        <f aca="false">Input!$AA$15/2/AL85</f>
        <v>9.86666666666667</v>
      </c>
      <c r="BA85" s="57" t="n">
        <f aca="false">Input!$AA$16/2/AL85</f>
        <v>26.9333333333333</v>
      </c>
      <c r="BB85" s="57" t="n">
        <f aca="false">1/(4*PI())*(2*AZ85*BA85*SQRT(AZ85^2+BA85^2+1)/(AZ85^2+BA85^2+1+AZ85^2*BA85^2)*(AZ85^2+BA85^2+2)/(AZ85^2+BA85^2+1)+ATAN2(AZ85^2+BA85^2+1-AZ85^2*BA85^2,2*AZ85*BA85*SQRT(AZ85^2+BA85^2+1)))</f>
        <v>0.249888801120386</v>
      </c>
      <c r="BC85" s="57" t="n">
        <f aca="false">4*Input!$AA$14*BB85</f>
        <v>135.93950780949</v>
      </c>
      <c r="BD85" s="57" t="n">
        <f aca="false">((Input!$AA$16/Input!$AA$15)*LN((1+SQRT((Input!$AA$16/Input!$AA$15)^2+1))*SQRT((Input!$AA$16/Input!$AA$15)^2+(AJ85/(Input!$AA$15/2))^2)/((Input!$AA$16/Input!$AA$15)*(1+SQRT((Input!$AA$16/Input!$AA$15)^2+(AJ85/(Input!$AA$15/2))^2+1))))+LN(((Input!$AA$16/Input!$AA$15)+SQRT((Input!$AA$16/Input!$AA$15)^2+1))*SQRT(1+(AJ85/(Input!$AA$15/2))^2)/((Input!$AA$16/Input!$AA$15)+SQRT((Input!$AA$16/Input!$AA$15)^2+(AJ85/(Input!$AA$15/2))^2+1))))/PI()</f>
        <v>0.00248961870853131</v>
      </c>
      <c r="BE85" s="57" t="n">
        <f aca="false">(AJ85/(Input!$AA$15/2))/(2*PI())*ATAN((Input!$AA$16/Input!$AA$15)/((AJ85/(Input!$AA$15/2))*SQRT((Input!$AA$16/Input!$AA$15)^2+(AJ85/(Input!$AA$15/2))^2+1)))</f>
        <v>0.027909941348913</v>
      </c>
      <c r="BF85" s="57" t="n">
        <f aca="false">MAX(0,AJ85-MAX(AI85,$AA$23))/AK85*IF(BC85&gt;=Input!$AA$21*AQ85,1,0)</f>
        <v>1</v>
      </c>
      <c r="BG85" s="57" t="n">
        <f aca="false">4*Input!$AA$14*(Input!$AA$15/2)*(1-AY85^2)/AX85*((BD85-BD84)+(1-2*AY85)/(1-AY85)*(BE85-BE84))*1000*BF85</f>
        <v>2.15797721925499</v>
      </c>
      <c r="BH85" s="57" t="n">
        <f aca="false">IF(AM85="Sand",0,0.009*(AR85-10))</f>
        <v>0</v>
      </c>
      <c r="BI85" s="57" t="n">
        <f aca="false">BH85*Input!$AA$39</f>
        <v>0</v>
      </c>
      <c r="BJ85" s="57" t="n">
        <f aca="false">IF(AM85="Sand",0,MAX(AV85/Input!$AA$40,AQ85))</f>
        <v>0</v>
      </c>
      <c r="BK85" s="57" t="n">
        <f aca="false">IF(AM85="Sand",0,1000*AK85/(1+AU85)*IF(AQ85+BC85&lt;=BJ85,BI85*LOG10((AQ85+BC85)/AQ85),BI85*LOG10(BJ85/AQ85)+BH85*LOG10((AQ85+BC85)/BJ85)))*BF85</f>
        <v>0</v>
      </c>
      <c r="BL85" s="57" t="n">
        <f aca="false">IF(AM85="Sand",0,10^(INDEX(Input!$Q$51:$Q$57,MIN(MATCH(MIN(MAX(AR85,30),120),Input!$C$51:$C$57,1),6))+(MIN(MAX(AR85,30),120)-INDEX(Input!$C$51:$C$57,MIN(MATCH(MIN(MAX(AR85,30),120),Input!$C$51:$C$57,1),6)))/(INDEX(Input!$C$51:$C$57,MIN(MATCH(MIN(MAX(AR85,30),120),Input!$C$51:$C$57,1),6)+1)-INDEX(Input!$C$51:$C$57,MIN(MATCH(MIN(MAX(AR85,30),120),Input!$C$51:$C$57,1),6)))*(INDEX(Input!$Q$51:$Q$57,MIN(MATCH(MIN(MAX(AR85,30),120),Input!$C$51:$C$57,1),6)+1)-INDEX(Input!$Q$51:$Q$57,MIN(MATCH(MIN(MAX(AR85,30),120),Input!$C$51:$C$57,1),6)))))</f>
        <v>0</v>
      </c>
      <c r="BM85" s="57" t="n">
        <f aca="false">IF(OR(AM85="Sand",BF85=0),0,Input!$AA$41*(AK85/2)^2/(BL85*0.0001*31536000))</f>
        <v>0</v>
      </c>
      <c r="BN85" s="57" t="n">
        <f aca="false">MAX(0,MIN(AJ85,Input!$AA$20)-AI85)</f>
        <v>1.5</v>
      </c>
      <c r="BO85" s="57" t="n">
        <f aca="false">MAX(0,MIN(AJ85,Input!$AA$20)-MAX(AI85,$AA$23))</f>
        <v>1.5</v>
      </c>
      <c r="BP85" s="57" t="n">
        <f aca="false">BG85+BK85</f>
        <v>2.15797721925499</v>
      </c>
      <c r="BQ85" s="57"/>
    </row>
    <row r="86" customFormat="false" ht="14.25" hidden="false" customHeight="false" outlineLevel="0" collapsed="false">
      <c r="B86" s="7"/>
      <c r="C86" s="46" t="n">
        <v>4</v>
      </c>
      <c r="D86" s="46"/>
      <c r="E86" s="44" t="n">
        <f aca="false">AI86</f>
        <v>4.5</v>
      </c>
      <c r="F86" s="44"/>
      <c r="G86" s="44"/>
      <c r="H86" s="44" t="n">
        <f aca="false">AJ86</f>
        <v>6</v>
      </c>
      <c r="I86" s="44"/>
      <c r="J86" s="44"/>
      <c r="K86" s="41" t="str">
        <f aca="false">AM86</f>
        <v>Sand</v>
      </c>
      <c r="L86" s="41"/>
      <c r="M86" s="41"/>
      <c r="N86" s="46" t="n">
        <f aca="false">AN86</f>
        <v>50</v>
      </c>
      <c r="O86" s="46"/>
      <c r="P86" s="46"/>
      <c r="Q86" s="42" t="n">
        <f aca="false">AO86</f>
        <v>18.3</v>
      </c>
      <c r="R86" s="42"/>
      <c r="S86" s="42"/>
      <c r="T86" s="46" t="str">
        <f aca="false">IF(AR86="","-",AR86)</f>
        <v>-</v>
      </c>
      <c r="U86" s="46"/>
      <c r="V86" s="46" t="str">
        <f aca="false">IF(AT86="","-",AT86)</f>
        <v>-</v>
      </c>
      <c r="W86" s="46"/>
      <c r="X86" s="44" t="n">
        <f aca="false">AU86</f>
        <v>0.783</v>
      </c>
      <c r="Y86" s="44"/>
      <c r="Z86" s="55" t="n">
        <f aca="false">AV86</f>
        <v>0</v>
      </c>
      <c r="AA86" s="55"/>
      <c r="AB86" s="55"/>
      <c r="AC86" s="42" t="n">
        <f aca="false">AW86</f>
        <v>41.76159985</v>
      </c>
      <c r="AD86" s="42"/>
      <c r="AE86" s="42"/>
      <c r="AF86" s="12"/>
      <c r="AI86" s="56" t="n">
        <v>4.5</v>
      </c>
      <c r="AJ86" s="56" t="n">
        <v>6</v>
      </c>
      <c r="AK86" s="57" t="n">
        <f aca="false">AJ86-AI86</f>
        <v>1.5</v>
      </c>
      <c r="AL86" s="57" t="n">
        <f aca="false">(AI86+AJ86)/2</f>
        <v>5.25</v>
      </c>
      <c r="AM86" s="56" t="s">
        <v>199</v>
      </c>
      <c r="AN86" s="56" t="n">
        <v>50</v>
      </c>
      <c r="AO86" s="58" t="n">
        <f aca="false">IF(AL86&gt;$AA$20,$AA$22,$AA$21)</f>
        <v>18.3</v>
      </c>
      <c r="AP86" s="57" t="n">
        <f aca="false">AP85+AO86*AK86</f>
        <v>109.8</v>
      </c>
      <c r="AQ86" s="57" t="n">
        <f aca="false">AP86-AO86*AK86/2-10*MAX(AL86-$AA$20,0)</f>
        <v>96.075</v>
      </c>
      <c r="AR86" s="56"/>
      <c r="AS86" s="56"/>
      <c r="AT86" s="57" t="str">
        <f aca="false">IF(AR86="","",AR86-AS86)</f>
        <v/>
      </c>
      <c r="AU86" s="56" t="n">
        <v>0.783</v>
      </c>
      <c r="AV86" s="57" t="n">
        <f aca="false">IF(AM86="Sand",0,Input!$AA$34*AN86)</f>
        <v>0</v>
      </c>
      <c r="AW86" s="57" t="n">
        <f aca="false">IF(AM86="Sand",27.1+0.3*MIN(Input!$AA$35*AN86,60)-0.00054*MIN(Input!$AA$35*AN86,60)^2,MIN(MAX(DEGREES(ASIN(0.8-0.094*LN(MAX(IF(AT86="",10,AT86),5)))),20),30))</f>
        <v>41.76159985</v>
      </c>
      <c r="AX86" s="57" t="n">
        <f aca="false">IF(AM86="Sand",Input!$AA$36*Input!$AA$35*AN86,Input!$AA$37*AV86)</f>
        <v>54150</v>
      </c>
      <c r="AY86" s="59" t="n">
        <f aca="false">IF(AM86="Sand",Input!$AA$38,0.5)</f>
        <v>0.3</v>
      </c>
      <c r="AZ86" s="57" t="n">
        <f aca="false">Input!$AA$15/2/AL86</f>
        <v>7.04761904761905</v>
      </c>
      <c r="BA86" s="57" t="n">
        <f aca="false">Input!$AA$16/2/AL86</f>
        <v>19.2380952380952</v>
      </c>
      <c r="BB86" s="57" t="n">
        <f aca="false">1/(4*PI())*(2*AZ86*BA86*SQRT(AZ86^2+BA86^2+1)/(AZ86^2+BA86^2+1+AZ86^2*BA86^2)*(AZ86^2+BA86^2+2)/(AZ86^2+BA86^2+1)+ATAN2(AZ86^2+BA86^2+1-AZ86^2*BA86^2,2*AZ86*BA86*SQRT(AZ86^2+BA86^2+1)))</f>
        <v>0.249698355166716</v>
      </c>
      <c r="BC86" s="57" t="n">
        <f aca="false">4*Input!$AA$14*BB86</f>
        <v>135.835905210694</v>
      </c>
      <c r="BD86" s="57" t="n">
        <f aca="false">((Input!$AA$16/Input!$AA$15)*LN((1+SQRT((Input!$AA$16/Input!$AA$15)^2+1))*SQRT((Input!$AA$16/Input!$AA$15)^2+(AJ86/(Input!$AA$15/2))^2)/((Input!$AA$16/Input!$AA$15)*(1+SQRT((Input!$AA$16/Input!$AA$15)^2+(AJ86/(Input!$AA$15/2))^2+1))))+LN(((Input!$AA$16/Input!$AA$15)+SQRT((Input!$AA$16/Input!$AA$15)^2+1))*SQRT(1+(AJ86/(Input!$AA$15/2))^2)/((Input!$AA$16/Input!$AA$15)+SQRT((Input!$AA$16/Input!$AA$15)^2+(AJ86/(Input!$AA$15/2))^2+1))))/PI()</f>
        <v>0.00440210534422831</v>
      </c>
      <c r="BE86" s="57" t="n">
        <f aca="false">(AJ86/(Input!$AA$15/2))/(2*PI())*ATAN((Input!$AA$16/Input!$AA$15)/((AJ86/(Input!$AA$15/2))*SQRT((Input!$AA$16/Input!$AA$15)^2+(AJ86/(Input!$AA$15/2))^2+1)))</f>
        <v>0.0361201249719141</v>
      </c>
      <c r="BF86" s="57" t="n">
        <f aca="false">MAX(0,AJ86-MAX(AI86,$AA$23))/AK86*IF(BC86&gt;=Input!$AA$21*AQ86,1,0)</f>
        <v>1</v>
      </c>
      <c r="BG86" s="57" t="n">
        <f aca="false">4*Input!$AA$14*(Input!$AA$15/2)*(1-AY86^2)/AX86*((BD86-BD85)+(1-2*AY86)/(1-AY86)*(BE86-BE85))*1000*BF86</f>
        <v>2.23383938530323</v>
      </c>
      <c r="BH86" s="57" t="n">
        <f aca="false">IF(AM86="Sand",0,0.009*(AR86-10))</f>
        <v>0</v>
      </c>
      <c r="BI86" s="57" t="n">
        <f aca="false">BH86*Input!$AA$39</f>
        <v>0</v>
      </c>
      <c r="BJ86" s="57" t="n">
        <f aca="false">IF(AM86="Sand",0,MAX(AV86/Input!$AA$40,AQ86))</f>
        <v>0</v>
      </c>
      <c r="BK86" s="57" t="n">
        <f aca="false">IF(AM86="Sand",0,1000*AK86/(1+AU86)*IF(AQ86+BC86&lt;=BJ86,BI86*LOG10((AQ86+BC86)/AQ86),BI86*LOG10(BJ86/AQ86)+BH86*LOG10((AQ86+BC86)/BJ86)))*BF86</f>
        <v>0</v>
      </c>
      <c r="BL86" s="57" t="n">
        <f aca="false">IF(AM86="Sand",0,10^(INDEX(Input!$Q$51:$Q$57,MIN(MATCH(MIN(MAX(AR86,30),120),Input!$C$51:$C$57,1),6))+(MIN(MAX(AR86,30),120)-INDEX(Input!$C$51:$C$57,MIN(MATCH(MIN(MAX(AR86,30),120),Input!$C$51:$C$57,1),6)))/(INDEX(Input!$C$51:$C$57,MIN(MATCH(MIN(MAX(AR86,30),120),Input!$C$51:$C$57,1),6)+1)-INDEX(Input!$C$51:$C$57,MIN(MATCH(MIN(MAX(AR86,30),120),Input!$C$51:$C$57,1),6)))*(INDEX(Input!$Q$51:$Q$57,MIN(MATCH(MIN(MAX(AR86,30),120),Input!$C$51:$C$57,1),6)+1)-INDEX(Input!$Q$51:$Q$57,MIN(MATCH(MIN(MAX(AR86,30),120),Input!$C$51:$C$57,1),6)))))</f>
        <v>0</v>
      </c>
      <c r="BM86" s="57" t="n">
        <f aca="false">IF(OR(AM86="Sand",BF86=0),0,Input!$AA$41*(AK86/2)^2/(BL86*0.0001*31536000))</f>
        <v>0</v>
      </c>
      <c r="BN86" s="57" t="n">
        <f aca="false">MAX(0,MIN(AJ86,Input!$AA$20)-AI86)</f>
        <v>0.5</v>
      </c>
      <c r="BO86" s="57" t="n">
        <f aca="false">MAX(0,MIN(AJ86,Input!$AA$20)-MAX(AI86,$AA$23))</f>
        <v>0.5</v>
      </c>
      <c r="BP86" s="57" t="n">
        <f aca="false">BG86+BK86</f>
        <v>2.23383938530323</v>
      </c>
      <c r="BQ86" s="57"/>
    </row>
    <row r="87" customFormat="false" ht="14.25" hidden="false" customHeight="false" outlineLevel="0" collapsed="false">
      <c r="B87" s="7"/>
      <c r="C87" s="46" t="n">
        <v>5</v>
      </c>
      <c r="D87" s="46"/>
      <c r="E87" s="44" t="n">
        <f aca="false">AI87</f>
        <v>6</v>
      </c>
      <c r="F87" s="44"/>
      <c r="G87" s="44"/>
      <c r="H87" s="44" t="n">
        <f aca="false">AJ87</f>
        <v>7.5</v>
      </c>
      <c r="I87" s="44"/>
      <c r="J87" s="44"/>
      <c r="K87" s="41" t="str">
        <f aca="false">AM87</f>
        <v>Sand</v>
      </c>
      <c r="L87" s="41"/>
      <c r="M87" s="41"/>
      <c r="N87" s="46" t="n">
        <f aca="false">AN87</f>
        <v>32</v>
      </c>
      <c r="O87" s="46"/>
      <c r="P87" s="46"/>
      <c r="Q87" s="42" t="n">
        <f aca="false">AO87</f>
        <v>18.3</v>
      </c>
      <c r="R87" s="42"/>
      <c r="S87" s="42"/>
      <c r="T87" s="46" t="str">
        <f aca="false">IF(AR87="","-",AR87)</f>
        <v>-</v>
      </c>
      <c r="U87" s="46"/>
      <c r="V87" s="46" t="str">
        <f aca="false">IF(AT87="","-",AT87)</f>
        <v>-</v>
      </c>
      <c r="W87" s="46"/>
      <c r="X87" s="44" t="n">
        <f aca="false">AU87</f>
        <v>0.43</v>
      </c>
      <c r="Y87" s="44"/>
      <c r="Z87" s="55" t="n">
        <f aca="false">AV87</f>
        <v>0</v>
      </c>
      <c r="AA87" s="55"/>
      <c r="AB87" s="55"/>
      <c r="AC87" s="42" t="n">
        <f aca="false">AW87</f>
        <v>36.84823929856</v>
      </c>
      <c r="AD87" s="42"/>
      <c r="AE87" s="42"/>
      <c r="AF87" s="12"/>
      <c r="AI87" s="56" t="n">
        <v>6</v>
      </c>
      <c r="AJ87" s="56" t="n">
        <v>7.5</v>
      </c>
      <c r="AK87" s="57" t="n">
        <f aca="false">AJ87-AI87</f>
        <v>1.5</v>
      </c>
      <c r="AL87" s="57" t="n">
        <f aca="false">(AI87+AJ87)/2</f>
        <v>6.75</v>
      </c>
      <c r="AM87" s="56" t="s">
        <v>199</v>
      </c>
      <c r="AN87" s="56" t="n">
        <v>32</v>
      </c>
      <c r="AO87" s="58" t="n">
        <f aca="false">IF(AL87&gt;$AA$20,$AA$22,$AA$21)</f>
        <v>18.3</v>
      </c>
      <c r="AP87" s="57" t="n">
        <f aca="false">AP86+AO87*AK87</f>
        <v>137.25</v>
      </c>
      <c r="AQ87" s="57" t="n">
        <f aca="false">AP87-AO87*AK87/2-10*MAX(AL87-$AA$20,0)</f>
        <v>123.525</v>
      </c>
      <c r="AR87" s="56"/>
      <c r="AS87" s="56"/>
      <c r="AT87" s="57" t="str">
        <f aca="false">IF(AR87="","",AR87-AS87)</f>
        <v/>
      </c>
      <c r="AU87" s="56" t="n">
        <v>0.43</v>
      </c>
      <c r="AV87" s="57" t="n">
        <f aca="false">IF(AM87="Sand",0,Input!$AA$34*AN87)</f>
        <v>0</v>
      </c>
      <c r="AW87" s="57" t="n">
        <f aca="false">IF(AM87="Sand",27.1+0.3*MIN(Input!$AA$35*AN87,60)-0.00054*MIN(Input!$AA$35*AN87,60)^2,MIN(MAX(DEGREES(ASIN(0.8-0.094*LN(MAX(IF(AT87="",10,AT87),5)))),20),30))</f>
        <v>36.84823929856</v>
      </c>
      <c r="AX87" s="57" t="n">
        <f aca="false">IF(AM87="Sand",Input!$AA$36*Input!$AA$35*AN87,Input!$AA$37*AV87)</f>
        <v>34656</v>
      </c>
      <c r="AY87" s="59" t="n">
        <f aca="false">IF(AM87="Sand",Input!$AA$38,0.5)</f>
        <v>0.3</v>
      </c>
      <c r="AZ87" s="57" t="n">
        <f aca="false">Input!$AA$15/2/AL87</f>
        <v>5.48148148148148</v>
      </c>
      <c r="BA87" s="57" t="n">
        <f aca="false">Input!$AA$16/2/AL87</f>
        <v>14.962962962963</v>
      </c>
      <c r="BB87" s="57" t="n">
        <f aca="false">1/(4*PI())*(2*AZ87*BA87*SQRT(AZ87^2+BA87^2+1)/(AZ87^2+BA87^2+1+AZ87^2*BA87^2)*(AZ87^2+BA87^2+2)/(AZ87^2+BA87^2+1)+ATAN2(AZ87^2+BA87^2+1-AZ87^2*BA87^2,2*AZ87*BA87*SQRT(AZ87^2+BA87^2+1)))</f>
        <v>0.249368535461671</v>
      </c>
      <c r="BC87" s="57" t="n">
        <f aca="false">4*Input!$AA$14*BB87</f>
        <v>135.656483291149</v>
      </c>
      <c r="BD87" s="57" t="n">
        <f aca="false">((Input!$AA$16/Input!$AA$15)*LN((1+SQRT((Input!$AA$16/Input!$AA$15)^2+1))*SQRT((Input!$AA$16/Input!$AA$15)^2+(AJ87/(Input!$AA$15/2))^2)/((Input!$AA$16/Input!$AA$15)*(1+SQRT((Input!$AA$16/Input!$AA$15)^2+(AJ87/(Input!$AA$15/2))^2+1))))+LN(((Input!$AA$16/Input!$AA$15)+SQRT((Input!$AA$16/Input!$AA$15)^2+1))*SQRT(1+(AJ87/(Input!$AA$15/2))^2)/((Input!$AA$16/Input!$AA$15)+SQRT((Input!$AA$16/Input!$AA$15)^2+(AJ87/(Input!$AA$15/2))^2+1))))/PI()</f>
        <v>0.00683111017475556</v>
      </c>
      <c r="BE87" s="57" t="n">
        <f aca="false">(AJ87/(Input!$AA$15/2))/(2*PI())*ATAN((Input!$AA$16/Input!$AA$15)/((AJ87/(Input!$AA$15/2))*SQRT((Input!$AA$16/Input!$AA$15)^2+(AJ87/(Input!$AA$15/2))^2+1)))</f>
        <v>0.0438003669964678</v>
      </c>
      <c r="BF87" s="57" t="n">
        <f aca="false">MAX(0,AJ87-MAX(AI87,$AA$23))/AK87*IF(BC87&gt;=Input!$AA$21*AQ87,1,0)</f>
        <v>1</v>
      </c>
      <c r="BG87" s="57" t="n">
        <f aca="false">4*Input!$AA$14*(Input!$AA$15/2)*(1-AY87^2)/AX87*((BD87-BD86)+(1-2*AY87)/(1-AY87)*(BE87-BE86))*1000*BF87</f>
        <v>3.60331637704205</v>
      </c>
      <c r="BH87" s="57" t="n">
        <f aca="false">IF(AM87="Sand",0,0.009*(AR87-10))</f>
        <v>0</v>
      </c>
      <c r="BI87" s="57" t="n">
        <f aca="false">BH87*Input!$AA$39</f>
        <v>0</v>
      </c>
      <c r="BJ87" s="57" t="n">
        <f aca="false">IF(AM87="Sand",0,MAX(AV87/Input!$AA$40,AQ87))</f>
        <v>0</v>
      </c>
      <c r="BK87" s="57" t="n">
        <f aca="false">IF(AM87="Sand",0,1000*AK87/(1+AU87)*IF(AQ87+BC87&lt;=BJ87,BI87*LOG10((AQ87+BC87)/AQ87),BI87*LOG10(BJ87/AQ87)+BH87*LOG10((AQ87+BC87)/BJ87)))*BF87</f>
        <v>0</v>
      </c>
      <c r="BL87" s="57" t="n">
        <f aca="false">IF(AM87="Sand",0,10^(INDEX(Input!$Q$51:$Q$57,MIN(MATCH(MIN(MAX(AR87,30),120),Input!$C$51:$C$57,1),6))+(MIN(MAX(AR87,30),120)-INDEX(Input!$C$51:$C$57,MIN(MATCH(MIN(MAX(AR87,30),120),Input!$C$51:$C$57,1),6)))/(INDEX(Input!$C$51:$C$57,MIN(MATCH(MIN(MAX(AR87,30),120),Input!$C$51:$C$57,1),6)+1)-INDEX(Input!$C$51:$C$57,MIN(MATCH(MIN(MAX(AR87,30),120),Input!$C$51:$C$57,1),6)))*(INDEX(Input!$Q$51:$Q$57,MIN(MATCH(MIN(MAX(AR87,30),120),Input!$C$51:$C$57,1),6)+1)-INDEX(Input!$Q$51:$Q$57,MIN(MATCH(MIN(MAX(AR87,30),120),Input!$C$51:$C$57,1),6)))))</f>
        <v>0</v>
      </c>
      <c r="BM87" s="57" t="n">
        <f aca="false">IF(OR(AM87="Sand",BF87=0),0,Input!$AA$41*(AK87/2)^2/(BL87*0.0001*31536000))</f>
        <v>0</v>
      </c>
      <c r="BN87" s="57" t="n">
        <f aca="false">MAX(0,MIN(AJ87,Input!$AA$20)-AI87)</f>
        <v>0</v>
      </c>
      <c r="BO87" s="57" t="n">
        <f aca="false">MAX(0,MIN(AJ87,Input!$AA$20)-MAX(AI87,$AA$23))</f>
        <v>0</v>
      </c>
      <c r="BP87" s="57" t="n">
        <f aca="false">BG87+BK87</f>
        <v>3.60331637704205</v>
      </c>
      <c r="BQ87" s="57"/>
    </row>
    <row r="88" customFormat="false" ht="14.25" hidden="false" customHeight="false" outlineLevel="0" collapsed="false">
      <c r="B88" s="7"/>
      <c r="C88" s="46" t="n">
        <v>6</v>
      </c>
      <c r="D88" s="46"/>
      <c r="E88" s="44" t="n">
        <f aca="false">AI88</f>
        <v>7.5</v>
      </c>
      <c r="F88" s="44"/>
      <c r="G88" s="44"/>
      <c r="H88" s="44" t="n">
        <f aca="false">AJ88</f>
        <v>9</v>
      </c>
      <c r="I88" s="44"/>
      <c r="J88" s="44"/>
      <c r="K88" s="41" t="str">
        <f aca="false">AM88</f>
        <v>Sand</v>
      </c>
      <c r="L88" s="41"/>
      <c r="M88" s="41"/>
      <c r="N88" s="46" t="n">
        <f aca="false">AN88</f>
        <v>28</v>
      </c>
      <c r="O88" s="46"/>
      <c r="P88" s="46"/>
      <c r="Q88" s="42" t="n">
        <f aca="false">AO88</f>
        <v>18.2</v>
      </c>
      <c r="R88" s="42"/>
      <c r="S88" s="42"/>
      <c r="T88" s="46" t="str">
        <f aca="false">IF(AR88="","-",AR88)</f>
        <v>-</v>
      </c>
      <c r="U88" s="46"/>
      <c r="V88" s="46" t="str">
        <f aca="false">IF(AT88="","-",AT88)</f>
        <v>-</v>
      </c>
      <c r="W88" s="46"/>
      <c r="X88" s="44" t="n">
        <f aca="false">AU88</f>
        <v>0.715</v>
      </c>
      <c r="Y88" s="44"/>
      <c r="Z88" s="55" t="n">
        <f aca="false">AV88</f>
        <v>0</v>
      </c>
      <c r="AA88" s="55"/>
      <c r="AB88" s="55"/>
      <c r="AC88" s="42" t="n">
        <f aca="false">AW88</f>
        <v>35.70064571296</v>
      </c>
      <c r="AD88" s="42"/>
      <c r="AE88" s="42"/>
      <c r="AF88" s="12"/>
      <c r="AI88" s="56" t="n">
        <v>7.5</v>
      </c>
      <c r="AJ88" s="56" t="n">
        <v>9</v>
      </c>
      <c r="AK88" s="57" t="n">
        <f aca="false">AJ88-AI88</f>
        <v>1.5</v>
      </c>
      <c r="AL88" s="57" t="n">
        <f aca="false">(AI88+AJ88)/2</f>
        <v>8.25</v>
      </c>
      <c r="AM88" s="56" t="s">
        <v>199</v>
      </c>
      <c r="AN88" s="56" t="n">
        <v>28</v>
      </c>
      <c r="AO88" s="58" t="n">
        <f aca="false">IF(AL88&gt;$AA$20,$AA$22,$AA$21)</f>
        <v>18.2</v>
      </c>
      <c r="AP88" s="57" t="n">
        <f aca="false">AP87+AO88*AK88</f>
        <v>164.55</v>
      </c>
      <c r="AQ88" s="57" t="n">
        <f aca="false">AP88-AO88*AK88/2-10*MAX(AL88-$AA$20,0)</f>
        <v>138.4</v>
      </c>
      <c r="AR88" s="56"/>
      <c r="AS88" s="56"/>
      <c r="AT88" s="57" t="str">
        <f aca="false">IF(AR88="","",AR88-AS88)</f>
        <v/>
      </c>
      <c r="AU88" s="56" t="n">
        <v>0.715</v>
      </c>
      <c r="AV88" s="57" t="n">
        <f aca="false">IF(AM88="Sand",0,Input!$AA$34*AN88)</f>
        <v>0</v>
      </c>
      <c r="AW88" s="57" t="n">
        <f aca="false">IF(AM88="Sand",27.1+0.3*MIN(Input!$AA$35*AN88,60)-0.00054*MIN(Input!$AA$35*AN88,60)^2,MIN(MAX(DEGREES(ASIN(0.8-0.094*LN(MAX(IF(AT88="",10,AT88),5)))),20),30))</f>
        <v>35.70064571296</v>
      </c>
      <c r="AX88" s="57" t="n">
        <f aca="false">IF(AM88="Sand",Input!$AA$36*Input!$AA$35*AN88,Input!$AA$37*AV88)</f>
        <v>30324</v>
      </c>
      <c r="AY88" s="59" t="n">
        <f aca="false">IF(AM88="Sand",Input!$AA$38,0.5)</f>
        <v>0.3</v>
      </c>
      <c r="AZ88" s="57" t="n">
        <f aca="false">Input!$AA$15/2/AL88</f>
        <v>4.48484848484848</v>
      </c>
      <c r="BA88" s="57" t="n">
        <f aca="false">Input!$AA$16/2/AL88</f>
        <v>12.2424242424242</v>
      </c>
      <c r="BB88" s="57" t="n">
        <f aca="false">1/(4*PI())*(2*AZ88*BA88*SQRT(AZ88^2+BA88^2+1)/(AZ88^2+BA88^2+1+AZ88^2*BA88^2)*(AZ88^2+BA88^2+2)/(AZ88^2+BA88^2+1)+ATAN2(AZ88^2+BA88^2+1-AZ88^2*BA88^2,2*AZ88*BA88*SQRT(AZ88^2+BA88^2+1)))</f>
        <v>0.248868419003298</v>
      </c>
      <c r="BC88" s="57" t="n">
        <f aca="false">4*Input!$AA$14*BB88</f>
        <v>135.384419937794</v>
      </c>
      <c r="BD88" s="57" t="n">
        <f aca="false">((Input!$AA$16/Input!$AA$15)*LN((1+SQRT((Input!$AA$16/Input!$AA$15)^2+1))*SQRT((Input!$AA$16/Input!$AA$15)^2+(AJ88/(Input!$AA$15/2))^2)/((Input!$AA$16/Input!$AA$15)*(1+SQRT((Input!$AA$16/Input!$AA$15)^2+(AJ88/(Input!$AA$15/2))^2+1))))+LN(((Input!$AA$16/Input!$AA$15)+SQRT((Input!$AA$16/Input!$AA$15)^2+1))*SQRT(1+(AJ88/(Input!$AA$15/2))^2)/((Input!$AA$16/Input!$AA$15)+SQRT((Input!$AA$16/Input!$AA$15)^2+(AJ88/(Input!$AA$15/2))^2+1))))/PI()</f>
        <v>0.00975546893705105</v>
      </c>
      <c r="BE88" s="57" t="n">
        <f aca="false">(AJ88/(Input!$AA$15/2))/(2*PI())*ATAN((Input!$AA$16/Input!$AA$15)/((AJ88/(Input!$AA$15/2))*SQRT((Input!$AA$16/Input!$AA$15)^2+(AJ88/(Input!$AA$15/2))^2+1)))</f>
        <v>0.0509649376512068</v>
      </c>
      <c r="BF88" s="57" t="n">
        <f aca="false">MAX(0,AJ88-MAX(AI88,$AA$23))/AK88*IF(BC88&gt;=Input!$AA$21*AQ88,1,0)</f>
        <v>1</v>
      </c>
      <c r="BG88" s="57" t="n">
        <f aca="false">4*Input!$AA$14*(Input!$AA$15/2)*(1-AY88^2)/AX88*((BD88-BD87)+(1-2*AY88)/(1-AY88)*(BE88-BE87))*1000*BF88</f>
        <v>4.23929453286091</v>
      </c>
      <c r="BH88" s="57" t="n">
        <f aca="false">IF(AM88="Sand",0,0.009*(AR88-10))</f>
        <v>0</v>
      </c>
      <c r="BI88" s="57" t="n">
        <f aca="false">BH88*Input!$AA$39</f>
        <v>0</v>
      </c>
      <c r="BJ88" s="57" t="n">
        <f aca="false">IF(AM88="Sand",0,MAX(AV88/Input!$AA$40,AQ88))</f>
        <v>0</v>
      </c>
      <c r="BK88" s="57" t="n">
        <f aca="false">IF(AM88="Sand",0,1000*AK88/(1+AU88)*IF(AQ88+BC88&lt;=BJ88,BI88*LOG10((AQ88+BC88)/AQ88),BI88*LOG10(BJ88/AQ88)+BH88*LOG10((AQ88+BC88)/BJ88)))*BF88</f>
        <v>0</v>
      </c>
      <c r="BL88" s="57" t="n">
        <f aca="false">IF(AM88="Sand",0,10^(INDEX(Input!$Q$51:$Q$57,MIN(MATCH(MIN(MAX(AR88,30),120),Input!$C$51:$C$57,1),6))+(MIN(MAX(AR88,30),120)-INDEX(Input!$C$51:$C$57,MIN(MATCH(MIN(MAX(AR88,30),120),Input!$C$51:$C$57,1),6)))/(INDEX(Input!$C$51:$C$57,MIN(MATCH(MIN(MAX(AR88,30),120),Input!$C$51:$C$57,1),6)+1)-INDEX(Input!$C$51:$C$57,MIN(MATCH(MIN(MAX(AR88,30),120),Input!$C$51:$C$57,1),6)))*(INDEX(Input!$Q$51:$Q$57,MIN(MATCH(MIN(MAX(AR88,30),120),Input!$C$51:$C$57,1),6)+1)-INDEX(Input!$Q$51:$Q$57,MIN(MATCH(MIN(MAX(AR88,30),120),Input!$C$51:$C$57,1),6)))))</f>
        <v>0</v>
      </c>
      <c r="BM88" s="57" t="n">
        <f aca="false">IF(OR(AM88="Sand",BF88=0),0,Input!$AA$41*(AK88/2)^2/(BL88*0.0001*31536000))</f>
        <v>0</v>
      </c>
      <c r="BN88" s="57" t="n">
        <f aca="false">MAX(0,MIN(AJ88,Input!$AA$20)-AI88)</f>
        <v>0</v>
      </c>
      <c r="BO88" s="57" t="n">
        <f aca="false">MAX(0,MIN(AJ88,Input!$AA$20)-MAX(AI88,$AA$23))</f>
        <v>0</v>
      </c>
      <c r="BP88" s="57" t="n">
        <f aca="false">BG88+BK88</f>
        <v>4.23929453286091</v>
      </c>
      <c r="BQ88" s="57"/>
    </row>
    <row r="89" customFormat="false" ht="14.25" hidden="false" customHeight="false" outlineLevel="0" collapsed="false">
      <c r="B89" s="7"/>
      <c r="C89" s="46" t="n">
        <v>7</v>
      </c>
      <c r="D89" s="46"/>
      <c r="E89" s="44" t="n">
        <f aca="false">AI89</f>
        <v>9</v>
      </c>
      <c r="F89" s="44"/>
      <c r="G89" s="44"/>
      <c r="H89" s="44" t="n">
        <f aca="false">AJ89</f>
        <v>10.5</v>
      </c>
      <c r="I89" s="44"/>
      <c r="J89" s="44"/>
      <c r="K89" s="41" t="str">
        <f aca="false">AM89</f>
        <v>Silt</v>
      </c>
      <c r="L89" s="41"/>
      <c r="M89" s="41"/>
      <c r="N89" s="46" t="n">
        <f aca="false">AN89</f>
        <v>35</v>
      </c>
      <c r="O89" s="46"/>
      <c r="P89" s="46"/>
      <c r="Q89" s="42" t="n">
        <f aca="false">AO89</f>
        <v>18.2</v>
      </c>
      <c r="R89" s="42"/>
      <c r="S89" s="42"/>
      <c r="T89" s="46" t="n">
        <f aca="false">IF(AR89="","-",AR89)</f>
        <v>25.866</v>
      </c>
      <c r="U89" s="46"/>
      <c r="V89" s="46" t="n">
        <f aca="false">IF(AT89="","-",AT89)</f>
        <v>6.366</v>
      </c>
      <c r="W89" s="46"/>
      <c r="X89" s="44" t="n">
        <f aca="false">AU89</f>
        <v>0.779</v>
      </c>
      <c r="Y89" s="44"/>
      <c r="Z89" s="55" t="n">
        <f aca="false">AV89</f>
        <v>175</v>
      </c>
      <c r="AA89" s="55"/>
      <c r="AB89" s="55"/>
      <c r="AC89" s="42" t="n">
        <f aca="false">AW89</f>
        <v>30</v>
      </c>
      <c r="AD89" s="42"/>
      <c r="AE89" s="42"/>
      <c r="AF89" s="12"/>
      <c r="AI89" s="56" t="n">
        <v>9</v>
      </c>
      <c r="AJ89" s="56" t="n">
        <v>10.5</v>
      </c>
      <c r="AK89" s="57" t="n">
        <f aca="false">AJ89-AI89</f>
        <v>1.5</v>
      </c>
      <c r="AL89" s="57" t="n">
        <f aca="false">(AI89+AJ89)/2</f>
        <v>9.75</v>
      </c>
      <c r="AM89" s="56" t="s">
        <v>200</v>
      </c>
      <c r="AN89" s="56" t="n">
        <v>35</v>
      </c>
      <c r="AO89" s="58" t="n">
        <f aca="false">IF(AL89&gt;$AA$20,$AA$22,$AA$21)</f>
        <v>18.2</v>
      </c>
      <c r="AP89" s="57" t="n">
        <f aca="false">AP88+AO89*AK89</f>
        <v>191.85</v>
      </c>
      <c r="AQ89" s="57" t="n">
        <f aca="false">AP89-AO89*AK89/2-10*MAX(AL89-$AA$20,0)</f>
        <v>150.7</v>
      </c>
      <c r="AR89" s="56" t="n">
        <v>25.866</v>
      </c>
      <c r="AS89" s="56" t="n">
        <v>19.5</v>
      </c>
      <c r="AT89" s="57" t="n">
        <f aca="false">IF(AR89="","",AR89-AS89)</f>
        <v>6.366</v>
      </c>
      <c r="AU89" s="56" t="n">
        <v>0.779</v>
      </c>
      <c r="AV89" s="57" t="n">
        <f aca="false">IF(AM89="Sand",0,Input!$AA$34*AN89)</f>
        <v>175</v>
      </c>
      <c r="AW89" s="57" t="n">
        <f aca="false">IF(AM89="Sand",27.1+0.3*MIN(Input!$AA$35*AN89,60)-0.00054*MIN(Input!$AA$35*AN89,60)^2,MIN(MAX(DEGREES(ASIN(0.8-0.094*LN(MAX(IF(AT89="",10,AT89),5)))),20),30))</f>
        <v>30</v>
      </c>
      <c r="AX89" s="57" t="n">
        <f aca="false">IF(AM89="Sand",Input!$AA$36*Input!$AA$35*AN89,Input!$AA$37*AV89)</f>
        <v>87500</v>
      </c>
      <c r="AY89" s="57" t="n">
        <f aca="false">IF(AM89="Sand",Input!$AA$38,0.5)</f>
        <v>0.5</v>
      </c>
      <c r="AZ89" s="57" t="n">
        <f aca="false">Input!$AA$15/2/AL89</f>
        <v>3.79487179487179</v>
      </c>
      <c r="BA89" s="57" t="n">
        <f aca="false">Input!$AA$16/2/AL89</f>
        <v>10.3589743589744</v>
      </c>
      <c r="BB89" s="57" t="n">
        <f aca="false">1/(4*PI())*(2*AZ89*BA89*SQRT(AZ89^2+BA89^2+1)/(AZ89^2+BA89^2+1+AZ89^2*BA89^2)*(AZ89^2+BA89^2+2)/(AZ89^2+BA89^2+1)+ATAN2(AZ89^2+BA89^2+1-AZ89^2*BA89^2,2*AZ89*BA89*SQRT(AZ89^2+BA89^2+1)))</f>
        <v>0.248172910952305</v>
      </c>
      <c r="BC89" s="57" t="n">
        <f aca="false">4*Input!$AA$14*BB89</f>
        <v>135.006063558054</v>
      </c>
      <c r="BD89" s="57" t="n">
        <f aca="false">((Input!$AA$16/Input!$AA$15)*LN((1+SQRT((Input!$AA$16/Input!$AA$15)^2+1))*SQRT((Input!$AA$16/Input!$AA$15)^2+(AJ89/(Input!$AA$15/2))^2)/((Input!$AA$16/Input!$AA$15)*(1+SQRT((Input!$AA$16/Input!$AA$15)^2+(AJ89/(Input!$AA$15/2))^2+1))))+LN(((Input!$AA$16/Input!$AA$15)+SQRT((Input!$AA$16/Input!$AA$15)^2+1))*SQRT(1+(AJ89/(Input!$AA$15/2))^2)/((Input!$AA$16/Input!$AA$15)+SQRT((Input!$AA$16/Input!$AA$15)^2+(AJ89/(Input!$AA$15/2))^2+1))))/PI()</f>
        <v>0.0131506198333031</v>
      </c>
      <c r="BE89" s="57" t="n">
        <f aca="false">(AJ89/(Input!$AA$15/2))/(2*PI())*ATAN((Input!$AA$16/Input!$AA$15)/((AJ89/(Input!$AA$15/2))*SQRT((Input!$AA$16/Input!$AA$15)^2+(AJ89/(Input!$AA$15/2))^2+1)))</f>
        <v>0.0576304881402393</v>
      </c>
      <c r="BF89" s="57" t="n">
        <f aca="false">MAX(0,AJ89-MAX(AI89,$AA$23))/AK89*IF(BC89&gt;=Input!$AA$21*AQ89,1,0)</f>
        <v>1</v>
      </c>
      <c r="BG89" s="57" t="n">
        <f aca="false">4*Input!$AA$14*(Input!$AA$15/2)*(1-AY89^2)/AX89*((BD89-BD88)+(1-2*AY89)/(1-AY89)*(BE89-BE88))*1000*BF89</f>
        <v>0.585750833483659</v>
      </c>
      <c r="BH89" s="57" t="n">
        <f aca="false">IF(AM89="Sand",0,0.009*(AR89-10))</f>
        <v>0.142794</v>
      </c>
      <c r="BI89" s="57" t="n">
        <f aca="false">BH89*Input!$AA$39</f>
        <v>0.0285588</v>
      </c>
      <c r="BJ89" s="57" t="n">
        <f aca="false">IF(AM89="Sand",0,MAX(AV89/Input!$AA$40,AQ89))</f>
        <v>795.454545454546</v>
      </c>
      <c r="BK89" s="57" t="n">
        <f aca="false">IF(AM89="Sand",0,1000*AK89/(1+AU89)*IF(AQ89+BC89&lt;=BJ89,BI89*LOG10((AQ89+BC89)/AQ89),BI89*LOG10(BJ89/AQ89)+BH89*LOG10((AQ89+BC89)/BJ89)))*BF89</f>
        <v>6.68955468279371</v>
      </c>
      <c r="BL89" s="57" t="n">
        <f aca="false">IF(AM89="Sand",0,10^(INDEX(Input!$Q$51:$Q$57,MIN(MATCH(MIN(MAX(AR89,30),120),Input!$C$51:$C$57,1),6))+(MIN(MAX(AR89,30),120)-INDEX(Input!$C$51:$C$57,MIN(MATCH(MIN(MAX(AR89,30),120),Input!$C$51:$C$57,1),6)))/(INDEX(Input!$C$51:$C$57,MIN(MATCH(MIN(MAX(AR89,30),120),Input!$C$51:$C$57,1),6)+1)-INDEX(Input!$C$51:$C$57,MIN(MATCH(MIN(MAX(AR89,30),120),Input!$C$51:$C$57,1),6)))*(INDEX(Input!$Q$51:$Q$57,MIN(MATCH(MIN(MAX(AR89,30),120),Input!$C$51:$C$57,1),6)+1)-INDEX(Input!$Q$51:$Q$57,MIN(MATCH(MIN(MAX(AR89,30),120),Input!$C$51:$C$57,1),6)))))</f>
        <v>0.003</v>
      </c>
      <c r="BM89" s="57" t="n">
        <f aca="false">IF(OR(AM89="Sand",BF89=0),0,Input!$AA$41*(AK89/2)^2/(BL89*0.0001*31536000))</f>
        <v>0.0504185692541857</v>
      </c>
      <c r="BN89" s="57" t="n">
        <f aca="false">MAX(0,MIN(AJ89,Input!$AA$20)-AI89)</f>
        <v>0</v>
      </c>
      <c r="BO89" s="57" t="n">
        <f aca="false">MAX(0,MIN(AJ89,Input!$AA$20)-MAX(AI89,$AA$23))</f>
        <v>0</v>
      </c>
      <c r="BP89" s="57" t="n">
        <f aca="false">BG89+BK89</f>
        <v>7.27530551627737</v>
      </c>
      <c r="BQ89" s="57"/>
    </row>
    <row r="90" customFormat="false" ht="14.25" hidden="false" customHeight="false" outlineLevel="0" collapsed="false">
      <c r="B90" s="7"/>
      <c r="C90" s="46" t="n">
        <v>8</v>
      </c>
      <c r="D90" s="46"/>
      <c r="E90" s="44" t="n">
        <f aca="false">AI90</f>
        <v>10.5</v>
      </c>
      <c r="F90" s="44"/>
      <c r="G90" s="44"/>
      <c r="H90" s="44" t="n">
        <f aca="false">AJ90</f>
        <v>12</v>
      </c>
      <c r="I90" s="44"/>
      <c r="J90" s="44"/>
      <c r="K90" s="41" t="str">
        <f aca="false">AM90</f>
        <v>Sand</v>
      </c>
      <c r="L90" s="41"/>
      <c r="M90" s="41"/>
      <c r="N90" s="46" t="n">
        <f aca="false">AN90</f>
        <v>40</v>
      </c>
      <c r="O90" s="46"/>
      <c r="P90" s="46"/>
      <c r="Q90" s="42" t="n">
        <f aca="false">AO90</f>
        <v>18.2</v>
      </c>
      <c r="R90" s="42"/>
      <c r="S90" s="42"/>
      <c r="T90" s="46" t="str">
        <f aca="false">IF(AR90="","-",AR90)</f>
        <v>-</v>
      </c>
      <c r="U90" s="46"/>
      <c r="V90" s="46" t="str">
        <f aca="false">IF(AT90="","-",AT90)</f>
        <v>-</v>
      </c>
      <c r="W90" s="46"/>
      <c r="X90" s="44" t="n">
        <f aca="false">AU90</f>
        <v>0.441</v>
      </c>
      <c r="Y90" s="44"/>
      <c r="Z90" s="55" t="n">
        <f aca="false">AV90</f>
        <v>0</v>
      </c>
      <c r="AA90" s="55"/>
      <c r="AB90" s="55"/>
      <c r="AC90" s="42" t="n">
        <f aca="false">AW90</f>
        <v>39.082623904</v>
      </c>
      <c r="AD90" s="42"/>
      <c r="AE90" s="42"/>
      <c r="AF90" s="12"/>
      <c r="AI90" s="56" t="n">
        <v>10.5</v>
      </c>
      <c r="AJ90" s="56" t="n">
        <v>12</v>
      </c>
      <c r="AK90" s="57" t="n">
        <f aca="false">AJ90-AI90</f>
        <v>1.5</v>
      </c>
      <c r="AL90" s="57" t="n">
        <f aca="false">(AI90+AJ90)/2</f>
        <v>11.25</v>
      </c>
      <c r="AM90" s="56" t="s">
        <v>199</v>
      </c>
      <c r="AN90" s="56" t="n">
        <v>40</v>
      </c>
      <c r="AO90" s="58" t="n">
        <f aca="false">IF(AL90&gt;$AA$20,$AA$22,$AA$21)</f>
        <v>18.2</v>
      </c>
      <c r="AP90" s="57" t="n">
        <f aca="false">AP89+AO90*AK90</f>
        <v>219.15</v>
      </c>
      <c r="AQ90" s="57" t="n">
        <f aca="false">AP90-AO90*AK90/2-10*MAX(AL90-$AA$20,0)</f>
        <v>163</v>
      </c>
      <c r="AR90" s="56"/>
      <c r="AS90" s="56"/>
      <c r="AT90" s="57" t="str">
        <f aca="false">IF(AR90="","",AR90-AS90)</f>
        <v/>
      </c>
      <c r="AU90" s="56" t="n">
        <v>0.441</v>
      </c>
      <c r="AV90" s="57" t="n">
        <f aca="false">IF(AM90="Sand",0,Input!$AA$34*AN90)</f>
        <v>0</v>
      </c>
      <c r="AW90" s="57" t="n">
        <f aca="false">IF(AM90="Sand",27.1+0.3*MIN(Input!$AA$35*AN90,60)-0.00054*MIN(Input!$AA$35*AN90,60)^2,MIN(MAX(DEGREES(ASIN(0.8-0.094*LN(MAX(IF(AT90="",10,AT90),5)))),20),30))</f>
        <v>39.082623904</v>
      </c>
      <c r="AX90" s="57" t="n">
        <f aca="false">IF(AM90="Sand",Input!$AA$36*Input!$AA$35*AN90,Input!$AA$37*AV90)</f>
        <v>43320</v>
      </c>
      <c r="AY90" s="59" t="n">
        <f aca="false">IF(AM90="Sand",Input!$AA$38,0.5)</f>
        <v>0.3</v>
      </c>
      <c r="AZ90" s="57" t="n">
        <f aca="false">Input!$AA$15/2/AL90</f>
        <v>3.28888888888889</v>
      </c>
      <c r="BA90" s="57" t="n">
        <f aca="false">Input!$AA$16/2/AL90</f>
        <v>8.97777777777778</v>
      </c>
      <c r="BB90" s="57" t="n">
        <f aca="false">1/(4*PI())*(2*AZ90*BA90*SQRT(AZ90^2+BA90^2+1)/(AZ90^2+BA90^2+1+AZ90^2*BA90^2)*(AZ90^2+BA90^2+2)/(AZ90^2+BA90^2+1)+ATAN2(AZ90^2+BA90^2+1-AZ90^2*BA90^2,2*AZ90*BA90*SQRT(AZ90^2+BA90^2+1)))</f>
        <v>0.247263218088384</v>
      </c>
      <c r="BC90" s="57" t="n">
        <f aca="false">4*Input!$AA$14*BB90</f>
        <v>134.511190640081</v>
      </c>
      <c r="BD90" s="57" t="n">
        <f aca="false">((Input!$AA$16/Input!$AA$15)*LN((1+SQRT((Input!$AA$16/Input!$AA$15)^2+1))*SQRT((Input!$AA$16/Input!$AA$15)^2+(AJ90/(Input!$AA$15/2))^2)/((Input!$AA$16/Input!$AA$15)*(1+SQRT((Input!$AA$16/Input!$AA$15)^2+(AJ90/(Input!$AA$15/2))^2+1))))+LN(((Input!$AA$16/Input!$AA$15)+SQRT((Input!$AA$16/Input!$AA$15)^2+1))*SQRT(1+(AJ90/(Input!$AA$15/2))^2)/((Input!$AA$16/Input!$AA$15)+SQRT((Input!$AA$16/Input!$AA$15)^2+(AJ90/(Input!$AA$15/2))^2+1))))/PI()</f>
        <v>0.0169892586870808</v>
      </c>
      <c r="BE90" s="57" t="n">
        <f aca="false">(AJ90/(Input!$AA$15/2))/(2*PI())*ATAN((Input!$AA$16/Input!$AA$15)/((AJ90/(Input!$AA$15/2))*SQRT((Input!$AA$16/Input!$AA$15)^2+(AJ90/(Input!$AA$15/2))^2+1)))</f>
        <v>0.063815650361614</v>
      </c>
      <c r="BF90" s="57" t="n">
        <f aca="false">MAX(0,AJ90-MAX(AI90,$AA$23))/AK90*IF(BC90&gt;=Input!$AA$21*AQ90,1,0)</f>
        <v>1</v>
      </c>
      <c r="BG90" s="57" t="n">
        <f aca="false">4*Input!$AA$14*(Input!$AA$15/2)*(1-AY90^2)/AX90*((BD90-BD89)+(1-2*AY90)/(1-AY90)*(BE90-BE89))*1000*BF90</f>
        <v>3.11744513601556</v>
      </c>
      <c r="BH90" s="57" t="n">
        <f aca="false">IF(AM90="Sand",0,0.009*(AR90-10))</f>
        <v>0</v>
      </c>
      <c r="BI90" s="57" t="n">
        <f aca="false">BH90*Input!$AA$39</f>
        <v>0</v>
      </c>
      <c r="BJ90" s="57" t="n">
        <f aca="false">IF(AM90="Sand",0,MAX(AV90/Input!$AA$40,AQ90))</f>
        <v>0</v>
      </c>
      <c r="BK90" s="57" t="n">
        <f aca="false">IF(AM90="Sand",0,1000*AK90/(1+AU90)*IF(AQ90+BC90&lt;=BJ90,BI90*LOG10((AQ90+BC90)/AQ90),BI90*LOG10(BJ90/AQ90)+BH90*LOG10((AQ90+BC90)/BJ90)))*BF90</f>
        <v>0</v>
      </c>
      <c r="BL90" s="57" t="n">
        <f aca="false">IF(AM90="Sand",0,10^(INDEX(Input!$Q$51:$Q$57,MIN(MATCH(MIN(MAX(AR90,30),120),Input!$C$51:$C$57,1),6))+(MIN(MAX(AR90,30),120)-INDEX(Input!$C$51:$C$57,MIN(MATCH(MIN(MAX(AR90,30),120),Input!$C$51:$C$57,1),6)))/(INDEX(Input!$C$51:$C$57,MIN(MATCH(MIN(MAX(AR90,30),120),Input!$C$51:$C$57,1),6)+1)-INDEX(Input!$C$51:$C$57,MIN(MATCH(MIN(MAX(AR90,30),120),Input!$C$51:$C$57,1),6)))*(INDEX(Input!$Q$51:$Q$57,MIN(MATCH(MIN(MAX(AR90,30),120),Input!$C$51:$C$57,1),6)+1)-INDEX(Input!$Q$51:$Q$57,MIN(MATCH(MIN(MAX(AR90,30),120),Input!$C$51:$C$57,1),6)))))</f>
        <v>0</v>
      </c>
      <c r="BM90" s="57" t="n">
        <f aca="false">IF(OR(AM90="Sand",BF90=0),0,Input!$AA$41*(AK90/2)^2/(BL90*0.0001*31536000))</f>
        <v>0</v>
      </c>
      <c r="BN90" s="57" t="n">
        <f aca="false">MAX(0,MIN(AJ90,Input!$AA$20)-AI90)</f>
        <v>0</v>
      </c>
      <c r="BO90" s="57" t="n">
        <f aca="false">MAX(0,MIN(AJ90,Input!$AA$20)-MAX(AI90,$AA$23))</f>
        <v>0</v>
      </c>
      <c r="BP90" s="57" t="n">
        <f aca="false">BG90+BK90</f>
        <v>3.11744513601556</v>
      </c>
      <c r="BQ90" s="57"/>
    </row>
    <row r="91" customFormat="false" ht="14.25" hidden="false" customHeight="false" outlineLevel="0" collapsed="false">
      <c r="B91" s="7"/>
      <c r="C91" s="46" t="n">
        <v>9</v>
      </c>
      <c r="D91" s="46"/>
      <c r="E91" s="44" t="n">
        <f aca="false">AI91</f>
        <v>12</v>
      </c>
      <c r="F91" s="44"/>
      <c r="G91" s="44"/>
      <c r="H91" s="44" t="n">
        <f aca="false">AJ91</f>
        <v>13.5</v>
      </c>
      <c r="I91" s="44"/>
      <c r="J91" s="44"/>
      <c r="K91" s="41" t="str">
        <f aca="false">AM91</f>
        <v>Sand</v>
      </c>
      <c r="L91" s="41"/>
      <c r="M91" s="41"/>
      <c r="N91" s="46" t="n">
        <f aca="false">AN91</f>
        <v>42</v>
      </c>
      <c r="O91" s="46"/>
      <c r="P91" s="46"/>
      <c r="Q91" s="42" t="n">
        <f aca="false">AO91</f>
        <v>18.2</v>
      </c>
      <c r="R91" s="42"/>
      <c r="S91" s="42"/>
      <c r="T91" s="46" t="str">
        <f aca="false">IF(AR91="","-",AR91)</f>
        <v>-</v>
      </c>
      <c r="U91" s="46"/>
      <c r="V91" s="46" t="str">
        <f aca="false">IF(AT91="","-",AT91)</f>
        <v>-</v>
      </c>
      <c r="W91" s="46"/>
      <c r="X91" s="44" t="n">
        <f aca="false">AU91</f>
        <v>0.71</v>
      </c>
      <c r="Y91" s="44"/>
      <c r="Z91" s="55" t="n">
        <f aca="false">AV91</f>
        <v>0</v>
      </c>
      <c r="AA91" s="55"/>
      <c r="AB91" s="55"/>
      <c r="AC91" s="42" t="n">
        <f aca="false">AW91</f>
        <v>39.62855285416</v>
      </c>
      <c r="AD91" s="42"/>
      <c r="AE91" s="42"/>
      <c r="AF91" s="12"/>
      <c r="AI91" s="56" t="n">
        <v>12</v>
      </c>
      <c r="AJ91" s="56" t="n">
        <v>13.5</v>
      </c>
      <c r="AK91" s="57" t="n">
        <f aca="false">AJ91-AI91</f>
        <v>1.5</v>
      </c>
      <c r="AL91" s="57" t="n">
        <f aca="false">(AI91+AJ91)/2</f>
        <v>12.75</v>
      </c>
      <c r="AM91" s="56" t="s">
        <v>199</v>
      </c>
      <c r="AN91" s="56" t="n">
        <v>42</v>
      </c>
      <c r="AO91" s="58" t="n">
        <f aca="false">IF(AL91&gt;$AA$20,$AA$22,$AA$21)</f>
        <v>18.2</v>
      </c>
      <c r="AP91" s="57" t="n">
        <f aca="false">AP90+AO91*AK91</f>
        <v>246.45</v>
      </c>
      <c r="AQ91" s="57" t="n">
        <f aca="false">AP91-AO91*AK91/2-10*MAX(AL91-$AA$20,0)</f>
        <v>175.3</v>
      </c>
      <c r="AR91" s="56"/>
      <c r="AS91" s="56"/>
      <c r="AT91" s="57" t="str">
        <f aca="false">IF(AR91="","",AR91-AS91)</f>
        <v/>
      </c>
      <c r="AU91" s="56" t="n">
        <v>0.71</v>
      </c>
      <c r="AV91" s="57" t="n">
        <f aca="false">IF(AM91="Sand",0,Input!$AA$34*AN91)</f>
        <v>0</v>
      </c>
      <c r="AW91" s="57" t="n">
        <f aca="false">IF(AM91="Sand",27.1+0.3*MIN(Input!$AA$35*AN91,60)-0.00054*MIN(Input!$AA$35*AN91,60)^2,MIN(MAX(DEGREES(ASIN(0.8-0.094*LN(MAX(IF(AT91="",10,AT91),5)))),20),30))</f>
        <v>39.62855285416</v>
      </c>
      <c r="AX91" s="57" t="n">
        <f aca="false">IF(AM91="Sand",Input!$AA$36*Input!$AA$35*AN91,Input!$AA$37*AV91)</f>
        <v>45486</v>
      </c>
      <c r="AY91" s="59" t="n">
        <f aca="false">IF(AM91="Sand",Input!$AA$38,0.5)</f>
        <v>0.3</v>
      </c>
      <c r="AZ91" s="57" t="n">
        <f aca="false">Input!$AA$15/2/AL91</f>
        <v>2.90196078431373</v>
      </c>
      <c r="BA91" s="57" t="n">
        <f aca="false">Input!$AA$16/2/AL91</f>
        <v>7.92156862745098</v>
      </c>
      <c r="BB91" s="57" t="n">
        <f aca="false">1/(4*PI())*(2*AZ91*BA91*SQRT(AZ91^2+BA91^2+1)/(AZ91^2+BA91^2+1+AZ91^2*BA91^2)*(AZ91^2+BA91^2+2)/(AZ91^2+BA91^2+1)+ATAN2(AZ91^2+BA91^2+1-AZ91^2*BA91^2,2*AZ91*BA91*SQRT(AZ91^2+BA91^2+1)))</f>
        <v>0.246126971244543</v>
      </c>
      <c r="BC91" s="57" t="n">
        <f aca="false">4*Input!$AA$14*BB91</f>
        <v>133.893072357031</v>
      </c>
      <c r="BD91" s="57" t="n">
        <f aca="false">((Input!$AA$16/Input!$AA$15)*LN((1+SQRT((Input!$AA$16/Input!$AA$15)^2+1))*SQRT((Input!$AA$16/Input!$AA$15)^2+(AJ91/(Input!$AA$15/2))^2)/((Input!$AA$16/Input!$AA$15)*(1+SQRT((Input!$AA$16/Input!$AA$15)^2+(AJ91/(Input!$AA$15/2))^2+1))))+LN(((Input!$AA$16/Input!$AA$15)+SQRT((Input!$AA$16/Input!$AA$15)^2+1))*SQRT(1+(AJ91/(Input!$AA$15/2))^2)/((Input!$AA$16/Input!$AA$15)+SQRT((Input!$AA$16/Input!$AA$15)^2+(AJ91/(Input!$AA$15/2))^2+1))))/PI()</f>
        <v>0.0212420151090567</v>
      </c>
      <c r="BE91" s="57" t="n">
        <f aca="false">(AJ91/(Input!$AA$15/2))/(2*PI())*ATAN((Input!$AA$16/Input!$AA$15)/((AJ91/(Input!$AA$15/2))*SQRT((Input!$AA$16/Input!$AA$15)^2+(AJ91/(Input!$AA$15/2))^2+1)))</f>
        <v>0.0695406206380035</v>
      </c>
      <c r="BF91" s="57" t="n">
        <f aca="false">MAX(0,AJ91-MAX(AI91,$AA$23))/AK91*IF(BC91&gt;=Input!$AA$21*AQ91,1,0)</f>
        <v>1</v>
      </c>
      <c r="BG91" s="57" t="n">
        <f aca="false">4*Input!$AA$14*(Input!$AA$15/2)*(1-AY91^2)/AX91*((BD91-BD90)+(1-2*AY91)/(1-AY91)*(BE91-BE90))*1000*BF91</f>
        <v>3.02986133852264</v>
      </c>
      <c r="BH91" s="57" t="n">
        <f aca="false">IF(AM91="Sand",0,0.009*(AR91-10))</f>
        <v>0</v>
      </c>
      <c r="BI91" s="57" t="n">
        <f aca="false">BH91*Input!$AA$39</f>
        <v>0</v>
      </c>
      <c r="BJ91" s="57" t="n">
        <f aca="false">IF(AM91="Sand",0,MAX(AV91/Input!$AA$40,AQ91))</f>
        <v>0</v>
      </c>
      <c r="BK91" s="57" t="n">
        <f aca="false">IF(AM91="Sand",0,1000*AK91/(1+AU91)*IF(AQ91+BC91&lt;=BJ91,BI91*LOG10((AQ91+BC91)/AQ91),BI91*LOG10(BJ91/AQ91)+BH91*LOG10((AQ91+BC91)/BJ91)))*BF91</f>
        <v>0</v>
      </c>
      <c r="BL91" s="57" t="n">
        <f aca="false">IF(AM91="Sand",0,10^(INDEX(Input!$Q$51:$Q$57,MIN(MATCH(MIN(MAX(AR91,30),120),Input!$C$51:$C$57,1),6))+(MIN(MAX(AR91,30),120)-INDEX(Input!$C$51:$C$57,MIN(MATCH(MIN(MAX(AR91,30),120),Input!$C$51:$C$57,1),6)))/(INDEX(Input!$C$51:$C$57,MIN(MATCH(MIN(MAX(AR91,30),120),Input!$C$51:$C$57,1),6)+1)-INDEX(Input!$C$51:$C$57,MIN(MATCH(MIN(MAX(AR91,30),120),Input!$C$51:$C$57,1),6)))*(INDEX(Input!$Q$51:$Q$57,MIN(MATCH(MIN(MAX(AR91,30),120),Input!$C$51:$C$57,1),6)+1)-INDEX(Input!$Q$51:$Q$57,MIN(MATCH(MIN(MAX(AR91,30),120),Input!$C$51:$C$57,1),6)))))</f>
        <v>0</v>
      </c>
      <c r="BM91" s="57" t="n">
        <f aca="false">IF(OR(AM91="Sand",BF91=0),0,Input!$AA$41*(AK91/2)^2/(BL91*0.0001*31536000))</f>
        <v>0</v>
      </c>
      <c r="BN91" s="57" t="n">
        <f aca="false">MAX(0,MIN(AJ91,Input!$AA$20)-AI91)</f>
        <v>0</v>
      </c>
      <c r="BO91" s="57" t="n">
        <f aca="false">MAX(0,MIN(AJ91,Input!$AA$20)-MAX(AI91,$AA$23))</f>
        <v>0</v>
      </c>
      <c r="BP91" s="57" t="n">
        <f aca="false">BG91+BK91</f>
        <v>3.02986133852264</v>
      </c>
      <c r="BQ91" s="57"/>
    </row>
    <row r="92" customFormat="false" ht="14.25" hidden="false" customHeight="false" outlineLevel="0" collapsed="false">
      <c r="B92" s="7"/>
      <c r="C92" s="46" t="n">
        <v>10</v>
      </c>
      <c r="D92" s="46"/>
      <c r="E92" s="44" t="n">
        <f aca="false">AI92</f>
        <v>13.5</v>
      </c>
      <c r="F92" s="44"/>
      <c r="G92" s="44"/>
      <c r="H92" s="44" t="n">
        <f aca="false">AJ92</f>
        <v>15</v>
      </c>
      <c r="I92" s="44"/>
      <c r="J92" s="44"/>
      <c r="K92" s="41" t="str">
        <f aca="false">AM92</f>
        <v>Sand</v>
      </c>
      <c r="L92" s="41"/>
      <c r="M92" s="41"/>
      <c r="N92" s="46" t="n">
        <f aca="false">AN92</f>
        <v>42</v>
      </c>
      <c r="O92" s="46"/>
      <c r="P92" s="46"/>
      <c r="Q92" s="42" t="n">
        <f aca="false">AO92</f>
        <v>18.2</v>
      </c>
      <c r="R92" s="42"/>
      <c r="S92" s="42"/>
      <c r="T92" s="46" t="str">
        <f aca="false">IF(AR92="","-",AR92)</f>
        <v>-</v>
      </c>
      <c r="U92" s="46"/>
      <c r="V92" s="46" t="str">
        <f aca="false">IF(AT92="","-",AT92)</f>
        <v>-</v>
      </c>
      <c r="W92" s="46"/>
      <c r="X92" s="44" t="n">
        <f aca="false">AU92</f>
        <v>0.546</v>
      </c>
      <c r="Y92" s="44"/>
      <c r="Z92" s="55" t="n">
        <f aca="false">AV92</f>
        <v>0</v>
      </c>
      <c r="AA92" s="55"/>
      <c r="AB92" s="55"/>
      <c r="AC92" s="42" t="n">
        <f aca="false">AW92</f>
        <v>39.62855285416</v>
      </c>
      <c r="AD92" s="42"/>
      <c r="AE92" s="42"/>
      <c r="AF92" s="12"/>
      <c r="AI92" s="56" t="n">
        <v>13.5</v>
      </c>
      <c r="AJ92" s="56" t="n">
        <v>15</v>
      </c>
      <c r="AK92" s="57" t="n">
        <f aca="false">AJ92-AI92</f>
        <v>1.5</v>
      </c>
      <c r="AL92" s="57" t="n">
        <f aca="false">(AI92+AJ92)/2</f>
        <v>14.25</v>
      </c>
      <c r="AM92" s="56" t="s">
        <v>199</v>
      </c>
      <c r="AN92" s="56" t="n">
        <v>42</v>
      </c>
      <c r="AO92" s="58" t="n">
        <f aca="false">IF(AL92&gt;$AA$20,$AA$22,$AA$21)</f>
        <v>18.2</v>
      </c>
      <c r="AP92" s="57" t="n">
        <f aca="false">AP91+AO92*AK92</f>
        <v>273.75</v>
      </c>
      <c r="AQ92" s="57" t="n">
        <f aca="false">AP92-AO92*AK92/2-10*MAX(AL92-$AA$20,0)</f>
        <v>187.6</v>
      </c>
      <c r="AR92" s="56"/>
      <c r="AS92" s="56"/>
      <c r="AT92" s="57" t="str">
        <f aca="false">IF(AR92="","",AR92-AS92)</f>
        <v/>
      </c>
      <c r="AU92" s="56" t="n">
        <v>0.546</v>
      </c>
      <c r="AV92" s="57" t="n">
        <f aca="false">IF(AM92="Sand",0,Input!$AA$34*AN92)</f>
        <v>0</v>
      </c>
      <c r="AW92" s="57" t="n">
        <f aca="false">IF(AM92="Sand",27.1+0.3*MIN(Input!$AA$35*AN92,60)-0.00054*MIN(Input!$AA$35*AN92,60)^2,MIN(MAX(DEGREES(ASIN(0.8-0.094*LN(MAX(IF(AT92="",10,AT92),5)))),20),30))</f>
        <v>39.62855285416</v>
      </c>
      <c r="AX92" s="57" t="n">
        <f aca="false">IF(AM92="Sand",Input!$AA$36*Input!$AA$35*AN92,Input!$AA$37*AV92)</f>
        <v>45486</v>
      </c>
      <c r="AY92" s="59" t="n">
        <f aca="false">IF(AM92="Sand",Input!$AA$38,0.5)</f>
        <v>0.3</v>
      </c>
      <c r="AZ92" s="57" t="n">
        <f aca="false">Input!$AA$15/2/AL92</f>
        <v>2.59649122807018</v>
      </c>
      <c r="BA92" s="57" t="n">
        <f aca="false">Input!$AA$16/2/AL92</f>
        <v>7.08771929824561</v>
      </c>
      <c r="BB92" s="57" t="n">
        <f aca="false">1/(4*PI())*(2*AZ92*BA92*SQRT(AZ92^2+BA92^2+1)/(AZ92^2+BA92^2+1+AZ92^2*BA92^2)*(AZ92^2+BA92^2+2)/(AZ92^2+BA92^2+1)+ATAN2(AZ92^2+BA92^2+1-AZ92^2*BA92^2,2*AZ92*BA92*SQRT(AZ92^2+BA92^2+1)))</f>
        <v>0.244758030634215</v>
      </c>
      <c r="BC92" s="57" t="n">
        <f aca="false">4*Input!$AA$14*BB92</f>
        <v>133.148368665013</v>
      </c>
      <c r="BD92" s="57" t="n">
        <f aca="false">((Input!$AA$16/Input!$AA$15)*LN((1+SQRT((Input!$AA$16/Input!$AA$15)^2+1))*SQRT((Input!$AA$16/Input!$AA$15)^2+(AJ92/(Input!$AA$15/2))^2)/((Input!$AA$16/Input!$AA$15)*(1+SQRT((Input!$AA$16/Input!$AA$15)^2+(AJ92/(Input!$AA$15/2))^2+1))))+LN(((Input!$AA$16/Input!$AA$15)+SQRT((Input!$AA$16/Input!$AA$15)^2+1))*SQRT(1+(AJ92/(Input!$AA$15/2))^2)/((Input!$AA$16/Input!$AA$15)+SQRT((Input!$AA$16/Input!$AA$15)^2+(AJ92/(Input!$AA$15/2))^2+1))))/PI()</f>
        <v>0.0258781185005073</v>
      </c>
      <c r="BE92" s="57" t="n">
        <f aca="false">(AJ92/(Input!$AA$15/2))/(2*PI())*ATAN((Input!$AA$16/Input!$AA$15)/((AJ92/(Input!$AA$15/2))*SQRT((Input!$AA$16/Input!$AA$15)^2+(AJ92/(Input!$AA$15/2))^2+1)))</f>
        <v>0.0748267458113844</v>
      </c>
      <c r="BF92" s="57" t="n">
        <f aca="false">MAX(0,AJ92-MAX(AI92,$AA$23))/AK92*IF(BC92&gt;=Input!$AA$21*AQ92,1,0)</f>
        <v>1</v>
      </c>
      <c r="BG92" s="57" t="n">
        <f aca="false">4*Input!$AA$14*(Input!$AA$15/2)*(1-AY92^2)/AX92*((BD92-BD91)+(1-2*AY92)/(1-AY92)*(BE92-BE91))*1000*BF92</f>
        <v>3.08324850156396</v>
      </c>
      <c r="BH92" s="57" t="n">
        <f aca="false">IF(AM92="Sand",0,0.009*(AR92-10))</f>
        <v>0</v>
      </c>
      <c r="BI92" s="57" t="n">
        <f aca="false">BH92*Input!$AA$39</f>
        <v>0</v>
      </c>
      <c r="BJ92" s="57" t="n">
        <f aca="false">IF(AM92="Sand",0,MAX(AV92/Input!$AA$40,AQ92))</f>
        <v>0</v>
      </c>
      <c r="BK92" s="57" t="n">
        <f aca="false">IF(AM92="Sand",0,1000*AK92/(1+AU92)*IF(AQ92+BC92&lt;=BJ92,BI92*LOG10((AQ92+BC92)/AQ92),BI92*LOG10(BJ92/AQ92)+BH92*LOG10((AQ92+BC92)/BJ92)))*BF92</f>
        <v>0</v>
      </c>
      <c r="BL92" s="57" t="n">
        <f aca="false">IF(AM92="Sand",0,10^(INDEX(Input!$Q$51:$Q$57,MIN(MATCH(MIN(MAX(AR92,30),120),Input!$C$51:$C$57,1),6))+(MIN(MAX(AR92,30),120)-INDEX(Input!$C$51:$C$57,MIN(MATCH(MIN(MAX(AR92,30),120),Input!$C$51:$C$57,1),6)))/(INDEX(Input!$C$51:$C$57,MIN(MATCH(MIN(MAX(AR92,30),120),Input!$C$51:$C$57,1),6)+1)-INDEX(Input!$C$51:$C$57,MIN(MATCH(MIN(MAX(AR92,30),120),Input!$C$51:$C$57,1),6)))*(INDEX(Input!$Q$51:$Q$57,MIN(MATCH(MIN(MAX(AR92,30),120),Input!$C$51:$C$57,1),6)+1)-INDEX(Input!$Q$51:$Q$57,MIN(MATCH(MIN(MAX(AR92,30),120),Input!$C$51:$C$57,1),6)))))</f>
        <v>0</v>
      </c>
      <c r="BM92" s="57" t="n">
        <f aca="false">IF(OR(AM92="Sand",BF92=0),0,Input!$AA$41*(AK92/2)^2/(BL92*0.0001*31536000))</f>
        <v>0</v>
      </c>
      <c r="BN92" s="57" t="n">
        <f aca="false">MAX(0,MIN(AJ92,Input!$AA$20)-AI92)</f>
        <v>0</v>
      </c>
      <c r="BO92" s="57" t="n">
        <f aca="false">MAX(0,MIN(AJ92,Input!$AA$20)-MAX(AI92,$AA$23))</f>
        <v>0</v>
      </c>
      <c r="BP92" s="57" t="n">
        <f aca="false">BG92+BK92</f>
        <v>3.08324850156396</v>
      </c>
      <c r="BQ92" s="57"/>
    </row>
    <row r="93" customFormat="false" ht="14.25" hidden="false" customHeight="false" outlineLevel="0" collapsed="false">
      <c r="B93" s="7"/>
      <c r="C93" s="46" t="n">
        <v>11</v>
      </c>
      <c r="D93" s="46"/>
      <c r="E93" s="44" t="n">
        <f aca="false">AI93</f>
        <v>15</v>
      </c>
      <c r="F93" s="44"/>
      <c r="G93" s="44"/>
      <c r="H93" s="44" t="n">
        <f aca="false">AJ93</f>
        <v>16.5</v>
      </c>
      <c r="I93" s="44"/>
      <c r="J93" s="44"/>
      <c r="K93" s="41" t="str">
        <f aca="false">AM93</f>
        <v>Sand</v>
      </c>
      <c r="L93" s="41"/>
      <c r="M93" s="41"/>
      <c r="N93" s="46" t="n">
        <f aca="false">AN93</f>
        <v>50</v>
      </c>
      <c r="O93" s="46"/>
      <c r="P93" s="46"/>
      <c r="Q93" s="42" t="n">
        <f aca="false">AO93</f>
        <v>18.2</v>
      </c>
      <c r="R93" s="42"/>
      <c r="S93" s="42"/>
      <c r="T93" s="46" t="str">
        <f aca="false">IF(AR93="","-",AR93)</f>
        <v>-</v>
      </c>
      <c r="U93" s="46"/>
      <c r="V93" s="46" t="str">
        <f aca="false">IF(AT93="","-",AT93)</f>
        <v>-</v>
      </c>
      <c r="W93" s="46"/>
      <c r="X93" s="44" t="n">
        <f aca="false">AU93</f>
        <v>0.65</v>
      </c>
      <c r="Y93" s="44"/>
      <c r="Z93" s="55" t="n">
        <f aca="false">AV93</f>
        <v>0</v>
      </c>
      <c r="AA93" s="55"/>
      <c r="AB93" s="55"/>
      <c r="AC93" s="42" t="n">
        <f aca="false">AW93</f>
        <v>41.76159985</v>
      </c>
      <c r="AD93" s="42"/>
      <c r="AE93" s="42"/>
      <c r="AF93" s="12"/>
      <c r="AI93" s="56" t="n">
        <v>15</v>
      </c>
      <c r="AJ93" s="56" t="n">
        <v>16.5</v>
      </c>
      <c r="AK93" s="57" t="n">
        <f aca="false">AJ93-AI93</f>
        <v>1.5</v>
      </c>
      <c r="AL93" s="57" t="n">
        <f aca="false">(AI93+AJ93)/2</f>
        <v>15.75</v>
      </c>
      <c r="AM93" s="56" t="s">
        <v>199</v>
      </c>
      <c r="AN93" s="56" t="n">
        <v>50</v>
      </c>
      <c r="AO93" s="58" t="n">
        <f aca="false">IF(AL93&gt;$AA$20,$AA$22,$AA$21)</f>
        <v>18.2</v>
      </c>
      <c r="AP93" s="57" t="n">
        <f aca="false">AP92+AO93*AK93</f>
        <v>301.05</v>
      </c>
      <c r="AQ93" s="57" t="n">
        <f aca="false">AP93-AO93*AK93/2-10*MAX(AL93-$AA$20,0)</f>
        <v>199.9</v>
      </c>
      <c r="AR93" s="56"/>
      <c r="AS93" s="56"/>
      <c r="AT93" s="57" t="str">
        <f aca="false">IF(AR93="","",AR93-AS93)</f>
        <v/>
      </c>
      <c r="AU93" s="56" t="n">
        <v>0.65</v>
      </c>
      <c r="AV93" s="57" t="n">
        <f aca="false">IF(AM93="Sand",0,Input!$AA$34*AN93)</f>
        <v>0</v>
      </c>
      <c r="AW93" s="57" t="n">
        <f aca="false">IF(AM93="Sand",27.1+0.3*MIN(Input!$AA$35*AN93,60)-0.00054*MIN(Input!$AA$35*AN93,60)^2,MIN(MAX(DEGREES(ASIN(0.8-0.094*LN(MAX(IF(AT93="",10,AT93),5)))),20),30))</f>
        <v>41.76159985</v>
      </c>
      <c r="AX93" s="57" t="n">
        <f aca="false">IF(AM93="Sand",Input!$AA$36*Input!$AA$35*AN93,Input!$AA$37*AV93)</f>
        <v>54150</v>
      </c>
      <c r="AY93" s="59" t="n">
        <f aca="false">IF(AM93="Sand",Input!$AA$38,0.5)</f>
        <v>0.3</v>
      </c>
      <c r="AZ93" s="57" t="n">
        <f aca="false">Input!$AA$15/2/AL93</f>
        <v>2.34920634920635</v>
      </c>
      <c r="BA93" s="57" t="n">
        <f aca="false">Input!$AA$16/2/AL93</f>
        <v>6.41269841269841</v>
      </c>
      <c r="BB93" s="57" t="n">
        <f aca="false">1/(4*PI())*(2*AZ93*BA93*SQRT(AZ93^2+BA93^2+1)/(AZ93^2+BA93^2+1+AZ93^2*BA93^2)*(AZ93^2+BA93^2+2)/(AZ93^2+BA93^2+1)+ATAN2(AZ93^2+BA93^2+1-AZ93^2*BA93^2,2*AZ93*BA93*SQRT(AZ93^2+BA93^2+1)))</f>
        <v>0.243156029012353</v>
      </c>
      <c r="BC93" s="57" t="n">
        <f aca="false">4*Input!$AA$14*BB93</f>
        <v>132.27687978272</v>
      </c>
      <c r="BD93" s="57" t="n">
        <f aca="false">((Input!$AA$16/Input!$AA$15)*LN((1+SQRT((Input!$AA$16/Input!$AA$15)^2+1))*SQRT((Input!$AA$16/Input!$AA$15)^2+(AJ93/(Input!$AA$15/2))^2)/((Input!$AA$16/Input!$AA$15)*(1+SQRT((Input!$AA$16/Input!$AA$15)^2+(AJ93/(Input!$AA$15/2))^2+1))))+LN(((Input!$AA$16/Input!$AA$15)+SQRT((Input!$AA$16/Input!$AA$15)^2+1))*SQRT(1+(AJ93/(Input!$AA$15/2))^2)/((Input!$AA$16/Input!$AA$15)+SQRT((Input!$AA$16/Input!$AA$15)^2+(AJ93/(Input!$AA$15/2))^2+1))))/PI()</f>
        <v>0.0308660275726865</v>
      </c>
      <c r="BE93" s="57" t="n">
        <f aca="false">(AJ93/(Input!$AA$15/2))/(2*PI())*ATAN((Input!$AA$16/Input!$AA$15)/((AJ93/(Input!$AA$15/2))*SQRT((Input!$AA$16/Input!$AA$15)^2+(AJ93/(Input!$AA$15/2))^2+1)))</f>
        <v>0.0796961274153755</v>
      </c>
      <c r="BF93" s="57" t="n">
        <f aca="false">MAX(0,AJ93-MAX(AI93,$AA$23))/AK93*IF(BC93&gt;=Input!$AA$21*AQ93,1,0)</f>
        <v>1</v>
      </c>
      <c r="BG93" s="57" t="n">
        <f aca="false">4*Input!$AA$14*(Input!$AA$15/2)*(1-AY93^2)/AX93*((BD93-BD92)+(1-2*AY93)/(1-AY93)*(BE93-BE92))*1000*BF93</f>
        <v>2.62837694336949</v>
      </c>
      <c r="BH93" s="57" t="n">
        <f aca="false">IF(AM93="Sand",0,0.009*(AR93-10))</f>
        <v>0</v>
      </c>
      <c r="BI93" s="57" t="n">
        <f aca="false">BH93*Input!$AA$39</f>
        <v>0</v>
      </c>
      <c r="BJ93" s="57" t="n">
        <f aca="false">IF(AM93="Sand",0,MAX(AV93/Input!$AA$40,AQ93))</f>
        <v>0</v>
      </c>
      <c r="BK93" s="57" t="n">
        <f aca="false">IF(AM93="Sand",0,1000*AK93/(1+AU93)*IF(AQ93+BC93&lt;=BJ93,BI93*LOG10((AQ93+BC93)/AQ93),BI93*LOG10(BJ93/AQ93)+BH93*LOG10((AQ93+BC93)/BJ93)))*BF93</f>
        <v>0</v>
      </c>
      <c r="BL93" s="57" t="n">
        <f aca="false">IF(AM93="Sand",0,10^(INDEX(Input!$Q$51:$Q$57,MIN(MATCH(MIN(MAX(AR93,30),120),Input!$C$51:$C$57,1),6))+(MIN(MAX(AR93,30),120)-INDEX(Input!$C$51:$C$57,MIN(MATCH(MIN(MAX(AR93,30),120),Input!$C$51:$C$57,1),6)))/(INDEX(Input!$C$51:$C$57,MIN(MATCH(MIN(MAX(AR93,30),120),Input!$C$51:$C$57,1),6)+1)-INDEX(Input!$C$51:$C$57,MIN(MATCH(MIN(MAX(AR93,30),120),Input!$C$51:$C$57,1),6)))*(INDEX(Input!$Q$51:$Q$57,MIN(MATCH(MIN(MAX(AR93,30),120),Input!$C$51:$C$57,1),6)+1)-INDEX(Input!$Q$51:$Q$57,MIN(MATCH(MIN(MAX(AR93,30),120),Input!$C$51:$C$57,1),6)))))</f>
        <v>0</v>
      </c>
      <c r="BM93" s="57" t="n">
        <f aca="false">IF(OR(AM93="Sand",BF93=0),0,Input!$AA$41*(AK93/2)^2/(BL93*0.0001*31536000))</f>
        <v>0</v>
      </c>
      <c r="BN93" s="57" t="n">
        <f aca="false">MAX(0,MIN(AJ93,Input!$AA$20)-AI93)</f>
        <v>0</v>
      </c>
      <c r="BO93" s="57" t="n">
        <f aca="false">MAX(0,MIN(AJ93,Input!$AA$20)-MAX(AI93,$AA$23))</f>
        <v>0</v>
      </c>
      <c r="BP93" s="57" t="n">
        <f aca="false">BG93+BK93</f>
        <v>2.62837694336949</v>
      </c>
      <c r="BQ93" s="57"/>
    </row>
    <row r="94" customFormat="false" ht="14.25" hidden="false" customHeight="false" outlineLevel="0" collapsed="false">
      <c r="B94" s="7"/>
      <c r="C94" s="46" t="n">
        <v>12</v>
      </c>
      <c r="D94" s="46"/>
      <c r="E94" s="44" t="n">
        <f aca="false">AI94</f>
        <v>16.5</v>
      </c>
      <c r="F94" s="44"/>
      <c r="G94" s="44"/>
      <c r="H94" s="44" t="n">
        <f aca="false">AJ94</f>
        <v>18</v>
      </c>
      <c r="I94" s="44"/>
      <c r="J94" s="44"/>
      <c r="K94" s="41" t="str">
        <f aca="false">AM94</f>
        <v>Sand</v>
      </c>
      <c r="L94" s="41"/>
      <c r="M94" s="41"/>
      <c r="N94" s="46" t="n">
        <f aca="false">AN94</f>
        <v>30</v>
      </c>
      <c r="O94" s="46"/>
      <c r="P94" s="46"/>
      <c r="Q94" s="42" t="n">
        <f aca="false">AO94</f>
        <v>18.2</v>
      </c>
      <c r="R94" s="42"/>
      <c r="S94" s="42"/>
      <c r="T94" s="46" t="str">
        <f aca="false">IF(AR94="","-",AR94)</f>
        <v>-</v>
      </c>
      <c r="U94" s="46"/>
      <c r="V94" s="46" t="str">
        <f aca="false">IF(AT94="","-",AT94)</f>
        <v>-</v>
      </c>
      <c r="W94" s="46"/>
      <c r="X94" s="44" t="n">
        <f aca="false">AU94</f>
        <v>0.757</v>
      </c>
      <c r="Y94" s="44"/>
      <c r="Z94" s="55" t="n">
        <f aca="false">AV94</f>
        <v>0</v>
      </c>
      <c r="AA94" s="55"/>
      <c r="AB94" s="55"/>
      <c r="AC94" s="42" t="n">
        <f aca="false">AW94</f>
        <v>36.276975946</v>
      </c>
      <c r="AD94" s="42"/>
      <c r="AE94" s="42"/>
      <c r="AF94" s="12"/>
      <c r="AI94" s="56" t="n">
        <v>16.5</v>
      </c>
      <c r="AJ94" s="56" t="n">
        <v>18</v>
      </c>
      <c r="AK94" s="57" t="n">
        <f aca="false">AJ94-AI94</f>
        <v>1.5</v>
      </c>
      <c r="AL94" s="57" t="n">
        <f aca="false">(AI94+AJ94)/2</f>
        <v>17.25</v>
      </c>
      <c r="AM94" s="56" t="s">
        <v>199</v>
      </c>
      <c r="AN94" s="56" t="n">
        <v>30</v>
      </c>
      <c r="AO94" s="58" t="n">
        <f aca="false">IF(AL94&gt;$AA$20,$AA$22,$AA$21)</f>
        <v>18.2</v>
      </c>
      <c r="AP94" s="57" t="n">
        <f aca="false">AP93+AO94*AK94</f>
        <v>328.35</v>
      </c>
      <c r="AQ94" s="57" t="n">
        <f aca="false">AP94-AO94*AK94/2-10*MAX(AL94-$AA$20,0)</f>
        <v>212.2</v>
      </c>
      <c r="AR94" s="56"/>
      <c r="AS94" s="56"/>
      <c r="AT94" s="57" t="str">
        <f aca="false">IF(AR94="","",AR94-AS94)</f>
        <v/>
      </c>
      <c r="AU94" s="56" t="n">
        <v>0.757</v>
      </c>
      <c r="AV94" s="57" t="n">
        <f aca="false">IF(AM94="Sand",0,Input!$AA$34*AN94)</f>
        <v>0</v>
      </c>
      <c r="AW94" s="57" t="n">
        <f aca="false">IF(AM94="Sand",27.1+0.3*MIN(Input!$AA$35*AN94,60)-0.00054*MIN(Input!$AA$35*AN94,60)^2,MIN(MAX(DEGREES(ASIN(0.8-0.094*LN(MAX(IF(AT94="",10,AT94),5)))),20),30))</f>
        <v>36.276975946</v>
      </c>
      <c r="AX94" s="57" t="n">
        <f aca="false">IF(AM94="Sand",Input!$AA$36*Input!$AA$35*AN94,Input!$AA$37*AV94)</f>
        <v>32490</v>
      </c>
      <c r="AY94" s="59" t="n">
        <f aca="false">IF(AM94="Sand",Input!$AA$38,0.5)</f>
        <v>0.3</v>
      </c>
      <c r="AZ94" s="57" t="n">
        <f aca="false">Input!$AA$15/2/AL94</f>
        <v>2.14492753623188</v>
      </c>
      <c r="BA94" s="57" t="n">
        <f aca="false">Input!$AA$16/2/AL94</f>
        <v>5.85507246376812</v>
      </c>
      <c r="BB94" s="57" t="n">
        <f aca="false">1/(4*PI())*(2*AZ94*BA94*SQRT(AZ94^2+BA94^2+1)/(AZ94^2+BA94^2+1+AZ94^2*BA94^2)*(AZ94^2+BA94^2+2)/(AZ94^2+BA94^2+1)+ATAN2(AZ94^2+BA94^2+1-AZ94^2*BA94^2,2*AZ94*BA94*SQRT(AZ94^2+BA94^2+1)))</f>
        <v>0.2413257195439</v>
      </c>
      <c r="BC94" s="57" t="n">
        <f aca="false">4*Input!$AA$14*BB94</f>
        <v>131.281191431882</v>
      </c>
      <c r="BD94" s="57" t="n">
        <f aca="false">((Input!$AA$16/Input!$AA$15)*LN((1+SQRT((Input!$AA$16/Input!$AA$15)^2+1))*SQRT((Input!$AA$16/Input!$AA$15)^2+(AJ94/(Input!$AA$15/2))^2)/((Input!$AA$16/Input!$AA$15)*(1+SQRT((Input!$AA$16/Input!$AA$15)^2+(AJ94/(Input!$AA$15/2))^2+1))))+LN(((Input!$AA$16/Input!$AA$15)+SQRT((Input!$AA$16/Input!$AA$15)^2+1))*SQRT(1+(AJ94/(Input!$AA$15/2))^2)/((Input!$AA$16/Input!$AA$15)+SQRT((Input!$AA$16/Input!$AA$15)^2+(AJ94/(Input!$AA$15/2))^2+1))))/PI()</f>
        <v>0.0361740031105239</v>
      </c>
      <c r="BE94" s="57" t="n">
        <f aca="false">(AJ94/(Input!$AA$15/2))/(2*PI())*ATAN((Input!$AA$16/Input!$AA$15)/((AJ94/(Input!$AA$15/2))*SQRT((Input!$AA$16/Input!$AA$15)^2+(AJ94/(Input!$AA$15/2))^2+1)))</f>
        <v>0.0841712562846844</v>
      </c>
      <c r="BF94" s="57" t="n">
        <f aca="false">MAX(0,AJ94-MAX(AI94,$AA$23))/AK94*IF(BC94&gt;=Input!$AA$21*AQ94,1,0)</f>
        <v>1</v>
      </c>
      <c r="BG94" s="57" t="n">
        <f aca="false">4*Input!$AA$14*(Input!$AA$15/2)*(1-AY94^2)/AX94*((BD94-BD93)+(1-2*AY94)/(1-AY94)*(BE94-BE93))*1000*BF94</f>
        <v>4.43406071399327</v>
      </c>
      <c r="BH94" s="57" t="n">
        <f aca="false">IF(AM94="Sand",0,0.009*(AR94-10))</f>
        <v>0</v>
      </c>
      <c r="BI94" s="57" t="n">
        <f aca="false">BH94*Input!$AA$39</f>
        <v>0</v>
      </c>
      <c r="BJ94" s="57" t="n">
        <f aca="false">IF(AM94="Sand",0,MAX(AV94/Input!$AA$40,AQ94))</f>
        <v>0</v>
      </c>
      <c r="BK94" s="57" t="n">
        <f aca="false">IF(AM94="Sand",0,1000*AK94/(1+AU94)*IF(AQ94+BC94&lt;=BJ94,BI94*LOG10((AQ94+BC94)/AQ94),BI94*LOG10(BJ94/AQ94)+BH94*LOG10((AQ94+BC94)/BJ94)))*BF94</f>
        <v>0</v>
      </c>
      <c r="BL94" s="57" t="n">
        <f aca="false">IF(AM94="Sand",0,10^(INDEX(Input!$Q$51:$Q$57,MIN(MATCH(MIN(MAX(AR94,30),120),Input!$C$51:$C$57,1),6))+(MIN(MAX(AR94,30),120)-INDEX(Input!$C$51:$C$57,MIN(MATCH(MIN(MAX(AR94,30),120),Input!$C$51:$C$57,1),6)))/(INDEX(Input!$C$51:$C$57,MIN(MATCH(MIN(MAX(AR94,30),120),Input!$C$51:$C$57,1),6)+1)-INDEX(Input!$C$51:$C$57,MIN(MATCH(MIN(MAX(AR94,30),120),Input!$C$51:$C$57,1),6)))*(INDEX(Input!$Q$51:$Q$57,MIN(MATCH(MIN(MAX(AR94,30),120),Input!$C$51:$C$57,1),6)+1)-INDEX(Input!$Q$51:$Q$57,MIN(MATCH(MIN(MAX(AR94,30),120),Input!$C$51:$C$57,1),6)))))</f>
        <v>0</v>
      </c>
      <c r="BM94" s="57" t="n">
        <f aca="false">IF(OR(AM94="Sand",BF94=0),0,Input!$AA$41*(AK94/2)^2/(BL94*0.0001*31536000))</f>
        <v>0</v>
      </c>
      <c r="BN94" s="57" t="n">
        <f aca="false">MAX(0,MIN(AJ94,Input!$AA$20)-AI94)</f>
        <v>0</v>
      </c>
      <c r="BO94" s="57" t="n">
        <f aca="false">MAX(0,MIN(AJ94,Input!$AA$20)-MAX(AI94,$AA$23))</f>
        <v>0</v>
      </c>
      <c r="BP94" s="57" t="n">
        <f aca="false">BG94+BK94</f>
        <v>4.43406071399327</v>
      </c>
      <c r="BQ94" s="57"/>
    </row>
    <row r="95" customFormat="false" ht="14.25" hidden="false" customHeight="false" outlineLevel="0" collapsed="false">
      <c r="B95" s="7"/>
      <c r="C95" s="46" t="n">
        <v>13</v>
      </c>
      <c r="D95" s="46"/>
      <c r="E95" s="44" t="n">
        <f aca="false">AI95</f>
        <v>18</v>
      </c>
      <c r="F95" s="44"/>
      <c r="G95" s="44"/>
      <c r="H95" s="44" t="n">
        <f aca="false">AJ95</f>
        <v>19.5</v>
      </c>
      <c r="I95" s="44"/>
      <c r="J95" s="44"/>
      <c r="K95" s="41" t="str">
        <f aca="false">AM95</f>
        <v>Sand</v>
      </c>
      <c r="L95" s="41"/>
      <c r="M95" s="41"/>
      <c r="N95" s="46" t="n">
        <f aca="false">AN95</f>
        <v>26</v>
      </c>
      <c r="O95" s="46"/>
      <c r="P95" s="46"/>
      <c r="Q95" s="42" t="n">
        <f aca="false">AO95</f>
        <v>18.2</v>
      </c>
      <c r="R95" s="42"/>
      <c r="S95" s="42"/>
      <c r="T95" s="46" t="str">
        <f aca="false">IF(AR95="","-",AR95)</f>
        <v>-</v>
      </c>
      <c r="U95" s="46"/>
      <c r="V95" s="46" t="str">
        <f aca="false">IF(AT95="","-",AT95)</f>
        <v>-</v>
      </c>
      <c r="W95" s="46"/>
      <c r="X95" s="44" t="n">
        <f aca="false">AU95</f>
        <v>0.801</v>
      </c>
      <c r="Y95" s="44"/>
      <c r="Z95" s="55" t="n">
        <f aca="false">AV95</f>
        <v>0</v>
      </c>
      <c r="AA95" s="55"/>
      <c r="AB95" s="55"/>
      <c r="AC95" s="42" t="n">
        <f aca="false">AW95</f>
        <v>35.11924859944</v>
      </c>
      <c r="AD95" s="42"/>
      <c r="AE95" s="42"/>
      <c r="AF95" s="12"/>
      <c r="AI95" s="56" t="n">
        <v>18</v>
      </c>
      <c r="AJ95" s="56" t="n">
        <v>19.5</v>
      </c>
      <c r="AK95" s="57" t="n">
        <f aca="false">AJ95-AI95</f>
        <v>1.5</v>
      </c>
      <c r="AL95" s="57" t="n">
        <f aca="false">(AI95+AJ95)/2</f>
        <v>18.75</v>
      </c>
      <c r="AM95" s="56" t="s">
        <v>199</v>
      </c>
      <c r="AN95" s="56" t="n">
        <v>26</v>
      </c>
      <c r="AO95" s="58" t="n">
        <f aca="false">IF(AL95&gt;$AA$20,$AA$22,$AA$21)</f>
        <v>18.2</v>
      </c>
      <c r="AP95" s="57" t="n">
        <f aca="false">AP94+AO95*AK95</f>
        <v>355.65</v>
      </c>
      <c r="AQ95" s="57" t="n">
        <f aca="false">AP95-AO95*AK95/2-10*MAX(AL95-$AA$20,0)</f>
        <v>224.5</v>
      </c>
      <c r="AR95" s="56"/>
      <c r="AS95" s="56"/>
      <c r="AT95" s="57" t="str">
        <f aca="false">IF(AR95="","",AR95-AS95)</f>
        <v/>
      </c>
      <c r="AU95" s="56" t="n">
        <v>0.801</v>
      </c>
      <c r="AV95" s="57" t="n">
        <f aca="false">IF(AM95="Sand",0,Input!$AA$34*AN95)</f>
        <v>0</v>
      </c>
      <c r="AW95" s="57" t="n">
        <f aca="false">IF(AM95="Sand",27.1+0.3*MIN(Input!$AA$35*AN95,60)-0.00054*MIN(Input!$AA$35*AN95,60)^2,MIN(MAX(DEGREES(ASIN(0.8-0.094*LN(MAX(IF(AT95="",10,AT95),5)))),20),30))</f>
        <v>35.11924859944</v>
      </c>
      <c r="AX95" s="57" t="n">
        <f aca="false">IF(AM95="Sand",Input!$AA$36*Input!$AA$35*AN95,Input!$AA$37*AV95)</f>
        <v>28158</v>
      </c>
      <c r="AY95" s="59" t="n">
        <f aca="false">IF(AM95="Sand",Input!$AA$38,0.5)</f>
        <v>0.3</v>
      </c>
      <c r="AZ95" s="57" t="n">
        <f aca="false">Input!$AA$15/2/AL95</f>
        <v>1.97333333333333</v>
      </c>
      <c r="BA95" s="57" t="n">
        <f aca="false">Input!$AA$16/2/AL95</f>
        <v>5.38666666666667</v>
      </c>
      <c r="BB95" s="57" t="n">
        <f aca="false">1/(4*PI())*(2*AZ95*BA95*SQRT(AZ95^2+BA95^2+1)/(AZ95^2+BA95^2+1+AZ95^2*BA95^2)*(AZ95^2+BA95^2+2)/(AZ95^2+BA95^2+1)+ATAN2(AZ95^2+BA95^2+1-AZ95^2*BA95^2,2*AZ95*BA95*SQRT(AZ95^2+BA95^2+1)))</f>
        <v>0.239276198425064</v>
      </c>
      <c r="BC95" s="57" t="n">
        <f aca="false">4*Input!$AA$14*BB95</f>
        <v>130.166251943235</v>
      </c>
      <c r="BD95" s="57" t="n">
        <f aca="false">((Input!$AA$16/Input!$AA$15)*LN((1+SQRT((Input!$AA$16/Input!$AA$15)^2+1))*SQRT((Input!$AA$16/Input!$AA$15)^2+(AJ95/(Input!$AA$15/2))^2)/((Input!$AA$16/Input!$AA$15)*(1+SQRT((Input!$AA$16/Input!$AA$15)^2+(AJ95/(Input!$AA$15/2))^2+1))))+LN(((Input!$AA$16/Input!$AA$15)+SQRT((Input!$AA$16/Input!$AA$15)^2+1))*SQRT(1+(AJ95/(Input!$AA$15/2))^2)/((Input!$AA$16/Input!$AA$15)+SQRT((Input!$AA$16/Input!$AA$15)^2+(AJ95/(Input!$AA$15/2))^2+1))))/PI()</f>
        <v>0.0417706101655238</v>
      </c>
      <c r="BE95" s="57" t="n">
        <f aca="false">(AJ95/(Input!$AA$15/2))/(2*PI())*ATAN((Input!$AA$16/Input!$AA$15)/((AJ95/(Input!$AA$15/2))*SQRT((Input!$AA$16/Input!$AA$15)^2+(AJ95/(Input!$AA$15/2))^2+1)))</f>
        <v>0.0882746863320375</v>
      </c>
      <c r="BF95" s="57" t="n">
        <f aca="false">MAX(0,AJ95-MAX(AI95,$AA$23))/AK95*IF(BC95&gt;=Input!$AA$21*AQ95,1,0)</f>
        <v>1</v>
      </c>
      <c r="BG95" s="57" t="n">
        <f aca="false">4*Input!$AA$14*(Input!$AA$15/2)*(1-AY95^2)/AX95*((BD95-BD94)+(1-2*AY95)/(1-AY95)*(BE95-BE94))*1000*BF95</f>
        <v>5.16581213108852</v>
      </c>
      <c r="BH95" s="57" t="n">
        <f aca="false">IF(AM95="Sand",0,0.009*(AR95-10))</f>
        <v>0</v>
      </c>
      <c r="BI95" s="57" t="n">
        <f aca="false">BH95*Input!$AA$39</f>
        <v>0</v>
      </c>
      <c r="BJ95" s="57" t="n">
        <f aca="false">IF(AM95="Sand",0,MAX(AV95/Input!$AA$40,AQ95))</f>
        <v>0</v>
      </c>
      <c r="BK95" s="57" t="n">
        <f aca="false">IF(AM95="Sand",0,1000*AK95/(1+AU95)*IF(AQ95+BC95&lt;=BJ95,BI95*LOG10((AQ95+BC95)/AQ95),BI95*LOG10(BJ95/AQ95)+BH95*LOG10((AQ95+BC95)/BJ95)))*BF95</f>
        <v>0</v>
      </c>
      <c r="BL95" s="57" t="n">
        <f aca="false">IF(AM95="Sand",0,10^(INDEX(Input!$Q$51:$Q$57,MIN(MATCH(MIN(MAX(AR95,30),120),Input!$C$51:$C$57,1),6))+(MIN(MAX(AR95,30),120)-INDEX(Input!$C$51:$C$57,MIN(MATCH(MIN(MAX(AR95,30),120),Input!$C$51:$C$57,1),6)))/(INDEX(Input!$C$51:$C$57,MIN(MATCH(MIN(MAX(AR95,30),120),Input!$C$51:$C$57,1),6)+1)-INDEX(Input!$C$51:$C$57,MIN(MATCH(MIN(MAX(AR95,30),120),Input!$C$51:$C$57,1),6)))*(INDEX(Input!$Q$51:$Q$57,MIN(MATCH(MIN(MAX(AR95,30),120),Input!$C$51:$C$57,1),6)+1)-INDEX(Input!$Q$51:$Q$57,MIN(MATCH(MIN(MAX(AR95,30),120),Input!$C$51:$C$57,1),6)))))</f>
        <v>0</v>
      </c>
      <c r="BM95" s="57" t="n">
        <f aca="false">IF(OR(AM95="Sand",BF95=0),0,Input!$AA$41*(AK95/2)^2/(BL95*0.0001*31536000))</f>
        <v>0</v>
      </c>
      <c r="BN95" s="57" t="n">
        <f aca="false">MAX(0,MIN(AJ95,Input!$AA$20)-AI95)</f>
        <v>0</v>
      </c>
      <c r="BO95" s="57" t="n">
        <f aca="false">MAX(0,MIN(AJ95,Input!$AA$20)-MAX(AI95,$AA$23))</f>
        <v>0</v>
      </c>
      <c r="BP95" s="57" t="n">
        <f aca="false">BG95+BK95</f>
        <v>5.16581213108852</v>
      </c>
      <c r="BQ95" s="57"/>
    </row>
    <row r="96" customFormat="false" ht="14.25" hidden="false" customHeight="false" outlineLevel="0" collapsed="false">
      <c r="B96" s="7"/>
      <c r="C96" s="46" t="n">
        <v>14</v>
      </c>
      <c r="D96" s="46"/>
      <c r="E96" s="44" t="n">
        <f aca="false">AI96</f>
        <v>19.5</v>
      </c>
      <c r="F96" s="44"/>
      <c r="G96" s="44"/>
      <c r="H96" s="44" t="n">
        <f aca="false">AJ96</f>
        <v>21</v>
      </c>
      <c r="I96" s="44"/>
      <c r="J96" s="44"/>
      <c r="K96" s="41" t="str">
        <f aca="false">AM96</f>
        <v>Sand</v>
      </c>
      <c r="L96" s="41"/>
      <c r="M96" s="41"/>
      <c r="N96" s="46" t="n">
        <f aca="false">AN96</f>
        <v>41</v>
      </c>
      <c r="O96" s="46"/>
      <c r="P96" s="46"/>
      <c r="Q96" s="42" t="n">
        <f aca="false">AO96</f>
        <v>18.2</v>
      </c>
      <c r="R96" s="42"/>
      <c r="S96" s="42"/>
      <c r="T96" s="46" t="str">
        <f aca="false">IF(AR96="","-",AR96)</f>
        <v>-</v>
      </c>
      <c r="U96" s="46"/>
      <c r="V96" s="46" t="str">
        <f aca="false">IF(AT96="","-",AT96)</f>
        <v>-</v>
      </c>
      <c r="W96" s="46"/>
      <c r="X96" s="44" t="n">
        <f aca="false">AU96</f>
        <v>0.673</v>
      </c>
      <c r="Y96" s="44"/>
      <c r="Z96" s="55" t="n">
        <f aca="false">AV96</f>
        <v>0</v>
      </c>
      <c r="AA96" s="55"/>
      <c r="AB96" s="55"/>
      <c r="AC96" s="42" t="n">
        <f aca="false">AW96</f>
        <v>39.35622173914</v>
      </c>
      <c r="AD96" s="42"/>
      <c r="AE96" s="42"/>
      <c r="AF96" s="12"/>
      <c r="AI96" s="56" t="n">
        <v>19.5</v>
      </c>
      <c r="AJ96" s="56" t="n">
        <v>21</v>
      </c>
      <c r="AK96" s="57" t="n">
        <f aca="false">AJ96-AI96</f>
        <v>1.5</v>
      </c>
      <c r="AL96" s="57" t="n">
        <f aca="false">(AI96+AJ96)/2</f>
        <v>20.25</v>
      </c>
      <c r="AM96" s="56" t="s">
        <v>199</v>
      </c>
      <c r="AN96" s="56" t="n">
        <v>41</v>
      </c>
      <c r="AO96" s="58" t="n">
        <f aca="false">IF(AL96&gt;$AA$20,$AA$22,$AA$21)</f>
        <v>18.2</v>
      </c>
      <c r="AP96" s="57" t="n">
        <f aca="false">AP95+AO96*AK96</f>
        <v>382.95</v>
      </c>
      <c r="AQ96" s="57" t="n">
        <f aca="false">AP96-AO96*AK96/2-10*MAX(AL96-$AA$20,0)</f>
        <v>236.8</v>
      </c>
      <c r="AR96" s="56"/>
      <c r="AS96" s="56"/>
      <c r="AT96" s="57" t="str">
        <f aca="false">IF(AR96="","",AR96-AS96)</f>
        <v/>
      </c>
      <c r="AU96" s="56" t="n">
        <v>0.673</v>
      </c>
      <c r="AV96" s="57" t="n">
        <f aca="false">IF(AM96="Sand",0,Input!$AA$34*AN96)</f>
        <v>0</v>
      </c>
      <c r="AW96" s="57" t="n">
        <f aca="false">IF(AM96="Sand",27.1+0.3*MIN(Input!$AA$35*AN96,60)-0.00054*MIN(Input!$AA$35*AN96,60)^2,MIN(MAX(DEGREES(ASIN(0.8-0.094*LN(MAX(IF(AT96="",10,AT96),5)))),20),30))</f>
        <v>39.35622173914</v>
      </c>
      <c r="AX96" s="57" t="n">
        <f aca="false">IF(AM96="Sand",Input!$AA$36*Input!$AA$35*AN96,Input!$AA$37*AV96)</f>
        <v>44403</v>
      </c>
      <c r="AY96" s="59" t="n">
        <f aca="false">IF(AM96="Sand",Input!$AA$38,0.5)</f>
        <v>0.3</v>
      </c>
      <c r="AZ96" s="57" t="n">
        <f aca="false">Input!$AA$15/2/AL96</f>
        <v>1.82716049382716</v>
      </c>
      <c r="BA96" s="57" t="n">
        <f aca="false">Input!$AA$16/2/AL96</f>
        <v>4.98765432098765</v>
      </c>
      <c r="BB96" s="57" t="n">
        <f aca="false">1/(4*PI())*(2*AZ96*BA96*SQRT(AZ96^2+BA96^2+1)/(AZ96^2+BA96^2+1+AZ96^2*BA96^2)*(AZ96^2+BA96^2+2)/(AZ96^2+BA96^2+1)+ATAN2(AZ96^2+BA96^2+1-AZ96^2*BA96^2,2*AZ96*BA96*SQRT(AZ96^2+BA96^2+1)))</f>
        <v>0.237020068220603</v>
      </c>
      <c r="BC96" s="57" t="n">
        <f aca="false">4*Input!$AA$14*BB96</f>
        <v>128.938917112008</v>
      </c>
      <c r="BD96" s="57" t="n">
        <f aca="false">((Input!$AA$16/Input!$AA$15)*LN((1+SQRT((Input!$AA$16/Input!$AA$15)^2+1))*SQRT((Input!$AA$16/Input!$AA$15)^2+(AJ96/(Input!$AA$15/2))^2)/((Input!$AA$16/Input!$AA$15)*(1+SQRT((Input!$AA$16/Input!$AA$15)^2+(AJ96/(Input!$AA$15/2))^2+1))))+LN(((Input!$AA$16/Input!$AA$15)+SQRT((Input!$AA$16/Input!$AA$15)^2+1))*SQRT(1+(AJ96/(Input!$AA$15/2))^2)/((Input!$AA$16/Input!$AA$15)+SQRT((Input!$AA$16/Input!$AA$15)^2+(AJ96/(Input!$AA$15/2))^2+1))))/PI()</f>
        <v>0.0476251420550853</v>
      </c>
      <c r="BE96" s="57" t="n">
        <f aca="false">(AJ96/(Input!$AA$15/2))/(2*PI())*ATAN((Input!$AA$16/Input!$AA$15)/((AJ96/(Input!$AA$15/2))*SQRT((Input!$AA$16/Input!$AA$15)^2+(AJ96/(Input!$AA$15/2))^2+1)))</f>
        <v>0.0920287526961581</v>
      </c>
      <c r="BF96" s="57" t="n">
        <f aca="false">MAX(0,AJ96-MAX(AI96,$AA$23))/AK96*IF(BC96&gt;=Input!$AA$21*AQ96,1,0)</f>
        <v>1</v>
      </c>
      <c r="BG96" s="57" t="n">
        <f aca="false">4*Input!$AA$14*(Input!$AA$15/2)*(1-AY96^2)/AX96*((BD96-BD95)+(1-2*AY96)/(1-AY96)*(BE96-BE95))*1000*BF96</f>
        <v>3.2999251651592</v>
      </c>
      <c r="BH96" s="57" t="n">
        <f aca="false">IF(AM96="Sand",0,0.009*(AR96-10))</f>
        <v>0</v>
      </c>
      <c r="BI96" s="57" t="n">
        <f aca="false">BH96*Input!$AA$39</f>
        <v>0</v>
      </c>
      <c r="BJ96" s="57" t="n">
        <f aca="false">IF(AM96="Sand",0,MAX(AV96/Input!$AA$40,AQ96))</f>
        <v>0</v>
      </c>
      <c r="BK96" s="57" t="n">
        <f aca="false">IF(AM96="Sand",0,1000*AK96/(1+AU96)*IF(AQ96+BC96&lt;=BJ96,BI96*LOG10((AQ96+BC96)/AQ96),BI96*LOG10(BJ96/AQ96)+BH96*LOG10((AQ96+BC96)/BJ96)))*BF96</f>
        <v>0</v>
      </c>
      <c r="BL96" s="57" t="n">
        <f aca="false">IF(AM96="Sand",0,10^(INDEX(Input!$Q$51:$Q$57,MIN(MATCH(MIN(MAX(AR96,30),120),Input!$C$51:$C$57,1),6))+(MIN(MAX(AR96,30),120)-INDEX(Input!$C$51:$C$57,MIN(MATCH(MIN(MAX(AR96,30),120),Input!$C$51:$C$57,1),6)))/(INDEX(Input!$C$51:$C$57,MIN(MATCH(MIN(MAX(AR96,30),120),Input!$C$51:$C$57,1),6)+1)-INDEX(Input!$C$51:$C$57,MIN(MATCH(MIN(MAX(AR96,30),120),Input!$C$51:$C$57,1),6)))*(INDEX(Input!$Q$51:$Q$57,MIN(MATCH(MIN(MAX(AR96,30),120),Input!$C$51:$C$57,1),6)+1)-INDEX(Input!$Q$51:$Q$57,MIN(MATCH(MIN(MAX(AR96,30),120),Input!$C$51:$C$57,1),6)))))</f>
        <v>0</v>
      </c>
      <c r="BM96" s="57" t="n">
        <f aca="false">IF(OR(AM96="Sand",BF96=0),0,Input!$AA$41*(AK96/2)^2/(BL96*0.0001*31536000))</f>
        <v>0</v>
      </c>
      <c r="BN96" s="57" t="n">
        <f aca="false">MAX(0,MIN(AJ96,Input!$AA$20)-AI96)</f>
        <v>0</v>
      </c>
      <c r="BO96" s="57" t="n">
        <f aca="false">MAX(0,MIN(AJ96,Input!$AA$20)-MAX(AI96,$AA$23))</f>
        <v>0</v>
      </c>
      <c r="BP96" s="57" t="n">
        <f aca="false">BG96+BK96</f>
        <v>3.2999251651592</v>
      </c>
      <c r="BQ96" s="57"/>
    </row>
    <row r="97" customFormat="false" ht="14.25" hidden="false" customHeight="false" outlineLevel="0" collapsed="false">
      <c r="B97" s="7"/>
      <c r="C97" s="46" t="n">
        <v>15</v>
      </c>
      <c r="D97" s="46"/>
      <c r="E97" s="44" t="n">
        <f aca="false">AI97</f>
        <v>21</v>
      </c>
      <c r="F97" s="44"/>
      <c r="G97" s="44"/>
      <c r="H97" s="44" t="n">
        <f aca="false">AJ97</f>
        <v>22.5</v>
      </c>
      <c r="I97" s="44"/>
      <c r="J97" s="44"/>
      <c r="K97" s="41" t="str">
        <f aca="false">AM97</f>
        <v>Sand</v>
      </c>
      <c r="L97" s="41"/>
      <c r="M97" s="41"/>
      <c r="N97" s="46" t="n">
        <f aca="false">AN97</f>
        <v>40</v>
      </c>
      <c r="O97" s="46"/>
      <c r="P97" s="46"/>
      <c r="Q97" s="42" t="n">
        <f aca="false">AO97</f>
        <v>18.2</v>
      </c>
      <c r="R97" s="42"/>
      <c r="S97" s="42"/>
      <c r="T97" s="46" t="str">
        <f aca="false">IF(AR97="","-",AR97)</f>
        <v>-</v>
      </c>
      <c r="U97" s="46"/>
      <c r="V97" s="46" t="str">
        <f aca="false">IF(AT97="","-",AT97)</f>
        <v>-</v>
      </c>
      <c r="W97" s="46"/>
      <c r="X97" s="44" t="n">
        <f aca="false">AU97</f>
        <v>0.65</v>
      </c>
      <c r="Y97" s="44"/>
      <c r="Z97" s="55" t="n">
        <f aca="false">AV97</f>
        <v>0</v>
      </c>
      <c r="AA97" s="55"/>
      <c r="AB97" s="55"/>
      <c r="AC97" s="42" t="n">
        <f aca="false">AW97</f>
        <v>39.082623904</v>
      </c>
      <c r="AD97" s="42"/>
      <c r="AE97" s="42"/>
      <c r="AF97" s="12"/>
      <c r="AI97" s="56" t="n">
        <v>21</v>
      </c>
      <c r="AJ97" s="56" t="n">
        <v>22.5</v>
      </c>
      <c r="AK97" s="57" t="n">
        <f aca="false">AJ97-AI97</f>
        <v>1.5</v>
      </c>
      <c r="AL97" s="57" t="n">
        <f aca="false">(AI97+AJ97)/2</f>
        <v>21.75</v>
      </c>
      <c r="AM97" s="56" t="s">
        <v>199</v>
      </c>
      <c r="AN97" s="56" t="n">
        <v>40</v>
      </c>
      <c r="AO97" s="58" t="n">
        <f aca="false">IF(AL97&gt;$AA$20,$AA$22,$AA$21)</f>
        <v>18.2</v>
      </c>
      <c r="AP97" s="57" t="n">
        <f aca="false">AP96+AO97*AK97</f>
        <v>410.25</v>
      </c>
      <c r="AQ97" s="57" t="n">
        <f aca="false">AP97-AO97*AK97/2-10*MAX(AL97-$AA$20,0)</f>
        <v>249.1</v>
      </c>
      <c r="AR97" s="56"/>
      <c r="AS97" s="56"/>
      <c r="AT97" s="57" t="str">
        <f aca="false">IF(AR97="","",AR97-AS97)</f>
        <v/>
      </c>
      <c r="AU97" s="56" t="n">
        <v>0.65</v>
      </c>
      <c r="AV97" s="57" t="n">
        <f aca="false">IF(AM97="Sand",0,Input!$AA$34*AN97)</f>
        <v>0</v>
      </c>
      <c r="AW97" s="57" t="n">
        <f aca="false">IF(AM97="Sand",27.1+0.3*MIN(Input!$AA$35*AN97,60)-0.00054*MIN(Input!$AA$35*AN97,60)^2,MIN(MAX(DEGREES(ASIN(0.8-0.094*LN(MAX(IF(AT97="",10,AT97),5)))),20),30))</f>
        <v>39.082623904</v>
      </c>
      <c r="AX97" s="57" t="n">
        <f aca="false">IF(AM97="Sand",Input!$AA$36*Input!$AA$35*AN97,Input!$AA$37*AV97)</f>
        <v>43320</v>
      </c>
      <c r="AY97" s="59" t="n">
        <f aca="false">IF(AM97="Sand",Input!$AA$38,0.5)</f>
        <v>0.3</v>
      </c>
      <c r="AZ97" s="57" t="n">
        <f aca="false">Input!$AA$15/2/AL97</f>
        <v>1.70114942528736</v>
      </c>
      <c r="BA97" s="57" t="n">
        <f aca="false">Input!$AA$16/2/AL97</f>
        <v>4.64367816091954</v>
      </c>
      <c r="BB97" s="57" t="n">
        <f aca="false">1/(4*PI())*(2*AZ97*BA97*SQRT(AZ97^2+BA97^2+1)/(AZ97^2+BA97^2+1+AZ97^2*BA97^2)*(AZ97^2+BA97^2+2)/(AZ97^2+BA97^2+1)+ATAN2(AZ97^2+BA97^2+1-AZ97^2*BA97^2,2*AZ97*BA97*SQRT(AZ97^2+BA97^2+1)))</f>
        <v>0.234572598682726</v>
      </c>
      <c r="BC97" s="57" t="n">
        <f aca="false">4*Input!$AA$14*BB97</f>
        <v>127.607493683403</v>
      </c>
      <c r="BD97" s="57" t="n">
        <f aca="false">((Input!$AA$16/Input!$AA$15)*LN((1+SQRT((Input!$AA$16/Input!$AA$15)^2+1))*SQRT((Input!$AA$16/Input!$AA$15)^2+(AJ97/(Input!$AA$15/2))^2)/((Input!$AA$16/Input!$AA$15)*(1+SQRT((Input!$AA$16/Input!$AA$15)^2+(AJ97/(Input!$AA$15/2))^2+1))))+LN(((Input!$AA$16/Input!$AA$15)+SQRT((Input!$AA$16/Input!$AA$15)^2+1))*SQRT(1+(AJ97/(Input!$AA$15/2))^2)/((Input!$AA$16/Input!$AA$15)+SQRT((Input!$AA$16/Input!$AA$15)^2+(AJ97/(Input!$AA$15/2))^2+1))))/PI()</f>
        <v>0.0537079639877145</v>
      </c>
      <c r="BE97" s="57" t="n">
        <f aca="false">(AJ97/(Input!$AA$15/2))/(2*PI())*ATAN((Input!$AA$16/Input!$AA$15)/((AJ97/(Input!$AA$15/2))*SQRT((Input!$AA$16/Input!$AA$15)^2+(AJ97/(Input!$AA$15/2))^2+1)))</f>
        <v>0.0954553363186186</v>
      </c>
      <c r="BF97" s="57" t="n">
        <f aca="false">MAX(0,AJ97-MAX(AI97,$AA$23))/AK97*IF(BC97&gt;=Input!$AA$21*AQ97,1,0)</f>
        <v>1</v>
      </c>
      <c r="BG97" s="57" t="n">
        <f aca="false">4*Input!$AA$14*(Input!$AA$15/2)*(1-AY97^2)/AX97*((BD97-BD96)+(1-2*AY97)/(1-AY97)*(BE97-BE96))*1000*BF97</f>
        <v>3.39982523896735</v>
      </c>
      <c r="BH97" s="57" t="n">
        <f aca="false">IF(AM97="Sand",0,0.009*(AR97-10))</f>
        <v>0</v>
      </c>
      <c r="BI97" s="57" t="n">
        <f aca="false">BH97*Input!$AA$39</f>
        <v>0</v>
      </c>
      <c r="BJ97" s="57" t="n">
        <f aca="false">IF(AM97="Sand",0,MAX(AV97/Input!$AA$40,AQ97))</f>
        <v>0</v>
      </c>
      <c r="BK97" s="57" t="n">
        <f aca="false">IF(AM97="Sand",0,1000*AK97/(1+AU97)*IF(AQ97+BC97&lt;=BJ97,BI97*LOG10((AQ97+BC97)/AQ97),BI97*LOG10(BJ97/AQ97)+BH97*LOG10((AQ97+BC97)/BJ97)))*BF97</f>
        <v>0</v>
      </c>
      <c r="BL97" s="57" t="n">
        <f aca="false">IF(AM97="Sand",0,10^(INDEX(Input!$Q$51:$Q$57,MIN(MATCH(MIN(MAX(AR97,30),120),Input!$C$51:$C$57,1),6))+(MIN(MAX(AR97,30),120)-INDEX(Input!$C$51:$C$57,MIN(MATCH(MIN(MAX(AR97,30),120),Input!$C$51:$C$57,1),6)))/(INDEX(Input!$C$51:$C$57,MIN(MATCH(MIN(MAX(AR97,30),120),Input!$C$51:$C$57,1),6)+1)-INDEX(Input!$C$51:$C$57,MIN(MATCH(MIN(MAX(AR97,30),120),Input!$C$51:$C$57,1),6)))*(INDEX(Input!$Q$51:$Q$57,MIN(MATCH(MIN(MAX(AR97,30),120),Input!$C$51:$C$57,1),6)+1)-INDEX(Input!$Q$51:$Q$57,MIN(MATCH(MIN(MAX(AR97,30),120),Input!$C$51:$C$57,1),6)))))</f>
        <v>0</v>
      </c>
      <c r="BM97" s="57" t="n">
        <f aca="false">IF(OR(AM97="Sand",BF97=0),0,Input!$AA$41*(AK97/2)^2/(BL97*0.0001*31536000))</f>
        <v>0</v>
      </c>
      <c r="BN97" s="57" t="n">
        <f aca="false">MAX(0,MIN(AJ97,Input!$AA$20)-AI97)</f>
        <v>0</v>
      </c>
      <c r="BO97" s="57" t="n">
        <f aca="false">MAX(0,MIN(AJ97,Input!$AA$20)-MAX(AI97,$AA$23))</f>
        <v>0</v>
      </c>
      <c r="BP97" s="57" t="n">
        <f aca="false">BG97+BK97</f>
        <v>3.39982523896735</v>
      </c>
      <c r="BQ97" s="57"/>
    </row>
    <row r="98" customFormat="false" ht="14.25" hidden="false" customHeight="false" outlineLevel="0" collapsed="false">
      <c r="B98" s="7"/>
      <c r="C98" s="46" t="n">
        <v>16</v>
      </c>
      <c r="D98" s="46"/>
      <c r="E98" s="44" t="n">
        <f aca="false">AI98</f>
        <v>22.5</v>
      </c>
      <c r="F98" s="44"/>
      <c r="G98" s="44"/>
      <c r="H98" s="44" t="n">
        <f aca="false">AJ98</f>
        <v>24</v>
      </c>
      <c r="I98" s="44"/>
      <c r="J98" s="44"/>
      <c r="K98" s="41" t="str">
        <f aca="false">AM98</f>
        <v>Sand</v>
      </c>
      <c r="L98" s="41"/>
      <c r="M98" s="41"/>
      <c r="N98" s="46" t="n">
        <f aca="false">AN98</f>
        <v>50</v>
      </c>
      <c r="O98" s="46"/>
      <c r="P98" s="46"/>
      <c r="Q98" s="42" t="n">
        <f aca="false">AO98</f>
        <v>18.2</v>
      </c>
      <c r="R98" s="42"/>
      <c r="S98" s="42"/>
      <c r="T98" s="46" t="str">
        <f aca="false">IF(AR98="","-",AR98)</f>
        <v>-</v>
      </c>
      <c r="U98" s="46"/>
      <c r="V98" s="46" t="str">
        <f aca="false">IF(AT98="","-",AT98)</f>
        <v>-</v>
      </c>
      <c r="W98" s="46"/>
      <c r="X98" s="44" t="n">
        <f aca="false">AU98</f>
        <v>0.65</v>
      </c>
      <c r="Y98" s="44"/>
      <c r="Z98" s="55" t="n">
        <f aca="false">AV98</f>
        <v>0</v>
      </c>
      <c r="AA98" s="55"/>
      <c r="AB98" s="55"/>
      <c r="AC98" s="42" t="n">
        <f aca="false">AW98</f>
        <v>41.76159985</v>
      </c>
      <c r="AD98" s="42"/>
      <c r="AE98" s="42"/>
      <c r="AF98" s="12"/>
      <c r="AI98" s="56" t="n">
        <v>22.5</v>
      </c>
      <c r="AJ98" s="56" t="n">
        <v>24</v>
      </c>
      <c r="AK98" s="57" t="n">
        <f aca="false">AJ98-AI98</f>
        <v>1.5</v>
      </c>
      <c r="AL98" s="57" t="n">
        <f aca="false">(AI98+AJ98)/2</f>
        <v>23.25</v>
      </c>
      <c r="AM98" s="56" t="s">
        <v>199</v>
      </c>
      <c r="AN98" s="56" t="n">
        <v>50</v>
      </c>
      <c r="AO98" s="58" t="n">
        <f aca="false">IF(AL98&gt;$AA$20,$AA$22,$AA$21)</f>
        <v>18.2</v>
      </c>
      <c r="AP98" s="57" t="n">
        <f aca="false">AP97+AO98*AK98</f>
        <v>437.55</v>
      </c>
      <c r="AQ98" s="57" t="n">
        <f aca="false">AP98-AO98*AK98/2-10*MAX(AL98-$AA$20,0)</f>
        <v>261.4</v>
      </c>
      <c r="AR98" s="56"/>
      <c r="AS98" s="56"/>
      <c r="AT98" s="57" t="str">
        <f aca="false">IF(AR98="","",AR98-AS98)</f>
        <v/>
      </c>
      <c r="AU98" s="56" t="n">
        <v>0.65</v>
      </c>
      <c r="AV98" s="57" t="n">
        <f aca="false">IF(AM98="Sand",0,Input!$AA$34*AN98)</f>
        <v>0</v>
      </c>
      <c r="AW98" s="57" t="n">
        <f aca="false">IF(AM98="Sand",27.1+0.3*MIN(Input!$AA$35*AN98,60)-0.00054*MIN(Input!$AA$35*AN98,60)^2,MIN(MAX(DEGREES(ASIN(0.8-0.094*LN(MAX(IF(AT98="",10,AT98),5)))),20),30))</f>
        <v>41.76159985</v>
      </c>
      <c r="AX98" s="57" t="n">
        <f aca="false">IF(AM98="Sand",Input!$AA$36*Input!$AA$35*AN98,Input!$AA$37*AV98)</f>
        <v>54150</v>
      </c>
      <c r="AY98" s="59" t="n">
        <f aca="false">IF(AM98="Sand",Input!$AA$38,0.5)</f>
        <v>0.3</v>
      </c>
      <c r="AZ98" s="57" t="n">
        <f aca="false">Input!$AA$15/2/AL98</f>
        <v>1.59139784946237</v>
      </c>
      <c r="BA98" s="57" t="n">
        <f aca="false">Input!$AA$16/2/AL98</f>
        <v>4.34408602150538</v>
      </c>
      <c r="BB98" s="57" t="n">
        <f aca="false">1/(4*PI())*(2*AZ98*BA98*SQRT(AZ98^2+BA98^2+1)/(AZ98^2+BA98^2+1+AZ98^2*BA98^2)*(AZ98^2+BA98^2+2)/(AZ98^2+BA98^2+1)+ATAN2(AZ98^2+BA98^2+1-AZ98^2*BA98^2,2*AZ98*BA98*SQRT(AZ98^2+BA98^2+1)))</f>
        <v>0.231950929767946</v>
      </c>
      <c r="BC98" s="57" t="n">
        <f aca="false">4*Input!$AA$14*BB98</f>
        <v>126.181305793762</v>
      </c>
      <c r="BD98" s="57" t="n">
        <f aca="false">((Input!$AA$16/Input!$AA$15)*LN((1+SQRT((Input!$AA$16/Input!$AA$15)^2+1))*SQRT((Input!$AA$16/Input!$AA$15)^2+(AJ98/(Input!$AA$15/2))^2)/((Input!$AA$16/Input!$AA$15)*(1+SQRT((Input!$AA$16/Input!$AA$15)^2+(AJ98/(Input!$AA$15/2))^2+1))))+LN(((Input!$AA$16/Input!$AA$15)+SQRT((Input!$AA$16/Input!$AA$15)^2+1))*SQRT(1+(AJ98/(Input!$AA$15/2))^2)/((Input!$AA$16/Input!$AA$15)+SQRT((Input!$AA$16/Input!$AA$15)^2+(AJ98/(Input!$AA$15/2))^2+1))))/PI()</f>
        <v>0.0599907785392672</v>
      </c>
      <c r="BE98" s="57" t="n">
        <f aca="false">(AJ98/(Input!$AA$15/2))/(2*PI())*ATAN((Input!$AA$16/Input!$AA$15)/((AJ98/(Input!$AA$15/2))*SQRT((Input!$AA$16/Input!$AA$15)^2+(AJ98/(Input!$AA$15/2))^2+1)))</f>
        <v>0.0985756744132035</v>
      </c>
      <c r="BF98" s="57" t="n">
        <f aca="false">MAX(0,AJ98-MAX(AI98,$AA$23))/AK98*IF(BC98&gt;=Input!$AA$21*AQ98,1,0)</f>
        <v>1</v>
      </c>
      <c r="BG98" s="57" t="n">
        <f aca="false">4*Input!$AA$14*(Input!$AA$15/2)*(1-AY98^2)/AX98*((BD98-BD97)+(1-2*AY98)/(1-AY98)*(BE98-BE97))*1000*BF98</f>
        <v>2.72831492085838</v>
      </c>
      <c r="BH98" s="57" t="n">
        <f aca="false">IF(AM98="Sand",0,0.009*(AR98-10))</f>
        <v>0</v>
      </c>
      <c r="BI98" s="57" t="n">
        <f aca="false">BH98*Input!$AA$39</f>
        <v>0</v>
      </c>
      <c r="BJ98" s="57" t="n">
        <f aca="false">IF(AM98="Sand",0,MAX(AV98/Input!$AA$40,AQ98))</f>
        <v>0</v>
      </c>
      <c r="BK98" s="57" t="n">
        <f aca="false">IF(AM98="Sand",0,1000*AK98/(1+AU98)*IF(AQ98+BC98&lt;=BJ98,BI98*LOG10((AQ98+BC98)/AQ98),BI98*LOG10(BJ98/AQ98)+BH98*LOG10((AQ98+BC98)/BJ98)))*BF98</f>
        <v>0</v>
      </c>
      <c r="BL98" s="57" t="n">
        <f aca="false">IF(AM98="Sand",0,10^(INDEX(Input!$Q$51:$Q$57,MIN(MATCH(MIN(MAX(AR98,30),120),Input!$C$51:$C$57,1),6))+(MIN(MAX(AR98,30),120)-INDEX(Input!$C$51:$C$57,MIN(MATCH(MIN(MAX(AR98,30),120),Input!$C$51:$C$57,1),6)))/(INDEX(Input!$C$51:$C$57,MIN(MATCH(MIN(MAX(AR98,30),120),Input!$C$51:$C$57,1),6)+1)-INDEX(Input!$C$51:$C$57,MIN(MATCH(MIN(MAX(AR98,30),120),Input!$C$51:$C$57,1),6)))*(INDEX(Input!$Q$51:$Q$57,MIN(MATCH(MIN(MAX(AR98,30),120),Input!$C$51:$C$57,1),6)+1)-INDEX(Input!$Q$51:$Q$57,MIN(MATCH(MIN(MAX(AR98,30),120),Input!$C$51:$C$57,1),6)))))</f>
        <v>0</v>
      </c>
      <c r="BM98" s="57" t="n">
        <f aca="false">IF(OR(AM98="Sand",BF98=0),0,Input!$AA$41*(AK98/2)^2/(BL98*0.0001*31536000))</f>
        <v>0</v>
      </c>
      <c r="BN98" s="57" t="n">
        <f aca="false">MAX(0,MIN(AJ98,Input!$AA$20)-AI98)</f>
        <v>0</v>
      </c>
      <c r="BO98" s="57" t="n">
        <f aca="false">MAX(0,MIN(AJ98,Input!$AA$20)-MAX(AI98,$AA$23))</f>
        <v>0</v>
      </c>
      <c r="BP98" s="57" t="n">
        <f aca="false">BG98+BK98</f>
        <v>2.72831492085838</v>
      </c>
      <c r="BQ98" s="57"/>
    </row>
    <row r="99" customFormat="false" ht="14.25" hidden="false" customHeight="false" outlineLevel="0" collapsed="false">
      <c r="B99" s="7"/>
      <c r="C99" s="46" t="n">
        <v>17</v>
      </c>
      <c r="D99" s="46"/>
      <c r="E99" s="44" t="n">
        <f aca="false">AI99</f>
        <v>24</v>
      </c>
      <c r="F99" s="44"/>
      <c r="G99" s="44"/>
      <c r="H99" s="44" t="n">
        <f aca="false">AJ99</f>
        <v>25.5</v>
      </c>
      <c r="I99" s="44"/>
      <c r="J99" s="44"/>
      <c r="K99" s="41" t="str">
        <f aca="false">AM99</f>
        <v>Sand</v>
      </c>
      <c r="L99" s="41"/>
      <c r="M99" s="41"/>
      <c r="N99" s="46" t="n">
        <f aca="false">AN99</f>
        <v>40</v>
      </c>
      <c r="O99" s="46"/>
      <c r="P99" s="46"/>
      <c r="Q99" s="42" t="n">
        <f aca="false">AO99</f>
        <v>18.2</v>
      </c>
      <c r="R99" s="42"/>
      <c r="S99" s="42"/>
      <c r="T99" s="46" t="str">
        <f aca="false">IF(AR99="","-",AR99)</f>
        <v>-</v>
      </c>
      <c r="U99" s="46"/>
      <c r="V99" s="46" t="str">
        <f aca="false">IF(AT99="","-",AT99)</f>
        <v>-</v>
      </c>
      <c r="W99" s="46"/>
      <c r="X99" s="44" t="n">
        <f aca="false">AU99</f>
        <v>0.65</v>
      </c>
      <c r="Y99" s="44"/>
      <c r="Z99" s="55" t="n">
        <f aca="false">AV99</f>
        <v>0</v>
      </c>
      <c r="AA99" s="55"/>
      <c r="AB99" s="55"/>
      <c r="AC99" s="42" t="n">
        <f aca="false">AW99</f>
        <v>39.082623904</v>
      </c>
      <c r="AD99" s="42"/>
      <c r="AE99" s="42"/>
      <c r="AF99" s="12"/>
      <c r="AI99" s="56" t="n">
        <v>24</v>
      </c>
      <c r="AJ99" s="56" t="n">
        <v>25.5</v>
      </c>
      <c r="AK99" s="57" t="n">
        <f aca="false">AJ99-AI99</f>
        <v>1.5</v>
      </c>
      <c r="AL99" s="57" t="n">
        <f aca="false">(AI99+AJ99)/2</f>
        <v>24.75</v>
      </c>
      <c r="AM99" s="56" t="s">
        <v>199</v>
      </c>
      <c r="AN99" s="56" t="n">
        <v>40</v>
      </c>
      <c r="AO99" s="58" t="n">
        <f aca="false">IF(AL99&gt;$AA$20,$AA$22,$AA$21)</f>
        <v>18.2</v>
      </c>
      <c r="AP99" s="57" t="n">
        <f aca="false">AP98+AO99*AK99</f>
        <v>464.85</v>
      </c>
      <c r="AQ99" s="57" t="n">
        <f aca="false">AP99-AO99*AK99/2-10*MAX(AL99-$AA$20,0)</f>
        <v>273.7</v>
      </c>
      <c r="AR99" s="56"/>
      <c r="AS99" s="56"/>
      <c r="AT99" s="57" t="str">
        <f aca="false">IF(AR99="","",AR99-AS99)</f>
        <v/>
      </c>
      <c r="AU99" s="56" t="n">
        <v>0.65</v>
      </c>
      <c r="AV99" s="57" t="n">
        <f aca="false">IF(AM99="Sand",0,Input!$AA$34*AN99)</f>
        <v>0</v>
      </c>
      <c r="AW99" s="57" t="n">
        <f aca="false">IF(AM99="Sand",27.1+0.3*MIN(Input!$AA$35*AN99,60)-0.00054*MIN(Input!$AA$35*AN99,60)^2,MIN(MAX(DEGREES(ASIN(0.8-0.094*LN(MAX(IF(AT99="",10,AT99),5)))),20),30))</f>
        <v>39.082623904</v>
      </c>
      <c r="AX99" s="57" t="n">
        <f aca="false">IF(AM99="Sand",Input!$AA$36*Input!$AA$35*AN99,Input!$AA$37*AV99)</f>
        <v>43320</v>
      </c>
      <c r="AY99" s="59" t="n">
        <f aca="false">IF(AM99="Sand",Input!$AA$38,0.5)</f>
        <v>0.3</v>
      </c>
      <c r="AZ99" s="57" t="n">
        <f aca="false">Input!$AA$15/2/AL99</f>
        <v>1.4949494949495</v>
      </c>
      <c r="BA99" s="57" t="n">
        <f aca="false">Input!$AA$16/2/AL99</f>
        <v>4.08080808080808</v>
      </c>
      <c r="BB99" s="57" t="n">
        <f aca="false">1/(4*PI())*(2*AZ99*BA99*SQRT(AZ99^2+BA99^2+1)/(AZ99^2+BA99^2+1+AZ99^2*BA99^2)*(AZ99^2+BA99^2+2)/(AZ99^2+BA99^2+1)+ATAN2(AZ99^2+BA99^2+1-AZ99^2*BA99^2,2*AZ99*BA99*SQRT(AZ99^2+BA99^2+1)))</f>
        <v>0.229173348674597</v>
      </c>
      <c r="BC99" s="57" t="n">
        <f aca="false">4*Input!$AA$14*BB99</f>
        <v>124.670301678981</v>
      </c>
      <c r="BD99" s="57" t="n">
        <f aca="false">((Input!$AA$16/Input!$AA$15)*LN((1+SQRT((Input!$AA$16/Input!$AA$15)^2+1))*SQRT((Input!$AA$16/Input!$AA$15)^2+(AJ99/(Input!$AA$15/2))^2)/((Input!$AA$16/Input!$AA$15)*(1+SQRT((Input!$AA$16/Input!$AA$15)^2+(AJ99/(Input!$AA$15/2))^2+1))))+LN(((Input!$AA$16/Input!$AA$15)+SQRT((Input!$AA$16/Input!$AA$15)^2+1))*SQRT(1+(AJ99/(Input!$AA$15/2))^2)/((Input!$AA$16/Input!$AA$15)+SQRT((Input!$AA$16/Input!$AA$15)^2+(AJ99/(Input!$AA$15/2))^2+1))))/PI()</f>
        <v>0.0664468184683822</v>
      </c>
      <c r="BE99" s="57" t="n">
        <f aca="false">(AJ99/(Input!$AA$15/2))/(2*PI())*ATAN((Input!$AA$16/Input!$AA$15)/((AJ99/(Input!$AA$15/2))*SQRT((Input!$AA$16/Input!$AA$15)^2+(AJ99/(Input!$AA$15/2))^2+1)))</f>
        <v>0.101410214319719</v>
      </c>
      <c r="BF99" s="57" t="n">
        <f aca="false">MAX(0,AJ99-MAX(AI99,$AA$23))/AK99*IF(BC99&gt;=Input!$AA$21*AQ99,1,0)</f>
        <v>1</v>
      </c>
      <c r="BG99" s="57" t="n">
        <f aca="false">4*Input!$AA$14*(Input!$AA$15/2)*(1-AY99^2)/AX99*((BD99-BD98)+(1-2*AY99)/(1-AY99)*(BE99-BE98))*1000*BF99</f>
        <v>3.41458467785713</v>
      </c>
      <c r="BH99" s="57" t="n">
        <f aca="false">IF(AM99="Sand",0,0.009*(AR99-10))</f>
        <v>0</v>
      </c>
      <c r="BI99" s="57" t="n">
        <f aca="false">BH99*Input!$AA$39</f>
        <v>0</v>
      </c>
      <c r="BJ99" s="57" t="n">
        <f aca="false">IF(AM99="Sand",0,MAX(AV99/Input!$AA$40,AQ99))</f>
        <v>0</v>
      </c>
      <c r="BK99" s="57" t="n">
        <f aca="false">IF(AM99="Sand",0,1000*AK99/(1+AU99)*IF(AQ99+BC99&lt;=BJ99,BI99*LOG10((AQ99+BC99)/AQ99),BI99*LOG10(BJ99/AQ99)+BH99*LOG10((AQ99+BC99)/BJ99)))*BF99</f>
        <v>0</v>
      </c>
      <c r="BL99" s="57" t="n">
        <f aca="false">IF(AM99="Sand",0,10^(INDEX(Input!$Q$51:$Q$57,MIN(MATCH(MIN(MAX(AR99,30),120),Input!$C$51:$C$57,1),6))+(MIN(MAX(AR99,30),120)-INDEX(Input!$C$51:$C$57,MIN(MATCH(MIN(MAX(AR99,30),120),Input!$C$51:$C$57,1),6)))/(INDEX(Input!$C$51:$C$57,MIN(MATCH(MIN(MAX(AR99,30),120),Input!$C$51:$C$57,1),6)+1)-INDEX(Input!$C$51:$C$57,MIN(MATCH(MIN(MAX(AR99,30),120),Input!$C$51:$C$57,1),6)))*(INDEX(Input!$Q$51:$Q$57,MIN(MATCH(MIN(MAX(AR99,30),120),Input!$C$51:$C$57,1),6)+1)-INDEX(Input!$Q$51:$Q$57,MIN(MATCH(MIN(MAX(AR99,30),120),Input!$C$51:$C$57,1),6)))))</f>
        <v>0</v>
      </c>
      <c r="BM99" s="57" t="n">
        <f aca="false">IF(OR(AM99="Sand",BF99=0),0,Input!$AA$41*(AK99/2)^2/(BL99*0.0001*31536000))</f>
        <v>0</v>
      </c>
      <c r="BN99" s="57" t="n">
        <f aca="false">MAX(0,MIN(AJ99,Input!$AA$20)-AI99)</f>
        <v>0</v>
      </c>
      <c r="BO99" s="57" t="n">
        <f aca="false">MAX(0,MIN(AJ99,Input!$AA$20)-MAX(AI99,$AA$23))</f>
        <v>0</v>
      </c>
      <c r="BP99" s="57" t="n">
        <f aca="false">BG99+BK99</f>
        <v>3.41458467785713</v>
      </c>
      <c r="BQ99" s="57"/>
    </row>
    <row r="100" customFormat="false" ht="14.25" hidden="false" customHeight="false" outlineLevel="0" collapsed="false">
      <c r="B100" s="7"/>
      <c r="C100" s="46" t="n">
        <v>18</v>
      </c>
      <c r="D100" s="46"/>
      <c r="E100" s="44" t="n">
        <f aca="false">AI100</f>
        <v>25.5</v>
      </c>
      <c r="F100" s="44"/>
      <c r="G100" s="44"/>
      <c r="H100" s="44" t="n">
        <f aca="false">AJ100</f>
        <v>27</v>
      </c>
      <c r="I100" s="44"/>
      <c r="J100" s="44"/>
      <c r="K100" s="41" t="str">
        <f aca="false">AM100</f>
        <v>Sand</v>
      </c>
      <c r="L100" s="41"/>
      <c r="M100" s="41"/>
      <c r="N100" s="46" t="n">
        <f aca="false">AN100</f>
        <v>21</v>
      </c>
      <c r="O100" s="46"/>
      <c r="P100" s="46"/>
      <c r="Q100" s="42" t="n">
        <f aca="false">AO100</f>
        <v>18.2</v>
      </c>
      <c r="R100" s="42"/>
      <c r="S100" s="42"/>
      <c r="T100" s="46" t="str">
        <f aca="false">IF(AR100="","-",AR100)</f>
        <v>-</v>
      </c>
      <c r="U100" s="46"/>
      <c r="V100" s="46" t="str">
        <f aca="false">IF(AT100="","-",AT100)</f>
        <v>-</v>
      </c>
      <c r="W100" s="46"/>
      <c r="X100" s="44" t="n">
        <f aca="false">AU100</f>
        <v>0.73</v>
      </c>
      <c r="Y100" s="44"/>
      <c r="Z100" s="55" t="n">
        <f aca="false">AV100</f>
        <v>0</v>
      </c>
      <c r="AA100" s="55"/>
      <c r="AB100" s="55"/>
      <c r="AC100" s="42" t="n">
        <f aca="false">AW100</f>
        <v>33.64358821354</v>
      </c>
      <c r="AD100" s="42"/>
      <c r="AE100" s="42"/>
      <c r="AF100" s="12"/>
      <c r="AI100" s="56" t="n">
        <v>25.5</v>
      </c>
      <c r="AJ100" s="56" t="n">
        <v>27</v>
      </c>
      <c r="AK100" s="57" t="n">
        <f aca="false">AJ100-AI100</f>
        <v>1.5</v>
      </c>
      <c r="AL100" s="57" t="n">
        <f aca="false">(AI100+AJ100)/2</f>
        <v>26.25</v>
      </c>
      <c r="AM100" s="56" t="s">
        <v>199</v>
      </c>
      <c r="AN100" s="56" t="n">
        <v>21</v>
      </c>
      <c r="AO100" s="58" t="n">
        <f aca="false">IF(AL100&gt;$AA$20,$AA$22,$AA$21)</f>
        <v>18.2</v>
      </c>
      <c r="AP100" s="57" t="n">
        <f aca="false">AP99+AO100*AK100</f>
        <v>492.15</v>
      </c>
      <c r="AQ100" s="57" t="n">
        <f aca="false">AP100-AO100*AK100/2-10*MAX(AL100-$AA$20,0)</f>
        <v>286</v>
      </c>
      <c r="AR100" s="56"/>
      <c r="AS100" s="56"/>
      <c r="AT100" s="57" t="str">
        <f aca="false">IF(AR100="","",AR100-AS100)</f>
        <v/>
      </c>
      <c r="AU100" s="56" t="n">
        <v>0.73</v>
      </c>
      <c r="AV100" s="57" t="n">
        <f aca="false">IF(AM100="Sand",0,Input!$AA$34*AN100)</f>
        <v>0</v>
      </c>
      <c r="AW100" s="57" t="n">
        <f aca="false">IF(AM100="Sand",27.1+0.3*MIN(Input!$AA$35*AN100,60)-0.00054*MIN(Input!$AA$35*AN100,60)^2,MIN(MAX(DEGREES(ASIN(0.8-0.094*LN(MAX(IF(AT100="",10,AT100),5)))),20),30))</f>
        <v>33.64358821354</v>
      </c>
      <c r="AX100" s="57" t="n">
        <f aca="false">IF(AM100="Sand",Input!$AA$36*Input!$AA$35*AN100,Input!$AA$37*AV100)</f>
        <v>22743</v>
      </c>
      <c r="AY100" s="59" t="n">
        <f aca="false">IF(AM100="Sand",Input!$AA$38,0.5)</f>
        <v>0.3</v>
      </c>
      <c r="AZ100" s="57" t="n">
        <f aca="false">Input!$AA$15/2/AL100</f>
        <v>1.40952380952381</v>
      </c>
      <c r="BA100" s="57" t="n">
        <f aca="false">Input!$AA$16/2/AL100</f>
        <v>3.84761904761905</v>
      </c>
      <c r="BB100" s="57" t="n">
        <f aca="false">1/(4*PI())*(2*AZ100*BA100*SQRT(AZ100^2+BA100^2+1)/(AZ100^2+BA100^2+1+AZ100^2*BA100^2)*(AZ100^2+BA100^2+2)/(AZ100^2+BA100^2+1)+ATAN2(AZ100^2+BA100^2+1-AZ100^2*BA100^2,2*AZ100*BA100*SQRT(AZ100^2+BA100^2+1)))</f>
        <v>0.226258660519071</v>
      </c>
      <c r="BC100" s="57" t="n">
        <f aca="false">4*Input!$AA$14*BB100</f>
        <v>123.084711322374</v>
      </c>
      <c r="BD100" s="57" t="n">
        <f aca="false">((Input!$AA$16/Input!$AA$15)*LN((1+SQRT((Input!$AA$16/Input!$AA$15)^2+1))*SQRT((Input!$AA$16/Input!$AA$15)^2+(AJ100/(Input!$AA$15/2))^2)/((Input!$AA$16/Input!$AA$15)*(1+SQRT((Input!$AA$16/Input!$AA$15)^2+(AJ100/(Input!$AA$15/2))^2+1))))+LN(((Input!$AA$16/Input!$AA$15)+SQRT((Input!$AA$16/Input!$AA$15)^2+1))*SQRT(1+(AJ100/(Input!$AA$15/2))^2)/((Input!$AA$16/Input!$AA$15)+SQRT((Input!$AA$16/Input!$AA$15)^2+(AJ100/(Input!$AA$15/2))^2+1))))/PI()</f>
        <v>0.0730509745149719</v>
      </c>
      <c r="BE100" s="57" t="n">
        <f aca="false">(AJ100/(Input!$AA$15/2))/(2*PI())*ATAN((Input!$AA$16/Input!$AA$15)/((AJ100/(Input!$AA$15/2))*SQRT((Input!$AA$16/Input!$AA$15)^2+(AJ100/(Input!$AA$15/2))^2+1)))</f>
        <v>0.103978506876715</v>
      </c>
      <c r="BF100" s="57" t="n">
        <f aca="false">MAX(0,AJ100-MAX(AI100,$AA$23))/AK100*IF(BC100&gt;=Input!$AA$21*AQ100,1,0)</f>
        <v>1</v>
      </c>
      <c r="BG100" s="57" t="n">
        <f aca="false">4*Input!$AA$14*(Input!$AA$15/2)*(1-AY100^2)/AX100*((BD100-BD99)+(1-2*AY100)/(1-AY100)*(BE100-BE99))*1000*BF100</f>
        <v>6.50072902825465</v>
      </c>
      <c r="BH100" s="57" t="n">
        <f aca="false">IF(AM100="Sand",0,0.009*(AR100-10))</f>
        <v>0</v>
      </c>
      <c r="BI100" s="57" t="n">
        <f aca="false">BH100*Input!$AA$39</f>
        <v>0</v>
      </c>
      <c r="BJ100" s="57" t="n">
        <f aca="false">IF(AM100="Sand",0,MAX(AV100/Input!$AA$40,AQ100))</f>
        <v>0</v>
      </c>
      <c r="BK100" s="57" t="n">
        <f aca="false">IF(AM100="Sand",0,1000*AK100/(1+AU100)*IF(AQ100+BC100&lt;=BJ100,BI100*LOG10((AQ100+BC100)/AQ100),BI100*LOG10(BJ100/AQ100)+BH100*LOG10((AQ100+BC100)/BJ100)))*BF100</f>
        <v>0</v>
      </c>
      <c r="BL100" s="57" t="n">
        <f aca="false">IF(AM100="Sand",0,10^(INDEX(Input!$Q$51:$Q$57,MIN(MATCH(MIN(MAX(AR100,30),120),Input!$C$51:$C$57,1),6))+(MIN(MAX(AR100,30),120)-INDEX(Input!$C$51:$C$57,MIN(MATCH(MIN(MAX(AR100,30),120),Input!$C$51:$C$57,1),6)))/(INDEX(Input!$C$51:$C$57,MIN(MATCH(MIN(MAX(AR100,30),120),Input!$C$51:$C$57,1),6)+1)-INDEX(Input!$C$51:$C$57,MIN(MATCH(MIN(MAX(AR100,30),120),Input!$C$51:$C$57,1),6)))*(INDEX(Input!$Q$51:$Q$57,MIN(MATCH(MIN(MAX(AR100,30),120),Input!$C$51:$C$57,1),6)+1)-INDEX(Input!$Q$51:$Q$57,MIN(MATCH(MIN(MAX(AR100,30),120),Input!$C$51:$C$57,1),6)))))</f>
        <v>0</v>
      </c>
      <c r="BM100" s="57" t="n">
        <f aca="false">IF(OR(AM100="Sand",BF100=0),0,Input!$AA$41*(AK100/2)^2/(BL100*0.0001*31536000))</f>
        <v>0</v>
      </c>
      <c r="BN100" s="57" t="n">
        <f aca="false">MAX(0,MIN(AJ100,Input!$AA$20)-AI100)</f>
        <v>0</v>
      </c>
      <c r="BO100" s="57" t="n">
        <f aca="false">MAX(0,MIN(AJ100,Input!$AA$20)-MAX(AI100,$AA$23))</f>
        <v>0</v>
      </c>
      <c r="BP100" s="57" t="n">
        <f aca="false">BG100+BK100</f>
        <v>6.50072902825465</v>
      </c>
      <c r="BQ100" s="57" t="s">
        <v>335</v>
      </c>
    </row>
    <row r="101" customFormat="false" ht="14.25" hidden="false" customHeight="false" outlineLevel="0" collapsed="false">
      <c r="B101" s="7"/>
      <c r="C101" s="46" t="n">
        <v>19</v>
      </c>
      <c r="D101" s="46"/>
      <c r="E101" s="44" t="n">
        <f aca="false">AI101</f>
        <v>27</v>
      </c>
      <c r="F101" s="44"/>
      <c r="G101" s="44"/>
      <c r="H101" s="44" t="n">
        <f aca="false">AJ101</f>
        <v>28.5</v>
      </c>
      <c r="I101" s="44"/>
      <c r="J101" s="44"/>
      <c r="K101" s="41" t="str">
        <f aca="false">AM101</f>
        <v>Sand</v>
      </c>
      <c r="L101" s="41"/>
      <c r="M101" s="41"/>
      <c r="N101" s="46" t="n">
        <f aca="false">AN101</f>
        <v>31</v>
      </c>
      <c r="O101" s="46"/>
      <c r="P101" s="46"/>
      <c r="Q101" s="42" t="n">
        <f aca="false">AO101</f>
        <v>18.2</v>
      </c>
      <c r="R101" s="42"/>
      <c r="S101" s="42"/>
      <c r="T101" s="46" t="str">
        <f aca="false">IF(AR101="","-",AR101)</f>
        <v>-</v>
      </c>
      <c r="U101" s="46"/>
      <c r="V101" s="46" t="str">
        <f aca="false">IF(AT101="","-",AT101)</f>
        <v>-</v>
      </c>
      <c r="W101" s="46"/>
      <c r="X101" s="44" t="n">
        <f aca="false">AU101</f>
        <v>0.65</v>
      </c>
      <c r="Y101" s="44"/>
      <c r="Z101" s="55" t="n">
        <f aca="false">AV101</f>
        <v>0</v>
      </c>
      <c r="AA101" s="55"/>
      <c r="AB101" s="55"/>
      <c r="AC101" s="42" t="n">
        <f aca="false">AW101</f>
        <v>36.56324098234</v>
      </c>
      <c r="AD101" s="42"/>
      <c r="AE101" s="42"/>
      <c r="AF101" s="12"/>
      <c r="AI101" s="56" t="n">
        <v>27</v>
      </c>
      <c r="AJ101" s="56" t="n">
        <v>28.5</v>
      </c>
      <c r="AK101" s="57" t="n">
        <f aca="false">AJ101-AI101</f>
        <v>1.5</v>
      </c>
      <c r="AL101" s="57" t="n">
        <f aca="false">(AI101+AJ101)/2</f>
        <v>27.75</v>
      </c>
      <c r="AM101" s="56" t="s">
        <v>199</v>
      </c>
      <c r="AN101" s="56" t="n">
        <v>31</v>
      </c>
      <c r="AO101" s="58" t="n">
        <f aca="false">IF(AL101&gt;$AA$20,$AA$22,$AA$21)</f>
        <v>18.2</v>
      </c>
      <c r="AP101" s="57" t="n">
        <f aca="false">AP100+AO101*AK101</f>
        <v>519.45</v>
      </c>
      <c r="AQ101" s="57" t="n">
        <f aca="false">AP101-AO101*AK101/2-10*MAX(AL101-$AA$20,0)</f>
        <v>298.3</v>
      </c>
      <c r="AR101" s="56"/>
      <c r="AS101" s="56"/>
      <c r="AT101" s="57" t="str">
        <f aca="false">IF(AR101="","",AR101-AS101)</f>
        <v/>
      </c>
      <c r="AU101" s="56" t="n">
        <v>0.65</v>
      </c>
      <c r="AV101" s="57" t="n">
        <f aca="false">IF(AM101="Sand",0,Input!$AA$34*AN101)</f>
        <v>0</v>
      </c>
      <c r="AW101" s="57" t="n">
        <f aca="false">IF(AM101="Sand",27.1+0.3*MIN(Input!$AA$35*AN101,60)-0.00054*MIN(Input!$AA$35*AN101,60)^2,MIN(MAX(DEGREES(ASIN(0.8-0.094*LN(MAX(IF(AT101="",10,AT101),5)))),20),30))</f>
        <v>36.56324098234</v>
      </c>
      <c r="AX101" s="57" t="n">
        <f aca="false">IF(AM101="Sand",Input!$AA$36*Input!$AA$35*AN101,Input!$AA$37*AV101)</f>
        <v>33573</v>
      </c>
      <c r="AY101" s="59" t="n">
        <f aca="false">IF(AM101="Sand",Input!$AA$38,0.5)</f>
        <v>0.3</v>
      </c>
      <c r="AZ101" s="57" t="n">
        <f aca="false">Input!$AA$15/2/AL101</f>
        <v>1.33333333333333</v>
      </c>
      <c r="BA101" s="57" t="n">
        <f aca="false">Input!$AA$16/2/AL101</f>
        <v>3.63963963963964</v>
      </c>
      <c r="BB101" s="57" t="n">
        <f aca="false">1/(4*PI())*(2*AZ101*BA101*SQRT(AZ101^2+BA101^2+1)/(AZ101^2+BA101^2+1+AZ101^2*BA101^2)*(AZ101^2+BA101^2+2)/(AZ101^2+BA101^2+1)+ATAN2(AZ101^2+BA101^2+1-AZ101^2*BA101^2,2*AZ101*BA101*SQRT(AZ101^2+BA101^2+1)))</f>
        <v>0.223225661745017</v>
      </c>
      <c r="BC101" s="57" t="n">
        <f aca="false">4*Input!$AA$14*BB101</f>
        <v>121.434759989289</v>
      </c>
      <c r="BD101" s="57" t="n">
        <f aca="false">((Input!$AA$16/Input!$AA$15)*LN((1+SQRT((Input!$AA$16/Input!$AA$15)^2+1))*SQRT((Input!$AA$16/Input!$AA$15)^2+(AJ101/(Input!$AA$15/2))^2)/((Input!$AA$16/Input!$AA$15)*(1+SQRT((Input!$AA$16/Input!$AA$15)^2+(AJ101/(Input!$AA$15/2))^2+1))))+LN(((Input!$AA$16/Input!$AA$15)+SQRT((Input!$AA$16/Input!$AA$15)^2+1))*SQRT(1+(AJ101/(Input!$AA$15/2))^2)/((Input!$AA$16/Input!$AA$15)+SQRT((Input!$AA$16/Input!$AA$15)^2+(AJ101/(Input!$AA$15/2))^2+1))))/PI()</f>
        <v>0.0797798670040491</v>
      </c>
      <c r="BE101" s="57" t="n">
        <f aca="false">(AJ101/(Input!$AA$15/2))/(2*PI())*ATAN((Input!$AA$16/Input!$AA$15)/((AJ101/(Input!$AA$15/2))*SQRT((Input!$AA$16/Input!$AA$15)^2+(AJ101/(Input!$AA$15/2))^2+1)))</f>
        <v>0.106299134641581</v>
      </c>
      <c r="BF101" s="57" t="n">
        <f aca="false">MAX(0,AJ101-MAX(AI101,$AA$23))/AK101*IF(BC101&gt;=Input!$AA$21*AQ101,1,0)</f>
        <v>1</v>
      </c>
      <c r="BG101" s="57" t="n">
        <f aca="false">4*Input!$AA$14*(Input!$AA$15/2)*(1-AY101^2)/AX101*((BD101-BD100)+(1-2*AY101)/(1-AY101)*(BE101-BE100))*1000*BF101</f>
        <v>4.39456153566757</v>
      </c>
      <c r="BH101" s="57" t="n">
        <f aca="false">IF(AM101="Sand",0,0.009*(AR101-10))</f>
        <v>0</v>
      </c>
      <c r="BI101" s="57" t="n">
        <f aca="false">BH101*Input!$AA$39</f>
        <v>0</v>
      </c>
      <c r="BJ101" s="57" t="n">
        <f aca="false">IF(AM101="Sand",0,MAX(AV101/Input!$AA$40,AQ101))</f>
        <v>0</v>
      </c>
      <c r="BK101" s="57" t="n">
        <f aca="false">IF(AM101="Sand",0,1000*AK101/(1+AU101)*IF(AQ101+BC101&lt;=BJ101,BI101*LOG10((AQ101+BC101)/AQ101),BI101*LOG10(BJ101/AQ101)+BH101*LOG10((AQ101+BC101)/BJ101)))*BF101</f>
        <v>0</v>
      </c>
      <c r="BL101" s="57" t="n">
        <f aca="false">IF(AM101="Sand",0,10^(INDEX(Input!$Q$51:$Q$57,MIN(MATCH(MIN(MAX(AR101,30),120),Input!$C$51:$C$57,1),6))+(MIN(MAX(AR101,30),120)-INDEX(Input!$C$51:$C$57,MIN(MATCH(MIN(MAX(AR101,30),120),Input!$C$51:$C$57,1),6)))/(INDEX(Input!$C$51:$C$57,MIN(MATCH(MIN(MAX(AR101,30),120),Input!$C$51:$C$57,1),6)+1)-INDEX(Input!$C$51:$C$57,MIN(MATCH(MIN(MAX(AR101,30),120),Input!$C$51:$C$57,1),6)))*(INDEX(Input!$Q$51:$Q$57,MIN(MATCH(MIN(MAX(AR101,30),120),Input!$C$51:$C$57,1),6)+1)-INDEX(Input!$Q$51:$Q$57,MIN(MATCH(MIN(MAX(AR101,30),120),Input!$C$51:$C$57,1),6)))))</f>
        <v>0</v>
      </c>
      <c r="BM101" s="57" t="n">
        <f aca="false">IF(OR(AM101="Sand",BF101=0),0,Input!$AA$41*(AK101/2)^2/(BL101*0.0001*31536000))</f>
        <v>0</v>
      </c>
      <c r="BN101" s="57" t="n">
        <f aca="false">MAX(0,MIN(AJ101,Input!$AA$20)-AI101)</f>
        <v>0</v>
      </c>
      <c r="BO101" s="57" t="n">
        <f aca="false">MAX(0,MIN(AJ101,Input!$AA$20)-MAX(AI101,$AA$23))</f>
        <v>0</v>
      </c>
      <c r="BP101" s="57" t="n">
        <f aca="false">BG101+BK101</f>
        <v>4.39456153566757</v>
      </c>
      <c r="BQ101" s="57" t="s">
        <v>335</v>
      </c>
    </row>
    <row r="102" customFormat="false" ht="14.25" hidden="false" customHeight="false" outlineLevel="0" collapsed="false">
      <c r="B102" s="7"/>
      <c r="C102" s="46" t="n">
        <v>20</v>
      </c>
      <c r="D102" s="46"/>
      <c r="E102" s="44" t="n">
        <f aca="false">AI102</f>
        <v>28.5</v>
      </c>
      <c r="F102" s="44"/>
      <c r="G102" s="44"/>
      <c r="H102" s="44" t="n">
        <f aca="false">AJ102</f>
        <v>30</v>
      </c>
      <c r="I102" s="44"/>
      <c r="J102" s="44"/>
      <c r="K102" s="41" t="str">
        <f aca="false">AM102</f>
        <v>Sand</v>
      </c>
      <c r="L102" s="41"/>
      <c r="M102" s="41"/>
      <c r="N102" s="46" t="n">
        <f aca="false">AN102</f>
        <v>50</v>
      </c>
      <c r="O102" s="46"/>
      <c r="P102" s="46"/>
      <c r="Q102" s="42" t="n">
        <f aca="false">AO102</f>
        <v>18.2</v>
      </c>
      <c r="R102" s="42"/>
      <c r="S102" s="42"/>
      <c r="T102" s="46" t="str">
        <f aca="false">IF(AR102="","-",AR102)</f>
        <v>-</v>
      </c>
      <c r="U102" s="46"/>
      <c r="V102" s="46" t="str">
        <f aca="false">IF(AT102="","-",AT102)</f>
        <v>-</v>
      </c>
      <c r="W102" s="46"/>
      <c r="X102" s="44" t="n">
        <f aca="false">AU102</f>
        <v>0.65</v>
      </c>
      <c r="Y102" s="44"/>
      <c r="Z102" s="55" t="n">
        <f aca="false">AV102</f>
        <v>0</v>
      </c>
      <c r="AA102" s="55"/>
      <c r="AB102" s="55"/>
      <c r="AC102" s="42" t="n">
        <f aca="false">AW102</f>
        <v>41.76159985</v>
      </c>
      <c r="AD102" s="42"/>
      <c r="AE102" s="42"/>
      <c r="AF102" s="12"/>
      <c r="AI102" s="56" t="n">
        <v>28.5</v>
      </c>
      <c r="AJ102" s="56" t="n">
        <v>30</v>
      </c>
      <c r="AK102" s="57" t="n">
        <f aca="false">AJ102-AI102</f>
        <v>1.5</v>
      </c>
      <c r="AL102" s="57" t="n">
        <f aca="false">(AI102+AJ102)/2</f>
        <v>29.25</v>
      </c>
      <c r="AM102" s="56" t="s">
        <v>199</v>
      </c>
      <c r="AN102" s="56" t="n">
        <v>50</v>
      </c>
      <c r="AO102" s="58" t="n">
        <f aca="false">IF(AL102&gt;$AA$20,$AA$22,$AA$21)</f>
        <v>18.2</v>
      </c>
      <c r="AP102" s="57" t="n">
        <f aca="false">AP101+AO102*AK102</f>
        <v>546.75</v>
      </c>
      <c r="AQ102" s="57" t="n">
        <f aca="false">AP102-AO102*AK102/2-10*MAX(AL102-$AA$20,0)</f>
        <v>310.6</v>
      </c>
      <c r="AR102" s="56"/>
      <c r="AS102" s="56"/>
      <c r="AT102" s="57" t="str">
        <f aca="false">IF(AR102="","",AR102-AS102)</f>
        <v/>
      </c>
      <c r="AU102" s="56" t="n">
        <v>0.65</v>
      </c>
      <c r="AV102" s="57" t="n">
        <f aca="false">IF(AM102="Sand",0,Input!$AA$34*AN102)</f>
        <v>0</v>
      </c>
      <c r="AW102" s="57" t="n">
        <f aca="false">IF(AM102="Sand",27.1+0.3*MIN(Input!$AA$35*AN102,60)-0.00054*MIN(Input!$AA$35*AN102,60)^2,MIN(MAX(DEGREES(ASIN(0.8-0.094*LN(MAX(IF(AT102="",10,AT102),5)))),20),30))</f>
        <v>41.76159985</v>
      </c>
      <c r="AX102" s="57" t="n">
        <f aca="false">IF(AM102="Sand",Input!$AA$36*Input!$AA$35*AN102,Input!$AA$37*AV102)</f>
        <v>54150</v>
      </c>
      <c r="AY102" s="59" t="n">
        <f aca="false">IF(AM102="Sand",Input!$AA$38,0.5)</f>
        <v>0.3</v>
      </c>
      <c r="AZ102" s="57" t="n">
        <f aca="false">Input!$AA$15/2/AL102</f>
        <v>1.26495726495727</v>
      </c>
      <c r="BA102" s="57" t="n">
        <f aca="false">Input!$AA$16/2/AL102</f>
        <v>3.45299145299145</v>
      </c>
      <c r="BB102" s="57" t="n">
        <f aca="false">1/(4*PI())*(2*AZ102*BA102*SQRT(AZ102^2+BA102^2+1)/(AZ102^2+BA102^2+1+AZ102^2*BA102^2)*(AZ102^2+BA102^2+2)/(AZ102^2+BA102^2+1)+ATAN2(AZ102^2+BA102^2+1-AZ102^2*BA102^2,2*AZ102*BA102*SQRT(AZ102^2+BA102^2+1)))</f>
        <v>0.220092717009578</v>
      </c>
      <c r="BC102" s="57" t="n">
        <f aca="false">4*Input!$AA$14*BB102</f>
        <v>119.73043805321</v>
      </c>
      <c r="BD102" s="57" t="n">
        <f aca="false">((Input!$AA$16/Input!$AA$15)*LN((1+SQRT((Input!$AA$16/Input!$AA$15)^2+1))*SQRT((Input!$AA$16/Input!$AA$15)^2+(AJ102/(Input!$AA$15/2))^2)/((Input!$AA$16/Input!$AA$15)*(1+SQRT((Input!$AA$16/Input!$AA$15)^2+(AJ102/(Input!$AA$15/2))^2+1))))+LN(((Input!$AA$16/Input!$AA$15)+SQRT((Input!$AA$16/Input!$AA$15)^2+1))*SQRT(1+(AJ102/(Input!$AA$15/2))^2)/((Input!$AA$16/Input!$AA$15)+SQRT((Input!$AA$16/Input!$AA$15)^2+(AJ102/(Input!$AA$15/2))^2+1))))/PI()</f>
        <v>0.0866118704592208</v>
      </c>
      <c r="BE102" s="57" t="n">
        <f aca="false">(AJ102/(Input!$AA$15/2))/(2*PI())*ATAN((Input!$AA$16/Input!$AA$15)/((AJ102/(Input!$AA$15/2))*SQRT((Input!$AA$16/Input!$AA$15)^2+(AJ102/(Input!$AA$15/2))^2+1)))</f>
        <v>0.108389669938441</v>
      </c>
      <c r="BF102" s="57" t="n">
        <f aca="false">MAX(0,AJ102-MAX(AI102,$AA$23))/AK102*IF(BC102&gt;=Input!$AA$21*AQ102,1,0)</f>
        <v>1</v>
      </c>
      <c r="BG102" s="57" t="n">
        <f aca="false">4*Input!$AA$14*(Input!$AA$15/2)*(1-AY102^2)/AX102*((BD102-BD101)+(1-2*AY102)/(1-AY102)*(BE102-BE101))*1000*BF102</f>
        <v>2.71503172231372</v>
      </c>
      <c r="BH102" s="57" t="n">
        <f aca="false">IF(AM102="Sand",0,0.009*(AR102-10))</f>
        <v>0</v>
      </c>
      <c r="BI102" s="57" t="n">
        <f aca="false">BH102*Input!$AA$39</f>
        <v>0</v>
      </c>
      <c r="BJ102" s="57" t="n">
        <f aca="false">IF(AM102="Sand",0,MAX(AV102/Input!$AA$40,AQ102))</f>
        <v>0</v>
      </c>
      <c r="BK102" s="57" t="n">
        <f aca="false">IF(AM102="Sand",0,1000*AK102/(1+AU102)*IF(AQ102+BC102&lt;=BJ102,BI102*LOG10((AQ102+BC102)/AQ102),BI102*LOG10(BJ102/AQ102)+BH102*LOG10((AQ102+BC102)/BJ102)))*BF102</f>
        <v>0</v>
      </c>
      <c r="BL102" s="57" t="n">
        <f aca="false">IF(AM102="Sand",0,10^(INDEX(Input!$Q$51:$Q$57,MIN(MATCH(MIN(MAX(AR102,30),120),Input!$C$51:$C$57,1),6))+(MIN(MAX(AR102,30),120)-INDEX(Input!$C$51:$C$57,MIN(MATCH(MIN(MAX(AR102,30),120),Input!$C$51:$C$57,1),6)))/(INDEX(Input!$C$51:$C$57,MIN(MATCH(MIN(MAX(AR102,30),120),Input!$C$51:$C$57,1),6)+1)-INDEX(Input!$C$51:$C$57,MIN(MATCH(MIN(MAX(AR102,30),120),Input!$C$51:$C$57,1),6)))*(INDEX(Input!$Q$51:$Q$57,MIN(MATCH(MIN(MAX(AR102,30),120),Input!$C$51:$C$57,1),6)+1)-INDEX(Input!$Q$51:$Q$57,MIN(MATCH(MIN(MAX(AR102,30),120),Input!$C$51:$C$57,1),6)))))</f>
        <v>0</v>
      </c>
      <c r="BM102" s="57" t="n">
        <f aca="false">IF(OR(AM102="Sand",BF102=0),0,Input!$AA$41*(AK102/2)^2/(BL102*0.0001*31536000))</f>
        <v>0</v>
      </c>
      <c r="BN102" s="57" t="n">
        <f aca="false">MAX(0,MIN(AJ102,Input!$AA$20)-AI102)</f>
        <v>0</v>
      </c>
      <c r="BO102" s="57" t="n">
        <f aca="false">MAX(0,MIN(AJ102,Input!$AA$20)-MAX(AI102,$AA$23))</f>
        <v>0</v>
      </c>
      <c r="BP102" s="57" t="n">
        <f aca="false">BG102+BK102</f>
        <v>2.71503172231372</v>
      </c>
      <c r="BQ102" s="57" t="s">
        <v>335</v>
      </c>
    </row>
    <row r="103" customFormat="false" ht="14.25" hidden="false" customHeight="false" outlineLevel="0" collapsed="false">
      <c r="B103" s="7"/>
      <c r="C103" s="46" t="n">
        <v>21</v>
      </c>
      <c r="D103" s="46"/>
      <c r="E103" s="44" t="n">
        <f aca="false">AI103</f>
        <v>30</v>
      </c>
      <c r="F103" s="44"/>
      <c r="G103" s="44"/>
      <c r="H103" s="44" t="n">
        <f aca="false">AJ103</f>
        <v>31.5</v>
      </c>
      <c r="I103" s="44"/>
      <c r="J103" s="44"/>
      <c r="K103" s="41" t="str">
        <f aca="false">AM103</f>
        <v>Sand</v>
      </c>
      <c r="L103" s="41"/>
      <c r="M103" s="41"/>
      <c r="N103" s="46" t="n">
        <f aca="false">AN103</f>
        <v>40</v>
      </c>
      <c r="O103" s="46"/>
      <c r="P103" s="46"/>
      <c r="Q103" s="42" t="n">
        <f aca="false">AO103</f>
        <v>18.2</v>
      </c>
      <c r="R103" s="42"/>
      <c r="S103" s="42"/>
      <c r="T103" s="46" t="str">
        <f aca="false">IF(AR103="","-",AR103)</f>
        <v>-</v>
      </c>
      <c r="U103" s="46"/>
      <c r="V103" s="46" t="str">
        <f aca="false">IF(AT103="","-",AT103)</f>
        <v>-</v>
      </c>
      <c r="W103" s="46"/>
      <c r="X103" s="44" t="n">
        <f aca="false">AU103</f>
        <v>0.65</v>
      </c>
      <c r="Y103" s="44"/>
      <c r="Z103" s="55" t="n">
        <f aca="false">AV103</f>
        <v>0</v>
      </c>
      <c r="AA103" s="55"/>
      <c r="AB103" s="55"/>
      <c r="AC103" s="42" t="n">
        <f aca="false">AW103</f>
        <v>39.082623904</v>
      </c>
      <c r="AD103" s="42"/>
      <c r="AE103" s="42"/>
      <c r="AF103" s="12"/>
      <c r="AI103" s="56" t="n">
        <v>30</v>
      </c>
      <c r="AJ103" s="56" t="n">
        <v>31.5</v>
      </c>
      <c r="AK103" s="57" t="n">
        <f aca="false">AJ103-AI103</f>
        <v>1.5</v>
      </c>
      <c r="AL103" s="57" t="n">
        <f aca="false">(AI103+AJ103)/2</f>
        <v>30.75</v>
      </c>
      <c r="AM103" s="56" t="s">
        <v>199</v>
      </c>
      <c r="AN103" s="56" t="n">
        <v>40</v>
      </c>
      <c r="AO103" s="58" t="n">
        <f aca="false">IF(AL103&gt;$AA$20,$AA$22,$AA$21)</f>
        <v>18.2</v>
      </c>
      <c r="AP103" s="57" t="n">
        <f aca="false">AP102+AO103*AK103</f>
        <v>574.05</v>
      </c>
      <c r="AQ103" s="57" t="n">
        <f aca="false">AP103-AO103*AK103/2-10*MAX(AL103-$AA$20,0)</f>
        <v>322.9</v>
      </c>
      <c r="AR103" s="56"/>
      <c r="AS103" s="56"/>
      <c r="AT103" s="57" t="str">
        <f aca="false">IF(AR103="","",AR103-AS103)</f>
        <v/>
      </c>
      <c r="AU103" s="56" t="n">
        <v>0.65</v>
      </c>
      <c r="AV103" s="57" t="n">
        <f aca="false">IF(AM103="Sand",0,Input!$AA$34*AN103)</f>
        <v>0</v>
      </c>
      <c r="AW103" s="57" t="n">
        <f aca="false">IF(AM103="Sand",27.1+0.3*MIN(Input!$AA$35*AN103,60)-0.00054*MIN(Input!$AA$35*AN103,60)^2,MIN(MAX(DEGREES(ASIN(0.8-0.094*LN(MAX(IF(AT103="",10,AT103),5)))),20),30))</f>
        <v>39.082623904</v>
      </c>
      <c r="AX103" s="57" t="n">
        <f aca="false">IF(AM103="Sand",Input!$AA$36*Input!$AA$35*AN103,Input!$AA$37*AV103)</f>
        <v>43320</v>
      </c>
      <c r="AY103" s="59" t="n">
        <f aca="false">IF(AM103="Sand",Input!$AA$38,0.5)</f>
        <v>0.3</v>
      </c>
      <c r="AZ103" s="57" t="n">
        <f aca="false">Input!$AA$15/2/AL103</f>
        <v>1.20325203252033</v>
      </c>
      <c r="BA103" s="57" t="n">
        <f aca="false">Input!$AA$16/2/AL103</f>
        <v>3.28455284552846</v>
      </c>
      <c r="BB103" s="57" t="n">
        <f aca="false">1/(4*PI())*(2*AZ103*BA103*SQRT(AZ103^2+BA103^2+1)/(AZ103^2+BA103^2+1+AZ103^2*BA103^2)*(AZ103^2+BA103^2+2)/(AZ103^2+BA103^2+1)+ATAN2(AZ103^2+BA103^2+1-AZ103^2*BA103^2,2*AZ103*BA103*SQRT(AZ103^2+BA103^2+1)))</f>
        <v>0.216877434211778</v>
      </c>
      <c r="BC103" s="57" t="n">
        <f aca="false">4*Input!$AA$14*BB103</f>
        <v>117.981324211207</v>
      </c>
      <c r="BD103" s="57" t="n">
        <f aca="false">((Input!$AA$16/Input!$AA$15)*LN((1+SQRT((Input!$AA$16/Input!$AA$15)^2+1))*SQRT((Input!$AA$16/Input!$AA$15)^2+(AJ103/(Input!$AA$15/2))^2)/((Input!$AA$16/Input!$AA$15)*(1+SQRT((Input!$AA$16/Input!$AA$15)^2+(AJ103/(Input!$AA$15/2))^2+1))))+LN(((Input!$AA$16/Input!$AA$15)+SQRT((Input!$AA$16/Input!$AA$15)^2+1))*SQRT(1+(AJ103/(Input!$AA$15/2))^2)/((Input!$AA$16/Input!$AA$15)+SQRT((Input!$AA$16/Input!$AA$15)^2+(AJ103/(Input!$AA$15/2))^2+1))))/PI()</f>
        <v>0.0935271002119951</v>
      </c>
      <c r="BE103" s="57" t="n">
        <f aca="false">(AJ103/(Input!$AA$15/2))/(2*PI())*ATAN((Input!$AA$16/Input!$AA$15)/((AJ103/(Input!$AA$15/2))*SQRT((Input!$AA$16/Input!$AA$15)^2+(AJ103/(Input!$AA$15/2))^2+1)))</f>
        <v>0.11026665771977</v>
      </c>
      <c r="BF103" s="57" t="n">
        <f aca="false">MAX(0,AJ103-MAX(AI103,$AA$23))/AK103*IF(BC103&gt;=Input!$AA$21*AQ103,1,0)</f>
        <v>1</v>
      </c>
      <c r="BG103" s="57" t="n">
        <f aca="false">4*Input!$AA$14*(Input!$AA$15/2)*(1-AY103^2)/AX103*((BD103-BD102)+(1-2*AY103)/(1-AY103)*(BE103-BE102))*1000*BF103</f>
        <v>3.37738394955323</v>
      </c>
      <c r="BH103" s="57" t="n">
        <f aca="false">IF(AM103="Sand",0,0.009*(AR103-10))</f>
        <v>0</v>
      </c>
      <c r="BI103" s="57" t="n">
        <f aca="false">BH103*Input!$AA$39</f>
        <v>0</v>
      </c>
      <c r="BJ103" s="57" t="n">
        <f aca="false">IF(AM103="Sand",0,MAX(AV103/Input!$AA$40,AQ103))</f>
        <v>0</v>
      </c>
      <c r="BK103" s="57" t="n">
        <f aca="false">IF(AM103="Sand",0,1000*AK103/(1+AU103)*IF(AQ103+BC103&lt;=BJ103,BI103*LOG10((AQ103+BC103)/AQ103),BI103*LOG10(BJ103/AQ103)+BH103*LOG10((AQ103+BC103)/BJ103)))*BF103</f>
        <v>0</v>
      </c>
      <c r="BL103" s="57" t="n">
        <f aca="false">IF(AM103="Sand",0,10^(INDEX(Input!$Q$51:$Q$57,MIN(MATCH(MIN(MAX(AR103,30),120),Input!$C$51:$C$57,1),6))+(MIN(MAX(AR103,30),120)-INDEX(Input!$C$51:$C$57,MIN(MATCH(MIN(MAX(AR103,30),120),Input!$C$51:$C$57,1),6)))/(INDEX(Input!$C$51:$C$57,MIN(MATCH(MIN(MAX(AR103,30),120),Input!$C$51:$C$57,1),6)+1)-INDEX(Input!$C$51:$C$57,MIN(MATCH(MIN(MAX(AR103,30),120),Input!$C$51:$C$57,1),6)))*(INDEX(Input!$Q$51:$Q$57,MIN(MATCH(MIN(MAX(AR103,30),120),Input!$C$51:$C$57,1),6)+1)-INDEX(Input!$Q$51:$Q$57,MIN(MATCH(MIN(MAX(AR103,30),120),Input!$C$51:$C$57,1),6)))))</f>
        <v>0</v>
      </c>
      <c r="BM103" s="57" t="n">
        <f aca="false">IF(OR(AM103="Sand",BF103=0),0,Input!$AA$41*(AK103/2)^2/(BL103*0.0001*31536000))</f>
        <v>0</v>
      </c>
      <c r="BN103" s="57" t="n">
        <f aca="false">MAX(0,MIN(AJ103,Input!$AA$20)-AI103)</f>
        <v>0</v>
      </c>
      <c r="BO103" s="57" t="n">
        <f aca="false">MAX(0,MIN(AJ103,Input!$AA$20)-MAX(AI103,$AA$23))</f>
        <v>0</v>
      </c>
      <c r="BP103" s="57" t="n">
        <f aca="false">BG103+BK103</f>
        <v>3.37738394955323</v>
      </c>
      <c r="BQ103" s="57" t="s">
        <v>335</v>
      </c>
    </row>
    <row r="104" customFormat="false" ht="14.25" hidden="false" customHeight="false" outlineLevel="0" collapsed="false">
      <c r="B104" s="7"/>
      <c r="C104" s="46" t="n">
        <v>22</v>
      </c>
      <c r="D104" s="46"/>
      <c r="E104" s="44" t="n">
        <f aca="false">AI104</f>
        <v>31.5</v>
      </c>
      <c r="F104" s="44"/>
      <c r="G104" s="44"/>
      <c r="H104" s="44" t="n">
        <f aca="false">AJ104</f>
        <v>33</v>
      </c>
      <c r="I104" s="44"/>
      <c r="J104" s="44"/>
      <c r="K104" s="41" t="str">
        <f aca="false">AM104</f>
        <v>Sand</v>
      </c>
      <c r="L104" s="41"/>
      <c r="M104" s="41"/>
      <c r="N104" s="46" t="n">
        <f aca="false">AN104</f>
        <v>43</v>
      </c>
      <c r="O104" s="46"/>
      <c r="P104" s="46"/>
      <c r="Q104" s="42" t="n">
        <f aca="false">AO104</f>
        <v>18.2</v>
      </c>
      <c r="R104" s="42"/>
      <c r="S104" s="42"/>
      <c r="T104" s="46" t="str">
        <f aca="false">IF(AR104="","-",AR104)</f>
        <v>-</v>
      </c>
      <c r="U104" s="46"/>
      <c r="V104" s="46" t="str">
        <f aca="false">IF(AT104="","-",AT104)</f>
        <v>-</v>
      </c>
      <c r="W104" s="46"/>
      <c r="X104" s="44" t="n">
        <f aca="false">AU104</f>
        <v>0.65</v>
      </c>
      <c r="Y104" s="44"/>
      <c r="Z104" s="55" t="n">
        <f aca="false">AV104</f>
        <v>0</v>
      </c>
      <c r="AA104" s="55"/>
      <c r="AB104" s="55"/>
      <c r="AC104" s="42" t="n">
        <f aca="false">AW104</f>
        <v>39.89961724906</v>
      </c>
      <c r="AD104" s="42"/>
      <c r="AE104" s="42"/>
      <c r="AF104" s="12"/>
      <c r="AI104" s="56" t="n">
        <v>31.5</v>
      </c>
      <c r="AJ104" s="56" t="n">
        <v>33</v>
      </c>
      <c r="AK104" s="57" t="n">
        <f aca="false">AJ104-AI104</f>
        <v>1.5</v>
      </c>
      <c r="AL104" s="57" t="n">
        <f aca="false">(AI104+AJ104)/2</f>
        <v>32.25</v>
      </c>
      <c r="AM104" s="56" t="s">
        <v>199</v>
      </c>
      <c r="AN104" s="56" t="n">
        <v>43</v>
      </c>
      <c r="AO104" s="58" t="n">
        <f aca="false">IF(AL104&gt;$AA$20,$AA$22,$AA$21)</f>
        <v>18.2</v>
      </c>
      <c r="AP104" s="57" t="n">
        <f aca="false">AP103+AO104*AK104</f>
        <v>601.35</v>
      </c>
      <c r="AQ104" s="57" t="n">
        <f aca="false">AP104-AO104*AK104/2-10*MAX(AL104-$AA$20,0)</f>
        <v>335.2</v>
      </c>
      <c r="AR104" s="56"/>
      <c r="AS104" s="56"/>
      <c r="AT104" s="57" t="str">
        <f aca="false">IF(AR104="","",AR104-AS104)</f>
        <v/>
      </c>
      <c r="AU104" s="56" t="n">
        <v>0.65</v>
      </c>
      <c r="AV104" s="57" t="n">
        <f aca="false">IF(AM104="Sand",0,Input!$AA$34*AN104)</f>
        <v>0</v>
      </c>
      <c r="AW104" s="57" t="n">
        <f aca="false">IF(AM104="Sand",27.1+0.3*MIN(Input!$AA$35*AN104,60)-0.00054*MIN(Input!$AA$35*AN104,60)^2,MIN(MAX(DEGREES(ASIN(0.8-0.094*LN(MAX(IF(AT104="",10,AT104),5)))),20),30))</f>
        <v>39.89961724906</v>
      </c>
      <c r="AX104" s="57" t="n">
        <f aca="false">IF(AM104="Sand",Input!$AA$36*Input!$AA$35*AN104,Input!$AA$37*AV104)</f>
        <v>46569</v>
      </c>
      <c r="AY104" s="59" t="n">
        <f aca="false">IF(AM104="Sand",Input!$AA$38,0.5)</f>
        <v>0.3</v>
      </c>
      <c r="AZ104" s="57" t="n">
        <f aca="false">Input!$AA$15/2/AL104</f>
        <v>1.14728682170543</v>
      </c>
      <c r="BA104" s="57" t="n">
        <f aca="false">Input!$AA$16/2/AL104</f>
        <v>3.13178294573643</v>
      </c>
      <c r="BB104" s="57" t="n">
        <f aca="false">1/(4*PI())*(2*AZ104*BA104*SQRT(AZ104^2+BA104^2+1)/(AZ104^2+BA104^2+1+AZ104^2*BA104^2)*(AZ104^2+BA104^2+2)/(AZ104^2+BA104^2+1)+ATAN2(AZ104^2+BA104^2+1-AZ104^2*BA104^2,2*AZ104*BA104*SQRT(AZ104^2+BA104^2+1)))</f>
        <v>0.213596428347991</v>
      </c>
      <c r="BC104" s="57" t="n">
        <f aca="false">4*Input!$AA$14*BB104</f>
        <v>116.196457021307</v>
      </c>
      <c r="BD104" s="57" t="n">
        <f aca="false">((Input!$AA$16/Input!$AA$15)*LN((1+SQRT((Input!$AA$16/Input!$AA$15)^2+1))*SQRT((Input!$AA$16/Input!$AA$15)^2+(AJ104/(Input!$AA$15/2))^2)/((Input!$AA$16/Input!$AA$15)*(1+SQRT((Input!$AA$16/Input!$AA$15)^2+(AJ104/(Input!$AA$15/2))^2+1))))+LN(((Input!$AA$16/Input!$AA$15)+SQRT((Input!$AA$16/Input!$AA$15)^2+1))*SQRT(1+(AJ104/(Input!$AA$15/2))^2)/((Input!$AA$16/Input!$AA$15)+SQRT((Input!$AA$16/Input!$AA$15)^2+(AJ104/(Input!$AA$15/2))^2+1))))/PI()</f>
        <v>0.100507369360851</v>
      </c>
      <c r="BE104" s="57" t="n">
        <f aca="false">(AJ104/(Input!$AA$15/2))/(2*PI())*ATAN((Input!$AA$16/Input!$AA$15)/((AJ104/(Input!$AA$15/2))*SQRT((Input!$AA$16/Input!$AA$15)^2+(AJ104/(Input!$AA$15/2))^2+1)))</f>
        <v>0.111945618485189</v>
      </c>
      <c r="BF104" s="57" t="n">
        <f aca="false">MAX(0,AJ104-MAX(AI104,$AA$23))/AK104*IF(BC104&gt;=Input!$AA$21*AQ104,1,0)</f>
        <v>1</v>
      </c>
      <c r="BG104" s="57" t="n">
        <f aca="false">4*Input!$AA$14*(Input!$AA$15/2)*(1-AY104^2)/AX104*((BD104-BD103)+(1-2*AY104)/(1-AY104)*(BE104-BE103))*1000*BF104</f>
        <v>3.12282642634641</v>
      </c>
      <c r="BH104" s="57" t="n">
        <f aca="false">IF(AM104="Sand",0,0.009*(AR104-10))</f>
        <v>0</v>
      </c>
      <c r="BI104" s="57" t="n">
        <f aca="false">BH104*Input!$AA$39</f>
        <v>0</v>
      </c>
      <c r="BJ104" s="57" t="n">
        <f aca="false">IF(AM104="Sand",0,MAX(AV104/Input!$AA$40,AQ104))</f>
        <v>0</v>
      </c>
      <c r="BK104" s="57" t="n">
        <f aca="false">IF(AM104="Sand",0,1000*AK104/(1+AU104)*IF(AQ104+BC104&lt;=BJ104,BI104*LOG10((AQ104+BC104)/AQ104),BI104*LOG10(BJ104/AQ104)+BH104*LOG10((AQ104+BC104)/BJ104)))*BF104</f>
        <v>0</v>
      </c>
      <c r="BL104" s="57" t="n">
        <f aca="false">IF(AM104="Sand",0,10^(INDEX(Input!$Q$51:$Q$57,MIN(MATCH(MIN(MAX(AR104,30),120),Input!$C$51:$C$57,1),6))+(MIN(MAX(AR104,30),120)-INDEX(Input!$C$51:$C$57,MIN(MATCH(MIN(MAX(AR104,30),120),Input!$C$51:$C$57,1),6)))/(INDEX(Input!$C$51:$C$57,MIN(MATCH(MIN(MAX(AR104,30),120),Input!$C$51:$C$57,1),6)+1)-INDEX(Input!$C$51:$C$57,MIN(MATCH(MIN(MAX(AR104,30),120),Input!$C$51:$C$57,1),6)))*(INDEX(Input!$Q$51:$Q$57,MIN(MATCH(MIN(MAX(AR104,30),120),Input!$C$51:$C$57,1),6)+1)-INDEX(Input!$Q$51:$Q$57,MIN(MATCH(MIN(MAX(AR104,30),120),Input!$C$51:$C$57,1),6)))))</f>
        <v>0</v>
      </c>
      <c r="BM104" s="57" t="n">
        <f aca="false">IF(OR(AM104="Sand",BF104=0),0,Input!$AA$41*(AK104/2)^2/(BL104*0.0001*31536000))</f>
        <v>0</v>
      </c>
      <c r="BN104" s="57" t="n">
        <f aca="false">MAX(0,MIN(AJ104,Input!$AA$20)-AI104)</f>
        <v>0</v>
      </c>
      <c r="BO104" s="57" t="n">
        <f aca="false">MAX(0,MIN(AJ104,Input!$AA$20)-MAX(AI104,$AA$23))</f>
        <v>0</v>
      </c>
      <c r="BP104" s="57" t="n">
        <f aca="false">BG104+BK104</f>
        <v>3.12282642634641</v>
      </c>
      <c r="BQ104" s="57" t="s">
        <v>335</v>
      </c>
    </row>
    <row r="105" customFormat="false" ht="14.25" hidden="false" customHeight="false" outlineLevel="0" collapsed="false">
      <c r="B105" s="7"/>
      <c r="C105" s="46" t="n">
        <v>23</v>
      </c>
      <c r="D105" s="46"/>
      <c r="E105" s="44" t="n">
        <f aca="false">AI105</f>
        <v>33</v>
      </c>
      <c r="F105" s="44"/>
      <c r="G105" s="44"/>
      <c r="H105" s="44" t="n">
        <f aca="false">AJ105</f>
        <v>34.5</v>
      </c>
      <c r="I105" s="44"/>
      <c r="J105" s="44"/>
      <c r="K105" s="41" t="str">
        <f aca="false">AM105</f>
        <v>Sand</v>
      </c>
      <c r="L105" s="41"/>
      <c r="M105" s="41"/>
      <c r="N105" s="46" t="n">
        <f aca="false">AN105</f>
        <v>26</v>
      </c>
      <c r="O105" s="46"/>
      <c r="P105" s="46"/>
      <c r="Q105" s="42" t="n">
        <f aca="false">AO105</f>
        <v>18.2</v>
      </c>
      <c r="R105" s="42"/>
      <c r="S105" s="42"/>
      <c r="T105" s="46" t="str">
        <f aca="false">IF(AR105="","-",AR105)</f>
        <v>-</v>
      </c>
      <c r="U105" s="46"/>
      <c r="V105" s="46" t="str">
        <f aca="false">IF(AT105="","-",AT105)</f>
        <v>-</v>
      </c>
      <c r="W105" s="46"/>
      <c r="X105" s="44" t="n">
        <f aca="false">AU105</f>
        <v>0.65</v>
      </c>
      <c r="Y105" s="44"/>
      <c r="Z105" s="55" t="n">
        <f aca="false">AV105</f>
        <v>0</v>
      </c>
      <c r="AA105" s="55"/>
      <c r="AB105" s="55"/>
      <c r="AC105" s="42" t="n">
        <f aca="false">AW105</f>
        <v>35.11924859944</v>
      </c>
      <c r="AD105" s="42"/>
      <c r="AE105" s="42"/>
      <c r="AF105" s="12"/>
      <c r="AI105" s="56" t="n">
        <v>33</v>
      </c>
      <c r="AJ105" s="56" t="n">
        <v>34.5</v>
      </c>
      <c r="AK105" s="57" t="n">
        <f aca="false">AJ105-AI105</f>
        <v>1.5</v>
      </c>
      <c r="AL105" s="57" t="n">
        <f aca="false">(AI105+AJ105)/2</f>
        <v>33.75</v>
      </c>
      <c r="AM105" s="56" t="s">
        <v>199</v>
      </c>
      <c r="AN105" s="56" t="n">
        <v>26</v>
      </c>
      <c r="AO105" s="58" t="n">
        <f aca="false">IF(AL105&gt;$AA$20,$AA$22,$AA$21)</f>
        <v>18.2</v>
      </c>
      <c r="AP105" s="57" t="n">
        <f aca="false">AP104+AO105*AK105</f>
        <v>628.65</v>
      </c>
      <c r="AQ105" s="57" t="n">
        <f aca="false">AP105-AO105*AK105/2-10*MAX(AL105-$AA$20,0)</f>
        <v>347.5</v>
      </c>
      <c r="AR105" s="56"/>
      <c r="AS105" s="56"/>
      <c r="AT105" s="57" t="str">
        <f aca="false">IF(AR105="","",AR105-AS105)</f>
        <v/>
      </c>
      <c r="AU105" s="56" t="n">
        <v>0.65</v>
      </c>
      <c r="AV105" s="57" t="n">
        <f aca="false">IF(AM105="Sand",0,Input!$AA$34*AN105)</f>
        <v>0</v>
      </c>
      <c r="AW105" s="57" t="n">
        <f aca="false">IF(AM105="Sand",27.1+0.3*MIN(Input!$AA$35*AN105,60)-0.00054*MIN(Input!$AA$35*AN105,60)^2,MIN(MAX(DEGREES(ASIN(0.8-0.094*LN(MAX(IF(AT105="",10,AT105),5)))),20),30))</f>
        <v>35.11924859944</v>
      </c>
      <c r="AX105" s="57" t="n">
        <f aca="false">IF(AM105="Sand",Input!$AA$36*Input!$AA$35*AN105,Input!$AA$37*AV105)</f>
        <v>28158</v>
      </c>
      <c r="AY105" s="59" t="n">
        <f aca="false">IF(AM105="Sand",Input!$AA$38,0.5)</f>
        <v>0.3</v>
      </c>
      <c r="AZ105" s="57" t="n">
        <f aca="false">Input!$AA$15/2/AL105</f>
        <v>1.0962962962963</v>
      </c>
      <c r="BA105" s="57" t="n">
        <f aca="false">Input!$AA$16/2/AL105</f>
        <v>2.99259259259259</v>
      </c>
      <c r="BB105" s="57" t="n">
        <f aca="false">1/(4*PI())*(2*AZ105*BA105*SQRT(AZ105^2+BA105^2+1)/(AZ105^2+BA105^2+1+AZ105^2*BA105^2)*(AZ105^2+BA105^2+2)/(AZ105^2+BA105^2+1)+ATAN2(AZ105^2+BA105^2+1-AZ105^2*BA105^2,2*AZ105*BA105*SQRT(AZ105^2+BA105^2+1)))</f>
        <v>0.210265162671487</v>
      </c>
      <c r="BC105" s="57" t="n">
        <f aca="false">4*Input!$AA$14*BB105</f>
        <v>114.384248493289</v>
      </c>
      <c r="BD105" s="57" t="n">
        <f aca="false">((Input!$AA$16/Input!$AA$15)*LN((1+SQRT((Input!$AA$16/Input!$AA$15)^2+1))*SQRT((Input!$AA$16/Input!$AA$15)^2+(AJ105/(Input!$AA$15/2))^2)/((Input!$AA$16/Input!$AA$15)*(1+SQRT((Input!$AA$16/Input!$AA$15)^2+(AJ105/(Input!$AA$15/2))^2+1))))+LN(((Input!$AA$16/Input!$AA$15)+SQRT((Input!$AA$16/Input!$AA$15)^2+1))*SQRT(1+(AJ105/(Input!$AA$15/2))^2)/((Input!$AA$16/Input!$AA$15)+SQRT((Input!$AA$16/Input!$AA$15)^2+(AJ105/(Input!$AA$15/2))^2+1))))/PI()</f>
        <v>0.107536123549061</v>
      </c>
      <c r="BE105" s="57" t="n">
        <f aca="false">(AJ105/(Input!$AA$15/2))/(2*PI())*ATAN((Input!$AA$16/Input!$AA$15)/((AJ105/(Input!$AA$15/2))*SQRT((Input!$AA$16/Input!$AA$15)^2+(AJ105/(Input!$AA$15/2))^2+1)))</f>
        <v>0.113441066921048</v>
      </c>
      <c r="BF105" s="57" t="n">
        <f aca="false">MAX(0,AJ105-MAX(AI105,$AA$23))/AK105*IF(BC105&gt;=Input!$AA$21*AQ105,1,0)</f>
        <v>1</v>
      </c>
      <c r="BG105" s="57" t="n">
        <f aca="false">4*Input!$AA$14*(Input!$AA$15/2)*(1-AY105^2)/AX105*((BD105-BD104)+(1-2*AY105)/(1-AY105)*(BE105-BE104))*1000*BF105</f>
        <v>5.12800043661121</v>
      </c>
      <c r="BH105" s="57" t="n">
        <f aca="false">IF(AM105="Sand",0,0.009*(AR105-10))</f>
        <v>0</v>
      </c>
      <c r="BI105" s="57" t="n">
        <f aca="false">BH105*Input!$AA$39</f>
        <v>0</v>
      </c>
      <c r="BJ105" s="57" t="n">
        <f aca="false">IF(AM105="Sand",0,MAX(AV105/Input!$AA$40,AQ105))</f>
        <v>0</v>
      </c>
      <c r="BK105" s="57" t="n">
        <f aca="false">IF(AM105="Sand",0,1000*AK105/(1+AU105)*IF(AQ105+BC105&lt;=BJ105,BI105*LOG10((AQ105+BC105)/AQ105),BI105*LOG10(BJ105/AQ105)+BH105*LOG10((AQ105+BC105)/BJ105)))*BF105</f>
        <v>0</v>
      </c>
      <c r="BL105" s="57" t="n">
        <f aca="false">IF(AM105="Sand",0,10^(INDEX(Input!$Q$51:$Q$57,MIN(MATCH(MIN(MAX(AR105,30),120),Input!$C$51:$C$57,1),6))+(MIN(MAX(AR105,30),120)-INDEX(Input!$C$51:$C$57,MIN(MATCH(MIN(MAX(AR105,30),120),Input!$C$51:$C$57,1),6)))/(INDEX(Input!$C$51:$C$57,MIN(MATCH(MIN(MAX(AR105,30),120),Input!$C$51:$C$57,1),6)+1)-INDEX(Input!$C$51:$C$57,MIN(MATCH(MIN(MAX(AR105,30),120),Input!$C$51:$C$57,1),6)))*(INDEX(Input!$Q$51:$Q$57,MIN(MATCH(MIN(MAX(AR105,30),120),Input!$C$51:$C$57,1),6)+1)-INDEX(Input!$Q$51:$Q$57,MIN(MATCH(MIN(MAX(AR105,30),120),Input!$C$51:$C$57,1),6)))))</f>
        <v>0</v>
      </c>
      <c r="BM105" s="57" t="n">
        <f aca="false">IF(OR(AM105="Sand",BF105=0),0,Input!$AA$41*(AK105/2)^2/(BL105*0.0001*31536000))</f>
        <v>0</v>
      </c>
      <c r="BN105" s="57" t="n">
        <f aca="false">MAX(0,MIN(AJ105,Input!$AA$20)-AI105)</f>
        <v>0</v>
      </c>
      <c r="BO105" s="57" t="n">
        <f aca="false">MAX(0,MIN(AJ105,Input!$AA$20)-MAX(AI105,$AA$23))</f>
        <v>0</v>
      </c>
      <c r="BP105" s="57" t="n">
        <f aca="false">BG105+BK105</f>
        <v>5.12800043661121</v>
      </c>
      <c r="BQ105" s="57" t="s">
        <v>335</v>
      </c>
    </row>
    <row r="106" customFormat="false" ht="14.25" hidden="false" customHeight="false" outlineLevel="0" collapsed="false">
      <c r="B106" s="7"/>
      <c r="C106" s="46" t="n">
        <v>24</v>
      </c>
      <c r="D106" s="46"/>
      <c r="E106" s="44" t="n">
        <f aca="false">AI106</f>
        <v>34.5</v>
      </c>
      <c r="F106" s="44"/>
      <c r="G106" s="44"/>
      <c r="H106" s="44" t="n">
        <f aca="false">AJ106</f>
        <v>36</v>
      </c>
      <c r="I106" s="44"/>
      <c r="J106" s="44"/>
      <c r="K106" s="41" t="str">
        <f aca="false">AM106</f>
        <v>Sand</v>
      </c>
      <c r="L106" s="41"/>
      <c r="M106" s="41"/>
      <c r="N106" s="46" t="n">
        <f aca="false">AN106</f>
        <v>53</v>
      </c>
      <c r="O106" s="46"/>
      <c r="P106" s="46"/>
      <c r="Q106" s="42" t="n">
        <f aca="false">AO106</f>
        <v>18.2</v>
      </c>
      <c r="R106" s="42"/>
      <c r="S106" s="42"/>
      <c r="T106" s="46" t="str">
        <f aca="false">IF(AR106="","-",AR106)</f>
        <v>-</v>
      </c>
      <c r="U106" s="46"/>
      <c r="V106" s="46" t="str">
        <f aca="false">IF(AT106="","-",AT106)</f>
        <v>-</v>
      </c>
      <c r="W106" s="46"/>
      <c r="X106" s="44" t="n">
        <f aca="false">AU106</f>
        <v>0.65</v>
      </c>
      <c r="Y106" s="44"/>
      <c r="Z106" s="55" t="n">
        <f aca="false">AV106</f>
        <v>0</v>
      </c>
      <c r="AA106" s="55"/>
      <c r="AB106" s="55"/>
      <c r="AC106" s="42" t="n">
        <f aca="false">AW106</f>
        <v>42.54059159146</v>
      </c>
      <c r="AD106" s="42"/>
      <c r="AE106" s="42"/>
      <c r="AF106" s="12"/>
      <c r="AI106" s="56" t="n">
        <v>34.5</v>
      </c>
      <c r="AJ106" s="56" t="n">
        <v>36</v>
      </c>
      <c r="AK106" s="57" t="n">
        <f aca="false">AJ106-AI106</f>
        <v>1.5</v>
      </c>
      <c r="AL106" s="57" t="n">
        <f aca="false">(AI106+AJ106)/2</f>
        <v>35.25</v>
      </c>
      <c r="AM106" s="56" t="s">
        <v>199</v>
      </c>
      <c r="AN106" s="56" t="n">
        <v>53</v>
      </c>
      <c r="AO106" s="58" t="n">
        <f aca="false">IF(AL106&gt;$AA$20,$AA$22,$AA$21)</f>
        <v>18.2</v>
      </c>
      <c r="AP106" s="57" t="n">
        <f aca="false">AP105+AO106*AK106</f>
        <v>655.95</v>
      </c>
      <c r="AQ106" s="57" t="n">
        <f aca="false">AP106-AO106*AK106/2-10*MAX(AL106-$AA$20,0)</f>
        <v>359.8</v>
      </c>
      <c r="AR106" s="56"/>
      <c r="AS106" s="56"/>
      <c r="AT106" s="57" t="str">
        <f aca="false">IF(AR106="","",AR106-AS106)</f>
        <v/>
      </c>
      <c r="AU106" s="56" t="n">
        <v>0.65</v>
      </c>
      <c r="AV106" s="57" t="n">
        <f aca="false">IF(AM106="Sand",0,Input!$AA$34*AN106)</f>
        <v>0</v>
      </c>
      <c r="AW106" s="57" t="n">
        <f aca="false">IF(AM106="Sand",27.1+0.3*MIN(Input!$AA$35*AN106,60)-0.00054*MIN(Input!$AA$35*AN106,60)^2,MIN(MAX(DEGREES(ASIN(0.8-0.094*LN(MAX(IF(AT106="",10,AT106),5)))),20),30))</f>
        <v>42.54059159146</v>
      </c>
      <c r="AX106" s="57" t="n">
        <f aca="false">IF(AM106="Sand",Input!$AA$36*Input!$AA$35*AN106,Input!$AA$37*AV106)</f>
        <v>57399</v>
      </c>
      <c r="AY106" s="59" t="n">
        <f aca="false">IF(AM106="Sand",Input!$AA$38,0.5)</f>
        <v>0.3</v>
      </c>
      <c r="AZ106" s="57" t="n">
        <f aca="false">Input!$AA$15/2/AL106</f>
        <v>1.04964539007092</v>
      </c>
      <c r="BA106" s="57" t="n">
        <f aca="false">Input!$AA$16/2/AL106</f>
        <v>2.86524822695035</v>
      </c>
      <c r="BB106" s="57" t="n">
        <f aca="false">1/(4*PI())*(2*AZ106*BA106*SQRT(AZ106^2+BA106^2+1)/(AZ106^2+BA106^2+1+AZ106^2*BA106^2)*(AZ106^2+BA106^2+2)/(AZ106^2+BA106^2+1)+ATAN2(AZ106^2+BA106^2+1-AZ106^2*BA106^2,2*AZ106*BA106*SQRT(AZ106^2+BA106^2+1)))</f>
        <v>0.206897854810704</v>
      </c>
      <c r="BC106" s="57" t="n">
        <f aca="false">4*Input!$AA$14*BB106</f>
        <v>112.552433017023</v>
      </c>
      <c r="BD106" s="57" t="n">
        <f aca="false">((Input!$AA$16/Input!$AA$15)*LN((1+SQRT((Input!$AA$16/Input!$AA$15)^2+1))*SQRT((Input!$AA$16/Input!$AA$15)^2+(AJ106/(Input!$AA$15/2))^2)/((Input!$AA$16/Input!$AA$15)*(1+SQRT((Input!$AA$16/Input!$AA$15)^2+(AJ106/(Input!$AA$15/2))^2+1))))+LN(((Input!$AA$16/Input!$AA$15)+SQRT((Input!$AA$16/Input!$AA$15)^2+1))*SQRT(1+(AJ106/(Input!$AA$15/2))^2)/((Input!$AA$16/Input!$AA$15)+SQRT((Input!$AA$16/Input!$AA$15)^2+(AJ106/(Input!$AA$15/2))^2+1))))/PI()</f>
        <v>0.114598360022051</v>
      </c>
      <c r="BE106" s="57" t="n">
        <f aca="false">(AJ106/(Input!$AA$15/2))/(2*PI())*ATAN((Input!$AA$16/Input!$AA$15)/((AJ106/(Input!$AA$15/2))*SQRT((Input!$AA$16/Input!$AA$15)^2+(AJ106/(Input!$AA$15/2))^2+1)))</f>
        <v>0.114766542433847</v>
      </c>
      <c r="BF106" s="57" t="n">
        <f aca="false">MAX(0,AJ106-MAX(AI106,$AA$23))/AK106*IF(BC106&gt;=Input!$AA$21*AQ106,1,0)</f>
        <v>1</v>
      </c>
      <c r="BG106" s="57" t="n">
        <f aca="false">4*Input!$AA$14*(Input!$AA$15/2)*(1-AY106^2)/AX106*((BD106-BD105)+(1-2*AY106)/(1-AY106)*(BE106-BE105))*1000*BF106</f>
        <v>2.49531319528265</v>
      </c>
      <c r="BH106" s="57" t="n">
        <f aca="false">IF(AM106="Sand",0,0.009*(AR106-10))</f>
        <v>0</v>
      </c>
      <c r="BI106" s="57" t="n">
        <f aca="false">BH106*Input!$AA$39</f>
        <v>0</v>
      </c>
      <c r="BJ106" s="57" t="n">
        <f aca="false">IF(AM106="Sand",0,MAX(AV106/Input!$AA$40,AQ106))</f>
        <v>0</v>
      </c>
      <c r="BK106" s="57" t="n">
        <f aca="false">IF(AM106="Sand",0,1000*AK106/(1+AU106)*IF(AQ106+BC106&lt;=BJ106,BI106*LOG10((AQ106+BC106)/AQ106),BI106*LOG10(BJ106/AQ106)+BH106*LOG10((AQ106+BC106)/BJ106)))*BF106</f>
        <v>0</v>
      </c>
      <c r="BL106" s="57" t="n">
        <f aca="false">IF(AM106="Sand",0,10^(INDEX(Input!$Q$51:$Q$57,MIN(MATCH(MIN(MAX(AR106,30),120),Input!$C$51:$C$57,1),6))+(MIN(MAX(AR106,30),120)-INDEX(Input!$C$51:$C$57,MIN(MATCH(MIN(MAX(AR106,30),120),Input!$C$51:$C$57,1),6)))/(INDEX(Input!$C$51:$C$57,MIN(MATCH(MIN(MAX(AR106,30),120),Input!$C$51:$C$57,1),6)+1)-INDEX(Input!$C$51:$C$57,MIN(MATCH(MIN(MAX(AR106,30),120),Input!$C$51:$C$57,1),6)))*(INDEX(Input!$Q$51:$Q$57,MIN(MATCH(MIN(MAX(AR106,30),120),Input!$C$51:$C$57,1),6)+1)-INDEX(Input!$Q$51:$Q$57,MIN(MATCH(MIN(MAX(AR106,30),120),Input!$C$51:$C$57,1),6)))))</f>
        <v>0</v>
      </c>
      <c r="BM106" s="57" t="n">
        <f aca="false">IF(OR(AM106="Sand",BF106=0),0,Input!$AA$41*(AK106/2)^2/(BL106*0.0001*31536000))</f>
        <v>0</v>
      </c>
      <c r="BN106" s="57" t="n">
        <f aca="false">MAX(0,MIN(AJ106,Input!$AA$20)-AI106)</f>
        <v>0</v>
      </c>
      <c r="BO106" s="57" t="n">
        <f aca="false">MAX(0,MIN(AJ106,Input!$AA$20)-MAX(AI106,$AA$23))</f>
        <v>0</v>
      </c>
      <c r="BP106" s="57" t="n">
        <f aca="false">BG106+BK106</f>
        <v>2.49531319528265</v>
      </c>
      <c r="BQ106" s="57" t="s">
        <v>335</v>
      </c>
    </row>
    <row r="107" customFormat="false" ht="14.25" hidden="false" customHeight="false" outlineLevel="0" collapsed="false">
      <c r="B107" s="7"/>
      <c r="C107" s="46" t="n">
        <v>25</v>
      </c>
      <c r="D107" s="46"/>
      <c r="E107" s="44" t="n">
        <f aca="false">AI107</f>
        <v>36</v>
      </c>
      <c r="F107" s="44"/>
      <c r="G107" s="44"/>
      <c r="H107" s="44" t="n">
        <f aca="false">AJ107</f>
        <v>37.5</v>
      </c>
      <c r="I107" s="44"/>
      <c r="J107" s="44"/>
      <c r="K107" s="41" t="str">
        <f aca="false">AM107</f>
        <v>Sand</v>
      </c>
      <c r="L107" s="41"/>
      <c r="M107" s="41"/>
      <c r="N107" s="46" t="n">
        <f aca="false">AN107</f>
        <v>54</v>
      </c>
      <c r="O107" s="46"/>
      <c r="P107" s="46"/>
      <c r="Q107" s="42" t="n">
        <f aca="false">AO107</f>
        <v>18.2</v>
      </c>
      <c r="R107" s="42"/>
      <c r="S107" s="42"/>
      <c r="T107" s="46" t="str">
        <f aca="false">IF(AR107="","-",AR107)</f>
        <v>-</v>
      </c>
      <c r="U107" s="46"/>
      <c r="V107" s="46" t="str">
        <f aca="false">IF(AT107="","-",AT107)</f>
        <v>-</v>
      </c>
      <c r="W107" s="46"/>
      <c r="X107" s="44" t="n">
        <f aca="false">AU107</f>
        <v>0.65</v>
      </c>
      <c r="Y107" s="44"/>
      <c r="Z107" s="55" t="n">
        <f aca="false">AV107</f>
        <v>0</v>
      </c>
      <c r="AA107" s="55"/>
      <c r="AB107" s="55"/>
      <c r="AC107" s="42" t="n">
        <f aca="false">AW107</f>
        <v>42.79772206504</v>
      </c>
      <c r="AD107" s="42"/>
      <c r="AE107" s="42"/>
      <c r="AF107" s="12"/>
      <c r="AI107" s="56" t="n">
        <v>36</v>
      </c>
      <c r="AJ107" s="56" t="n">
        <v>37.5</v>
      </c>
      <c r="AK107" s="57" t="n">
        <f aca="false">AJ107-AI107</f>
        <v>1.5</v>
      </c>
      <c r="AL107" s="57" t="n">
        <f aca="false">(AI107+AJ107)/2</f>
        <v>36.75</v>
      </c>
      <c r="AM107" s="56" t="s">
        <v>199</v>
      </c>
      <c r="AN107" s="56" t="n">
        <v>54</v>
      </c>
      <c r="AO107" s="58" t="n">
        <f aca="false">IF(AL107&gt;$AA$20,$AA$22,$AA$21)</f>
        <v>18.2</v>
      </c>
      <c r="AP107" s="57" t="n">
        <f aca="false">AP106+AO107*AK107</f>
        <v>683.25</v>
      </c>
      <c r="AQ107" s="57" t="n">
        <f aca="false">AP107-AO107*AK107/2-10*MAX(AL107-$AA$20,0)</f>
        <v>372.1</v>
      </c>
      <c r="AR107" s="56"/>
      <c r="AS107" s="56"/>
      <c r="AT107" s="57" t="str">
        <f aca="false">IF(AR107="","",AR107-AS107)</f>
        <v/>
      </c>
      <c r="AU107" s="56" t="n">
        <v>0.65</v>
      </c>
      <c r="AV107" s="57" t="n">
        <f aca="false">IF(AM107="Sand",0,Input!$AA$34*AN107)</f>
        <v>0</v>
      </c>
      <c r="AW107" s="57" t="n">
        <f aca="false">IF(AM107="Sand",27.1+0.3*MIN(Input!$AA$35*AN107,60)-0.00054*MIN(Input!$AA$35*AN107,60)^2,MIN(MAX(DEGREES(ASIN(0.8-0.094*LN(MAX(IF(AT107="",10,AT107),5)))),20),30))</f>
        <v>42.79772206504</v>
      </c>
      <c r="AX107" s="57" t="n">
        <f aca="false">IF(AM107="Sand",Input!$AA$36*Input!$AA$35*AN107,Input!$AA$37*AV107)</f>
        <v>58482</v>
      </c>
      <c r="AY107" s="59" t="n">
        <f aca="false">IF(AM107="Sand",Input!$AA$38,0.5)</f>
        <v>0.3</v>
      </c>
      <c r="AZ107" s="57" t="n">
        <f aca="false">Input!$AA$15/2/AL107</f>
        <v>1.00680272108844</v>
      </c>
      <c r="BA107" s="57" t="n">
        <f aca="false">Input!$AA$16/2/AL107</f>
        <v>2.74829931972789</v>
      </c>
      <c r="BB107" s="57" t="n">
        <f aca="false">1/(4*PI())*(2*AZ107*BA107*SQRT(AZ107^2+BA107^2+1)/(AZ107^2+BA107^2+1+AZ107^2*BA107^2)*(AZ107^2+BA107^2+2)/(AZ107^2+BA107^2+1)+ATAN2(AZ107^2+BA107^2+1-AZ107^2*BA107^2,2*AZ107*BA107*SQRT(AZ107^2+BA107^2+1)))</f>
        <v>0.203507435681733</v>
      </c>
      <c r="BC107" s="57" t="n">
        <f aca="false">4*Input!$AA$14*BB107</f>
        <v>110.708045010863</v>
      </c>
      <c r="BD107" s="57" t="n">
        <f aca="false">((Input!$AA$16/Input!$AA$15)*LN((1+SQRT((Input!$AA$16/Input!$AA$15)^2+1))*SQRT((Input!$AA$16/Input!$AA$15)^2+(AJ107/(Input!$AA$15/2))^2)/((Input!$AA$16/Input!$AA$15)*(1+SQRT((Input!$AA$16/Input!$AA$15)^2+(AJ107/(Input!$AA$15/2))^2+1))))+LN(((Input!$AA$16/Input!$AA$15)+SQRT((Input!$AA$16/Input!$AA$15)^2+1))*SQRT(1+(AJ107/(Input!$AA$15/2))^2)/((Input!$AA$16/Input!$AA$15)+SQRT((Input!$AA$16/Input!$AA$15)^2+(AJ107/(Input!$AA$15/2))^2+1))))/PI()</f>
        <v>0.121680536390531</v>
      </c>
      <c r="BE107" s="57" t="n">
        <f aca="false">(AJ107/(Input!$AA$15/2))/(2*PI())*ATAN((Input!$AA$16/Input!$AA$15)/((AJ107/(Input!$AA$15/2))*SQRT((Input!$AA$16/Input!$AA$15)^2+(AJ107/(Input!$AA$15/2))^2+1)))</f>
        <v>0.115934648292991</v>
      </c>
      <c r="BF107" s="57" t="n">
        <f aca="false">MAX(0,AJ107-MAX(AI107,$AA$23))/AK107*IF(BC107&gt;=Input!$AA$21*AQ107,1,0)</f>
        <v>1</v>
      </c>
      <c r="BG107" s="57" t="n">
        <f aca="false">4*Input!$AA$14*(Input!$AA$15/2)*(1-AY107^2)/AX107*((BD107-BD106)+(1-2*AY107)/(1-AY107)*(BE107-BE106))*1000*BF107</f>
        <v>2.42718429381396</v>
      </c>
      <c r="BH107" s="57" t="n">
        <f aca="false">IF(AM107="Sand",0,0.009*(AR107-10))</f>
        <v>0</v>
      </c>
      <c r="BI107" s="57" t="n">
        <f aca="false">BH107*Input!$AA$39</f>
        <v>0</v>
      </c>
      <c r="BJ107" s="57" t="n">
        <f aca="false">IF(AM107="Sand",0,MAX(AV107/Input!$AA$40,AQ107))</f>
        <v>0</v>
      </c>
      <c r="BK107" s="57" t="n">
        <f aca="false">IF(AM107="Sand",0,1000*AK107/(1+AU107)*IF(AQ107+BC107&lt;=BJ107,BI107*LOG10((AQ107+BC107)/AQ107),BI107*LOG10(BJ107/AQ107)+BH107*LOG10((AQ107+BC107)/BJ107)))*BF107</f>
        <v>0</v>
      </c>
      <c r="BL107" s="57" t="n">
        <f aca="false">IF(AM107="Sand",0,10^(INDEX(Input!$Q$51:$Q$57,MIN(MATCH(MIN(MAX(AR107,30),120),Input!$C$51:$C$57,1),6))+(MIN(MAX(AR107,30),120)-INDEX(Input!$C$51:$C$57,MIN(MATCH(MIN(MAX(AR107,30),120),Input!$C$51:$C$57,1),6)))/(INDEX(Input!$C$51:$C$57,MIN(MATCH(MIN(MAX(AR107,30),120),Input!$C$51:$C$57,1),6)+1)-INDEX(Input!$C$51:$C$57,MIN(MATCH(MIN(MAX(AR107,30),120),Input!$C$51:$C$57,1),6)))*(INDEX(Input!$Q$51:$Q$57,MIN(MATCH(MIN(MAX(AR107,30),120),Input!$C$51:$C$57,1),6)+1)-INDEX(Input!$Q$51:$Q$57,MIN(MATCH(MIN(MAX(AR107,30),120),Input!$C$51:$C$57,1),6)))))</f>
        <v>0</v>
      </c>
      <c r="BM107" s="57" t="n">
        <f aca="false">IF(OR(AM107="Sand",BF107=0),0,Input!$AA$41*(AK107/2)^2/(BL107*0.0001*31536000))</f>
        <v>0</v>
      </c>
      <c r="BN107" s="57" t="n">
        <f aca="false">MAX(0,MIN(AJ107,Input!$AA$20)-AI107)</f>
        <v>0</v>
      </c>
      <c r="BO107" s="57" t="n">
        <f aca="false">MAX(0,MIN(AJ107,Input!$AA$20)-MAX(AI107,$AA$23))</f>
        <v>0</v>
      </c>
      <c r="BP107" s="57" t="n">
        <f aca="false">BG107+BK107</f>
        <v>2.42718429381396</v>
      </c>
      <c r="BQ107" s="57" t="s">
        <v>335</v>
      </c>
    </row>
    <row r="108" customFormat="false" ht="14.25" hidden="false" customHeight="false" outlineLevel="0" collapsed="false">
      <c r="B108" s="7"/>
      <c r="C108" s="46" t="n">
        <v>26</v>
      </c>
      <c r="D108" s="46"/>
      <c r="E108" s="44" t="n">
        <f aca="false">AI108</f>
        <v>37.5</v>
      </c>
      <c r="F108" s="44"/>
      <c r="G108" s="44"/>
      <c r="H108" s="44" t="n">
        <f aca="false">AJ108</f>
        <v>39</v>
      </c>
      <c r="I108" s="44"/>
      <c r="J108" s="44"/>
      <c r="K108" s="41" t="str">
        <f aca="false">AM108</f>
        <v>Sand</v>
      </c>
      <c r="L108" s="41"/>
      <c r="M108" s="41"/>
      <c r="N108" s="46" t="n">
        <f aca="false">AN108</f>
        <v>50</v>
      </c>
      <c r="O108" s="46"/>
      <c r="P108" s="46"/>
      <c r="Q108" s="42" t="n">
        <f aca="false">AO108</f>
        <v>18.2</v>
      </c>
      <c r="R108" s="42"/>
      <c r="S108" s="42"/>
      <c r="T108" s="46" t="str">
        <f aca="false">IF(AR108="","-",AR108)</f>
        <v>-</v>
      </c>
      <c r="U108" s="46"/>
      <c r="V108" s="46" t="str">
        <f aca="false">IF(AT108="","-",AT108)</f>
        <v>-</v>
      </c>
      <c r="W108" s="46"/>
      <c r="X108" s="44" t="n">
        <f aca="false">AU108</f>
        <v>0.65</v>
      </c>
      <c r="Y108" s="44"/>
      <c r="Z108" s="55" t="n">
        <f aca="false">AV108</f>
        <v>0</v>
      </c>
      <c r="AA108" s="55"/>
      <c r="AB108" s="55"/>
      <c r="AC108" s="42" t="n">
        <f aca="false">AW108</f>
        <v>41.76159985</v>
      </c>
      <c r="AD108" s="42"/>
      <c r="AE108" s="42"/>
      <c r="AF108" s="12"/>
      <c r="AI108" s="56" t="n">
        <v>37.5</v>
      </c>
      <c r="AJ108" s="56" t="n">
        <v>39</v>
      </c>
      <c r="AK108" s="57" t="n">
        <f aca="false">AJ108-AI108</f>
        <v>1.5</v>
      </c>
      <c r="AL108" s="57" t="n">
        <f aca="false">(AI108+AJ108)/2</f>
        <v>38.25</v>
      </c>
      <c r="AM108" s="56" t="s">
        <v>199</v>
      </c>
      <c r="AN108" s="56" t="n">
        <v>50</v>
      </c>
      <c r="AO108" s="58" t="n">
        <f aca="false">IF(AL108&gt;$AA$20,$AA$22,$AA$21)</f>
        <v>18.2</v>
      </c>
      <c r="AP108" s="57" t="n">
        <f aca="false">AP107+AO108*AK108</f>
        <v>710.55</v>
      </c>
      <c r="AQ108" s="57" t="n">
        <f aca="false">AP108-AO108*AK108/2-10*MAX(AL108-$AA$20,0)</f>
        <v>384.4</v>
      </c>
      <c r="AR108" s="56"/>
      <c r="AS108" s="56"/>
      <c r="AT108" s="57" t="str">
        <f aca="false">IF(AR108="","",AR108-AS108)</f>
        <v/>
      </c>
      <c r="AU108" s="56" t="n">
        <v>0.65</v>
      </c>
      <c r="AV108" s="57" t="n">
        <f aca="false">IF(AM108="Sand",0,Input!$AA$34*AN108)</f>
        <v>0</v>
      </c>
      <c r="AW108" s="57" t="n">
        <f aca="false">IF(AM108="Sand",27.1+0.3*MIN(Input!$AA$35*AN108,60)-0.00054*MIN(Input!$AA$35*AN108,60)^2,MIN(MAX(DEGREES(ASIN(0.8-0.094*LN(MAX(IF(AT108="",10,AT108),5)))),20),30))</f>
        <v>41.76159985</v>
      </c>
      <c r="AX108" s="57" t="n">
        <f aca="false">IF(AM108="Sand",Input!$AA$36*Input!$AA$35*AN108,Input!$AA$37*AV108)</f>
        <v>54150</v>
      </c>
      <c r="AY108" s="59" t="n">
        <f aca="false">IF(AM108="Sand",Input!$AA$38,0.5)</f>
        <v>0.3</v>
      </c>
      <c r="AZ108" s="57" t="n">
        <f aca="false">Input!$AA$15/2/AL108</f>
        <v>0.967320261437909</v>
      </c>
      <c r="BA108" s="57" t="n">
        <f aca="false">Input!$AA$16/2/AL108</f>
        <v>2.64052287581699</v>
      </c>
      <c r="BB108" s="57" t="n">
        <f aca="false">1/(4*PI())*(2*AZ108*BA108*SQRT(AZ108^2+BA108^2+1)/(AZ108^2+BA108^2+1+AZ108^2*BA108^2)*(AZ108^2+BA108^2+2)/(AZ108^2+BA108^2+1)+ATAN2(AZ108^2+BA108^2+1-AZ108^2*BA108^2,2*AZ108*BA108*SQRT(AZ108^2+BA108^2+1)))</f>
        <v>0.200105549876271</v>
      </c>
      <c r="BC108" s="57" t="n">
        <f aca="false">4*Input!$AA$14*BB108</f>
        <v>108.857419132691</v>
      </c>
      <c r="BD108" s="57" t="n">
        <f aca="false">((Input!$AA$16/Input!$AA$15)*LN((1+SQRT((Input!$AA$16/Input!$AA$15)^2+1))*SQRT((Input!$AA$16/Input!$AA$15)^2+(AJ108/(Input!$AA$15/2))^2)/((Input!$AA$16/Input!$AA$15)*(1+SQRT((Input!$AA$16/Input!$AA$15)^2+(AJ108/(Input!$AA$15/2))^2+1))))+LN(((Input!$AA$16/Input!$AA$15)+SQRT((Input!$AA$16/Input!$AA$15)^2+1))*SQRT(1+(AJ108/(Input!$AA$15/2))^2)/((Input!$AA$16/Input!$AA$15)+SQRT((Input!$AA$16/Input!$AA$15)^2+(AJ108/(Input!$AA$15/2))^2+1))))/PI()</f>
        <v>0.128770473532044</v>
      </c>
      <c r="BE108" s="57" t="n">
        <f aca="false">(AJ108/(Input!$AA$15/2))/(2*PI())*ATAN((Input!$AA$16/Input!$AA$15)/((AJ108/(Input!$AA$15/2))*SQRT((Input!$AA$16/Input!$AA$15)^2+(AJ108/(Input!$AA$15/2))^2+1)))</f>
        <v>0.116957096633813</v>
      </c>
      <c r="BF108" s="57" t="n">
        <f aca="false">MAX(0,AJ108-MAX(AI108,$AA$23))/AK108*IF(BC108&gt;=Input!$AA$21*AQ108,1,0)</f>
        <v>1</v>
      </c>
      <c r="BG108" s="57" t="n">
        <f aca="false">4*Input!$AA$14*(Input!$AA$15/2)*(1-AY108^2)/AX108*((BD108-BD107)+(1-2*AY108)/(1-AY108)*(BE108-BE107))*1000*BF108</f>
        <v>2.59583026334049</v>
      </c>
      <c r="BH108" s="57" t="n">
        <f aca="false">IF(AM108="Sand",0,0.009*(AR108-10))</f>
        <v>0</v>
      </c>
      <c r="BI108" s="57" t="n">
        <f aca="false">BH108*Input!$AA$39</f>
        <v>0</v>
      </c>
      <c r="BJ108" s="57" t="n">
        <f aca="false">IF(AM108="Sand",0,MAX(AV108/Input!$AA$40,AQ108))</f>
        <v>0</v>
      </c>
      <c r="BK108" s="57" t="n">
        <f aca="false">IF(AM108="Sand",0,1000*AK108/(1+AU108)*IF(AQ108+BC108&lt;=BJ108,BI108*LOG10((AQ108+BC108)/AQ108),BI108*LOG10(BJ108/AQ108)+BH108*LOG10((AQ108+BC108)/BJ108)))*BF108</f>
        <v>0</v>
      </c>
      <c r="BL108" s="57" t="n">
        <f aca="false">IF(AM108="Sand",0,10^(INDEX(Input!$Q$51:$Q$57,MIN(MATCH(MIN(MAX(AR108,30),120),Input!$C$51:$C$57,1),6))+(MIN(MAX(AR108,30),120)-INDEX(Input!$C$51:$C$57,MIN(MATCH(MIN(MAX(AR108,30),120),Input!$C$51:$C$57,1),6)))/(INDEX(Input!$C$51:$C$57,MIN(MATCH(MIN(MAX(AR108,30),120),Input!$C$51:$C$57,1),6)+1)-INDEX(Input!$C$51:$C$57,MIN(MATCH(MIN(MAX(AR108,30),120),Input!$C$51:$C$57,1),6)))*(INDEX(Input!$Q$51:$Q$57,MIN(MATCH(MIN(MAX(AR108,30),120),Input!$C$51:$C$57,1),6)+1)-INDEX(Input!$Q$51:$Q$57,MIN(MATCH(MIN(MAX(AR108,30),120),Input!$C$51:$C$57,1),6)))))</f>
        <v>0</v>
      </c>
      <c r="BM108" s="57" t="n">
        <f aca="false">IF(OR(AM108="Sand",BF108=0),0,Input!$AA$41*(AK108/2)^2/(BL108*0.0001*31536000))</f>
        <v>0</v>
      </c>
      <c r="BN108" s="57" t="n">
        <f aca="false">MAX(0,MIN(AJ108,Input!$AA$20)-AI108)</f>
        <v>0</v>
      </c>
      <c r="BO108" s="57" t="n">
        <f aca="false">MAX(0,MIN(AJ108,Input!$AA$20)-MAX(AI108,$AA$23))</f>
        <v>0</v>
      </c>
      <c r="BP108" s="57" t="n">
        <f aca="false">BG108+BK108</f>
        <v>2.59583026334049</v>
      </c>
      <c r="BQ108" s="57" t="s">
        <v>335</v>
      </c>
    </row>
    <row r="109" customFormat="false" ht="14.25" hidden="false" customHeight="false" outlineLevel="0" collapsed="false">
      <c r="B109" s="7"/>
      <c r="C109" s="46" t="n">
        <v>27</v>
      </c>
      <c r="D109" s="46"/>
      <c r="E109" s="44" t="n">
        <f aca="false">AI109</f>
        <v>39</v>
      </c>
      <c r="F109" s="44"/>
      <c r="G109" s="44"/>
      <c r="H109" s="44" t="n">
        <f aca="false">AJ109</f>
        <v>40.5</v>
      </c>
      <c r="I109" s="44"/>
      <c r="J109" s="44"/>
      <c r="K109" s="41" t="str">
        <f aca="false">AM109</f>
        <v>Sand</v>
      </c>
      <c r="L109" s="41"/>
      <c r="M109" s="41"/>
      <c r="N109" s="46" t="n">
        <f aca="false">AN109</f>
        <v>50</v>
      </c>
      <c r="O109" s="46"/>
      <c r="P109" s="46"/>
      <c r="Q109" s="42" t="n">
        <f aca="false">AO109</f>
        <v>18.2</v>
      </c>
      <c r="R109" s="42"/>
      <c r="S109" s="42"/>
      <c r="T109" s="46" t="str">
        <f aca="false">IF(AR109="","-",AR109)</f>
        <v>-</v>
      </c>
      <c r="U109" s="46"/>
      <c r="V109" s="46" t="str">
        <f aca="false">IF(AT109="","-",AT109)</f>
        <v>-</v>
      </c>
      <c r="W109" s="46"/>
      <c r="X109" s="44" t="n">
        <f aca="false">AU109</f>
        <v>0.65</v>
      </c>
      <c r="Y109" s="44"/>
      <c r="Z109" s="55" t="n">
        <f aca="false">AV109</f>
        <v>0</v>
      </c>
      <c r="AA109" s="55"/>
      <c r="AB109" s="55"/>
      <c r="AC109" s="42" t="n">
        <f aca="false">AW109</f>
        <v>41.76159985</v>
      </c>
      <c r="AD109" s="42"/>
      <c r="AE109" s="42"/>
      <c r="AF109" s="12"/>
      <c r="AI109" s="56" t="n">
        <v>39</v>
      </c>
      <c r="AJ109" s="56" t="n">
        <v>40.5</v>
      </c>
      <c r="AK109" s="57" t="n">
        <f aca="false">AJ109-AI109</f>
        <v>1.5</v>
      </c>
      <c r="AL109" s="57" t="n">
        <f aca="false">(AI109+AJ109)/2</f>
        <v>39.75</v>
      </c>
      <c r="AM109" s="56" t="s">
        <v>199</v>
      </c>
      <c r="AN109" s="56" t="n">
        <v>50</v>
      </c>
      <c r="AO109" s="58" t="n">
        <f aca="false">IF(AL109&gt;$AA$20,$AA$22,$AA$21)</f>
        <v>18.2</v>
      </c>
      <c r="AP109" s="57" t="n">
        <f aca="false">AP108+AO109*AK109</f>
        <v>737.85</v>
      </c>
      <c r="AQ109" s="57" t="n">
        <f aca="false">AP109-AO109*AK109/2-10*MAX(AL109-$AA$20,0)</f>
        <v>396.7</v>
      </c>
      <c r="AR109" s="56"/>
      <c r="AS109" s="56"/>
      <c r="AT109" s="57" t="str">
        <f aca="false">IF(AR109="","",AR109-AS109)</f>
        <v/>
      </c>
      <c r="AU109" s="56" t="n">
        <v>0.65</v>
      </c>
      <c r="AV109" s="57" t="n">
        <f aca="false">IF(AM109="Sand",0,Input!$AA$34*AN109)</f>
        <v>0</v>
      </c>
      <c r="AW109" s="57" t="n">
        <f aca="false">IF(AM109="Sand",27.1+0.3*MIN(Input!$AA$35*AN109,60)-0.00054*MIN(Input!$AA$35*AN109,60)^2,MIN(MAX(DEGREES(ASIN(0.8-0.094*LN(MAX(IF(AT109="",10,AT109),5)))),20),30))</f>
        <v>41.76159985</v>
      </c>
      <c r="AX109" s="57" t="n">
        <f aca="false">IF(AM109="Sand",Input!$AA$36*Input!$AA$35*AN109,Input!$AA$37*AV109)</f>
        <v>54150</v>
      </c>
      <c r="AY109" s="59" t="n">
        <f aca="false">IF(AM109="Sand",Input!$AA$38,0.5)</f>
        <v>0.3</v>
      </c>
      <c r="AZ109" s="57" t="n">
        <f aca="false">Input!$AA$15/2/AL109</f>
        <v>0.930817610062893</v>
      </c>
      <c r="BA109" s="57" t="n">
        <f aca="false">Input!$AA$16/2/AL109</f>
        <v>2.54088050314465</v>
      </c>
      <c r="BB109" s="57" t="n">
        <f aca="false">1/(4*PI())*(2*AZ109*BA109*SQRT(AZ109^2+BA109^2+1)/(AZ109^2+BA109^2+1+AZ109^2*BA109^2)*(AZ109^2+BA109^2+2)/(AZ109^2+BA109^2+1)+ATAN2(AZ109^2+BA109^2+1-AZ109^2*BA109^2,2*AZ109*BA109*SQRT(AZ109^2+BA109^2+1)))</f>
        <v>0.196702587440146</v>
      </c>
      <c r="BC109" s="57" t="n">
        <f aca="false">4*Input!$AA$14*BB109</f>
        <v>107.006207567439</v>
      </c>
      <c r="BD109" s="57" t="n">
        <f aca="false">((Input!$AA$16/Input!$AA$15)*LN((1+SQRT((Input!$AA$16/Input!$AA$15)^2+1))*SQRT((Input!$AA$16/Input!$AA$15)^2+(AJ109/(Input!$AA$15/2))^2)/((Input!$AA$16/Input!$AA$15)*(1+SQRT((Input!$AA$16/Input!$AA$15)^2+(AJ109/(Input!$AA$15/2))^2+1))))+LN(((Input!$AA$16/Input!$AA$15)+SQRT((Input!$AA$16/Input!$AA$15)^2+1))*SQRT(1+(AJ109/(Input!$AA$15/2))^2)/((Input!$AA$16/Input!$AA$15)+SQRT((Input!$AA$16/Input!$AA$15)^2+(AJ109/(Input!$AA$15/2))^2+1))))/PI()</f>
        <v>0.135857256153312</v>
      </c>
      <c r="BE109" s="57" t="n">
        <f aca="false">(AJ109/(Input!$AA$15/2))/(2*PI())*ATAN((Input!$AA$16/Input!$AA$15)/((AJ109/(Input!$AA$15/2))*SQRT((Input!$AA$16/Input!$AA$15)^2+(AJ109/(Input!$AA$15/2))^2+1)))</f>
        <v>0.117844757073459</v>
      </c>
      <c r="BF109" s="57" t="n">
        <f aca="false">MAX(0,AJ109-MAX(AI109,$AA$23))/AK109*IF(BC109&gt;=Input!$AA$21*AQ109,1,0)</f>
        <v>1</v>
      </c>
      <c r="BG109" s="57" t="n">
        <f aca="false">4*Input!$AA$14*(Input!$AA$15/2)*(1-AY109^2)/AX109*((BD109-BD108)+(1-2*AY109)/(1-AY109)*(BE109-BE108))*1000*BF109</f>
        <v>2.56871031205885</v>
      </c>
      <c r="BH109" s="57" t="n">
        <f aca="false">IF(AM109="Sand",0,0.009*(AR109-10))</f>
        <v>0</v>
      </c>
      <c r="BI109" s="57" t="n">
        <f aca="false">BH109*Input!$AA$39</f>
        <v>0</v>
      </c>
      <c r="BJ109" s="57" t="n">
        <f aca="false">IF(AM109="Sand",0,MAX(AV109/Input!$AA$40,AQ109))</f>
        <v>0</v>
      </c>
      <c r="BK109" s="57" t="n">
        <f aca="false">IF(AM109="Sand",0,1000*AK109/(1+AU109)*IF(AQ109+BC109&lt;=BJ109,BI109*LOG10((AQ109+BC109)/AQ109),BI109*LOG10(BJ109/AQ109)+BH109*LOG10((AQ109+BC109)/BJ109)))*BF109</f>
        <v>0</v>
      </c>
      <c r="BL109" s="57" t="n">
        <f aca="false">IF(AM109="Sand",0,10^(INDEX(Input!$Q$51:$Q$57,MIN(MATCH(MIN(MAX(AR109,30),120),Input!$C$51:$C$57,1),6))+(MIN(MAX(AR109,30),120)-INDEX(Input!$C$51:$C$57,MIN(MATCH(MIN(MAX(AR109,30),120),Input!$C$51:$C$57,1),6)))/(INDEX(Input!$C$51:$C$57,MIN(MATCH(MIN(MAX(AR109,30),120),Input!$C$51:$C$57,1),6)+1)-INDEX(Input!$C$51:$C$57,MIN(MATCH(MIN(MAX(AR109,30),120),Input!$C$51:$C$57,1),6)))*(INDEX(Input!$Q$51:$Q$57,MIN(MATCH(MIN(MAX(AR109,30),120),Input!$C$51:$C$57,1),6)+1)-INDEX(Input!$Q$51:$Q$57,MIN(MATCH(MIN(MAX(AR109,30),120),Input!$C$51:$C$57,1),6)))))</f>
        <v>0</v>
      </c>
      <c r="BM109" s="57" t="n">
        <f aca="false">IF(OR(AM109="Sand",BF109=0),0,Input!$AA$41*(AK109/2)^2/(BL109*0.0001*31536000))</f>
        <v>0</v>
      </c>
      <c r="BN109" s="57" t="n">
        <f aca="false">MAX(0,MIN(AJ109,Input!$AA$20)-AI109)</f>
        <v>0</v>
      </c>
      <c r="BO109" s="57" t="n">
        <f aca="false">MAX(0,MIN(AJ109,Input!$AA$20)-MAX(AI109,$AA$23))</f>
        <v>0</v>
      </c>
      <c r="BP109" s="57" t="n">
        <f aca="false">BG109+BK109</f>
        <v>2.56871031205885</v>
      </c>
      <c r="BQ109" s="57" t="s">
        <v>335</v>
      </c>
    </row>
    <row r="110" customFormat="false" ht="14.25" hidden="false" customHeight="false" outlineLevel="0" collapsed="false">
      <c r="B110" s="7"/>
      <c r="C110" s="46" t="n">
        <v>28</v>
      </c>
      <c r="D110" s="46"/>
      <c r="E110" s="44" t="n">
        <f aca="false">AI110</f>
        <v>40.5</v>
      </c>
      <c r="F110" s="44"/>
      <c r="G110" s="44"/>
      <c r="H110" s="44" t="n">
        <f aca="false">AJ110</f>
        <v>42</v>
      </c>
      <c r="I110" s="44"/>
      <c r="J110" s="44"/>
      <c r="K110" s="41" t="str">
        <f aca="false">AM110</f>
        <v>Sand</v>
      </c>
      <c r="L110" s="41"/>
      <c r="M110" s="41"/>
      <c r="N110" s="46" t="n">
        <f aca="false">AN110</f>
        <v>37</v>
      </c>
      <c r="O110" s="46"/>
      <c r="P110" s="46"/>
      <c r="Q110" s="42" t="n">
        <f aca="false">AO110</f>
        <v>18.2</v>
      </c>
      <c r="R110" s="42"/>
      <c r="S110" s="42"/>
      <c r="T110" s="46" t="str">
        <f aca="false">IF(AR110="","-",AR110)</f>
        <v>-</v>
      </c>
      <c r="U110" s="46"/>
      <c r="V110" s="46" t="str">
        <f aca="false">IF(AT110="","-",AT110)</f>
        <v>-</v>
      </c>
      <c r="W110" s="46"/>
      <c r="X110" s="44" t="n">
        <f aca="false">AU110</f>
        <v>0.65</v>
      </c>
      <c r="Y110" s="44"/>
      <c r="Z110" s="55" t="n">
        <f aca="false">AV110</f>
        <v>0</v>
      </c>
      <c r="AA110" s="55"/>
      <c r="AB110" s="55"/>
      <c r="AC110" s="42" t="n">
        <f aca="false">AW110</f>
        <v>38.25423007786</v>
      </c>
      <c r="AD110" s="42"/>
      <c r="AE110" s="42"/>
      <c r="AF110" s="12"/>
      <c r="AI110" s="56" t="n">
        <v>40.5</v>
      </c>
      <c r="AJ110" s="56" t="n">
        <v>42</v>
      </c>
      <c r="AK110" s="57" t="n">
        <f aca="false">AJ110-AI110</f>
        <v>1.5</v>
      </c>
      <c r="AL110" s="57" t="n">
        <f aca="false">(AI110+AJ110)/2</f>
        <v>41.25</v>
      </c>
      <c r="AM110" s="56" t="s">
        <v>199</v>
      </c>
      <c r="AN110" s="56" t="n">
        <v>37</v>
      </c>
      <c r="AO110" s="58" t="n">
        <f aca="false">IF(AL110&gt;$AA$20,$AA$22,$AA$21)</f>
        <v>18.2</v>
      </c>
      <c r="AP110" s="57" t="n">
        <f aca="false">AP109+AO110*AK110</f>
        <v>765.15</v>
      </c>
      <c r="AQ110" s="57" t="n">
        <f aca="false">AP110-AO110*AK110/2-10*MAX(AL110-$AA$20,0)</f>
        <v>409</v>
      </c>
      <c r="AR110" s="56"/>
      <c r="AS110" s="56"/>
      <c r="AT110" s="57" t="str">
        <f aca="false">IF(AR110="","",AR110-AS110)</f>
        <v/>
      </c>
      <c r="AU110" s="56" t="n">
        <v>0.65</v>
      </c>
      <c r="AV110" s="57" t="n">
        <f aca="false">IF(AM110="Sand",0,Input!$AA$34*AN110)</f>
        <v>0</v>
      </c>
      <c r="AW110" s="57" t="n">
        <f aca="false">IF(AM110="Sand",27.1+0.3*MIN(Input!$AA$35*AN110,60)-0.00054*MIN(Input!$AA$35*AN110,60)^2,MIN(MAX(DEGREES(ASIN(0.8-0.094*LN(MAX(IF(AT110="",10,AT110),5)))),20),30))</f>
        <v>38.25423007786</v>
      </c>
      <c r="AX110" s="57" t="n">
        <f aca="false">IF(AM110="Sand",Input!$AA$36*Input!$AA$35*AN110,Input!$AA$37*AV110)</f>
        <v>40071</v>
      </c>
      <c r="AY110" s="59" t="n">
        <f aca="false">IF(AM110="Sand",Input!$AA$38,0.5)</f>
        <v>0.3</v>
      </c>
      <c r="AZ110" s="57" t="n">
        <f aca="false">Input!$AA$15/2/AL110</f>
        <v>0.896969696969697</v>
      </c>
      <c r="BA110" s="57" t="n">
        <f aca="false">Input!$AA$16/2/AL110</f>
        <v>2.44848484848485</v>
      </c>
      <c r="BB110" s="57" t="n">
        <f aca="false">1/(4*PI())*(2*AZ110*BA110*SQRT(AZ110^2+BA110^2+1)/(AZ110^2+BA110^2+1+AZ110^2*BA110^2)*(AZ110^2+BA110^2+2)/(AZ110^2+BA110^2+1)+ATAN2(AZ110^2+BA110^2+1-AZ110^2*BA110^2,2*AZ110*BA110*SQRT(AZ110^2+BA110^2+1)))</f>
        <v>0.193307738368962</v>
      </c>
      <c r="BC110" s="57" t="n">
        <f aca="false">4*Input!$AA$14*BB110</f>
        <v>105.159409672716</v>
      </c>
      <c r="BD110" s="57" t="n">
        <f aca="false">((Input!$AA$16/Input!$AA$15)*LN((1+SQRT((Input!$AA$16/Input!$AA$15)^2+1))*SQRT((Input!$AA$16/Input!$AA$15)^2+(AJ110/(Input!$AA$15/2))^2)/((Input!$AA$16/Input!$AA$15)*(1+SQRT((Input!$AA$16/Input!$AA$15)^2+(AJ110/(Input!$AA$15/2))^2+1))))+LN(((Input!$AA$16/Input!$AA$15)+SQRT((Input!$AA$16/Input!$AA$15)^2+1))*SQRT(1+(AJ110/(Input!$AA$15/2))^2)/((Input!$AA$16/Input!$AA$15)+SQRT((Input!$AA$16/Input!$AA$15)^2+(AJ110/(Input!$AA$15/2))^2+1))))/PI()</f>
        <v>0.142931133731755</v>
      </c>
      <c r="BE110" s="57" t="n">
        <f aca="false">(AJ110/(Input!$AA$15/2))/(2*PI())*ATAN((Input!$AA$16/Input!$AA$15)/((AJ110/(Input!$AA$15/2))*SQRT((Input!$AA$16/Input!$AA$15)^2+(AJ110/(Input!$AA$15/2))^2+1)))</f>
        <v>0.118607707144671</v>
      </c>
      <c r="BF110" s="57" t="n">
        <f aca="false">MAX(0,AJ110-MAX(AI110,$AA$23))/AK110*IF(BC110&gt;=Input!$AA$21*AQ110,1,0)</f>
        <v>1</v>
      </c>
      <c r="BG110" s="57" t="n">
        <f aca="false">4*Input!$AA$14*(Input!$AA$15/2)*(1-AY110^2)/AX110*((BD110-BD109)+(1-2*AY110)/(1-AY110)*(BE110-BE109))*1000*BF110</f>
        <v>3.43275685371848</v>
      </c>
      <c r="BH110" s="57" t="n">
        <f aca="false">IF(AM110="Sand",0,0.009*(AR110-10))</f>
        <v>0</v>
      </c>
      <c r="BI110" s="57" t="n">
        <f aca="false">BH110*Input!$AA$39</f>
        <v>0</v>
      </c>
      <c r="BJ110" s="57" t="n">
        <f aca="false">IF(AM110="Sand",0,MAX(AV110/Input!$AA$40,AQ110))</f>
        <v>0</v>
      </c>
      <c r="BK110" s="57" t="n">
        <f aca="false">IF(AM110="Sand",0,1000*AK110/(1+AU110)*IF(AQ110+BC110&lt;=BJ110,BI110*LOG10((AQ110+BC110)/AQ110),BI110*LOG10(BJ110/AQ110)+BH110*LOG10((AQ110+BC110)/BJ110)))*BF110</f>
        <v>0</v>
      </c>
      <c r="BL110" s="57" t="n">
        <f aca="false">IF(AM110="Sand",0,10^(INDEX(Input!$Q$51:$Q$57,MIN(MATCH(MIN(MAX(AR110,30),120),Input!$C$51:$C$57,1),6))+(MIN(MAX(AR110,30),120)-INDEX(Input!$C$51:$C$57,MIN(MATCH(MIN(MAX(AR110,30),120),Input!$C$51:$C$57,1),6)))/(INDEX(Input!$C$51:$C$57,MIN(MATCH(MIN(MAX(AR110,30),120),Input!$C$51:$C$57,1),6)+1)-INDEX(Input!$C$51:$C$57,MIN(MATCH(MIN(MAX(AR110,30),120),Input!$C$51:$C$57,1),6)))*(INDEX(Input!$Q$51:$Q$57,MIN(MATCH(MIN(MAX(AR110,30),120),Input!$C$51:$C$57,1),6)+1)-INDEX(Input!$Q$51:$Q$57,MIN(MATCH(MIN(MAX(AR110,30),120),Input!$C$51:$C$57,1),6)))))</f>
        <v>0</v>
      </c>
      <c r="BM110" s="57" t="n">
        <f aca="false">IF(OR(AM110="Sand",BF110=0),0,Input!$AA$41*(AK110/2)^2/(BL110*0.0001*31536000))</f>
        <v>0</v>
      </c>
      <c r="BN110" s="57" t="n">
        <f aca="false">MAX(0,MIN(AJ110,Input!$AA$20)-AI110)</f>
        <v>0</v>
      </c>
      <c r="BO110" s="57" t="n">
        <f aca="false">MAX(0,MIN(AJ110,Input!$AA$20)-MAX(AI110,$AA$23))</f>
        <v>0</v>
      </c>
      <c r="BP110" s="57" t="n">
        <f aca="false">BG110+BK110</f>
        <v>3.43275685371848</v>
      </c>
      <c r="BQ110" s="57" t="s">
        <v>335</v>
      </c>
    </row>
    <row r="111" customFormat="false" ht="14.25" hidden="false" customHeight="false" outlineLevel="0" collapsed="false">
      <c r="B111" s="7"/>
      <c r="C111" s="46" t="n">
        <v>29</v>
      </c>
      <c r="D111" s="46"/>
      <c r="E111" s="44" t="n">
        <f aca="false">AI111</f>
        <v>42</v>
      </c>
      <c r="F111" s="44"/>
      <c r="G111" s="44"/>
      <c r="H111" s="44" t="n">
        <f aca="false">AJ111</f>
        <v>43.5</v>
      </c>
      <c r="I111" s="44"/>
      <c r="J111" s="44"/>
      <c r="K111" s="41" t="str">
        <f aca="false">AM111</f>
        <v>Sand</v>
      </c>
      <c r="L111" s="41"/>
      <c r="M111" s="41"/>
      <c r="N111" s="46" t="n">
        <f aca="false">AN111</f>
        <v>50</v>
      </c>
      <c r="O111" s="46"/>
      <c r="P111" s="46"/>
      <c r="Q111" s="42" t="n">
        <f aca="false">AO111</f>
        <v>18.2</v>
      </c>
      <c r="R111" s="42"/>
      <c r="S111" s="42"/>
      <c r="T111" s="46" t="str">
        <f aca="false">IF(AR111="","-",AR111)</f>
        <v>-</v>
      </c>
      <c r="U111" s="46"/>
      <c r="V111" s="46" t="str">
        <f aca="false">IF(AT111="","-",AT111)</f>
        <v>-</v>
      </c>
      <c r="W111" s="46"/>
      <c r="X111" s="44" t="n">
        <f aca="false">AU111</f>
        <v>0.65</v>
      </c>
      <c r="Y111" s="44"/>
      <c r="Z111" s="55" t="n">
        <f aca="false">AV111</f>
        <v>0</v>
      </c>
      <c r="AA111" s="55"/>
      <c r="AB111" s="55"/>
      <c r="AC111" s="42" t="n">
        <f aca="false">AW111</f>
        <v>41.76159985</v>
      </c>
      <c r="AD111" s="42"/>
      <c r="AE111" s="42"/>
      <c r="AF111" s="12"/>
      <c r="AI111" s="56" t="n">
        <v>42</v>
      </c>
      <c r="AJ111" s="56" t="n">
        <v>43.5</v>
      </c>
      <c r="AK111" s="57" t="n">
        <f aca="false">AJ111-AI111</f>
        <v>1.5</v>
      </c>
      <c r="AL111" s="57" t="n">
        <f aca="false">(AI111+AJ111)/2</f>
        <v>42.75</v>
      </c>
      <c r="AM111" s="56" t="s">
        <v>199</v>
      </c>
      <c r="AN111" s="56" t="n">
        <v>50</v>
      </c>
      <c r="AO111" s="58" t="n">
        <f aca="false">IF(AL111&gt;$AA$20,$AA$22,$AA$21)</f>
        <v>18.2</v>
      </c>
      <c r="AP111" s="57" t="n">
        <f aca="false">AP110+AO111*AK111</f>
        <v>792.45</v>
      </c>
      <c r="AQ111" s="57" t="n">
        <f aca="false">AP111-AO111*AK111/2-10*MAX(AL111-$AA$20,0)</f>
        <v>421.3</v>
      </c>
      <c r="AR111" s="56"/>
      <c r="AS111" s="56"/>
      <c r="AT111" s="57" t="str">
        <f aca="false">IF(AR111="","",AR111-AS111)</f>
        <v/>
      </c>
      <c r="AU111" s="56" t="n">
        <v>0.65</v>
      </c>
      <c r="AV111" s="57" t="n">
        <f aca="false">IF(AM111="Sand",0,Input!$AA$34*AN111)</f>
        <v>0</v>
      </c>
      <c r="AW111" s="57" t="n">
        <f aca="false">IF(AM111="Sand",27.1+0.3*MIN(Input!$AA$35*AN111,60)-0.00054*MIN(Input!$AA$35*AN111,60)^2,MIN(MAX(DEGREES(ASIN(0.8-0.094*LN(MAX(IF(AT111="",10,AT111),5)))),20),30))</f>
        <v>41.76159985</v>
      </c>
      <c r="AX111" s="57" t="n">
        <f aca="false">IF(AM111="Sand",Input!$AA$36*Input!$AA$35*AN111,Input!$AA$37*AV111)</f>
        <v>54150</v>
      </c>
      <c r="AY111" s="59" t="n">
        <f aca="false">IF(AM111="Sand",Input!$AA$38,0.5)</f>
        <v>0.3</v>
      </c>
      <c r="AZ111" s="57" t="n">
        <f aca="false">Input!$AA$15/2/AL111</f>
        <v>0.865497076023392</v>
      </c>
      <c r="BA111" s="57" t="n">
        <f aca="false">Input!$AA$16/2/AL111</f>
        <v>2.3625730994152</v>
      </c>
      <c r="BB111" s="57" t="n">
        <f aca="false">1/(4*PI())*(2*AZ111*BA111*SQRT(AZ111^2+BA111^2+1)/(AZ111^2+BA111^2+1+AZ111^2*BA111^2)*(AZ111^2+BA111^2+2)/(AZ111^2+BA111^2+1)+ATAN2(AZ111^2+BA111^2+1-AZ111^2*BA111^2,2*AZ111*BA111*SQRT(AZ111^2+BA111^2+1)))</f>
        <v>0.189929062586271</v>
      </c>
      <c r="BC111" s="57" t="n">
        <f aca="false">4*Input!$AA$14*BB111</f>
        <v>103.321410046931</v>
      </c>
      <c r="BD111" s="57" t="n">
        <f aca="false">((Input!$AA$16/Input!$AA$15)*LN((1+SQRT((Input!$AA$16/Input!$AA$15)^2+1))*SQRT((Input!$AA$16/Input!$AA$15)^2+(AJ111/(Input!$AA$15/2))^2)/((Input!$AA$16/Input!$AA$15)*(1+SQRT((Input!$AA$16/Input!$AA$15)^2+(AJ111/(Input!$AA$15/2))^2+1))))+LN(((Input!$AA$16/Input!$AA$15)+SQRT((Input!$AA$16/Input!$AA$15)^2+1))*SQRT(1+(AJ111/(Input!$AA$15/2))^2)/((Input!$AA$16/Input!$AA$15)+SQRT((Input!$AA$16/Input!$AA$15)^2+(AJ111/(Input!$AA$15/2))^2+1))))/PI()</f>
        <v>0.149983423865366</v>
      </c>
      <c r="BE111" s="57" t="n">
        <f aca="false">(AJ111/(Input!$AA$15/2))/(2*PI())*ATAN((Input!$AA$16/Input!$AA$15)/((AJ111/(Input!$AA$15/2))*SQRT((Input!$AA$16/Input!$AA$15)^2+(AJ111/(Input!$AA$15/2))^2+1)))</f>
        <v>0.11925528314828</v>
      </c>
      <c r="BF111" s="57" t="n">
        <f aca="false">MAX(0,AJ111-MAX(AI111,$AA$23))/AK111*IF(BC111&gt;=Input!$AA$21*AQ111,1,0)</f>
        <v>1</v>
      </c>
      <c r="BG111" s="57" t="n">
        <f aca="false">4*Input!$AA$14*(Input!$AA$15/2)*(1-AY111^2)/AX111*((BD111-BD110)+(1-2*AY111)/(1-AY111)*(BE111-BE110))*1000*BF111</f>
        <v>2.51063756754944</v>
      </c>
      <c r="BH111" s="57" t="n">
        <f aca="false">IF(AM111="Sand",0,0.009*(AR111-10))</f>
        <v>0</v>
      </c>
      <c r="BI111" s="57" t="n">
        <f aca="false">BH111*Input!$AA$39</f>
        <v>0</v>
      </c>
      <c r="BJ111" s="57" t="n">
        <f aca="false">IF(AM111="Sand",0,MAX(AV111/Input!$AA$40,AQ111))</f>
        <v>0</v>
      </c>
      <c r="BK111" s="57" t="n">
        <f aca="false">IF(AM111="Sand",0,1000*AK111/(1+AU111)*IF(AQ111+BC111&lt;=BJ111,BI111*LOG10((AQ111+BC111)/AQ111),BI111*LOG10(BJ111/AQ111)+BH111*LOG10((AQ111+BC111)/BJ111)))*BF111</f>
        <v>0</v>
      </c>
      <c r="BL111" s="57" t="n">
        <f aca="false">IF(AM111="Sand",0,10^(INDEX(Input!$Q$51:$Q$57,MIN(MATCH(MIN(MAX(AR111,30),120),Input!$C$51:$C$57,1),6))+(MIN(MAX(AR111,30),120)-INDEX(Input!$C$51:$C$57,MIN(MATCH(MIN(MAX(AR111,30),120),Input!$C$51:$C$57,1),6)))/(INDEX(Input!$C$51:$C$57,MIN(MATCH(MIN(MAX(AR111,30),120),Input!$C$51:$C$57,1),6)+1)-INDEX(Input!$C$51:$C$57,MIN(MATCH(MIN(MAX(AR111,30),120),Input!$C$51:$C$57,1),6)))*(INDEX(Input!$Q$51:$Q$57,MIN(MATCH(MIN(MAX(AR111,30),120),Input!$C$51:$C$57,1),6)+1)-INDEX(Input!$Q$51:$Q$57,MIN(MATCH(MIN(MAX(AR111,30),120),Input!$C$51:$C$57,1),6)))))</f>
        <v>0</v>
      </c>
      <c r="BM111" s="57" t="n">
        <f aca="false">IF(OR(AM111="Sand",BF111=0),0,Input!$AA$41*(AK111/2)^2/(BL111*0.0001*31536000))</f>
        <v>0</v>
      </c>
      <c r="BN111" s="57" t="n">
        <f aca="false">MAX(0,MIN(AJ111,Input!$AA$20)-AI111)</f>
        <v>0</v>
      </c>
      <c r="BO111" s="57" t="n">
        <f aca="false">MAX(0,MIN(AJ111,Input!$AA$20)-MAX(AI111,$AA$23))</f>
        <v>0</v>
      </c>
      <c r="BP111" s="57" t="n">
        <f aca="false">BG111+BK111</f>
        <v>2.51063756754944</v>
      </c>
      <c r="BQ111" s="57" t="s">
        <v>335</v>
      </c>
    </row>
    <row r="112" customFormat="false" ht="14.25" hidden="false" customHeight="false" outlineLevel="0" collapsed="false">
      <c r="B112" s="7"/>
      <c r="C112" s="46" t="n">
        <v>30</v>
      </c>
      <c r="D112" s="46"/>
      <c r="E112" s="44" t="n">
        <f aca="false">AI112</f>
        <v>43.5</v>
      </c>
      <c r="F112" s="44"/>
      <c r="G112" s="44"/>
      <c r="H112" s="44" t="n">
        <f aca="false">AJ112</f>
        <v>45</v>
      </c>
      <c r="I112" s="44"/>
      <c r="J112" s="44"/>
      <c r="K112" s="41" t="str">
        <f aca="false">AM112</f>
        <v>Sand</v>
      </c>
      <c r="L112" s="41"/>
      <c r="M112" s="41"/>
      <c r="N112" s="46" t="n">
        <f aca="false">AN112</f>
        <v>50</v>
      </c>
      <c r="O112" s="46"/>
      <c r="P112" s="46"/>
      <c r="Q112" s="42" t="n">
        <f aca="false">AO112</f>
        <v>18.2</v>
      </c>
      <c r="R112" s="42"/>
      <c r="S112" s="42"/>
      <c r="T112" s="46" t="str">
        <f aca="false">IF(AR112="","-",AR112)</f>
        <v>-</v>
      </c>
      <c r="U112" s="46"/>
      <c r="V112" s="46" t="str">
        <f aca="false">IF(AT112="","-",AT112)</f>
        <v>-</v>
      </c>
      <c r="W112" s="46"/>
      <c r="X112" s="44" t="n">
        <f aca="false">AU112</f>
        <v>0.65</v>
      </c>
      <c r="Y112" s="44"/>
      <c r="Z112" s="55" t="n">
        <f aca="false">AV112</f>
        <v>0</v>
      </c>
      <c r="AA112" s="55"/>
      <c r="AB112" s="55"/>
      <c r="AC112" s="42" t="n">
        <f aca="false">AW112</f>
        <v>41.76159985</v>
      </c>
      <c r="AD112" s="42"/>
      <c r="AE112" s="42"/>
      <c r="AF112" s="12"/>
      <c r="AI112" s="56" t="n">
        <v>43.5</v>
      </c>
      <c r="AJ112" s="56" t="n">
        <v>45</v>
      </c>
      <c r="AK112" s="57" t="n">
        <f aca="false">AJ112-AI112</f>
        <v>1.5</v>
      </c>
      <c r="AL112" s="57" t="n">
        <f aca="false">(AI112+AJ112)/2</f>
        <v>44.25</v>
      </c>
      <c r="AM112" s="56" t="s">
        <v>199</v>
      </c>
      <c r="AN112" s="56" t="n">
        <v>50</v>
      </c>
      <c r="AO112" s="58" t="n">
        <f aca="false">IF(AL112&gt;$AA$20,$AA$22,$AA$21)</f>
        <v>18.2</v>
      </c>
      <c r="AP112" s="57" t="n">
        <f aca="false">AP111+AO112*AK112</f>
        <v>819.75</v>
      </c>
      <c r="AQ112" s="57" t="n">
        <f aca="false">AP112-AO112*AK112/2-10*MAX(AL112-$AA$20,0)</f>
        <v>433.6</v>
      </c>
      <c r="AR112" s="56"/>
      <c r="AS112" s="56"/>
      <c r="AT112" s="57" t="str">
        <f aca="false">IF(AR112="","",AR112-AS112)</f>
        <v/>
      </c>
      <c r="AU112" s="56" t="n">
        <v>0.65</v>
      </c>
      <c r="AV112" s="57" t="n">
        <f aca="false">IF(AM112="Sand",0,Input!$AA$34*AN112)</f>
        <v>0</v>
      </c>
      <c r="AW112" s="57" t="n">
        <f aca="false">IF(AM112="Sand",27.1+0.3*MIN(Input!$AA$35*AN112,60)-0.00054*MIN(Input!$AA$35*AN112,60)^2,MIN(MAX(DEGREES(ASIN(0.8-0.094*LN(MAX(IF(AT112="",10,AT112),5)))),20),30))</f>
        <v>41.76159985</v>
      </c>
      <c r="AX112" s="57" t="n">
        <f aca="false">IF(AM112="Sand",Input!$AA$36*Input!$AA$35*AN112,Input!$AA$37*AV112)</f>
        <v>54150</v>
      </c>
      <c r="AY112" s="59" t="n">
        <f aca="false">IF(AM112="Sand",Input!$AA$38,0.5)</f>
        <v>0.3</v>
      </c>
      <c r="AZ112" s="57" t="n">
        <f aca="false">Input!$AA$15/2/AL112</f>
        <v>0.836158192090395</v>
      </c>
      <c r="BA112" s="57" t="n">
        <f aca="false">Input!$AA$16/2/AL112</f>
        <v>2.28248587570621</v>
      </c>
      <c r="BB112" s="57" t="n">
        <f aca="false">1/(4*PI())*(2*AZ112*BA112*SQRT(AZ112^2+BA112^2+1)/(AZ112^2+BA112^2+1+AZ112^2*BA112^2)*(AZ112^2+BA112^2+2)/(AZ112^2+BA112^2+1)+ATAN2(AZ112^2+BA112^2+1-AZ112^2*BA112^2,2*AZ112*BA112*SQRT(AZ112^2+BA112^2+1)))</f>
        <v>0.186573569537252</v>
      </c>
      <c r="BC112" s="57" t="n">
        <f aca="false">4*Input!$AA$14*BB112</f>
        <v>101.496021828265</v>
      </c>
      <c r="BD112" s="57" t="n">
        <f aca="false">((Input!$AA$16/Input!$AA$15)*LN((1+SQRT((Input!$AA$16/Input!$AA$15)^2+1))*SQRT((Input!$AA$16/Input!$AA$15)^2+(AJ112/(Input!$AA$15/2))^2)/((Input!$AA$16/Input!$AA$15)*(1+SQRT((Input!$AA$16/Input!$AA$15)^2+(AJ112/(Input!$AA$15/2))^2+1))))+LN(((Input!$AA$16/Input!$AA$15)+SQRT((Input!$AA$16/Input!$AA$15)^2+1))*SQRT(1+(AJ112/(Input!$AA$15/2))^2)/((Input!$AA$16/Input!$AA$15)+SQRT((Input!$AA$16/Input!$AA$15)^2+(AJ112/(Input!$AA$15/2))^2+1))))/PI()</f>
        <v>0.157006419484548</v>
      </c>
      <c r="BE112" s="57" t="n">
        <f aca="false">(AJ112/(Input!$AA$15/2))/(2*PI())*ATAN((Input!$AA$16/Input!$AA$15)/((AJ112/(Input!$AA$15/2))*SQRT((Input!$AA$16/Input!$AA$15)^2+(AJ112/(Input!$AA$15/2))^2+1)))</f>
        <v>0.119796130362691</v>
      </c>
      <c r="BF112" s="57" t="n">
        <f aca="false">MAX(0,AJ112-MAX(AI112,$AA$23))/AK112*IF(BC112&gt;=Input!$AA$21*AQ112,1,0)</f>
        <v>1</v>
      </c>
      <c r="BG112" s="57" t="n">
        <f aca="false">4*Input!$AA$14*(Input!$AA$15/2)*(1-AY112^2)/AX112*((BD112-BD111)+(1-2*AY112)/(1-AY112)*(BE112-BE111))*1000*BF112</f>
        <v>2.48009914347766</v>
      </c>
      <c r="BH112" s="57" t="n">
        <f aca="false">IF(AM112="Sand",0,0.009*(AR112-10))</f>
        <v>0</v>
      </c>
      <c r="BI112" s="57" t="n">
        <f aca="false">BH112*Input!$AA$39</f>
        <v>0</v>
      </c>
      <c r="BJ112" s="57" t="n">
        <f aca="false">IF(AM112="Sand",0,MAX(AV112/Input!$AA$40,AQ112))</f>
        <v>0</v>
      </c>
      <c r="BK112" s="57" t="n">
        <f aca="false">IF(AM112="Sand",0,1000*AK112/(1+AU112)*IF(AQ112+BC112&lt;=BJ112,BI112*LOG10((AQ112+BC112)/AQ112),BI112*LOG10(BJ112/AQ112)+BH112*LOG10((AQ112+BC112)/BJ112)))*BF112</f>
        <v>0</v>
      </c>
      <c r="BL112" s="57" t="n">
        <f aca="false">IF(AM112="Sand",0,10^(INDEX(Input!$Q$51:$Q$57,MIN(MATCH(MIN(MAX(AR112,30),120),Input!$C$51:$C$57,1),6))+(MIN(MAX(AR112,30),120)-INDEX(Input!$C$51:$C$57,MIN(MATCH(MIN(MAX(AR112,30),120),Input!$C$51:$C$57,1),6)))/(INDEX(Input!$C$51:$C$57,MIN(MATCH(MIN(MAX(AR112,30),120),Input!$C$51:$C$57,1),6)+1)-INDEX(Input!$C$51:$C$57,MIN(MATCH(MIN(MAX(AR112,30),120),Input!$C$51:$C$57,1),6)))*(INDEX(Input!$Q$51:$Q$57,MIN(MATCH(MIN(MAX(AR112,30),120),Input!$C$51:$C$57,1),6)+1)-INDEX(Input!$Q$51:$Q$57,MIN(MATCH(MIN(MAX(AR112,30),120),Input!$C$51:$C$57,1),6)))))</f>
        <v>0</v>
      </c>
      <c r="BM112" s="57" t="n">
        <f aca="false">IF(OR(AM112="Sand",BF112=0),0,Input!$AA$41*(AK112/2)^2/(BL112*0.0001*31536000))</f>
        <v>0</v>
      </c>
      <c r="BN112" s="57" t="n">
        <f aca="false">MAX(0,MIN(AJ112,Input!$AA$20)-AI112)</f>
        <v>0</v>
      </c>
      <c r="BO112" s="57" t="n">
        <f aca="false">MAX(0,MIN(AJ112,Input!$AA$20)-MAX(AI112,$AA$23))</f>
        <v>0</v>
      </c>
      <c r="BP112" s="57" t="n">
        <f aca="false">BG112+BK112</f>
        <v>2.48009914347766</v>
      </c>
      <c r="BQ112" s="57" t="s">
        <v>335</v>
      </c>
    </row>
    <row r="113" customFormat="false" ht="14.25" hidden="false" customHeight="false" outlineLevel="0" collapsed="false">
      <c r="B113" s="7"/>
      <c r="C113" s="46" t="n">
        <v>31</v>
      </c>
      <c r="D113" s="46"/>
      <c r="E113" s="44" t="n">
        <f aca="false">AI113</f>
        <v>45</v>
      </c>
      <c r="F113" s="44"/>
      <c r="G113" s="44"/>
      <c r="H113" s="44" t="n">
        <f aca="false">AJ113</f>
        <v>46.5</v>
      </c>
      <c r="I113" s="44"/>
      <c r="J113" s="44"/>
      <c r="K113" s="41" t="str">
        <f aca="false">AM113</f>
        <v>Sand</v>
      </c>
      <c r="L113" s="41"/>
      <c r="M113" s="41"/>
      <c r="N113" s="46" t="n">
        <f aca="false">AN113</f>
        <v>50</v>
      </c>
      <c r="O113" s="46"/>
      <c r="P113" s="46"/>
      <c r="Q113" s="42" t="n">
        <f aca="false">AO113</f>
        <v>18.2</v>
      </c>
      <c r="R113" s="42"/>
      <c r="S113" s="42"/>
      <c r="T113" s="46" t="str">
        <f aca="false">IF(AR113="","-",AR113)</f>
        <v>-</v>
      </c>
      <c r="U113" s="46"/>
      <c r="V113" s="46" t="str">
        <f aca="false">IF(AT113="","-",AT113)</f>
        <v>-</v>
      </c>
      <c r="W113" s="46"/>
      <c r="X113" s="44" t="n">
        <f aca="false">AU113</f>
        <v>0.65</v>
      </c>
      <c r="Y113" s="44"/>
      <c r="Z113" s="55" t="n">
        <f aca="false">AV113</f>
        <v>0</v>
      </c>
      <c r="AA113" s="55"/>
      <c r="AB113" s="55"/>
      <c r="AC113" s="42" t="n">
        <f aca="false">AW113</f>
        <v>41.76159985</v>
      </c>
      <c r="AD113" s="42"/>
      <c r="AE113" s="42"/>
      <c r="AF113" s="12"/>
      <c r="AI113" s="56" t="n">
        <v>45</v>
      </c>
      <c r="AJ113" s="56" t="n">
        <v>46.5</v>
      </c>
      <c r="AK113" s="57" t="n">
        <f aca="false">AJ113-AI113</f>
        <v>1.5</v>
      </c>
      <c r="AL113" s="57" t="n">
        <f aca="false">(AI113+AJ113)/2</f>
        <v>45.75</v>
      </c>
      <c r="AM113" s="56" t="s">
        <v>199</v>
      </c>
      <c r="AN113" s="56" t="n">
        <v>50</v>
      </c>
      <c r="AO113" s="58" t="n">
        <f aca="false">IF(AL113&gt;$AA$20,$AA$22,$AA$21)</f>
        <v>18.2</v>
      </c>
      <c r="AP113" s="57" t="n">
        <f aca="false">AP112+AO113*AK113</f>
        <v>847.05</v>
      </c>
      <c r="AQ113" s="57" t="n">
        <f aca="false">AP113-AO113*AK113/2-10*MAX(AL113-$AA$20,0)</f>
        <v>445.9</v>
      </c>
      <c r="AR113" s="56"/>
      <c r="AS113" s="56"/>
      <c r="AT113" s="57" t="str">
        <f aca="false">IF(AR113="","",AR113-AS113)</f>
        <v/>
      </c>
      <c r="AU113" s="56" t="n">
        <v>0.65</v>
      </c>
      <c r="AV113" s="57" t="n">
        <f aca="false">IF(AM113="Sand",0,Input!$AA$34*AN113)</f>
        <v>0</v>
      </c>
      <c r="AW113" s="57" t="n">
        <f aca="false">IF(AM113="Sand",27.1+0.3*MIN(Input!$AA$35*AN113,60)-0.00054*MIN(Input!$AA$35*AN113,60)^2,MIN(MAX(DEGREES(ASIN(0.8-0.094*LN(MAX(IF(AT113="",10,AT113),5)))),20),30))</f>
        <v>41.76159985</v>
      </c>
      <c r="AX113" s="57" t="n">
        <f aca="false">IF(AM113="Sand",Input!$AA$36*Input!$AA$35*AN113,Input!$AA$37*AV113)</f>
        <v>54150</v>
      </c>
      <c r="AY113" s="59" t="n">
        <f aca="false">IF(AM113="Sand",Input!$AA$38,0.5)</f>
        <v>0.3</v>
      </c>
      <c r="AZ113" s="57" t="n">
        <f aca="false">Input!$AA$15/2/AL113</f>
        <v>0.808743169398907</v>
      </c>
      <c r="BA113" s="57" t="n">
        <f aca="false">Input!$AA$16/2/AL113</f>
        <v>2.20765027322404</v>
      </c>
      <c r="BB113" s="57" t="n">
        <f aca="false">1/(4*PI())*(2*AZ113*BA113*SQRT(AZ113^2+BA113^2+1)/(AZ113^2+BA113^2+1+AZ113^2*BA113^2)*(AZ113^2+BA113^2+2)/(AZ113^2+BA113^2+1)+ATAN2(AZ113^2+BA113^2+1-AZ113^2*BA113^2,2*AZ113*BA113*SQRT(AZ113^2+BA113^2+1)))</f>
        <v>0.183247302768845</v>
      </c>
      <c r="BC113" s="57" t="n">
        <f aca="false">4*Input!$AA$14*BB113</f>
        <v>99.6865327062518</v>
      </c>
      <c r="BD113" s="57" t="n">
        <f aca="false">((Input!$AA$16/Input!$AA$15)*LN((1+SQRT((Input!$AA$16/Input!$AA$15)^2+1))*SQRT((Input!$AA$16/Input!$AA$15)^2+(AJ113/(Input!$AA$15/2))^2)/((Input!$AA$16/Input!$AA$15)*(1+SQRT((Input!$AA$16/Input!$AA$15)^2+(AJ113/(Input!$AA$15/2))^2+1))))+LN(((Input!$AA$16/Input!$AA$15)+SQRT((Input!$AA$16/Input!$AA$15)^2+1))*SQRT(1+(AJ113/(Input!$AA$15/2))^2)/((Input!$AA$16/Input!$AA$15)+SQRT((Input!$AA$16/Input!$AA$15)^2+(AJ113/(Input!$AA$15/2))^2+1))))/PI()</f>
        <v>0.163993300910008</v>
      </c>
      <c r="BE113" s="57" t="n">
        <f aca="false">(AJ113/(Input!$AA$15/2))/(2*PI())*ATAN((Input!$AA$16/Input!$AA$15)/((AJ113/(Input!$AA$15/2))*SQRT((Input!$AA$16/Input!$AA$15)^2+(AJ113/(Input!$AA$15/2))^2+1)))</f>
        <v>0.120238251830284</v>
      </c>
      <c r="BF113" s="57" t="n">
        <f aca="false">MAX(0,AJ113-MAX(AI113,$AA$23))/AK113*IF(BC113&gt;=Input!$AA$21*AQ113,1,0)</f>
        <v>1</v>
      </c>
      <c r="BG113" s="57" t="n">
        <f aca="false">4*Input!$AA$14*(Input!$AA$15/2)*(1-AY113^2)/AX113*((BD113-BD112)+(1-2*AY113)/(1-AY113)*(BE113-BE112))*1000*BF113</f>
        <v>2.44880082658623</v>
      </c>
      <c r="BH113" s="57" t="n">
        <f aca="false">IF(AM113="Sand",0,0.009*(AR113-10))</f>
        <v>0</v>
      </c>
      <c r="BI113" s="57" t="n">
        <f aca="false">BH113*Input!$AA$39</f>
        <v>0</v>
      </c>
      <c r="BJ113" s="57" t="n">
        <f aca="false">IF(AM113="Sand",0,MAX(AV113/Input!$AA$40,AQ113))</f>
        <v>0</v>
      </c>
      <c r="BK113" s="57" t="n">
        <f aca="false">IF(AM113="Sand",0,1000*AK113/(1+AU113)*IF(AQ113+BC113&lt;=BJ113,BI113*LOG10((AQ113+BC113)/AQ113),BI113*LOG10(BJ113/AQ113)+BH113*LOG10((AQ113+BC113)/BJ113)))*BF113</f>
        <v>0</v>
      </c>
      <c r="BL113" s="57" t="n">
        <f aca="false">IF(AM113="Sand",0,10^(INDEX(Input!$Q$51:$Q$57,MIN(MATCH(MIN(MAX(AR113,30),120),Input!$C$51:$C$57,1),6))+(MIN(MAX(AR113,30),120)-INDEX(Input!$C$51:$C$57,MIN(MATCH(MIN(MAX(AR113,30),120),Input!$C$51:$C$57,1),6)))/(INDEX(Input!$C$51:$C$57,MIN(MATCH(MIN(MAX(AR113,30),120),Input!$C$51:$C$57,1),6)+1)-INDEX(Input!$C$51:$C$57,MIN(MATCH(MIN(MAX(AR113,30),120),Input!$C$51:$C$57,1),6)))*(INDEX(Input!$Q$51:$Q$57,MIN(MATCH(MIN(MAX(AR113,30),120),Input!$C$51:$C$57,1),6)+1)-INDEX(Input!$Q$51:$Q$57,MIN(MATCH(MIN(MAX(AR113,30),120),Input!$C$51:$C$57,1),6)))))</f>
        <v>0</v>
      </c>
      <c r="BM113" s="57" t="n">
        <f aca="false">IF(OR(AM113="Sand",BF113=0),0,Input!$AA$41*(AK113/2)^2/(BL113*0.0001*31536000))</f>
        <v>0</v>
      </c>
      <c r="BN113" s="57" t="n">
        <f aca="false">MAX(0,MIN(AJ113,Input!$AA$20)-AI113)</f>
        <v>0</v>
      </c>
      <c r="BO113" s="57" t="n">
        <f aca="false">MAX(0,MIN(AJ113,Input!$AA$20)-MAX(AI113,$AA$23))</f>
        <v>0</v>
      </c>
      <c r="BP113" s="57" t="n">
        <f aca="false">BG113+BK113</f>
        <v>2.44880082658623</v>
      </c>
      <c r="BQ113" s="57" t="s">
        <v>335</v>
      </c>
    </row>
    <row r="114" customFormat="false" ht="14.25" hidden="false" customHeight="false" outlineLevel="0" collapsed="false">
      <c r="B114" s="7"/>
      <c r="C114" s="46" t="n">
        <v>32</v>
      </c>
      <c r="D114" s="46"/>
      <c r="E114" s="44" t="n">
        <f aca="false">AI114</f>
        <v>46.5</v>
      </c>
      <c r="F114" s="44"/>
      <c r="G114" s="44"/>
      <c r="H114" s="44" t="n">
        <f aca="false">AJ114</f>
        <v>48</v>
      </c>
      <c r="I114" s="44"/>
      <c r="J114" s="44"/>
      <c r="K114" s="41" t="str">
        <f aca="false">AM114</f>
        <v>Sand</v>
      </c>
      <c r="L114" s="41"/>
      <c r="M114" s="41"/>
      <c r="N114" s="46" t="n">
        <f aca="false">AN114</f>
        <v>50</v>
      </c>
      <c r="O114" s="46"/>
      <c r="P114" s="46"/>
      <c r="Q114" s="42" t="n">
        <f aca="false">AO114</f>
        <v>18.2</v>
      </c>
      <c r="R114" s="42"/>
      <c r="S114" s="42"/>
      <c r="T114" s="46" t="str">
        <f aca="false">IF(AR114="","-",AR114)</f>
        <v>-</v>
      </c>
      <c r="U114" s="46"/>
      <c r="V114" s="46" t="str">
        <f aca="false">IF(AT114="","-",AT114)</f>
        <v>-</v>
      </c>
      <c r="W114" s="46"/>
      <c r="X114" s="44" t="n">
        <f aca="false">AU114</f>
        <v>0.65</v>
      </c>
      <c r="Y114" s="44"/>
      <c r="Z114" s="55" t="n">
        <f aca="false">AV114</f>
        <v>0</v>
      </c>
      <c r="AA114" s="55"/>
      <c r="AB114" s="55"/>
      <c r="AC114" s="42" t="n">
        <f aca="false">AW114</f>
        <v>41.76159985</v>
      </c>
      <c r="AD114" s="42"/>
      <c r="AE114" s="42"/>
      <c r="AF114" s="12"/>
      <c r="AI114" s="56" t="n">
        <v>46.5</v>
      </c>
      <c r="AJ114" s="56" t="n">
        <v>48</v>
      </c>
      <c r="AK114" s="57" t="n">
        <f aca="false">AJ114-AI114</f>
        <v>1.5</v>
      </c>
      <c r="AL114" s="57" t="n">
        <f aca="false">(AI114+AJ114)/2</f>
        <v>47.25</v>
      </c>
      <c r="AM114" s="56" t="s">
        <v>199</v>
      </c>
      <c r="AN114" s="56" t="n">
        <v>50</v>
      </c>
      <c r="AO114" s="58" t="n">
        <f aca="false">IF(AL114&gt;$AA$20,$AA$22,$AA$21)</f>
        <v>18.2</v>
      </c>
      <c r="AP114" s="57" t="n">
        <f aca="false">AP113+AO114*AK114</f>
        <v>874.35</v>
      </c>
      <c r="AQ114" s="57" t="n">
        <f aca="false">AP114-AO114*AK114/2-10*MAX(AL114-$AA$20,0)</f>
        <v>458.2</v>
      </c>
      <c r="AR114" s="56"/>
      <c r="AS114" s="56"/>
      <c r="AT114" s="57" t="str">
        <f aca="false">IF(AR114="","",AR114-AS114)</f>
        <v/>
      </c>
      <c r="AU114" s="56" t="n">
        <v>0.65</v>
      </c>
      <c r="AV114" s="57" t="n">
        <f aca="false">IF(AM114="Sand",0,Input!$AA$34*AN114)</f>
        <v>0</v>
      </c>
      <c r="AW114" s="57" t="n">
        <f aca="false">IF(AM114="Sand",27.1+0.3*MIN(Input!$AA$35*AN114,60)-0.00054*MIN(Input!$AA$35*AN114,60)^2,MIN(MAX(DEGREES(ASIN(0.8-0.094*LN(MAX(IF(AT114="",10,AT114),5)))),20),30))</f>
        <v>41.76159985</v>
      </c>
      <c r="AX114" s="57" t="n">
        <f aca="false">IF(AM114="Sand",Input!$AA$36*Input!$AA$35*AN114,Input!$AA$37*AV114)</f>
        <v>54150</v>
      </c>
      <c r="AY114" s="59" t="n">
        <f aca="false">IF(AM114="Sand",Input!$AA$38,0.5)</f>
        <v>0.3</v>
      </c>
      <c r="AZ114" s="57" t="n">
        <f aca="false">Input!$AA$15/2/AL114</f>
        <v>0.783068783068783</v>
      </c>
      <c r="BA114" s="57" t="n">
        <f aca="false">Input!$AA$16/2/AL114</f>
        <v>2.13756613756614</v>
      </c>
      <c r="BB114" s="57" t="n">
        <f aca="false">1/(4*PI())*(2*AZ114*BA114*SQRT(AZ114^2+BA114^2+1)/(AZ114^2+BA114^2+1+AZ114^2*BA114^2)*(AZ114^2+BA114^2+2)/(AZ114^2+BA114^2+1)+ATAN2(AZ114^2+BA114^2+1-AZ114^2*BA114^2,2*AZ114*BA114*SQRT(AZ114^2+BA114^2+1)))</f>
        <v>0.179955425946873</v>
      </c>
      <c r="BC114" s="57" t="n">
        <f aca="false">4*Input!$AA$14*BB114</f>
        <v>97.8957517150986</v>
      </c>
      <c r="BD114" s="57" t="n">
        <f aca="false">((Input!$AA$16/Input!$AA$15)*LN((1+SQRT((Input!$AA$16/Input!$AA$15)^2+1))*SQRT((Input!$AA$16/Input!$AA$15)^2+(AJ114/(Input!$AA$15/2))^2)/((Input!$AA$16/Input!$AA$15)*(1+SQRT((Input!$AA$16/Input!$AA$15)^2+(AJ114/(Input!$AA$15/2))^2+1))))+LN(((Input!$AA$16/Input!$AA$15)+SQRT((Input!$AA$16/Input!$AA$15)^2+1))*SQRT(1+(AJ114/(Input!$AA$15/2))^2)/((Input!$AA$16/Input!$AA$15)+SQRT((Input!$AA$16/Input!$AA$15)^2+(AJ114/(Input!$AA$15/2))^2+1))))/PI()</f>
        <v>0.170938053366324</v>
      </c>
      <c r="BE114" s="57" t="n">
        <f aca="false">(AJ114/(Input!$AA$15/2))/(2*PI())*ATAN((Input!$AA$16/Input!$AA$15)/((AJ114/(Input!$AA$15/2))*SQRT((Input!$AA$16/Input!$AA$15)^2+(AJ114/(Input!$AA$15/2))^2+1)))</f>
        <v>0.120589055170862</v>
      </c>
      <c r="BF114" s="57" t="n">
        <f aca="false">MAX(0,AJ114-MAX(AI114,$AA$23))/AK114*IF(BC114&gt;=Input!$AA$21*AQ114,1,0)</f>
        <v>1</v>
      </c>
      <c r="BG114" s="57" t="n">
        <f aca="false">4*Input!$AA$14*(Input!$AA$15/2)*(1-AY114^2)/AX114*((BD114-BD113)+(1-2*AY114)/(1-AY114)*(BE114-BE113))*1000*BF114</f>
        <v>2.41689979101431</v>
      </c>
      <c r="BH114" s="57" t="n">
        <f aca="false">IF(AM114="Sand",0,0.009*(AR114-10))</f>
        <v>0</v>
      </c>
      <c r="BI114" s="57" t="n">
        <f aca="false">BH114*Input!$AA$39</f>
        <v>0</v>
      </c>
      <c r="BJ114" s="57" t="n">
        <f aca="false">IF(AM114="Sand",0,MAX(AV114/Input!$AA$40,AQ114))</f>
        <v>0</v>
      </c>
      <c r="BK114" s="57" t="n">
        <f aca="false">IF(AM114="Sand",0,1000*AK114/(1+AU114)*IF(AQ114+BC114&lt;=BJ114,BI114*LOG10((AQ114+BC114)/AQ114),BI114*LOG10(BJ114/AQ114)+BH114*LOG10((AQ114+BC114)/BJ114)))*BF114</f>
        <v>0</v>
      </c>
      <c r="BL114" s="57" t="n">
        <f aca="false">IF(AM114="Sand",0,10^(INDEX(Input!$Q$51:$Q$57,MIN(MATCH(MIN(MAX(AR114,30),120),Input!$C$51:$C$57,1),6))+(MIN(MAX(AR114,30),120)-INDEX(Input!$C$51:$C$57,MIN(MATCH(MIN(MAX(AR114,30),120),Input!$C$51:$C$57,1),6)))/(INDEX(Input!$C$51:$C$57,MIN(MATCH(MIN(MAX(AR114,30),120),Input!$C$51:$C$57,1),6)+1)-INDEX(Input!$C$51:$C$57,MIN(MATCH(MIN(MAX(AR114,30),120),Input!$C$51:$C$57,1),6)))*(INDEX(Input!$Q$51:$Q$57,MIN(MATCH(MIN(MAX(AR114,30),120),Input!$C$51:$C$57,1),6)+1)-INDEX(Input!$Q$51:$Q$57,MIN(MATCH(MIN(MAX(AR114,30),120),Input!$C$51:$C$57,1),6)))))</f>
        <v>0</v>
      </c>
      <c r="BM114" s="57" t="n">
        <f aca="false">IF(OR(AM114="Sand",BF114=0),0,Input!$AA$41*(AK114/2)^2/(BL114*0.0001*31536000))</f>
        <v>0</v>
      </c>
      <c r="BN114" s="57" t="n">
        <f aca="false">MAX(0,MIN(AJ114,Input!$AA$20)-AI114)</f>
        <v>0</v>
      </c>
      <c r="BO114" s="57" t="n">
        <f aca="false">MAX(0,MIN(AJ114,Input!$AA$20)-MAX(AI114,$AA$23))</f>
        <v>0</v>
      </c>
      <c r="BP114" s="57" t="n">
        <f aca="false">BG114+BK114</f>
        <v>2.41689979101431</v>
      </c>
      <c r="BQ114" s="57" t="s">
        <v>335</v>
      </c>
    </row>
    <row r="115" customFormat="false" ht="14.25" hidden="false" customHeight="false" outlineLevel="0" collapsed="false">
      <c r="B115" s="7"/>
      <c r="C115" s="46" t="n">
        <v>33</v>
      </c>
      <c r="D115" s="46"/>
      <c r="E115" s="44" t="n">
        <f aca="false">AI115</f>
        <v>48</v>
      </c>
      <c r="F115" s="44"/>
      <c r="G115" s="44"/>
      <c r="H115" s="44" t="n">
        <f aca="false">AJ115</f>
        <v>49.5</v>
      </c>
      <c r="I115" s="44"/>
      <c r="J115" s="44"/>
      <c r="K115" s="41" t="str">
        <f aca="false">AM115</f>
        <v>Sand</v>
      </c>
      <c r="L115" s="41"/>
      <c r="M115" s="41"/>
      <c r="N115" s="46" t="n">
        <f aca="false">AN115</f>
        <v>27</v>
      </c>
      <c r="O115" s="46"/>
      <c r="P115" s="46"/>
      <c r="Q115" s="42" t="n">
        <f aca="false">AO115</f>
        <v>18.2</v>
      </c>
      <c r="R115" s="42"/>
      <c r="S115" s="42"/>
      <c r="T115" s="46" t="str">
        <f aca="false">IF(AR115="","-",AR115)</f>
        <v>-</v>
      </c>
      <c r="U115" s="46"/>
      <c r="V115" s="46" t="str">
        <f aca="false">IF(AT115="","-",AT115)</f>
        <v>-</v>
      </c>
      <c r="W115" s="46"/>
      <c r="X115" s="44" t="n">
        <f aca="false">AU115</f>
        <v>0.65</v>
      </c>
      <c r="Y115" s="44"/>
      <c r="Z115" s="55" t="n">
        <f aca="false">AV115</f>
        <v>0</v>
      </c>
      <c r="AA115" s="55"/>
      <c r="AB115" s="55"/>
      <c r="AC115" s="42" t="n">
        <f aca="false">AW115</f>
        <v>35.41058051626</v>
      </c>
      <c r="AD115" s="42"/>
      <c r="AE115" s="42"/>
      <c r="AF115" s="12"/>
      <c r="AI115" s="56" t="n">
        <v>48</v>
      </c>
      <c r="AJ115" s="56" t="n">
        <v>49.5</v>
      </c>
      <c r="AK115" s="57" t="n">
        <f aca="false">AJ115-AI115</f>
        <v>1.5</v>
      </c>
      <c r="AL115" s="57" t="n">
        <f aca="false">(AI115+AJ115)/2</f>
        <v>48.75</v>
      </c>
      <c r="AM115" s="56" t="s">
        <v>199</v>
      </c>
      <c r="AN115" s="56" t="n">
        <v>27</v>
      </c>
      <c r="AO115" s="58" t="n">
        <f aca="false">IF(AL115&gt;$AA$20,$AA$22,$AA$21)</f>
        <v>18.2</v>
      </c>
      <c r="AP115" s="57" t="n">
        <f aca="false">AP114+AO115*AK115</f>
        <v>901.65</v>
      </c>
      <c r="AQ115" s="57" t="n">
        <f aca="false">AP115-AO115*AK115/2-10*MAX(AL115-$AA$20,0)</f>
        <v>470.5</v>
      </c>
      <c r="AR115" s="56"/>
      <c r="AS115" s="56"/>
      <c r="AT115" s="57" t="str">
        <f aca="false">IF(AR115="","",AR115-AS115)</f>
        <v/>
      </c>
      <c r="AU115" s="56" t="n">
        <v>0.65</v>
      </c>
      <c r="AV115" s="57" t="n">
        <f aca="false">IF(AM115="Sand",0,Input!$AA$34*AN115)</f>
        <v>0</v>
      </c>
      <c r="AW115" s="57" t="n">
        <f aca="false">IF(AM115="Sand",27.1+0.3*MIN(Input!$AA$35*AN115,60)-0.00054*MIN(Input!$AA$35*AN115,60)^2,MIN(MAX(DEGREES(ASIN(0.8-0.094*LN(MAX(IF(AT115="",10,AT115),5)))),20),30))</f>
        <v>35.41058051626</v>
      </c>
      <c r="AX115" s="57" t="n">
        <f aca="false">IF(AM115="Sand",Input!$AA$36*Input!$AA$35*AN115,Input!$AA$37*AV115)</f>
        <v>29241</v>
      </c>
      <c r="AY115" s="59" t="n">
        <f aca="false">IF(AM115="Sand",Input!$AA$38,0.5)</f>
        <v>0.3</v>
      </c>
      <c r="AZ115" s="57" t="n">
        <f aca="false">Input!$AA$15/2/AL115</f>
        <v>0.758974358974359</v>
      </c>
      <c r="BA115" s="57" t="n">
        <f aca="false">Input!$AA$16/2/AL115</f>
        <v>2.07179487179487</v>
      </c>
      <c r="BB115" s="57" t="n">
        <f aca="false">1/(4*PI())*(2*AZ115*BA115*SQRT(AZ115^2+BA115^2+1)/(AZ115^2+BA115^2+1+AZ115^2*BA115^2)*(AZ115^2+BA115^2+2)/(AZ115^2+BA115^2+1)+ATAN2(AZ115^2+BA115^2+1-AZ115^2*BA115^2,2*AZ115*BA115*SQRT(AZ115^2+BA115^2+1)))</f>
        <v>0.176702307674372</v>
      </c>
      <c r="BC115" s="57" t="n">
        <f aca="false">4*Input!$AA$14*BB115</f>
        <v>96.1260553748583</v>
      </c>
      <c r="BD115" s="57" t="n">
        <f aca="false">((Input!$AA$16/Input!$AA$15)*LN((1+SQRT((Input!$AA$16/Input!$AA$15)^2+1))*SQRT((Input!$AA$16/Input!$AA$15)^2+(AJ115/(Input!$AA$15/2))^2)/((Input!$AA$16/Input!$AA$15)*(1+SQRT((Input!$AA$16/Input!$AA$15)^2+(AJ115/(Input!$AA$15/2))^2+1))))+LN(((Input!$AA$16/Input!$AA$15)+SQRT((Input!$AA$16/Input!$AA$15)^2+1))*SQRT(1+(AJ115/(Input!$AA$15/2))^2)/((Input!$AA$16/Input!$AA$15)+SQRT((Input!$AA$16/Input!$AA$15)^2+(AJ115/(Input!$AA$15/2))^2+1))))/PI()</f>
        <v>0.177835390268971</v>
      </c>
      <c r="BE115" s="57" t="n">
        <f aca="false">(AJ115/(Input!$AA$15/2))/(2*PI())*ATAN((Input!$AA$16/Input!$AA$15)/((AJ115/(Input!$AA$15/2))*SQRT((Input!$AA$16/Input!$AA$15)^2+(AJ115/(Input!$AA$15/2))^2+1)))</f>
        <v>0.120855397057084</v>
      </c>
      <c r="BF115" s="57" t="n">
        <f aca="false">MAX(0,AJ115-MAX(AI115,$AA$23))/AK115*IF(BC115&gt;=Input!$AA$21*AQ115,1,0)</f>
        <v>1</v>
      </c>
      <c r="BG115" s="57" t="n">
        <f aca="false">4*Input!$AA$14*(Input!$AA$15/2)*(1-AY115^2)/AX115*((BD115-BD114)+(1-2*AY115)/(1-AY115)*(BE115-BE114))*1000*BF115</f>
        <v>4.41580714624181</v>
      </c>
      <c r="BH115" s="57" t="n">
        <f aca="false">IF(AM115="Sand",0,0.009*(AR115-10))</f>
        <v>0</v>
      </c>
      <c r="BI115" s="57" t="n">
        <f aca="false">BH115*Input!$AA$39</f>
        <v>0</v>
      </c>
      <c r="BJ115" s="57" t="n">
        <f aca="false">IF(AM115="Sand",0,MAX(AV115/Input!$AA$40,AQ115))</f>
        <v>0</v>
      </c>
      <c r="BK115" s="57" t="n">
        <f aca="false">IF(AM115="Sand",0,1000*AK115/(1+AU115)*IF(AQ115+BC115&lt;=BJ115,BI115*LOG10((AQ115+BC115)/AQ115),BI115*LOG10(BJ115/AQ115)+BH115*LOG10((AQ115+BC115)/BJ115)))*BF115</f>
        <v>0</v>
      </c>
      <c r="BL115" s="57" t="n">
        <f aca="false">IF(AM115="Sand",0,10^(INDEX(Input!$Q$51:$Q$57,MIN(MATCH(MIN(MAX(AR115,30),120),Input!$C$51:$C$57,1),6))+(MIN(MAX(AR115,30),120)-INDEX(Input!$C$51:$C$57,MIN(MATCH(MIN(MAX(AR115,30),120),Input!$C$51:$C$57,1),6)))/(INDEX(Input!$C$51:$C$57,MIN(MATCH(MIN(MAX(AR115,30),120),Input!$C$51:$C$57,1),6)+1)-INDEX(Input!$C$51:$C$57,MIN(MATCH(MIN(MAX(AR115,30),120),Input!$C$51:$C$57,1),6)))*(INDEX(Input!$Q$51:$Q$57,MIN(MATCH(MIN(MAX(AR115,30),120),Input!$C$51:$C$57,1),6)+1)-INDEX(Input!$Q$51:$Q$57,MIN(MATCH(MIN(MAX(AR115,30),120),Input!$C$51:$C$57,1),6)))))</f>
        <v>0</v>
      </c>
      <c r="BM115" s="57" t="n">
        <f aca="false">IF(OR(AM115="Sand",BF115=0),0,Input!$AA$41*(AK115/2)^2/(BL115*0.0001*31536000))</f>
        <v>0</v>
      </c>
      <c r="BN115" s="57" t="n">
        <f aca="false">MAX(0,MIN(AJ115,Input!$AA$20)-AI115)</f>
        <v>0</v>
      </c>
      <c r="BO115" s="57" t="n">
        <f aca="false">MAX(0,MIN(AJ115,Input!$AA$20)-MAX(AI115,$AA$23))</f>
        <v>0</v>
      </c>
      <c r="BP115" s="57" t="n">
        <f aca="false">BG115+BK115</f>
        <v>4.41580714624181</v>
      </c>
      <c r="BQ115" s="57" t="s">
        <v>335</v>
      </c>
    </row>
    <row r="116" customFormat="false" ht="14.25" hidden="false" customHeight="false" outlineLevel="0" collapsed="false">
      <c r="B116" s="7"/>
      <c r="C116" s="46" t="n">
        <v>34</v>
      </c>
      <c r="D116" s="46"/>
      <c r="E116" s="44" t="n">
        <f aca="false">AI116</f>
        <v>49.5</v>
      </c>
      <c r="F116" s="44"/>
      <c r="G116" s="44"/>
      <c r="H116" s="44" t="n">
        <f aca="false">AJ116</f>
        <v>51</v>
      </c>
      <c r="I116" s="44"/>
      <c r="J116" s="44"/>
      <c r="K116" s="41" t="str">
        <f aca="false">AM116</f>
        <v>Sand</v>
      </c>
      <c r="L116" s="41"/>
      <c r="M116" s="41"/>
      <c r="N116" s="46" t="n">
        <f aca="false">AN116</f>
        <v>25</v>
      </c>
      <c r="O116" s="46"/>
      <c r="P116" s="46"/>
      <c r="Q116" s="42" t="n">
        <f aca="false">AO116</f>
        <v>18.2</v>
      </c>
      <c r="R116" s="42"/>
      <c r="S116" s="42"/>
      <c r="T116" s="46" t="str">
        <f aca="false">IF(AR116="","-",AR116)</f>
        <v>-</v>
      </c>
      <c r="U116" s="46"/>
      <c r="V116" s="46" t="str">
        <f aca="false">IF(AT116="","-",AT116)</f>
        <v>-</v>
      </c>
      <c r="W116" s="46"/>
      <c r="X116" s="44" t="n">
        <f aca="false">AU116</f>
        <v>0.65</v>
      </c>
      <c r="Y116" s="44"/>
      <c r="Z116" s="55" t="n">
        <f aca="false">AV116</f>
        <v>0</v>
      </c>
      <c r="AA116" s="55"/>
      <c r="AB116" s="55"/>
      <c r="AC116" s="42" t="n">
        <f aca="false">AW116</f>
        <v>34.8266499625</v>
      </c>
      <c r="AD116" s="42"/>
      <c r="AE116" s="42"/>
      <c r="AF116" s="12"/>
      <c r="AI116" s="56" t="n">
        <v>49.5</v>
      </c>
      <c r="AJ116" s="56" t="n">
        <v>51</v>
      </c>
      <c r="AK116" s="57" t="n">
        <f aca="false">AJ116-AI116</f>
        <v>1.5</v>
      </c>
      <c r="AL116" s="57" t="n">
        <f aca="false">(AI116+AJ116)/2</f>
        <v>50.25</v>
      </c>
      <c r="AM116" s="56" t="s">
        <v>199</v>
      </c>
      <c r="AN116" s="56" t="n">
        <v>25</v>
      </c>
      <c r="AO116" s="58" t="n">
        <f aca="false">IF(AL116&gt;$AA$20,$AA$22,$AA$21)</f>
        <v>18.2</v>
      </c>
      <c r="AP116" s="57" t="n">
        <f aca="false">AP115+AO116*AK116</f>
        <v>928.95</v>
      </c>
      <c r="AQ116" s="57" t="n">
        <f aca="false">AP116-AO116*AK116/2-10*MAX(AL116-$AA$20,0)</f>
        <v>482.8</v>
      </c>
      <c r="AR116" s="56"/>
      <c r="AS116" s="56"/>
      <c r="AT116" s="57" t="str">
        <f aca="false">IF(AR116="","",AR116-AS116)</f>
        <v/>
      </c>
      <c r="AU116" s="56" t="n">
        <v>0.65</v>
      </c>
      <c r="AV116" s="57" t="n">
        <f aca="false">IF(AM116="Sand",0,Input!$AA$34*AN116)</f>
        <v>0</v>
      </c>
      <c r="AW116" s="57" t="n">
        <f aca="false">IF(AM116="Sand",27.1+0.3*MIN(Input!$AA$35*AN116,60)-0.00054*MIN(Input!$AA$35*AN116,60)^2,MIN(MAX(DEGREES(ASIN(0.8-0.094*LN(MAX(IF(AT116="",10,AT116),5)))),20),30))</f>
        <v>34.8266499625</v>
      </c>
      <c r="AX116" s="57" t="n">
        <f aca="false">IF(AM116="Sand",Input!$AA$36*Input!$AA$35*AN116,Input!$AA$37*AV116)</f>
        <v>27075</v>
      </c>
      <c r="AY116" s="59" t="n">
        <f aca="false">IF(AM116="Sand",Input!$AA$38,0.5)</f>
        <v>0.3</v>
      </c>
      <c r="AZ116" s="57" t="n">
        <f aca="false">Input!$AA$15/2/AL116</f>
        <v>0.736318407960199</v>
      </c>
      <c r="BA116" s="57" t="n">
        <f aca="false">Input!$AA$16/2/AL116</f>
        <v>2.00995024875622</v>
      </c>
      <c r="BB116" s="57" t="n">
        <f aca="false">1/(4*PI())*(2*AZ116*BA116*SQRT(AZ116^2+BA116^2+1)/(AZ116^2+BA116^2+1+AZ116^2*BA116^2)*(AZ116^2+BA116^2+2)/(AZ116^2+BA116^2+1)+ATAN2(AZ116^2+BA116^2+1-AZ116^2*BA116^2,2*AZ116*BA116*SQRT(AZ116^2+BA116^2+1)))</f>
        <v>0.173491603228654</v>
      </c>
      <c r="BC116" s="57" t="n">
        <f aca="false">4*Input!$AA$14*BB116</f>
        <v>94.379432156388</v>
      </c>
      <c r="BD116" s="57" t="n">
        <f aca="false">((Input!$AA$16/Input!$AA$15)*LN((1+SQRT((Input!$AA$16/Input!$AA$15)^2+1))*SQRT((Input!$AA$16/Input!$AA$15)^2+(AJ116/(Input!$AA$15/2))^2)/((Input!$AA$16/Input!$AA$15)*(1+SQRT((Input!$AA$16/Input!$AA$15)^2+(AJ116/(Input!$AA$15/2))^2+1))))+LN(((Input!$AA$16/Input!$AA$15)+SQRT((Input!$AA$16/Input!$AA$15)^2+1))*SQRT(1+(AJ116/(Input!$AA$15/2))^2)/((Input!$AA$16/Input!$AA$15)+SQRT((Input!$AA$16/Input!$AA$15)^2+(AJ116/(Input!$AA$15/2))^2+1))))/PI()</f>
        <v>0.184680682380465</v>
      </c>
      <c r="BE116" s="57" t="n">
        <f aca="false">(AJ116/(Input!$AA$15/2))/(2*PI())*ATAN((Input!$AA$16/Input!$AA$15)/((AJ116/(Input!$AA$15/2))*SQRT((Input!$AA$16/Input!$AA$15)^2+(AJ116/(Input!$AA$15/2))^2+1)))</f>
        <v>0.121043625132288</v>
      </c>
      <c r="BF116" s="57" t="n">
        <f aca="false">MAX(0,AJ116-MAX(AI116,$AA$23))/AK116*IF(BC116&gt;=Input!$AA$21*AQ116,1,0)</f>
        <v>0</v>
      </c>
      <c r="BG116" s="57" t="n">
        <f aca="false">4*Input!$AA$14*(Input!$AA$15/2)*(1-AY116^2)/AX116*((BD116-BD115)+(1-2*AY116)/(1-AY116)*(BE116-BE115))*1000*BF116</f>
        <v>0</v>
      </c>
      <c r="BH116" s="57" t="n">
        <f aca="false">IF(AM116="Sand",0,0.009*(AR116-10))</f>
        <v>0</v>
      </c>
      <c r="BI116" s="57" t="n">
        <f aca="false">BH116*Input!$AA$39</f>
        <v>0</v>
      </c>
      <c r="BJ116" s="57" t="n">
        <f aca="false">IF(AM116="Sand",0,MAX(AV116/Input!$AA$40,AQ116))</f>
        <v>0</v>
      </c>
      <c r="BK116" s="57" t="n">
        <f aca="false">IF(AM116="Sand",0,1000*AK116/(1+AU116)*IF(AQ116+BC116&lt;=BJ116,BI116*LOG10((AQ116+BC116)/AQ116),BI116*LOG10(BJ116/AQ116)+BH116*LOG10((AQ116+BC116)/BJ116)))*BF116</f>
        <v>0</v>
      </c>
      <c r="BL116" s="57" t="n">
        <f aca="false">IF(AM116="Sand",0,10^(INDEX(Input!$Q$51:$Q$57,MIN(MATCH(MIN(MAX(AR116,30),120),Input!$C$51:$C$57,1),6))+(MIN(MAX(AR116,30),120)-INDEX(Input!$C$51:$C$57,MIN(MATCH(MIN(MAX(AR116,30),120),Input!$C$51:$C$57,1),6)))/(INDEX(Input!$C$51:$C$57,MIN(MATCH(MIN(MAX(AR116,30),120),Input!$C$51:$C$57,1),6)+1)-INDEX(Input!$C$51:$C$57,MIN(MATCH(MIN(MAX(AR116,30),120),Input!$C$51:$C$57,1),6)))*(INDEX(Input!$Q$51:$Q$57,MIN(MATCH(MIN(MAX(AR116,30),120),Input!$C$51:$C$57,1),6)+1)-INDEX(Input!$Q$51:$Q$57,MIN(MATCH(MIN(MAX(AR116,30),120),Input!$C$51:$C$57,1),6)))))</f>
        <v>0</v>
      </c>
      <c r="BM116" s="57" t="n">
        <f aca="false">IF(OR(AM116="Sand",BF116=0),0,Input!$AA$41*(AK116/2)^2/(BL116*0.0001*31536000))</f>
        <v>0</v>
      </c>
      <c r="BN116" s="57" t="n">
        <f aca="false">MAX(0,MIN(AJ116,Input!$AA$20)-AI116)</f>
        <v>0</v>
      </c>
      <c r="BO116" s="57" t="n">
        <f aca="false">MAX(0,MIN(AJ116,Input!$AA$20)-MAX(AI116,$AA$23))</f>
        <v>0</v>
      </c>
      <c r="BP116" s="57" t="n">
        <f aca="false">BG116+BK116</f>
        <v>0</v>
      </c>
      <c r="BQ116" s="57" t="s">
        <v>335</v>
      </c>
    </row>
    <row r="117" customFormat="false" ht="14.25" hidden="false" customHeight="false" outlineLevel="0" collapsed="false">
      <c r="B117" s="7"/>
      <c r="C117" s="46" t="n">
        <v>35</v>
      </c>
      <c r="D117" s="46"/>
      <c r="E117" s="44" t="n">
        <f aca="false">AI117</f>
        <v>51</v>
      </c>
      <c r="F117" s="44"/>
      <c r="G117" s="44"/>
      <c r="H117" s="44" t="n">
        <f aca="false">AJ117</f>
        <v>52.5</v>
      </c>
      <c r="I117" s="44"/>
      <c r="J117" s="44"/>
      <c r="K117" s="41" t="str">
        <f aca="false">AM117</f>
        <v>Sand</v>
      </c>
      <c r="L117" s="41"/>
      <c r="M117" s="41"/>
      <c r="N117" s="46" t="n">
        <f aca="false">AN117</f>
        <v>29</v>
      </c>
      <c r="O117" s="46"/>
      <c r="P117" s="46"/>
      <c r="Q117" s="42" t="n">
        <f aca="false">AO117</f>
        <v>18.2</v>
      </c>
      <c r="R117" s="42"/>
      <c r="S117" s="42"/>
      <c r="T117" s="46" t="str">
        <f aca="false">IF(AR117="","-",AR117)</f>
        <v>-</v>
      </c>
      <c r="U117" s="46"/>
      <c r="V117" s="46" t="str">
        <f aca="false">IF(AT117="","-",AT117)</f>
        <v>-</v>
      </c>
      <c r="W117" s="46"/>
      <c r="X117" s="44" t="n">
        <f aca="false">AU117</f>
        <v>0.65</v>
      </c>
      <c r="Y117" s="44"/>
      <c r="Z117" s="55" t="n">
        <f aca="false">AV117</f>
        <v>0</v>
      </c>
      <c r="AA117" s="55"/>
      <c r="AB117" s="55"/>
      <c r="AC117" s="42" t="n">
        <f aca="false">AW117</f>
        <v>35.98944418954</v>
      </c>
      <c r="AD117" s="42"/>
      <c r="AE117" s="42"/>
      <c r="AF117" s="12"/>
      <c r="AI117" s="56" t="n">
        <v>51</v>
      </c>
      <c r="AJ117" s="56" t="n">
        <v>52.5</v>
      </c>
      <c r="AK117" s="57" t="n">
        <f aca="false">AJ117-AI117</f>
        <v>1.5</v>
      </c>
      <c r="AL117" s="57" t="n">
        <f aca="false">(AI117+AJ117)/2</f>
        <v>51.75</v>
      </c>
      <c r="AM117" s="56" t="s">
        <v>199</v>
      </c>
      <c r="AN117" s="56" t="n">
        <v>29</v>
      </c>
      <c r="AO117" s="58" t="n">
        <f aca="false">IF(AL117&gt;$AA$20,$AA$22,$AA$21)</f>
        <v>18.2</v>
      </c>
      <c r="AP117" s="57" t="n">
        <f aca="false">AP116+AO117*AK117</f>
        <v>956.249999999999</v>
      </c>
      <c r="AQ117" s="57" t="n">
        <f aca="false">AP117-AO117*AK117/2-10*MAX(AL117-$AA$20,0)</f>
        <v>495.099999999999</v>
      </c>
      <c r="AR117" s="56"/>
      <c r="AS117" s="56"/>
      <c r="AT117" s="57" t="str">
        <f aca="false">IF(AR117="","",AR117-AS117)</f>
        <v/>
      </c>
      <c r="AU117" s="56" t="n">
        <v>0.65</v>
      </c>
      <c r="AV117" s="57" t="n">
        <f aca="false">IF(AM117="Sand",0,Input!$AA$34*AN117)</f>
        <v>0</v>
      </c>
      <c r="AW117" s="57" t="n">
        <f aca="false">IF(AM117="Sand",27.1+0.3*MIN(Input!$AA$35*AN117,60)-0.00054*MIN(Input!$AA$35*AN117,60)^2,MIN(MAX(DEGREES(ASIN(0.8-0.094*LN(MAX(IF(AT117="",10,AT117),5)))),20),30))</f>
        <v>35.98944418954</v>
      </c>
      <c r="AX117" s="57" t="n">
        <f aca="false">IF(AM117="Sand",Input!$AA$36*Input!$AA$35*AN117,Input!$AA$37*AV117)</f>
        <v>31407</v>
      </c>
      <c r="AY117" s="59" t="n">
        <f aca="false">IF(AM117="Sand",Input!$AA$38,0.5)</f>
        <v>0.3</v>
      </c>
      <c r="AZ117" s="57" t="n">
        <f aca="false">Input!$AA$15/2/AL117</f>
        <v>0.714975845410628</v>
      </c>
      <c r="BA117" s="57" t="n">
        <f aca="false">Input!$AA$16/2/AL117</f>
        <v>1.95169082125604</v>
      </c>
      <c r="BB117" s="57" t="n">
        <f aca="false">1/(4*PI())*(2*AZ117*BA117*SQRT(AZ117^2+BA117^2+1)/(AZ117^2+BA117^2+1+AZ117^2*BA117^2)*(AZ117^2+BA117^2+2)/(AZ117^2+BA117^2+1)+ATAN2(AZ117^2+BA117^2+1-AZ117^2*BA117^2,2*AZ117*BA117*SQRT(AZ117^2+BA117^2+1)))</f>
        <v>0.170326331941294</v>
      </c>
      <c r="BC117" s="57" t="n">
        <f aca="false">4*Input!$AA$14*BB117</f>
        <v>92.657524576064</v>
      </c>
      <c r="BD117" s="57" t="n">
        <f aca="false">((Input!$AA$16/Input!$AA$15)*LN((1+SQRT((Input!$AA$16/Input!$AA$15)^2+1))*SQRT((Input!$AA$16/Input!$AA$15)^2+(AJ117/(Input!$AA$15/2))^2)/((Input!$AA$16/Input!$AA$15)*(1+SQRT((Input!$AA$16/Input!$AA$15)^2+(AJ117/(Input!$AA$15/2))^2+1))))+LN(((Input!$AA$16/Input!$AA$15)+SQRT((Input!$AA$16/Input!$AA$15)^2+1))*SQRT(1+(AJ117/(Input!$AA$15/2))^2)/((Input!$AA$16/Input!$AA$15)+SQRT((Input!$AA$16/Input!$AA$15)^2+(AJ117/(Input!$AA$15/2))^2+1))))/PI()</f>
        <v>0.191469892767081</v>
      </c>
      <c r="BE117" s="57" t="n">
        <f aca="false">(AJ117/(Input!$AA$15/2))/(2*PI())*ATAN((Input!$AA$16/Input!$AA$15)/((AJ117/(Input!$AA$15/2))*SQRT((Input!$AA$16/Input!$AA$15)^2+(AJ117/(Input!$AA$15/2))^2+1)))</f>
        <v>0.121159617263437</v>
      </c>
      <c r="BF117" s="57" t="n">
        <f aca="false">MAX(0,AJ117-MAX(AI117,$AA$23))/AK117*IF(BC117&gt;=Input!$AA$21*AQ117,1,0)</f>
        <v>0</v>
      </c>
      <c r="BG117" s="57" t="n">
        <f aca="false">4*Input!$AA$14*(Input!$AA$15/2)*(1-AY117^2)/AX117*((BD117-BD116)+(1-2*AY117)/(1-AY117)*(BE117-BE116))*1000*BF117</f>
        <v>0</v>
      </c>
      <c r="BH117" s="57" t="n">
        <f aca="false">IF(AM117="Sand",0,0.009*(AR117-10))</f>
        <v>0</v>
      </c>
      <c r="BI117" s="57" t="n">
        <f aca="false">BH117*Input!$AA$39</f>
        <v>0</v>
      </c>
      <c r="BJ117" s="57" t="n">
        <f aca="false">IF(AM117="Sand",0,MAX(AV117/Input!$AA$40,AQ117))</f>
        <v>0</v>
      </c>
      <c r="BK117" s="57" t="n">
        <f aca="false">IF(AM117="Sand",0,1000*AK117/(1+AU117)*IF(AQ117+BC117&lt;=BJ117,BI117*LOG10((AQ117+BC117)/AQ117),BI117*LOG10(BJ117/AQ117)+BH117*LOG10((AQ117+BC117)/BJ117)))*BF117</f>
        <v>0</v>
      </c>
      <c r="BL117" s="57" t="n">
        <f aca="false">IF(AM117="Sand",0,10^(INDEX(Input!$Q$51:$Q$57,MIN(MATCH(MIN(MAX(AR117,30),120),Input!$C$51:$C$57,1),6))+(MIN(MAX(AR117,30),120)-INDEX(Input!$C$51:$C$57,MIN(MATCH(MIN(MAX(AR117,30),120),Input!$C$51:$C$57,1),6)))/(INDEX(Input!$C$51:$C$57,MIN(MATCH(MIN(MAX(AR117,30),120),Input!$C$51:$C$57,1),6)+1)-INDEX(Input!$C$51:$C$57,MIN(MATCH(MIN(MAX(AR117,30),120),Input!$C$51:$C$57,1),6)))*(INDEX(Input!$Q$51:$Q$57,MIN(MATCH(MIN(MAX(AR117,30),120),Input!$C$51:$C$57,1),6)+1)-INDEX(Input!$Q$51:$Q$57,MIN(MATCH(MIN(MAX(AR117,30),120),Input!$C$51:$C$57,1),6)))))</f>
        <v>0</v>
      </c>
      <c r="BM117" s="57" t="n">
        <f aca="false">IF(OR(AM117="Sand",BF117=0),0,Input!$AA$41*(AK117/2)^2/(BL117*0.0001*31536000))</f>
        <v>0</v>
      </c>
      <c r="BN117" s="57" t="n">
        <f aca="false">MAX(0,MIN(AJ117,Input!$AA$20)-AI117)</f>
        <v>0</v>
      </c>
      <c r="BO117" s="57" t="n">
        <f aca="false">MAX(0,MIN(AJ117,Input!$AA$20)-MAX(AI117,$AA$23))</f>
        <v>0</v>
      </c>
      <c r="BP117" s="57" t="n">
        <f aca="false">BG117+BK117</f>
        <v>0</v>
      </c>
      <c r="BQ117" s="57" t="s">
        <v>335</v>
      </c>
    </row>
    <row r="118" customFormat="false" ht="14.25" hidden="false" customHeight="false" outlineLevel="0" collapsed="false">
      <c r="B118" s="7"/>
      <c r="C118" s="46" t="n">
        <v>36</v>
      </c>
      <c r="D118" s="46"/>
      <c r="E118" s="44" t="n">
        <f aca="false">AI118</f>
        <v>52.5</v>
      </c>
      <c r="F118" s="44"/>
      <c r="G118" s="44"/>
      <c r="H118" s="44" t="n">
        <f aca="false">AJ118</f>
        <v>54</v>
      </c>
      <c r="I118" s="44"/>
      <c r="J118" s="44"/>
      <c r="K118" s="41" t="str">
        <f aca="false">AM118</f>
        <v>Sand</v>
      </c>
      <c r="L118" s="41"/>
      <c r="M118" s="41"/>
      <c r="N118" s="46" t="n">
        <f aca="false">AN118</f>
        <v>35</v>
      </c>
      <c r="O118" s="46"/>
      <c r="P118" s="46"/>
      <c r="Q118" s="42" t="n">
        <f aca="false">AO118</f>
        <v>18.2</v>
      </c>
      <c r="R118" s="42"/>
      <c r="S118" s="42"/>
      <c r="T118" s="46" t="str">
        <f aca="false">IF(AR118="","-",AR118)</f>
        <v>-</v>
      </c>
      <c r="U118" s="46"/>
      <c r="V118" s="46" t="str">
        <f aca="false">IF(AT118="","-",AT118)</f>
        <v>-</v>
      </c>
      <c r="W118" s="46"/>
      <c r="X118" s="44" t="n">
        <f aca="false">AU118</f>
        <v>0.65</v>
      </c>
      <c r="Y118" s="44"/>
      <c r="Z118" s="55" t="n">
        <f aca="false">AV118</f>
        <v>0</v>
      </c>
      <c r="AA118" s="55"/>
      <c r="AB118" s="55"/>
      <c r="AC118" s="42" t="n">
        <f aca="false">AW118</f>
        <v>37.6956339265</v>
      </c>
      <c r="AD118" s="42"/>
      <c r="AE118" s="42"/>
      <c r="AF118" s="12"/>
      <c r="AI118" s="56" t="n">
        <v>52.5</v>
      </c>
      <c r="AJ118" s="56" t="n">
        <v>54</v>
      </c>
      <c r="AK118" s="57" t="n">
        <f aca="false">AJ118-AI118</f>
        <v>1.5</v>
      </c>
      <c r="AL118" s="57" t="n">
        <f aca="false">(AI118+AJ118)/2</f>
        <v>53.25</v>
      </c>
      <c r="AM118" s="56" t="s">
        <v>199</v>
      </c>
      <c r="AN118" s="56" t="n">
        <v>35</v>
      </c>
      <c r="AO118" s="58" t="n">
        <f aca="false">IF(AL118&gt;$AA$20,$AA$22,$AA$21)</f>
        <v>18.2</v>
      </c>
      <c r="AP118" s="57" t="n">
        <f aca="false">AP117+AO118*AK118</f>
        <v>983.549999999999</v>
      </c>
      <c r="AQ118" s="57" t="n">
        <f aca="false">AP118-AO118*AK118/2-10*MAX(AL118-$AA$20,0)</f>
        <v>507.399999999999</v>
      </c>
      <c r="AR118" s="56"/>
      <c r="AS118" s="56"/>
      <c r="AT118" s="57" t="str">
        <f aca="false">IF(AR118="","",AR118-AS118)</f>
        <v/>
      </c>
      <c r="AU118" s="56" t="n">
        <v>0.65</v>
      </c>
      <c r="AV118" s="57" t="n">
        <f aca="false">IF(AM118="Sand",0,Input!$AA$34*AN118)</f>
        <v>0</v>
      </c>
      <c r="AW118" s="57" t="n">
        <f aca="false">IF(AM118="Sand",27.1+0.3*MIN(Input!$AA$35*AN118,60)-0.00054*MIN(Input!$AA$35*AN118,60)^2,MIN(MAX(DEGREES(ASIN(0.8-0.094*LN(MAX(IF(AT118="",10,AT118),5)))),20),30))</f>
        <v>37.6956339265</v>
      </c>
      <c r="AX118" s="57" t="n">
        <f aca="false">IF(AM118="Sand",Input!$AA$36*Input!$AA$35*AN118,Input!$AA$37*AV118)</f>
        <v>37905</v>
      </c>
      <c r="AY118" s="59" t="n">
        <f aca="false">IF(AM118="Sand",Input!$AA$38,0.5)</f>
        <v>0.3</v>
      </c>
      <c r="AZ118" s="57" t="n">
        <f aca="false">Input!$AA$15/2/AL118</f>
        <v>0.694835680751174</v>
      </c>
      <c r="BA118" s="57" t="n">
        <f aca="false">Input!$AA$16/2/AL118</f>
        <v>1.89671361502347</v>
      </c>
      <c r="BB118" s="57" t="n">
        <f aca="false">1/(4*PI())*(2*AZ118*BA118*SQRT(AZ118^2+BA118^2+1)/(AZ118^2+BA118^2+1+AZ118^2*BA118^2)*(AZ118^2+BA118^2+2)/(AZ118^2+BA118^2+1)+ATAN2(AZ118^2+BA118^2+1-AZ118^2*BA118^2,2*AZ118*BA118*SQRT(AZ118^2+BA118^2+1)))</f>
        <v>0.167208949422951</v>
      </c>
      <c r="BC118" s="57" t="n">
        <f aca="false">4*Input!$AA$14*BB118</f>
        <v>90.9616684860851</v>
      </c>
      <c r="BD118" s="57" t="n">
        <f aca="false">((Input!$AA$16/Input!$AA$15)*LN((1+SQRT((Input!$AA$16/Input!$AA$15)^2+1))*SQRT((Input!$AA$16/Input!$AA$15)^2+(AJ118/(Input!$AA$15/2))^2)/((Input!$AA$16/Input!$AA$15)*(1+SQRT((Input!$AA$16/Input!$AA$15)^2+(AJ118/(Input!$AA$15/2))^2+1))))+LN(((Input!$AA$16/Input!$AA$15)+SQRT((Input!$AA$16/Input!$AA$15)^2+1))*SQRT(1+(AJ118/(Input!$AA$15/2))^2)/((Input!$AA$16/Input!$AA$15)+SQRT((Input!$AA$16/Input!$AA$15)^2+(AJ118/(Input!$AA$15/2))^2+1))))/PI()</f>
        <v>0.19819951737019</v>
      </c>
      <c r="BE118" s="57" t="n">
        <f aca="false">(AJ118/(Input!$AA$15/2))/(2*PI())*ATAN((Input!$AA$16/Input!$AA$15)/((AJ118/(Input!$AA$15/2))*SQRT((Input!$AA$16/Input!$AA$15)^2+(AJ118/(Input!$AA$15/2))^2+1)))</f>
        <v>0.121208818106769</v>
      </c>
      <c r="BF118" s="57" t="n">
        <f aca="false">MAX(0,AJ118-MAX(AI118,$AA$23))/AK118*IF(BC118&gt;=Input!$AA$21*AQ118,1,0)</f>
        <v>0</v>
      </c>
      <c r="BG118" s="57" t="n">
        <f aca="false">4*Input!$AA$14*(Input!$AA$15/2)*(1-AY118^2)/AX118*((BD118-BD117)+(1-2*AY118)/(1-AY118)*(BE118-BE117))*1000*BF118</f>
        <v>0</v>
      </c>
      <c r="BH118" s="57" t="n">
        <f aca="false">IF(AM118="Sand",0,0.009*(AR118-10))</f>
        <v>0</v>
      </c>
      <c r="BI118" s="57" t="n">
        <f aca="false">BH118*Input!$AA$39</f>
        <v>0</v>
      </c>
      <c r="BJ118" s="57" t="n">
        <f aca="false">IF(AM118="Sand",0,MAX(AV118/Input!$AA$40,AQ118))</f>
        <v>0</v>
      </c>
      <c r="BK118" s="57" t="n">
        <f aca="false">IF(AM118="Sand",0,1000*AK118/(1+AU118)*IF(AQ118+BC118&lt;=BJ118,BI118*LOG10((AQ118+BC118)/AQ118),BI118*LOG10(BJ118/AQ118)+BH118*LOG10((AQ118+BC118)/BJ118)))*BF118</f>
        <v>0</v>
      </c>
      <c r="BL118" s="57" t="n">
        <f aca="false">IF(AM118="Sand",0,10^(INDEX(Input!$Q$51:$Q$57,MIN(MATCH(MIN(MAX(AR118,30),120),Input!$C$51:$C$57,1),6))+(MIN(MAX(AR118,30),120)-INDEX(Input!$C$51:$C$57,MIN(MATCH(MIN(MAX(AR118,30),120),Input!$C$51:$C$57,1),6)))/(INDEX(Input!$C$51:$C$57,MIN(MATCH(MIN(MAX(AR118,30),120),Input!$C$51:$C$57,1),6)+1)-INDEX(Input!$C$51:$C$57,MIN(MATCH(MIN(MAX(AR118,30),120),Input!$C$51:$C$57,1),6)))*(INDEX(Input!$Q$51:$Q$57,MIN(MATCH(MIN(MAX(AR118,30),120),Input!$C$51:$C$57,1),6)+1)-INDEX(Input!$Q$51:$Q$57,MIN(MATCH(MIN(MAX(AR118,30),120),Input!$C$51:$C$57,1),6)))))</f>
        <v>0</v>
      </c>
      <c r="BM118" s="57" t="n">
        <f aca="false">IF(OR(AM118="Sand",BF118=0),0,Input!$AA$41*(AK118/2)^2/(BL118*0.0001*31536000))</f>
        <v>0</v>
      </c>
      <c r="BN118" s="57" t="n">
        <f aca="false">MAX(0,MIN(AJ118,Input!$AA$20)-AI118)</f>
        <v>0</v>
      </c>
      <c r="BO118" s="57" t="n">
        <f aca="false">MAX(0,MIN(AJ118,Input!$AA$20)-MAX(AI118,$AA$23))</f>
        <v>0</v>
      </c>
      <c r="BP118" s="57" t="n">
        <f aca="false">BG118+BK118</f>
        <v>0</v>
      </c>
      <c r="BQ118" s="57" t="s">
        <v>335</v>
      </c>
    </row>
    <row r="119" customFormat="false" ht="14.25" hidden="false" customHeight="false" outlineLevel="0" collapsed="false">
      <c r="B119" s="7"/>
      <c r="C119" s="46" t="n">
        <v>37</v>
      </c>
      <c r="D119" s="46"/>
      <c r="E119" s="44" t="n">
        <f aca="false">AI119</f>
        <v>54</v>
      </c>
      <c r="F119" s="44"/>
      <c r="G119" s="44"/>
      <c r="H119" s="44" t="n">
        <f aca="false">AJ119</f>
        <v>55.5</v>
      </c>
      <c r="I119" s="44"/>
      <c r="J119" s="44"/>
      <c r="K119" s="41" t="str">
        <f aca="false">AM119</f>
        <v>Sand</v>
      </c>
      <c r="L119" s="41"/>
      <c r="M119" s="41"/>
      <c r="N119" s="46" t="n">
        <f aca="false">AN119</f>
        <v>50</v>
      </c>
      <c r="O119" s="46"/>
      <c r="P119" s="46"/>
      <c r="Q119" s="42" t="n">
        <f aca="false">AO119</f>
        <v>18.2</v>
      </c>
      <c r="R119" s="42"/>
      <c r="S119" s="42"/>
      <c r="T119" s="46" t="str">
        <f aca="false">IF(AR119="","-",AR119)</f>
        <v>-</v>
      </c>
      <c r="U119" s="46"/>
      <c r="V119" s="46" t="str">
        <f aca="false">IF(AT119="","-",AT119)</f>
        <v>-</v>
      </c>
      <c r="W119" s="46"/>
      <c r="X119" s="44" t="n">
        <f aca="false">AU119</f>
        <v>0.65</v>
      </c>
      <c r="Y119" s="44"/>
      <c r="Z119" s="55" t="n">
        <f aca="false">AV119</f>
        <v>0</v>
      </c>
      <c r="AA119" s="55"/>
      <c r="AB119" s="55"/>
      <c r="AC119" s="42" t="n">
        <f aca="false">AW119</f>
        <v>41.76159985</v>
      </c>
      <c r="AD119" s="42"/>
      <c r="AE119" s="42"/>
      <c r="AF119" s="12"/>
      <c r="AI119" s="56" t="n">
        <v>54</v>
      </c>
      <c r="AJ119" s="56" t="n">
        <v>55.5</v>
      </c>
      <c r="AK119" s="57" t="n">
        <f aca="false">AJ119-AI119</f>
        <v>1.5</v>
      </c>
      <c r="AL119" s="57" t="n">
        <f aca="false">(AI119+AJ119)/2</f>
        <v>54.75</v>
      </c>
      <c r="AM119" s="56" t="s">
        <v>199</v>
      </c>
      <c r="AN119" s="56" t="n">
        <v>50</v>
      </c>
      <c r="AO119" s="58" t="n">
        <f aca="false">IF(AL119&gt;$AA$20,$AA$22,$AA$21)</f>
        <v>18.2</v>
      </c>
      <c r="AP119" s="57" t="n">
        <f aca="false">AP118+AO119*AK119</f>
        <v>1010.85</v>
      </c>
      <c r="AQ119" s="57" t="n">
        <f aca="false">AP119-AO119*AK119/2-10*MAX(AL119-$AA$20,0)</f>
        <v>519.699999999999</v>
      </c>
      <c r="AR119" s="56"/>
      <c r="AS119" s="56"/>
      <c r="AT119" s="57" t="str">
        <f aca="false">IF(AR119="","",AR119-AS119)</f>
        <v/>
      </c>
      <c r="AU119" s="56" t="n">
        <v>0.65</v>
      </c>
      <c r="AV119" s="57" t="n">
        <f aca="false">IF(AM119="Sand",0,Input!$AA$34*AN119)</f>
        <v>0</v>
      </c>
      <c r="AW119" s="57" t="n">
        <f aca="false">IF(AM119="Sand",27.1+0.3*MIN(Input!$AA$35*AN119,60)-0.00054*MIN(Input!$AA$35*AN119,60)^2,MIN(MAX(DEGREES(ASIN(0.8-0.094*LN(MAX(IF(AT119="",10,AT119),5)))),20),30))</f>
        <v>41.76159985</v>
      </c>
      <c r="AX119" s="57" t="n">
        <f aca="false">IF(AM119="Sand",Input!$AA$36*Input!$AA$35*AN119,Input!$AA$37*AV119)</f>
        <v>54150</v>
      </c>
      <c r="AY119" s="59" t="n">
        <f aca="false">IF(AM119="Sand",Input!$AA$38,0.5)</f>
        <v>0.3</v>
      </c>
      <c r="AZ119" s="57" t="n">
        <f aca="false">Input!$AA$15/2/AL119</f>
        <v>0.675799086757991</v>
      </c>
      <c r="BA119" s="57" t="n">
        <f aca="false">Input!$AA$16/2/AL119</f>
        <v>1.84474885844749</v>
      </c>
      <c r="BB119" s="57" t="n">
        <f aca="false">1/(4*PI())*(2*AZ119*BA119*SQRT(AZ119^2+BA119^2+1)/(AZ119^2+BA119^2+1+AZ119^2*BA119^2)*(AZ119^2+BA119^2+2)/(AZ119^2+BA119^2+1)+ATAN2(AZ119^2+BA119^2+1-AZ119^2*BA119^2,2*AZ119*BA119*SQRT(AZ119^2+BA119^2+1)))</f>
        <v>0.16414141420255</v>
      </c>
      <c r="BC119" s="57" t="n">
        <f aca="false">4*Input!$AA$14*BB119</f>
        <v>89.2929293261871</v>
      </c>
      <c r="BD119" s="57" t="n">
        <f aca="false">((Input!$AA$16/Input!$AA$15)*LN((1+SQRT((Input!$AA$16/Input!$AA$15)^2+1))*SQRT((Input!$AA$16/Input!$AA$15)^2+(AJ119/(Input!$AA$15/2))^2)/((Input!$AA$16/Input!$AA$15)*(1+SQRT((Input!$AA$16/Input!$AA$15)^2+(AJ119/(Input!$AA$15/2))^2+1))))+LN(((Input!$AA$16/Input!$AA$15)+SQRT((Input!$AA$16/Input!$AA$15)^2+1))*SQRT(1+(AJ119/(Input!$AA$15/2))^2)/((Input!$AA$16/Input!$AA$15)+SQRT((Input!$AA$16/Input!$AA$15)^2+(AJ119/(Input!$AA$15/2))^2+1))))/PI()</f>
        <v>0.204866530926182</v>
      </c>
      <c r="BE119" s="57" t="n">
        <f aca="false">(AJ119/(Input!$AA$15/2))/(2*PI())*ATAN((Input!$AA$16/Input!$AA$15)/((AJ119/(Input!$AA$15/2))*SQRT((Input!$AA$16/Input!$AA$15)^2+(AJ119/(Input!$AA$15/2))^2+1)))</f>
        <v>0.121196273026185</v>
      </c>
      <c r="BF119" s="57" t="n">
        <f aca="false">MAX(0,AJ119-MAX(AI119,$AA$23))/AK119*IF(BC119&gt;=Input!$AA$21*AQ119,1,0)</f>
        <v>0</v>
      </c>
      <c r="BG119" s="57" t="n">
        <f aca="false">4*Input!$AA$14*(Input!$AA$15/2)*(1-AY119^2)/AX119*((BD119-BD118)+(1-2*AY119)/(1-AY119)*(BE119-BE118))*1000*BF119</f>
        <v>0</v>
      </c>
      <c r="BH119" s="57" t="n">
        <f aca="false">IF(AM119="Sand",0,0.009*(AR119-10))</f>
        <v>0</v>
      </c>
      <c r="BI119" s="57" t="n">
        <f aca="false">BH119*Input!$AA$39</f>
        <v>0</v>
      </c>
      <c r="BJ119" s="57" t="n">
        <f aca="false">IF(AM119="Sand",0,MAX(AV119/Input!$AA$40,AQ119))</f>
        <v>0</v>
      </c>
      <c r="BK119" s="57" t="n">
        <f aca="false">IF(AM119="Sand",0,1000*AK119/(1+AU119)*IF(AQ119+BC119&lt;=BJ119,BI119*LOG10((AQ119+BC119)/AQ119),BI119*LOG10(BJ119/AQ119)+BH119*LOG10((AQ119+BC119)/BJ119)))*BF119</f>
        <v>0</v>
      </c>
      <c r="BL119" s="57" t="n">
        <f aca="false">IF(AM119="Sand",0,10^(INDEX(Input!$Q$51:$Q$57,MIN(MATCH(MIN(MAX(AR119,30),120),Input!$C$51:$C$57,1),6))+(MIN(MAX(AR119,30),120)-INDEX(Input!$C$51:$C$57,MIN(MATCH(MIN(MAX(AR119,30),120),Input!$C$51:$C$57,1),6)))/(INDEX(Input!$C$51:$C$57,MIN(MATCH(MIN(MAX(AR119,30),120),Input!$C$51:$C$57,1),6)+1)-INDEX(Input!$C$51:$C$57,MIN(MATCH(MIN(MAX(AR119,30),120),Input!$C$51:$C$57,1),6)))*(INDEX(Input!$Q$51:$Q$57,MIN(MATCH(MIN(MAX(AR119,30),120),Input!$C$51:$C$57,1),6)+1)-INDEX(Input!$Q$51:$Q$57,MIN(MATCH(MIN(MAX(AR119,30),120),Input!$C$51:$C$57,1),6)))))</f>
        <v>0</v>
      </c>
      <c r="BM119" s="57" t="n">
        <f aca="false">IF(OR(AM119="Sand",BF119=0),0,Input!$AA$41*(AK119/2)^2/(BL119*0.0001*31536000))</f>
        <v>0</v>
      </c>
      <c r="BN119" s="57" t="n">
        <f aca="false">MAX(0,MIN(AJ119,Input!$AA$20)-AI119)</f>
        <v>0</v>
      </c>
      <c r="BO119" s="57" t="n">
        <f aca="false">MAX(0,MIN(AJ119,Input!$AA$20)-MAX(AI119,$AA$23))</f>
        <v>0</v>
      </c>
      <c r="BP119" s="57" t="n">
        <f aca="false">BG119+BK119</f>
        <v>0</v>
      </c>
      <c r="BQ119" s="57" t="s">
        <v>335</v>
      </c>
    </row>
    <row r="120" customFormat="false" ht="14.25" hidden="false" customHeight="false" outlineLevel="0" collapsed="false">
      <c r="B120" s="7"/>
      <c r="C120" s="46" t="n">
        <v>38</v>
      </c>
      <c r="D120" s="46"/>
      <c r="E120" s="44" t="n">
        <f aca="false">AI120</f>
        <v>55.5</v>
      </c>
      <c r="F120" s="44"/>
      <c r="G120" s="44"/>
      <c r="H120" s="44" t="n">
        <f aca="false">AJ120</f>
        <v>57</v>
      </c>
      <c r="I120" s="44"/>
      <c r="J120" s="44"/>
      <c r="K120" s="41" t="str">
        <f aca="false">AM120</f>
        <v>Sand</v>
      </c>
      <c r="L120" s="41"/>
      <c r="M120" s="41"/>
      <c r="N120" s="46" t="n">
        <f aca="false">AN120</f>
        <v>50</v>
      </c>
      <c r="O120" s="46"/>
      <c r="P120" s="46"/>
      <c r="Q120" s="42" t="n">
        <f aca="false">AO120</f>
        <v>18.2</v>
      </c>
      <c r="R120" s="42"/>
      <c r="S120" s="42"/>
      <c r="T120" s="46" t="str">
        <f aca="false">IF(AR120="","-",AR120)</f>
        <v>-</v>
      </c>
      <c r="U120" s="46"/>
      <c r="V120" s="46" t="str">
        <f aca="false">IF(AT120="","-",AT120)</f>
        <v>-</v>
      </c>
      <c r="W120" s="46"/>
      <c r="X120" s="44" t="n">
        <f aca="false">AU120</f>
        <v>0.65</v>
      </c>
      <c r="Y120" s="44"/>
      <c r="Z120" s="55" t="n">
        <f aca="false">AV120</f>
        <v>0</v>
      </c>
      <c r="AA120" s="55"/>
      <c r="AB120" s="55"/>
      <c r="AC120" s="42" t="n">
        <f aca="false">AW120</f>
        <v>41.76159985</v>
      </c>
      <c r="AD120" s="42"/>
      <c r="AE120" s="42"/>
      <c r="AF120" s="12"/>
      <c r="AI120" s="56" t="n">
        <v>55.5</v>
      </c>
      <c r="AJ120" s="56" t="n">
        <v>57</v>
      </c>
      <c r="AK120" s="57" t="n">
        <f aca="false">AJ120-AI120</f>
        <v>1.5</v>
      </c>
      <c r="AL120" s="57" t="n">
        <f aca="false">(AI120+AJ120)/2</f>
        <v>56.25</v>
      </c>
      <c r="AM120" s="56" t="s">
        <v>199</v>
      </c>
      <c r="AN120" s="56" t="n">
        <v>50</v>
      </c>
      <c r="AO120" s="58" t="n">
        <f aca="false">IF(AL120&gt;$AA$20,$AA$22,$AA$21)</f>
        <v>18.2</v>
      </c>
      <c r="AP120" s="57" t="n">
        <f aca="false">AP119+AO120*AK120</f>
        <v>1038.15</v>
      </c>
      <c r="AQ120" s="57" t="n">
        <f aca="false">AP120-AO120*AK120/2-10*MAX(AL120-$AA$20,0)</f>
        <v>531.999999999999</v>
      </c>
      <c r="AR120" s="56"/>
      <c r="AS120" s="56"/>
      <c r="AT120" s="57" t="str">
        <f aca="false">IF(AR120="","",AR120-AS120)</f>
        <v/>
      </c>
      <c r="AU120" s="56" t="n">
        <v>0.65</v>
      </c>
      <c r="AV120" s="57" t="n">
        <f aca="false">IF(AM120="Sand",0,Input!$AA$34*AN120)</f>
        <v>0</v>
      </c>
      <c r="AW120" s="57" t="n">
        <f aca="false">IF(AM120="Sand",27.1+0.3*MIN(Input!$AA$35*AN120,60)-0.00054*MIN(Input!$AA$35*AN120,60)^2,MIN(MAX(DEGREES(ASIN(0.8-0.094*LN(MAX(IF(AT120="",10,AT120),5)))),20),30))</f>
        <v>41.76159985</v>
      </c>
      <c r="AX120" s="57" t="n">
        <f aca="false">IF(AM120="Sand",Input!$AA$36*Input!$AA$35*AN120,Input!$AA$37*AV120)</f>
        <v>54150</v>
      </c>
      <c r="AY120" s="59" t="n">
        <f aca="false">IF(AM120="Sand",Input!$AA$38,0.5)</f>
        <v>0.3</v>
      </c>
      <c r="AZ120" s="57" t="n">
        <f aca="false">Input!$AA$15/2/AL120</f>
        <v>0.657777777777778</v>
      </c>
      <c r="BA120" s="57" t="n">
        <f aca="false">Input!$AA$16/2/AL120</f>
        <v>1.79555555555556</v>
      </c>
      <c r="BB120" s="57" t="n">
        <f aca="false">1/(4*PI())*(2*AZ120*BA120*SQRT(AZ120^2+BA120^2+1)/(AZ120^2+BA120^2+1+AZ120^2*BA120^2)*(AZ120^2+BA120^2+2)/(AZ120^2+BA120^2+1)+ATAN2(AZ120^2+BA120^2+1-AZ120^2*BA120^2,2*AZ120*BA120*SQRT(AZ120^2+BA120^2+1)))</f>
        <v>0.161125248626343</v>
      </c>
      <c r="BC120" s="57" t="n">
        <f aca="false">4*Input!$AA$14*BB120</f>
        <v>87.6521352527307</v>
      </c>
      <c r="BD120" s="57" t="n">
        <f aca="false">((Input!$AA$16/Input!$AA$15)*LN((1+SQRT((Input!$AA$16/Input!$AA$15)^2+1))*SQRT((Input!$AA$16/Input!$AA$15)^2+(AJ120/(Input!$AA$15/2))^2)/((Input!$AA$16/Input!$AA$15)*(1+SQRT((Input!$AA$16/Input!$AA$15)^2+(AJ120/(Input!$AA$15/2))^2+1))))+LN(((Input!$AA$16/Input!$AA$15)+SQRT((Input!$AA$16/Input!$AA$15)^2+1))*SQRT(1+(AJ120/(Input!$AA$15/2))^2)/((Input!$AA$16/Input!$AA$15)+SQRT((Input!$AA$16/Input!$AA$15)^2+(AJ120/(Input!$AA$15/2))^2+1))))/PI()</f>
        <v>0.211468337918076</v>
      </c>
      <c r="BE120" s="57" t="n">
        <f aca="false">(AJ120/(Input!$AA$15/2))/(2*PI())*ATAN((Input!$AA$16/Input!$AA$15)/((AJ120/(Input!$AA$15/2))*SQRT((Input!$AA$16/Input!$AA$15)^2+(AJ120/(Input!$AA$15/2))^2+1)))</f>
        <v>0.121126659448925</v>
      </c>
      <c r="BF120" s="57" t="n">
        <f aca="false">MAX(0,AJ120-MAX(AI120,$AA$23))/AK120*IF(BC120&gt;=Input!$AA$21*AQ120,1,0)</f>
        <v>0</v>
      </c>
      <c r="BG120" s="57" t="n">
        <f aca="false">4*Input!$AA$14*(Input!$AA$15/2)*(1-AY120^2)/AX120*((BD120-BD119)+(1-2*AY120)/(1-AY120)*(BE120-BE119))*1000*BF120</f>
        <v>0</v>
      </c>
      <c r="BH120" s="57" t="n">
        <f aca="false">IF(AM120="Sand",0,0.009*(AR120-10))</f>
        <v>0</v>
      </c>
      <c r="BI120" s="57" t="n">
        <f aca="false">BH120*Input!$AA$39</f>
        <v>0</v>
      </c>
      <c r="BJ120" s="57" t="n">
        <f aca="false">IF(AM120="Sand",0,MAX(AV120/Input!$AA$40,AQ120))</f>
        <v>0</v>
      </c>
      <c r="BK120" s="57" t="n">
        <f aca="false">IF(AM120="Sand",0,1000*AK120/(1+AU120)*IF(AQ120+BC120&lt;=BJ120,BI120*LOG10((AQ120+BC120)/AQ120),BI120*LOG10(BJ120/AQ120)+BH120*LOG10((AQ120+BC120)/BJ120)))*BF120</f>
        <v>0</v>
      </c>
      <c r="BL120" s="57" t="n">
        <f aca="false">IF(AM120="Sand",0,10^(INDEX(Input!$Q$51:$Q$57,MIN(MATCH(MIN(MAX(AR120,30),120),Input!$C$51:$C$57,1),6))+(MIN(MAX(AR120,30),120)-INDEX(Input!$C$51:$C$57,MIN(MATCH(MIN(MAX(AR120,30),120),Input!$C$51:$C$57,1),6)))/(INDEX(Input!$C$51:$C$57,MIN(MATCH(MIN(MAX(AR120,30),120),Input!$C$51:$C$57,1),6)+1)-INDEX(Input!$C$51:$C$57,MIN(MATCH(MIN(MAX(AR120,30),120),Input!$C$51:$C$57,1),6)))*(INDEX(Input!$Q$51:$Q$57,MIN(MATCH(MIN(MAX(AR120,30),120),Input!$C$51:$C$57,1),6)+1)-INDEX(Input!$Q$51:$Q$57,MIN(MATCH(MIN(MAX(AR120,30),120),Input!$C$51:$C$57,1),6)))))</f>
        <v>0</v>
      </c>
      <c r="BM120" s="57" t="n">
        <f aca="false">IF(OR(AM120="Sand",BF120=0),0,Input!$AA$41*(AK120/2)^2/(BL120*0.0001*31536000))</f>
        <v>0</v>
      </c>
      <c r="BN120" s="57" t="n">
        <f aca="false">MAX(0,MIN(AJ120,Input!$AA$20)-AI120)</f>
        <v>0</v>
      </c>
      <c r="BO120" s="57" t="n">
        <f aca="false">MAX(0,MIN(AJ120,Input!$AA$20)-MAX(AI120,$AA$23))</f>
        <v>0</v>
      </c>
      <c r="BP120" s="57" t="n">
        <f aca="false">BG120+BK120</f>
        <v>0</v>
      </c>
      <c r="BQ120" s="57" t="s">
        <v>335</v>
      </c>
    </row>
    <row r="121" customFormat="false" ht="14.25" hidden="false" customHeight="false" outlineLevel="0" collapsed="false">
      <c r="B121" s="7"/>
      <c r="C121" s="46" t="n">
        <v>39</v>
      </c>
      <c r="D121" s="46"/>
      <c r="E121" s="44" t="n">
        <f aca="false">AI121</f>
        <v>57</v>
      </c>
      <c r="F121" s="44"/>
      <c r="G121" s="44"/>
      <c r="H121" s="44" t="n">
        <f aca="false">AJ121</f>
        <v>58.5</v>
      </c>
      <c r="I121" s="44"/>
      <c r="J121" s="44"/>
      <c r="K121" s="41" t="str">
        <f aca="false">AM121</f>
        <v>Sand</v>
      </c>
      <c r="L121" s="41"/>
      <c r="M121" s="41"/>
      <c r="N121" s="46" t="n">
        <f aca="false">AN121</f>
        <v>50</v>
      </c>
      <c r="O121" s="46"/>
      <c r="P121" s="46"/>
      <c r="Q121" s="42" t="n">
        <f aca="false">AO121</f>
        <v>18.2</v>
      </c>
      <c r="R121" s="42"/>
      <c r="S121" s="42"/>
      <c r="T121" s="46" t="str">
        <f aca="false">IF(AR121="","-",AR121)</f>
        <v>-</v>
      </c>
      <c r="U121" s="46"/>
      <c r="V121" s="46" t="str">
        <f aca="false">IF(AT121="","-",AT121)</f>
        <v>-</v>
      </c>
      <c r="W121" s="46"/>
      <c r="X121" s="44" t="n">
        <f aca="false">AU121</f>
        <v>0.65</v>
      </c>
      <c r="Y121" s="44"/>
      <c r="Z121" s="55" t="n">
        <f aca="false">AV121</f>
        <v>0</v>
      </c>
      <c r="AA121" s="55"/>
      <c r="AB121" s="55"/>
      <c r="AC121" s="42" t="n">
        <f aca="false">AW121</f>
        <v>41.76159985</v>
      </c>
      <c r="AD121" s="42"/>
      <c r="AE121" s="42"/>
      <c r="AF121" s="12"/>
      <c r="AI121" s="56" t="n">
        <v>57</v>
      </c>
      <c r="AJ121" s="56" t="n">
        <v>58.5</v>
      </c>
      <c r="AK121" s="57" t="n">
        <f aca="false">AJ121-AI121</f>
        <v>1.5</v>
      </c>
      <c r="AL121" s="57" t="n">
        <f aca="false">(AI121+AJ121)/2</f>
        <v>57.75</v>
      </c>
      <c r="AM121" s="56" t="s">
        <v>199</v>
      </c>
      <c r="AN121" s="56" t="n">
        <v>50</v>
      </c>
      <c r="AO121" s="58" t="n">
        <f aca="false">IF(AL121&gt;$AA$20,$AA$22,$AA$21)</f>
        <v>18.2</v>
      </c>
      <c r="AP121" s="57" t="n">
        <f aca="false">AP120+AO121*AK121</f>
        <v>1065.45</v>
      </c>
      <c r="AQ121" s="57" t="n">
        <f aca="false">AP121-AO121*AK121/2-10*MAX(AL121-$AA$20,0)</f>
        <v>544.299999999999</v>
      </c>
      <c r="AR121" s="56"/>
      <c r="AS121" s="56"/>
      <c r="AT121" s="57" t="str">
        <f aca="false">IF(AR121="","",AR121-AS121)</f>
        <v/>
      </c>
      <c r="AU121" s="56" t="n">
        <v>0.65</v>
      </c>
      <c r="AV121" s="57" t="n">
        <f aca="false">IF(AM121="Sand",0,Input!$AA$34*AN121)</f>
        <v>0</v>
      </c>
      <c r="AW121" s="57" t="n">
        <f aca="false">IF(AM121="Sand",27.1+0.3*MIN(Input!$AA$35*AN121,60)-0.00054*MIN(Input!$AA$35*AN121,60)^2,MIN(MAX(DEGREES(ASIN(0.8-0.094*LN(MAX(IF(AT121="",10,AT121),5)))),20),30))</f>
        <v>41.76159985</v>
      </c>
      <c r="AX121" s="57" t="n">
        <f aca="false">IF(AM121="Sand",Input!$AA$36*Input!$AA$35*AN121,Input!$AA$37*AV121)</f>
        <v>54150</v>
      </c>
      <c r="AY121" s="59" t="n">
        <f aca="false">IF(AM121="Sand",Input!$AA$38,0.5)</f>
        <v>0.3</v>
      </c>
      <c r="AZ121" s="57" t="n">
        <f aca="false">Input!$AA$15/2/AL121</f>
        <v>0.640692640692641</v>
      </c>
      <c r="BA121" s="57" t="n">
        <f aca="false">Input!$AA$16/2/AL121</f>
        <v>1.74891774891775</v>
      </c>
      <c r="BB121" s="57" t="n">
        <f aca="false">1/(4*PI())*(2*AZ121*BA121*SQRT(AZ121^2+BA121^2+1)/(AZ121^2+BA121^2+1+AZ121^2*BA121^2)*(AZ121^2+BA121^2+2)/(AZ121^2+BA121^2+1)+ATAN2(AZ121^2+BA121^2+1-AZ121^2*BA121^2,2*AZ121*BA121*SQRT(AZ121^2+BA121^2+1)))</f>
        <v>0.158161594063732</v>
      </c>
      <c r="BC121" s="57" t="n">
        <f aca="false">4*Input!$AA$14*BB121</f>
        <v>86.0399071706701</v>
      </c>
      <c r="BD121" s="57" t="n">
        <f aca="false">((Input!$AA$16/Input!$AA$15)*LN((1+SQRT((Input!$AA$16/Input!$AA$15)^2+1))*SQRT((Input!$AA$16/Input!$AA$15)^2+(AJ121/(Input!$AA$15/2))^2)/((Input!$AA$16/Input!$AA$15)*(1+SQRT((Input!$AA$16/Input!$AA$15)^2+(AJ121/(Input!$AA$15/2))^2+1))))+LN(((Input!$AA$16/Input!$AA$15)+SQRT((Input!$AA$16/Input!$AA$15)^2+1))*SQRT(1+(AJ121/(Input!$AA$15/2))^2)/((Input!$AA$16/Input!$AA$15)+SQRT((Input!$AA$16/Input!$AA$15)^2+(AJ121/(Input!$AA$15/2))^2+1))))/PI()</f>
        <v>0.218002728213384</v>
      </c>
      <c r="BE121" s="57" t="n">
        <f aca="false">(AJ121/(Input!$AA$15/2))/(2*PI())*ATAN((Input!$AA$16/Input!$AA$15)/((AJ121/(Input!$AA$15/2))*SQRT((Input!$AA$16/Input!$AA$15)^2+(AJ121/(Input!$AA$15/2))^2+1)))</f>
        <v>0.121004315773392</v>
      </c>
      <c r="BF121" s="57" t="n">
        <f aca="false">MAX(0,AJ121-MAX(AI121,$AA$23))/AK121*IF(BC121&gt;=Input!$AA$21*AQ121,1,0)</f>
        <v>0</v>
      </c>
      <c r="BG121" s="57" t="n">
        <f aca="false">4*Input!$AA$14*(Input!$AA$15/2)*(1-AY121^2)/AX121*((BD121-BD120)+(1-2*AY121)/(1-AY121)*(BE121-BE120))*1000*BF121</f>
        <v>0</v>
      </c>
      <c r="BH121" s="57" t="n">
        <f aca="false">IF(AM121="Sand",0,0.009*(AR121-10))</f>
        <v>0</v>
      </c>
      <c r="BI121" s="57" t="n">
        <f aca="false">BH121*Input!$AA$39</f>
        <v>0</v>
      </c>
      <c r="BJ121" s="57" t="n">
        <f aca="false">IF(AM121="Sand",0,MAX(AV121/Input!$AA$40,AQ121))</f>
        <v>0</v>
      </c>
      <c r="BK121" s="57" t="n">
        <f aca="false">IF(AM121="Sand",0,1000*AK121/(1+AU121)*IF(AQ121+BC121&lt;=BJ121,BI121*LOG10((AQ121+BC121)/AQ121),BI121*LOG10(BJ121/AQ121)+BH121*LOG10((AQ121+BC121)/BJ121)))*BF121</f>
        <v>0</v>
      </c>
      <c r="BL121" s="57" t="n">
        <f aca="false">IF(AM121="Sand",0,10^(INDEX(Input!$Q$51:$Q$57,MIN(MATCH(MIN(MAX(AR121,30),120),Input!$C$51:$C$57,1),6))+(MIN(MAX(AR121,30),120)-INDEX(Input!$C$51:$C$57,MIN(MATCH(MIN(MAX(AR121,30),120),Input!$C$51:$C$57,1),6)))/(INDEX(Input!$C$51:$C$57,MIN(MATCH(MIN(MAX(AR121,30),120),Input!$C$51:$C$57,1),6)+1)-INDEX(Input!$C$51:$C$57,MIN(MATCH(MIN(MAX(AR121,30),120),Input!$C$51:$C$57,1),6)))*(INDEX(Input!$Q$51:$Q$57,MIN(MATCH(MIN(MAX(AR121,30),120),Input!$C$51:$C$57,1),6)+1)-INDEX(Input!$Q$51:$Q$57,MIN(MATCH(MIN(MAX(AR121,30),120),Input!$C$51:$C$57,1),6)))))</f>
        <v>0</v>
      </c>
      <c r="BM121" s="57" t="n">
        <f aca="false">IF(OR(AM121="Sand",BF121=0),0,Input!$AA$41*(AK121/2)^2/(BL121*0.0001*31536000))</f>
        <v>0</v>
      </c>
      <c r="BN121" s="57" t="n">
        <f aca="false">MAX(0,MIN(AJ121,Input!$AA$20)-AI121)</f>
        <v>0</v>
      </c>
      <c r="BO121" s="57" t="n">
        <f aca="false">MAX(0,MIN(AJ121,Input!$AA$20)-MAX(AI121,$AA$23))</f>
        <v>0</v>
      </c>
      <c r="BP121" s="57" t="n">
        <f aca="false">BG121+BK121</f>
        <v>0</v>
      </c>
      <c r="BQ121" s="57" t="s">
        <v>335</v>
      </c>
    </row>
    <row r="122" customFormat="false" ht="14.25" hidden="false" customHeight="false" outlineLevel="0" collapsed="false">
      <c r="B122" s="7"/>
      <c r="C122" s="46" t="n">
        <v>40</v>
      </c>
      <c r="D122" s="46"/>
      <c r="E122" s="44" t="n">
        <f aca="false">AI122</f>
        <v>58.5</v>
      </c>
      <c r="F122" s="44"/>
      <c r="G122" s="44"/>
      <c r="H122" s="44" t="n">
        <f aca="false">AJ122</f>
        <v>59.5</v>
      </c>
      <c r="I122" s="44"/>
      <c r="J122" s="44"/>
      <c r="K122" s="41" t="str">
        <f aca="false">AM122</f>
        <v>Sand</v>
      </c>
      <c r="L122" s="41"/>
      <c r="M122" s="41"/>
      <c r="N122" s="46" t="n">
        <f aca="false">AN122</f>
        <v>29</v>
      </c>
      <c r="O122" s="46"/>
      <c r="P122" s="46"/>
      <c r="Q122" s="42" t="n">
        <f aca="false">AO122</f>
        <v>18.2</v>
      </c>
      <c r="R122" s="42"/>
      <c r="S122" s="42"/>
      <c r="T122" s="46" t="str">
        <f aca="false">IF(AR122="","-",AR122)</f>
        <v>-</v>
      </c>
      <c r="U122" s="46"/>
      <c r="V122" s="46" t="str">
        <f aca="false">IF(AT122="","-",AT122)</f>
        <v>-</v>
      </c>
      <c r="W122" s="46"/>
      <c r="X122" s="44" t="n">
        <f aca="false">AU122</f>
        <v>0.65</v>
      </c>
      <c r="Y122" s="44"/>
      <c r="Z122" s="55" t="n">
        <f aca="false">AV122</f>
        <v>0</v>
      </c>
      <c r="AA122" s="55"/>
      <c r="AB122" s="55"/>
      <c r="AC122" s="42" t="n">
        <f aca="false">AW122</f>
        <v>35.98944418954</v>
      </c>
      <c r="AD122" s="42"/>
      <c r="AE122" s="42"/>
      <c r="AF122" s="12"/>
      <c r="AI122" s="56" t="n">
        <v>58.5</v>
      </c>
      <c r="AJ122" s="56" t="n">
        <v>59.5</v>
      </c>
      <c r="AK122" s="57" t="n">
        <f aca="false">AJ122-AI122</f>
        <v>1</v>
      </c>
      <c r="AL122" s="57" t="n">
        <f aca="false">(AI122+AJ122)/2</f>
        <v>59</v>
      </c>
      <c r="AM122" s="56" t="s">
        <v>199</v>
      </c>
      <c r="AN122" s="56" t="n">
        <v>29</v>
      </c>
      <c r="AO122" s="58" t="n">
        <f aca="false">IF(AL122&gt;$AA$20,$AA$22,$AA$21)</f>
        <v>18.2</v>
      </c>
      <c r="AP122" s="57" t="n">
        <f aca="false">AP121+AO122*AK122</f>
        <v>1083.65</v>
      </c>
      <c r="AQ122" s="57" t="n">
        <f aca="false">AP122-AO122*AK122/2-10*MAX(AL122-$AA$20,0)</f>
        <v>554.55</v>
      </c>
      <c r="AR122" s="56"/>
      <c r="AS122" s="56"/>
      <c r="AT122" s="57" t="str">
        <f aca="false">IF(AR122="","",AR122-AS122)</f>
        <v/>
      </c>
      <c r="AU122" s="56" t="n">
        <v>0.65</v>
      </c>
      <c r="AV122" s="57" t="n">
        <f aca="false">IF(AM122="Sand",0,Input!$AA$34*AN122)</f>
        <v>0</v>
      </c>
      <c r="AW122" s="57" t="n">
        <f aca="false">IF(AM122="Sand",27.1+0.3*MIN(Input!$AA$35*AN122,60)-0.00054*MIN(Input!$AA$35*AN122,60)^2,MIN(MAX(DEGREES(ASIN(0.8-0.094*LN(MAX(IF(AT122="",10,AT122),5)))),20),30))</f>
        <v>35.98944418954</v>
      </c>
      <c r="AX122" s="57" t="n">
        <f aca="false">IF(AM122="Sand",Input!$AA$36*Input!$AA$35*AN122,Input!$AA$37*AV122)</f>
        <v>31407</v>
      </c>
      <c r="AY122" s="59" t="n">
        <f aca="false">IF(AM122="Sand",Input!$AA$38,0.5)</f>
        <v>0.3</v>
      </c>
      <c r="AZ122" s="57" t="n">
        <f aca="false">Input!$AA$15/2/AL122</f>
        <v>0.627118644067797</v>
      </c>
      <c r="BA122" s="57" t="n">
        <f aca="false">Input!$AA$16/2/AL122</f>
        <v>1.71186440677966</v>
      </c>
      <c r="BB122" s="57" t="n">
        <f aca="false">1/(4*PI())*(2*AZ122*BA122*SQRT(AZ122^2+BA122^2+1)/(AZ122^2+BA122^2+1+AZ122^2*BA122^2)*(AZ122^2+BA122^2+2)/(AZ122^2+BA122^2+1)+ATAN2(AZ122^2+BA122^2+1-AZ122^2*BA122^2,2*AZ122*BA122*SQRT(AZ122^2+BA122^2+1)))</f>
        <v>0.15573258786151</v>
      </c>
      <c r="BC122" s="57" t="n">
        <f aca="false">4*Input!$AA$14*BB122</f>
        <v>84.7185277966616</v>
      </c>
      <c r="BD122" s="57" t="n">
        <f aca="false">((Input!$AA$16/Input!$AA$15)*LN((1+SQRT((Input!$AA$16/Input!$AA$15)^2+1))*SQRT((Input!$AA$16/Input!$AA$15)^2+(AJ122/(Input!$AA$15/2))^2)/((Input!$AA$16/Input!$AA$15)*(1+SQRT((Input!$AA$16/Input!$AA$15)^2+(AJ122/(Input!$AA$15/2))^2+1))))+LN(((Input!$AA$16/Input!$AA$15)+SQRT((Input!$AA$16/Input!$AA$15)^2+1))*SQRT(1+(AJ122/(Input!$AA$15/2))^2)/((Input!$AA$16/Input!$AA$15)+SQRT((Input!$AA$16/Input!$AA$15)^2+(AJ122/(Input!$AA$15/2))^2+1))))/PI()</f>
        <v>0.222320600711722</v>
      </c>
      <c r="BE122" s="57" t="n">
        <f aca="false">(AJ122/(Input!$AA$15/2))/(2*PI())*ATAN((Input!$AA$16/Input!$AA$15)/((AJ122/(Input!$AA$15/2))*SQRT((Input!$AA$16/Input!$AA$15)^2+(AJ122/(Input!$AA$15/2))^2+1)))</f>
        <v>0.120895459060618</v>
      </c>
      <c r="BF122" s="57" t="n">
        <f aca="false">MAX(0,AJ122-MAX(AI122,$AA$23))/AK122*IF(BC122&gt;=Input!$AA$21*AQ122,1,0)</f>
        <v>0</v>
      </c>
      <c r="BG122" s="57" t="n">
        <f aca="false">4*Input!$AA$14*(Input!$AA$15/2)*(1-AY122^2)/AX122*((BD122-BD121)+(1-2*AY122)/(1-AY122)*(BE122-BE121))*1000*BF122</f>
        <v>0</v>
      </c>
      <c r="BH122" s="57" t="n">
        <f aca="false">IF(AM122="Sand",0,0.009*(AR122-10))</f>
        <v>0</v>
      </c>
      <c r="BI122" s="57" t="n">
        <f aca="false">BH122*Input!$AA$39</f>
        <v>0</v>
      </c>
      <c r="BJ122" s="57" t="n">
        <f aca="false">IF(AM122="Sand",0,MAX(AV122/Input!$AA$40,AQ122))</f>
        <v>0</v>
      </c>
      <c r="BK122" s="57" t="n">
        <f aca="false">IF(AM122="Sand",0,1000*AK122/(1+AU122)*IF(AQ122+BC122&lt;=BJ122,BI122*LOG10((AQ122+BC122)/AQ122),BI122*LOG10(BJ122/AQ122)+BH122*LOG10((AQ122+BC122)/BJ122)))*BF122</f>
        <v>0</v>
      </c>
      <c r="BL122" s="57" t="n">
        <f aca="false">IF(AM122="Sand",0,10^(INDEX(Input!$Q$51:$Q$57,MIN(MATCH(MIN(MAX(AR122,30),120),Input!$C$51:$C$57,1),6))+(MIN(MAX(AR122,30),120)-INDEX(Input!$C$51:$C$57,MIN(MATCH(MIN(MAX(AR122,30),120),Input!$C$51:$C$57,1),6)))/(INDEX(Input!$C$51:$C$57,MIN(MATCH(MIN(MAX(AR122,30),120),Input!$C$51:$C$57,1),6)+1)-INDEX(Input!$C$51:$C$57,MIN(MATCH(MIN(MAX(AR122,30),120),Input!$C$51:$C$57,1),6)))*(INDEX(Input!$Q$51:$Q$57,MIN(MATCH(MIN(MAX(AR122,30),120),Input!$C$51:$C$57,1),6)+1)-INDEX(Input!$Q$51:$Q$57,MIN(MATCH(MIN(MAX(AR122,30),120),Input!$C$51:$C$57,1),6)))))</f>
        <v>0</v>
      </c>
      <c r="BM122" s="57" t="n">
        <f aca="false">IF(OR(AM122="Sand",BF122=0),0,Input!$AA$41*(AK122/2)^2/(BL122*0.0001*31536000))</f>
        <v>0</v>
      </c>
      <c r="BN122" s="57" t="n">
        <f aca="false">MAX(0,MIN(AJ122,Input!$AA$20)-AI122)</f>
        <v>0</v>
      </c>
      <c r="BO122" s="57" t="n">
        <f aca="false">MAX(0,MIN(AJ122,Input!$AA$20)-MAX(AI122,$AA$23))</f>
        <v>0</v>
      </c>
      <c r="BP122" s="57" t="n">
        <f aca="false">BG122+BK122</f>
        <v>0</v>
      </c>
      <c r="BQ122" s="57" t="s">
        <v>335</v>
      </c>
    </row>
    <row r="123" customFormat="false" ht="14.25" hidden="false" customHeight="false" outlineLevel="0" collapsed="false">
      <c r="B123" s="7"/>
      <c r="C123" s="60" t="n">
        <v>41</v>
      </c>
      <c r="D123" s="60"/>
      <c r="E123" s="61" t="n">
        <f aca="false">AI123</f>
        <v>59.5</v>
      </c>
      <c r="F123" s="61"/>
      <c r="G123" s="61"/>
      <c r="H123" s="61" t="n">
        <f aca="false">AJ123</f>
        <v>60</v>
      </c>
      <c r="I123" s="61"/>
      <c r="J123" s="61"/>
      <c r="K123" s="48" t="str">
        <f aca="false">AM123</f>
        <v>Sand</v>
      </c>
      <c r="L123" s="48"/>
      <c r="M123" s="48"/>
      <c r="N123" s="60" t="n">
        <f aca="false">AN123</f>
        <v>44</v>
      </c>
      <c r="O123" s="60"/>
      <c r="P123" s="60"/>
      <c r="Q123" s="49" t="n">
        <f aca="false">AO123</f>
        <v>18.2</v>
      </c>
      <c r="R123" s="49"/>
      <c r="S123" s="49"/>
      <c r="T123" s="60" t="str">
        <f aca="false">IF(AR123="","-",AR123)</f>
        <v>-</v>
      </c>
      <c r="U123" s="60"/>
      <c r="V123" s="60" t="str">
        <f aca="false">IF(AT123="","-",AT123)</f>
        <v>-</v>
      </c>
      <c r="W123" s="60"/>
      <c r="X123" s="61" t="n">
        <f aca="false">AU123</f>
        <v>0.65</v>
      </c>
      <c r="Y123" s="61"/>
      <c r="Z123" s="62" t="n">
        <f aca="false">AV123</f>
        <v>0</v>
      </c>
      <c r="AA123" s="62"/>
      <c r="AB123" s="62"/>
      <c r="AC123" s="49" t="n">
        <f aca="false">AW123</f>
        <v>40.16941492384</v>
      </c>
      <c r="AD123" s="49"/>
      <c r="AE123" s="49"/>
      <c r="AF123" s="12"/>
      <c r="AI123" s="56" t="n">
        <v>59.5</v>
      </c>
      <c r="AJ123" s="56" t="n">
        <v>60</v>
      </c>
      <c r="AK123" s="57" t="n">
        <f aca="false">AJ123-AI123</f>
        <v>0.5</v>
      </c>
      <c r="AL123" s="57" t="n">
        <f aca="false">(AI123+AJ123)/2</f>
        <v>59.75</v>
      </c>
      <c r="AM123" s="56" t="s">
        <v>199</v>
      </c>
      <c r="AN123" s="56" t="n">
        <v>44</v>
      </c>
      <c r="AO123" s="58" t="n">
        <f aca="false">IF(AL123&gt;$AA$20,$AA$22,$AA$21)</f>
        <v>18.2</v>
      </c>
      <c r="AP123" s="57" t="n">
        <f aca="false">AP122+AO123*AK123</f>
        <v>1092.75</v>
      </c>
      <c r="AQ123" s="57" t="n">
        <f aca="false">AP123-AO123*AK123/2-10*MAX(AL123-$AA$20,0)</f>
        <v>560.699999999999</v>
      </c>
      <c r="AR123" s="56"/>
      <c r="AS123" s="56"/>
      <c r="AT123" s="57" t="str">
        <f aca="false">IF(AR123="","",AR123-AS123)</f>
        <v/>
      </c>
      <c r="AU123" s="56" t="n">
        <v>0.65</v>
      </c>
      <c r="AV123" s="57" t="n">
        <f aca="false">IF(AM123="Sand",0,Input!$AA$34*AN123)</f>
        <v>0</v>
      </c>
      <c r="AW123" s="57" t="n">
        <f aca="false">IF(AM123="Sand",27.1+0.3*MIN(Input!$AA$35*AN123,60)-0.00054*MIN(Input!$AA$35*AN123,60)^2,MIN(MAX(DEGREES(ASIN(0.8-0.094*LN(MAX(IF(AT123="",10,AT123),5)))),20),30))</f>
        <v>40.16941492384</v>
      </c>
      <c r="AX123" s="57" t="n">
        <f aca="false">IF(AM123="Sand",Input!$AA$36*Input!$AA$35*AN123,Input!$AA$37*AV123)</f>
        <v>47652</v>
      </c>
      <c r="AY123" s="59" t="n">
        <f aca="false">IF(AM123="Sand",Input!$AA$38,0.5)</f>
        <v>0.3</v>
      </c>
      <c r="AZ123" s="57" t="n">
        <f aca="false">Input!$AA$15/2/AL123</f>
        <v>0.619246861924686</v>
      </c>
      <c r="BA123" s="57" t="n">
        <f aca="false">Input!$AA$16/2/AL123</f>
        <v>1.69037656903766</v>
      </c>
      <c r="BB123" s="57" t="n">
        <f aca="false">1/(4*PI())*(2*AZ123*BA123*SQRT(AZ123^2+BA123^2+1)/(AZ123^2+BA123^2+1+AZ123^2*BA123^2)*(AZ123^2+BA123^2+2)/(AZ123^2+BA123^2+1)+ATAN2(AZ123^2+BA123^2+1-AZ123^2*BA123^2,2*AZ123*BA123*SQRT(AZ123^2+BA123^2+1)))</f>
        <v>0.15429309651457</v>
      </c>
      <c r="BC123" s="57" t="n">
        <f aca="false">4*Input!$AA$14*BB123</f>
        <v>83.9354445039259</v>
      </c>
      <c r="BD123" s="57" t="n">
        <f aca="false">((Input!$AA$16/Input!$AA$15)*LN((1+SQRT((Input!$AA$16/Input!$AA$15)^2+1))*SQRT((Input!$AA$16/Input!$AA$15)^2+(AJ123/(Input!$AA$15/2))^2)/((Input!$AA$16/Input!$AA$15)*(1+SQRT((Input!$AA$16/Input!$AA$15)^2+(AJ123/(Input!$AA$15/2))^2+1))))+LN(((Input!$AA$16/Input!$AA$15)+SQRT((Input!$AA$16/Input!$AA$15)^2+1))*SQRT(1+(AJ123/(Input!$AA$15/2))^2)/((Input!$AA$16/Input!$AA$15)+SQRT((Input!$AA$16/Input!$AA$15)^2+(AJ123/(Input!$AA$15/2))^2+1))))/PI()</f>
        <v>0.224467837031054</v>
      </c>
      <c r="BE123" s="57" t="n">
        <f aca="false">(AJ123/(Input!$AA$15/2))/(2*PI())*ATAN((Input!$AA$16/Input!$AA$15)/((AJ123/(Input!$AA$15/2))*SQRT((Input!$AA$16/Input!$AA$15)^2+(AJ123/(Input!$AA$15/2))^2+1)))</f>
        <v>0.120833267963286</v>
      </c>
      <c r="BF123" s="57" t="n">
        <f aca="false">MAX(0,AJ123-MAX(AI123,$AA$23))/AK123*IF(BC123&gt;=Input!$AA$21*AQ123,1,0)</f>
        <v>0</v>
      </c>
      <c r="BG123" s="57" t="n">
        <f aca="false">4*Input!$AA$14*(Input!$AA$15/2)*(1-AY123^2)/AX123*((BD123-BD122)+(1-2*AY123)/(1-AY123)*(BE123-BE122))*1000*BF123</f>
        <v>0</v>
      </c>
      <c r="BH123" s="57" t="n">
        <f aca="false">IF(AM123="Sand",0,0.009*(AR123-10))</f>
        <v>0</v>
      </c>
      <c r="BI123" s="57" t="n">
        <f aca="false">BH123*Input!$AA$39</f>
        <v>0</v>
      </c>
      <c r="BJ123" s="57" t="n">
        <f aca="false">IF(AM123="Sand",0,MAX(AV123/Input!$AA$40,AQ123))</f>
        <v>0</v>
      </c>
      <c r="BK123" s="57" t="n">
        <f aca="false">IF(AM123="Sand",0,1000*AK123/(1+AU123)*IF(AQ123+BC123&lt;=BJ123,BI123*LOG10((AQ123+BC123)/AQ123),BI123*LOG10(BJ123/AQ123)+BH123*LOG10((AQ123+BC123)/BJ123)))*BF123</f>
        <v>0</v>
      </c>
      <c r="BL123" s="57" t="n">
        <f aca="false">IF(AM123="Sand",0,10^(INDEX(Input!$Q$51:$Q$57,MIN(MATCH(MIN(MAX(AR123,30),120),Input!$C$51:$C$57,1),6))+(MIN(MAX(AR123,30),120)-INDEX(Input!$C$51:$C$57,MIN(MATCH(MIN(MAX(AR123,30),120),Input!$C$51:$C$57,1),6)))/(INDEX(Input!$C$51:$C$57,MIN(MATCH(MIN(MAX(AR123,30),120),Input!$C$51:$C$57,1),6)+1)-INDEX(Input!$C$51:$C$57,MIN(MATCH(MIN(MAX(AR123,30),120),Input!$C$51:$C$57,1),6)))*(INDEX(Input!$Q$51:$Q$57,MIN(MATCH(MIN(MAX(AR123,30),120),Input!$C$51:$C$57,1),6)+1)-INDEX(Input!$Q$51:$Q$57,MIN(MATCH(MIN(MAX(AR123,30),120),Input!$C$51:$C$57,1),6)))))</f>
        <v>0</v>
      </c>
      <c r="BM123" s="57" t="n">
        <f aca="false">IF(OR(AM123="Sand",BF123=0),0,Input!$AA$41*(AK123/2)^2/(BL123*0.0001*31536000))</f>
        <v>0</v>
      </c>
      <c r="BN123" s="57" t="n">
        <f aca="false">MAX(0,MIN(AJ123,Input!$AA$20)-AI123)</f>
        <v>0</v>
      </c>
      <c r="BO123" s="57" t="n">
        <f aca="false">MAX(0,MIN(AJ123,Input!$AA$20)-MAX(AI123,$AA$23))</f>
        <v>0</v>
      </c>
      <c r="BP123" s="57" t="n">
        <f aca="false">BG123+BK123</f>
        <v>0</v>
      </c>
      <c r="BQ123" s="57" t="s">
        <v>335</v>
      </c>
    </row>
    <row r="124" customFormat="false" ht="14.25" hidden="false" customHeight="false" outlineLevel="0" collapsed="false">
      <c r="B124" s="7"/>
      <c r="C124" s="19" t="s">
        <v>201</v>
      </c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2"/>
    </row>
    <row r="125" customFormat="false" ht="14.25" hidden="false" customHeight="false" outlineLevel="0" collapsed="false">
      <c r="B125" s="7"/>
      <c r="C125" s="19" t="s">
        <v>350</v>
      </c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2"/>
    </row>
    <row r="126" customFormat="false" ht="14.25" hidden="false" customHeight="false" outlineLevel="0" collapsed="false">
      <c r="B126" s="7"/>
      <c r="AF126" s="12"/>
    </row>
    <row r="127" customFormat="false" ht="14.25" hidden="false" customHeight="false" outlineLevel="0" collapsed="false">
      <c r="B127" s="7"/>
      <c r="AF127" s="12"/>
    </row>
    <row r="128" customFormat="false" ht="14.25" hidden="false" customHeight="false" outlineLevel="0" collapsed="false">
      <c r="B128" s="7"/>
      <c r="AF128" s="12"/>
    </row>
    <row r="129" customFormat="false" ht="14.25" hidden="false" customHeight="false" outlineLevel="0" collapsed="false">
      <c r="B129" s="7"/>
      <c r="AF129" s="12"/>
    </row>
    <row r="130" customFormat="false" ht="14.25" hidden="false" customHeight="false" outlineLevel="0" collapsed="false">
      <c r="B130" s="7"/>
      <c r="AF130" s="12"/>
    </row>
    <row r="131" customFormat="false" ht="14.25" hidden="false" customHeight="false" outlineLevel="0" collapsed="false">
      <c r="B131" s="7"/>
      <c r="AF131" s="12"/>
    </row>
    <row r="132" customFormat="false" ht="14.25" hidden="false" customHeight="false" outlineLevel="0" collapsed="false">
      <c r="B132" s="7"/>
      <c r="AF132" s="12"/>
    </row>
    <row r="133" customFormat="false" ht="14.25" hidden="false" customHeight="false" outlineLevel="0" collapsed="false">
      <c r="B133" s="7"/>
      <c r="AF133" s="12"/>
    </row>
    <row r="134" customFormat="false" ht="14.25" hidden="false" customHeight="false" outlineLevel="0" collapsed="false">
      <c r="B134" s="7"/>
      <c r="AF134" s="12"/>
    </row>
    <row r="135" customFormat="false" ht="14.25" hidden="false" customHeight="false" outlineLevel="0" collapsed="false">
      <c r="B135" s="7"/>
      <c r="AF135" s="12"/>
    </row>
    <row r="136" customFormat="false" ht="14.25" hidden="false" customHeight="false" outlineLevel="0" collapsed="false">
      <c r="B136" s="7"/>
      <c r="AF136" s="12"/>
    </row>
    <row r="137" customFormat="false" ht="14.25" hidden="false" customHeight="false" outlineLevel="0" collapsed="false">
      <c r="B137" s="7"/>
      <c r="AF137" s="12"/>
    </row>
    <row r="138" customFormat="false" ht="14.25" hidden="false" customHeight="false" outlineLevel="0" collapsed="false">
      <c r="B138" s="7"/>
      <c r="AF138" s="12"/>
    </row>
    <row r="139" customFormat="false" ht="14.25" hidden="false" customHeight="false" outlineLevel="0" collapsed="false">
      <c r="B139" s="7"/>
      <c r="AF139" s="12"/>
    </row>
    <row r="140" customFormat="false" ht="14.25" hidden="false" customHeight="false" outlineLevel="0" collapsed="false">
      <c r="B140" s="7"/>
      <c r="AF140" s="12"/>
    </row>
    <row r="141" customFormat="false" ht="14.25" hidden="false" customHeight="false" outlineLevel="0" collapsed="false">
      <c r="B141" s="7"/>
      <c r="AF141" s="12"/>
    </row>
    <row r="142" customFormat="false" ht="14.25" hidden="false" customHeight="false" outlineLevel="0" collapsed="false">
      <c r="B142" s="7"/>
      <c r="AF142" s="12"/>
    </row>
    <row r="143" customFormat="false" ht="14.25" hidden="false" customHeight="false" outlineLevel="0" collapsed="false">
      <c r="B143" s="7"/>
      <c r="AF143" s="12"/>
    </row>
    <row r="144" customFormat="false" ht="14.25" hidden="false" customHeight="false" outlineLevel="0" collapsed="false">
      <c r="B144" s="7"/>
      <c r="AF144" s="12"/>
    </row>
    <row r="145" customFormat="false" ht="14.25" hidden="false" customHeight="true" outlineLevel="0" collapsed="false">
      <c r="B145" s="36"/>
      <c r="C145" s="37"/>
      <c r="D145" s="37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8" t="s">
        <v>93</v>
      </c>
      <c r="Y145" s="38"/>
      <c r="Z145" s="38"/>
      <c r="AA145" s="38"/>
      <c r="AB145" s="38" t="n">
        <v>2</v>
      </c>
      <c r="AC145" s="38"/>
      <c r="AD145" s="38"/>
      <c r="AE145" s="38"/>
      <c r="AF145" s="39"/>
    </row>
    <row r="146" customFormat="false" ht="14.25" hidden="false" customHeight="true" outlineLevel="0" collapsed="false">
      <c r="B146" s="1"/>
      <c r="C146" s="2" t="s">
        <v>0</v>
      </c>
      <c r="D146" s="2"/>
      <c r="E146" s="2"/>
      <c r="F146" s="2"/>
      <c r="G146" s="2"/>
      <c r="H146" s="3" t="s">
        <v>1</v>
      </c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4" t="s">
        <v>2</v>
      </c>
      <c r="Y146" s="4"/>
      <c r="Z146" s="4"/>
      <c r="AA146" s="4"/>
      <c r="AB146" s="5" t="s">
        <v>3</v>
      </c>
      <c r="AC146" s="5"/>
      <c r="AD146" s="5"/>
      <c r="AE146" s="5"/>
      <c r="AF146" s="6"/>
    </row>
    <row r="147" customFormat="false" ht="14.25" hidden="false" customHeight="true" outlineLevel="0" collapsed="false">
      <c r="B147" s="7"/>
      <c r="C147" s="8" t="s">
        <v>4</v>
      </c>
      <c r="D147" s="8"/>
      <c r="E147" s="8"/>
      <c r="F147" s="8"/>
      <c r="G147" s="8"/>
      <c r="H147" s="9" t="s">
        <v>5</v>
      </c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10" t="s">
        <v>6</v>
      </c>
      <c r="Y147" s="10"/>
      <c r="Z147" s="10"/>
      <c r="AA147" s="10"/>
      <c r="AB147" s="11" t="n">
        <v>46301</v>
      </c>
      <c r="AC147" s="11"/>
      <c r="AD147" s="11"/>
      <c r="AE147" s="11"/>
      <c r="AF147" s="12"/>
    </row>
    <row r="148" customFormat="false" ht="14.25" hidden="false" customHeight="true" outlineLevel="0" collapsed="false">
      <c r="B148" s="7"/>
      <c r="C148" s="8" t="s">
        <v>7</v>
      </c>
      <c r="D148" s="8"/>
      <c r="E148" s="8"/>
      <c r="F148" s="8"/>
      <c r="G148" s="8"/>
      <c r="H148" s="9" t="s">
        <v>348</v>
      </c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10" t="s">
        <v>9</v>
      </c>
      <c r="Y148" s="10"/>
      <c r="Z148" s="10"/>
      <c r="AA148" s="10"/>
      <c r="AB148" s="11" t="s">
        <v>3</v>
      </c>
      <c r="AC148" s="11"/>
      <c r="AD148" s="11"/>
      <c r="AE148" s="11"/>
      <c r="AF148" s="12"/>
    </row>
    <row r="149" customFormat="false" ht="14.25" hidden="false" customHeight="true" outlineLevel="0" collapsed="false">
      <c r="B149" s="13"/>
      <c r="C149" s="14" t="s">
        <v>10</v>
      </c>
      <c r="D149" s="14"/>
      <c r="E149" s="14"/>
      <c r="F149" s="14"/>
      <c r="G149" s="14"/>
      <c r="H149" s="15" t="s">
        <v>134</v>
      </c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6" t="s">
        <v>12</v>
      </c>
      <c r="Y149" s="16"/>
      <c r="Z149" s="16"/>
      <c r="AA149" s="16"/>
      <c r="AB149" s="17" t="n">
        <v>46301</v>
      </c>
      <c r="AC149" s="17"/>
      <c r="AD149" s="17"/>
      <c r="AE149" s="17"/>
      <c r="AF149" s="18"/>
    </row>
    <row r="150" customFormat="false" ht="14.25" hidden="false" customHeight="false" outlineLevel="0" collapsed="false">
      <c r="B150" s="7"/>
      <c r="AF150" s="12"/>
    </row>
    <row r="151" customFormat="false" ht="14.25" hidden="false" customHeight="false" outlineLevel="0" collapsed="false">
      <c r="B151" s="7"/>
      <c r="C151" s="9" t="s">
        <v>202</v>
      </c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12"/>
    </row>
    <row r="152" customFormat="false" ht="14.25" hidden="false" customHeight="false" outlineLevel="0" collapsed="false">
      <c r="B152" s="7"/>
      <c r="C152" s="20" t="s">
        <v>203</v>
      </c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12"/>
    </row>
    <row r="153" customFormat="false" ht="14.25" hidden="false" customHeight="false" outlineLevel="0" collapsed="false">
      <c r="B153" s="7"/>
      <c r="C153" s="20" t="s">
        <v>204</v>
      </c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12"/>
    </row>
    <row r="154" customFormat="false" ht="14.25" hidden="false" customHeight="false" outlineLevel="0" collapsed="false">
      <c r="B154" s="7"/>
      <c r="C154" s="20" t="s">
        <v>205</v>
      </c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12"/>
    </row>
    <row r="155" customFormat="false" ht="14.25" hidden="false" customHeight="false" outlineLevel="0" collapsed="false">
      <c r="B155" s="7"/>
      <c r="C155" s="20" t="s">
        <v>206</v>
      </c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12"/>
    </row>
    <row r="156" customFormat="false" ht="14.25" hidden="false" customHeight="false" outlineLevel="0" collapsed="false">
      <c r="B156" s="7"/>
      <c r="C156" s="20" t="s">
        <v>207</v>
      </c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12"/>
    </row>
    <row r="157" customFormat="false" ht="14.25" hidden="false" customHeight="false" outlineLevel="0" collapsed="false">
      <c r="B157" s="7"/>
      <c r="AF157" s="12"/>
    </row>
    <row r="158" customFormat="false" ht="14.25" hidden="false" customHeight="false" outlineLevel="0" collapsed="false">
      <c r="B158" s="7"/>
      <c r="AF158" s="12"/>
    </row>
    <row r="159" customFormat="false" ht="14.25" hidden="false" customHeight="false" outlineLevel="0" collapsed="false">
      <c r="B159" s="7"/>
      <c r="AF159" s="12"/>
    </row>
    <row r="160" customFormat="false" ht="14.25" hidden="false" customHeight="false" outlineLevel="0" collapsed="false">
      <c r="B160" s="7"/>
      <c r="AF160" s="12"/>
    </row>
    <row r="161" customFormat="false" ht="14.25" hidden="false" customHeight="false" outlineLevel="0" collapsed="false">
      <c r="B161" s="7"/>
      <c r="AF161" s="12"/>
    </row>
    <row r="162" customFormat="false" ht="14.25" hidden="false" customHeight="false" outlineLevel="0" collapsed="false">
      <c r="B162" s="7"/>
      <c r="AF162" s="12"/>
    </row>
    <row r="163" customFormat="false" ht="14.25" hidden="false" customHeight="false" outlineLevel="0" collapsed="false">
      <c r="B163" s="7"/>
      <c r="AF163" s="12"/>
    </row>
    <row r="164" customFormat="false" ht="14.25" hidden="false" customHeight="false" outlineLevel="0" collapsed="false">
      <c r="B164" s="7"/>
      <c r="AF164" s="12"/>
    </row>
    <row r="165" customFormat="false" ht="14.25" hidden="false" customHeight="false" outlineLevel="0" collapsed="false">
      <c r="B165" s="7"/>
      <c r="AF165" s="12"/>
    </row>
    <row r="166" customFormat="false" ht="14.25" hidden="false" customHeight="false" outlineLevel="0" collapsed="false">
      <c r="B166" s="7"/>
      <c r="AF166" s="12"/>
    </row>
    <row r="167" customFormat="false" ht="14.25" hidden="false" customHeight="false" outlineLevel="0" collapsed="false">
      <c r="B167" s="7"/>
      <c r="AF167" s="12"/>
    </row>
    <row r="168" customFormat="false" ht="14.25" hidden="false" customHeight="false" outlineLevel="0" collapsed="false">
      <c r="B168" s="7"/>
      <c r="AF168" s="12"/>
    </row>
    <row r="169" customFormat="false" ht="14.25" hidden="false" customHeight="false" outlineLevel="0" collapsed="false">
      <c r="B169" s="7"/>
      <c r="AF169" s="12"/>
    </row>
    <row r="170" customFormat="false" ht="14.25" hidden="false" customHeight="false" outlineLevel="0" collapsed="false">
      <c r="B170" s="7"/>
      <c r="C170" s="52" t="s">
        <v>208</v>
      </c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Z170" s="52"/>
      <c r="AA170" s="52"/>
      <c r="AB170" s="52"/>
      <c r="AC170" s="52"/>
      <c r="AD170" s="52"/>
      <c r="AE170" s="52"/>
      <c r="AF170" s="12"/>
    </row>
    <row r="171" customFormat="false" ht="14.25" hidden="false" customHeight="false" outlineLevel="0" collapsed="false">
      <c r="B171" s="7"/>
      <c r="AF171" s="12"/>
    </row>
    <row r="172" customFormat="false" ht="14.25" hidden="false" customHeight="false" outlineLevel="0" collapsed="false">
      <c r="B172" s="7"/>
      <c r="C172" s="9" t="s">
        <v>209</v>
      </c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12"/>
    </row>
    <row r="173" customFormat="false" ht="14.25" hidden="false" customHeight="true" outlineLevel="0" collapsed="false">
      <c r="B173" s="7"/>
      <c r="C173" s="20" t="s">
        <v>210</v>
      </c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1" t="s">
        <v>211</v>
      </c>
      <c r="P173" s="21"/>
      <c r="Q173" s="21"/>
      <c r="R173" s="21"/>
      <c r="S173" s="21"/>
      <c r="T173" s="21"/>
      <c r="U173" s="21"/>
      <c r="V173" s="21"/>
      <c r="W173" s="21"/>
      <c r="X173" s="22" t="s">
        <v>212</v>
      </c>
      <c r="Y173" s="22"/>
      <c r="Z173" s="22"/>
      <c r="AA173" s="50" t="n">
        <f aca="false">SUMPRODUCT(--(AM83:AM123&lt;&gt;"Sand"),BN83:BN123)</f>
        <v>0</v>
      </c>
      <c r="AB173" s="50"/>
      <c r="AC173" s="50"/>
      <c r="AD173" s="20" t="s">
        <v>19</v>
      </c>
      <c r="AE173" s="20"/>
      <c r="AF173" s="12"/>
    </row>
    <row r="174" customFormat="false" ht="14.25" hidden="false" customHeight="true" outlineLevel="0" collapsed="false">
      <c r="B174" s="7"/>
      <c r="C174" s="20" t="s">
        <v>213</v>
      </c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1" t="s">
        <v>214</v>
      </c>
      <c r="P174" s="21"/>
      <c r="Q174" s="21"/>
      <c r="R174" s="21"/>
      <c r="S174" s="21"/>
      <c r="T174" s="21"/>
      <c r="U174" s="21"/>
      <c r="V174" s="21"/>
      <c r="W174" s="21"/>
      <c r="X174" s="22" t="s">
        <v>215</v>
      </c>
      <c r="Y174" s="22"/>
      <c r="Z174" s="22"/>
      <c r="AA174" s="51" t="n">
        <f aca="false">IF($AA$173=0,0,SUMPRODUCT(--(AM83:AM123&lt;&gt;"Sand"),BN83:BN123,AV83:AV123)/$AA$173)</f>
        <v>0</v>
      </c>
      <c r="AB174" s="51"/>
      <c r="AC174" s="51"/>
      <c r="AD174" s="20" t="s">
        <v>26</v>
      </c>
      <c r="AE174" s="20"/>
      <c r="AF174" s="12"/>
    </row>
    <row r="175" customFormat="false" ht="14.25" hidden="false" customHeight="true" outlineLevel="0" collapsed="false">
      <c r="B175" s="7"/>
      <c r="C175" s="20" t="s">
        <v>216</v>
      </c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1" t="s">
        <v>217</v>
      </c>
      <c r="P175" s="21"/>
      <c r="Q175" s="21"/>
      <c r="R175" s="21"/>
      <c r="S175" s="21"/>
      <c r="T175" s="21"/>
      <c r="U175" s="21"/>
      <c r="V175" s="21"/>
      <c r="W175" s="21"/>
      <c r="X175" s="22" t="s">
        <v>218</v>
      </c>
      <c r="Y175" s="22"/>
      <c r="Z175" s="22"/>
      <c r="AA175" s="51" t="n">
        <f aca="false">(SUMPRODUCT(BN83:BN123,AW83:AW123)+MIN(0,Input!$AA$20)*Input!$AA$29)/Input!$AA$20</f>
        <v>41.127766007824</v>
      </c>
      <c r="AB175" s="51"/>
      <c r="AC175" s="51"/>
      <c r="AD175" s="20" t="s">
        <v>60</v>
      </c>
      <c r="AE175" s="20"/>
      <c r="AF175" s="12"/>
    </row>
    <row r="176" customFormat="false" ht="14.25" hidden="false" customHeight="true" outlineLevel="0" collapsed="false">
      <c r="B176" s="7"/>
      <c r="C176" s="20" t="s">
        <v>219</v>
      </c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1" t="s">
        <v>220</v>
      </c>
      <c r="P176" s="21"/>
      <c r="Q176" s="21"/>
      <c r="R176" s="21"/>
      <c r="S176" s="21"/>
      <c r="T176" s="21"/>
      <c r="U176" s="21"/>
      <c r="V176" s="21"/>
      <c r="W176" s="21"/>
      <c r="X176" s="22" t="s">
        <v>221</v>
      </c>
      <c r="Y176" s="22"/>
      <c r="Z176" s="22"/>
      <c r="AA176" s="51" t="n">
        <f aca="false">(SUMPRODUCT(BN83:BN123,AO83:AO123)+MIN(0,Input!$AA$20)*Input!$AA$28)/Input!$AA$20-10*MAX(0,Input!$AA$20-$AA$20)/Input!$AA$20</f>
        <v>18.3</v>
      </c>
      <c r="AB176" s="51"/>
      <c r="AC176" s="51"/>
      <c r="AD176" s="20" t="s">
        <v>23</v>
      </c>
      <c r="AE176" s="20"/>
      <c r="AF176" s="12"/>
    </row>
    <row r="177" customFormat="false" ht="14.25" hidden="false" customHeight="true" outlineLevel="0" collapsed="false">
      <c r="B177" s="7"/>
      <c r="C177" s="20" t="s">
        <v>222</v>
      </c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1" t="s">
        <v>223</v>
      </c>
      <c r="P177" s="21"/>
      <c r="Q177" s="21"/>
      <c r="R177" s="21"/>
      <c r="S177" s="21"/>
      <c r="T177" s="21"/>
      <c r="U177" s="21"/>
      <c r="V177" s="21"/>
      <c r="W177" s="21"/>
      <c r="X177" s="22" t="s">
        <v>224</v>
      </c>
      <c r="Y177" s="22"/>
      <c r="Z177" s="22"/>
      <c r="AA177" s="50" t="n">
        <f aca="false">IF($AA$173=0,5.14,MAX(5.14,IF(Input!$AA$25&gt;0,MIN(Input!$AA$25,4.14+0.5*Input!$AA$15/$AA$173),4.14+0.5*Input!$AA$15/$AA$173)))</f>
        <v>5.14</v>
      </c>
      <c r="AB177" s="50"/>
      <c r="AC177" s="50"/>
      <c r="AD177" s="20" t="s">
        <v>38</v>
      </c>
      <c r="AE177" s="20"/>
      <c r="AF177" s="12"/>
    </row>
    <row r="178" customFormat="false" ht="14.25" hidden="false" customHeight="true" outlineLevel="0" collapsed="false">
      <c r="B178" s="7"/>
      <c r="C178" s="20" t="s">
        <v>225</v>
      </c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1" t="s">
        <v>226</v>
      </c>
      <c r="P178" s="21"/>
      <c r="Q178" s="21"/>
      <c r="R178" s="21"/>
      <c r="S178" s="21"/>
      <c r="T178" s="21"/>
      <c r="U178" s="21"/>
      <c r="V178" s="21"/>
      <c r="W178" s="21"/>
      <c r="X178" s="22" t="s">
        <v>227</v>
      </c>
      <c r="Y178" s="22"/>
      <c r="Z178" s="22"/>
      <c r="AA178" s="50" t="n">
        <f aca="false">1+0.2*Input!$AA$15/Input!$AA$16</f>
        <v>1.07326732673267</v>
      </c>
      <c r="AB178" s="50"/>
      <c r="AC178" s="50"/>
      <c r="AD178" s="20" t="s">
        <v>38</v>
      </c>
      <c r="AE178" s="20"/>
      <c r="AF178" s="12"/>
    </row>
    <row r="179" customFormat="false" ht="14.25" hidden="false" customHeight="true" outlineLevel="0" collapsed="false">
      <c r="B179" s="7"/>
      <c r="C179" s="20" t="s">
        <v>228</v>
      </c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1" t="s">
        <v>229</v>
      </c>
      <c r="P179" s="21"/>
      <c r="Q179" s="21"/>
      <c r="R179" s="21"/>
      <c r="S179" s="21"/>
      <c r="T179" s="21"/>
      <c r="U179" s="21"/>
      <c r="V179" s="21"/>
      <c r="W179" s="21"/>
      <c r="X179" s="22" t="s">
        <v>230</v>
      </c>
      <c r="Y179" s="22"/>
      <c r="Z179" s="22"/>
      <c r="AA179" s="51" t="str">
        <f aca="false">IF($AA$173=0,"n/a",$AA$174*$AA$177*$AA$178)</f>
        <v>n/a</v>
      </c>
      <c r="AB179" s="51"/>
      <c r="AC179" s="51"/>
      <c r="AD179" s="20" t="s">
        <v>26</v>
      </c>
      <c r="AE179" s="20"/>
      <c r="AF179" s="12"/>
    </row>
    <row r="180" customFormat="false" ht="14.25" hidden="false" customHeight="true" outlineLevel="0" collapsed="false">
      <c r="B180" s="7"/>
      <c r="C180" s="20" t="s">
        <v>231</v>
      </c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1" t="s">
        <v>232</v>
      </c>
      <c r="P180" s="21"/>
      <c r="Q180" s="21"/>
      <c r="R180" s="21"/>
      <c r="S180" s="21"/>
      <c r="T180" s="21"/>
      <c r="U180" s="21"/>
      <c r="V180" s="21"/>
      <c r="W180" s="21"/>
      <c r="X180" s="22" t="s">
        <v>233</v>
      </c>
      <c r="Y180" s="22"/>
      <c r="Z180" s="22"/>
      <c r="AA180" s="50" t="n">
        <f aca="false">EXP(PI()*TAN(RADIANS($AA$175)))*TAN(RADIANS(45+$AA$175/2))^2</f>
        <v>75.2570188076918</v>
      </c>
      <c r="AB180" s="50"/>
      <c r="AC180" s="50"/>
      <c r="AD180" s="20" t="s">
        <v>38</v>
      </c>
      <c r="AE180" s="20"/>
      <c r="AF180" s="12"/>
    </row>
    <row r="181" customFormat="false" ht="14.25" hidden="false" customHeight="true" outlineLevel="0" collapsed="false">
      <c r="B181" s="7"/>
      <c r="C181" s="20" t="s">
        <v>234</v>
      </c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1" t="s">
        <v>235</v>
      </c>
      <c r="P181" s="21"/>
      <c r="Q181" s="21"/>
      <c r="R181" s="21"/>
      <c r="S181" s="21"/>
      <c r="T181" s="21"/>
      <c r="U181" s="21"/>
      <c r="V181" s="21"/>
      <c r="W181" s="21"/>
      <c r="X181" s="22" t="s">
        <v>236</v>
      </c>
      <c r="Y181" s="22"/>
      <c r="Z181" s="22"/>
      <c r="AA181" s="50" t="n">
        <f aca="false">2*($AA$180+1)*TAN(RADIANS($AA$175))</f>
        <v>133.176685019166</v>
      </c>
      <c r="AB181" s="50"/>
      <c r="AC181" s="50"/>
      <c r="AD181" s="20" t="s">
        <v>38</v>
      </c>
      <c r="AE181" s="20"/>
      <c r="AF181" s="12"/>
    </row>
    <row r="182" customFormat="false" ht="14.25" hidden="false" customHeight="true" outlineLevel="0" collapsed="false">
      <c r="B182" s="7"/>
      <c r="C182" s="20" t="s">
        <v>237</v>
      </c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1" t="s">
        <v>238</v>
      </c>
      <c r="P182" s="21"/>
      <c r="Q182" s="21"/>
      <c r="R182" s="21"/>
      <c r="S182" s="21"/>
      <c r="T182" s="21"/>
      <c r="U182" s="21"/>
      <c r="V182" s="21"/>
      <c r="W182" s="21"/>
      <c r="X182" s="22" t="s">
        <v>239</v>
      </c>
      <c r="Y182" s="22"/>
      <c r="Z182" s="22"/>
      <c r="AA182" s="63" t="n">
        <f aca="false">(1-0.4*Input!$AA$15/Input!$AA$16)*IF(Input!$AA$15&gt;2,1-0.25*LOG10(Input!$AA$15/2),1)</f>
        <v>0.518863889567884</v>
      </c>
      <c r="AB182" s="63"/>
      <c r="AC182" s="63"/>
      <c r="AD182" s="20" t="s">
        <v>38</v>
      </c>
      <c r="AE182" s="20"/>
      <c r="AF182" s="12"/>
    </row>
    <row r="183" customFormat="false" ht="14.25" hidden="false" customHeight="true" outlineLevel="0" collapsed="false">
      <c r="B183" s="7"/>
      <c r="C183" s="20" t="s">
        <v>240</v>
      </c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1" t="s">
        <v>241</v>
      </c>
      <c r="P183" s="21"/>
      <c r="Q183" s="21"/>
      <c r="R183" s="21"/>
      <c r="S183" s="21"/>
      <c r="T183" s="21"/>
      <c r="U183" s="21"/>
      <c r="V183" s="21"/>
      <c r="W183" s="21"/>
      <c r="X183" s="22" t="s">
        <v>242</v>
      </c>
      <c r="Y183" s="22"/>
      <c r="Z183" s="22"/>
      <c r="AA183" s="51" t="n">
        <f aca="false">0.5*$AA$176*Input!$AA$15*$AA$181*$AA$182</f>
        <v>46787.9978352974</v>
      </c>
      <c r="AB183" s="51"/>
      <c r="AC183" s="51"/>
      <c r="AD183" s="20" t="s">
        <v>26</v>
      </c>
      <c r="AE183" s="20"/>
      <c r="AF183" s="12"/>
    </row>
    <row r="184" customFormat="false" ht="14.25" hidden="false" customHeight="true" outlineLevel="0" collapsed="false">
      <c r="B184" s="7"/>
      <c r="C184" s="20" t="s">
        <v>243</v>
      </c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1" t="s">
        <v>244</v>
      </c>
      <c r="P184" s="21"/>
      <c r="Q184" s="21"/>
      <c r="R184" s="21"/>
      <c r="S184" s="21"/>
      <c r="T184" s="21"/>
      <c r="U184" s="21"/>
      <c r="V184" s="21"/>
      <c r="W184" s="21"/>
      <c r="X184" s="22" t="s">
        <v>245</v>
      </c>
      <c r="Y184" s="22"/>
      <c r="Z184" s="22"/>
      <c r="AA184" s="24" t="n">
        <f aca="false">IF($AA$173=0,$AA$183,MIN($AA$179,$AA$183))</f>
        <v>46787.9978352974</v>
      </c>
      <c r="AB184" s="24"/>
      <c r="AC184" s="24"/>
      <c r="AD184" s="20" t="s">
        <v>26</v>
      </c>
      <c r="AE184" s="20"/>
      <c r="AF184" s="12"/>
    </row>
    <row r="185" customFormat="false" ht="14.25" hidden="false" customHeight="true" outlineLevel="0" collapsed="false">
      <c r="B185" s="7"/>
      <c r="C185" s="20" t="s">
        <v>246</v>
      </c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1" t="s">
        <v>247</v>
      </c>
      <c r="P185" s="21"/>
      <c r="Q185" s="21"/>
      <c r="R185" s="21"/>
      <c r="S185" s="21"/>
      <c r="T185" s="21"/>
      <c r="U185" s="21"/>
      <c r="V185" s="21"/>
      <c r="W185" s="21"/>
      <c r="X185" s="22" t="s">
        <v>248</v>
      </c>
      <c r="Y185" s="22"/>
      <c r="Z185" s="22"/>
      <c r="AA185" s="24" t="n">
        <f aca="false">$AA$184/Input!$AA$19</f>
        <v>15595.9992784325</v>
      </c>
      <c r="AB185" s="24"/>
      <c r="AC185" s="24"/>
      <c r="AD185" s="20" t="s">
        <v>26</v>
      </c>
      <c r="AE185" s="20"/>
      <c r="AF185" s="12"/>
    </row>
    <row r="186" customFormat="false" ht="14.25" hidden="false" customHeight="true" outlineLevel="0" collapsed="false">
      <c r="B186" s="7"/>
      <c r="C186" s="20" t="s">
        <v>249</v>
      </c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1" t="s">
        <v>28</v>
      </c>
      <c r="P186" s="21"/>
      <c r="Q186" s="21"/>
      <c r="R186" s="21"/>
      <c r="S186" s="21"/>
      <c r="T186" s="21"/>
      <c r="U186" s="21"/>
      <c r="V186" s="21"/>
      <c r="W186" s="21"/>
      <c r="X186" s="22" t="s">
        <v>29</v>
      </c>
      <c r="Y186" s="22"/>
      <c r="Z186" s="22"/>
      <c r="AA186" s="51" t="n">
        <f aca="false">Input!$AA$14</f>
        <v>136</v>
      </c>
      <c r="AB186" s="51"/>
      <c r="AC186" s="51"/>
      <c r="AD186" s="20" t="s">
        <v>26</v>
      </c>
      <c r="AE186" s="20"/>
      <c r="AF186" s="12"/>
    </row>
    <row r="187" customFormat="false" ht="14.25" hidden="false" customHeight="true" outlineLevel="0" collapsed="false">
      <c r="B187" s="7"/>
      <c r="C187" s="20" t="s">
        <v>250</v>
      </c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1" t="s">
        <v>251</v>
      </c>
      <c r="P187" s="21"/>
      <c r="Q187" s="21"/>
      <c r="R187" s="21"/>
      <c r="S187" s="21"/>
      <c r="T187" s="21"/>
      <c r="U187" s="21"/>
      <c r="V187" s="21"/>
      <c r="W187" s="21"/>
      <c r="X187" s="22" t="s">
        <v>252</v>
      </c>
      <c r="Y187" s="22"/>
      <c r="Z187" s="22"/>
      <c r="AA187" s="50" t="n">
        <f aca="false">$AA$184/Input!$AA$14</f>
        <v>344.029395847775</v>
      </c>
      <c r="AB187" s="50"/>
      <c r="AC187" s="50"/>
      <c r="AD187" s="20" t="s">
        <v>38</v>
      </c>
      <c r="AE187" s="20"/>
      <c r="AF187" s="12"/>
    </row>
    <row r="188" customFormat="false" ht="14.25" hidden="false" customHeight="true" outlineLevel="0" collapsed="false">
      <c r="B188" s="7"/>
      <c r="C188" s="20" t="s">
        <v>253</v>
      </c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1" t="s">
        <v>254</v>
      </c>
      <c r="P188" s="21"/>
      <c r="Q188" s="21"/>
      <c r="R188" s="21"/>
      <c r="S188" s="21"/>
      <c r="T188" s="21"/>
      <c r="U188" s="21"/>
      <c r="V188" s="21"/>
      <c r="W188" s="21"/>
      <c r="X188" s="22" t="s">
        <v>255</v>
      </c>
      <c r="Y188" s="22"/>
      <c r="Z188" s="22"/>
      <c r="AA188" s="50" t="n">
        <f aca="false">MAX(0,($AA$185-Input!$AA$13)/Input!$AA$12)</f>
        <v>860.888848801804</v>
      </c>
      <c r="AB188" s="50"/>
      <c r="AC188" s="50"/>
      <c r="AD188" s="20" t="s">
        <v>19</v>
      </c>
      <c r="AE188" s="20"/>
      <c r="AF188" s="12"/>
    </row>
    <row r="189" customFormat="false" ht="14.25" hidden="false" customHeight="false" outlineLevel="0" collapsed="false">
      <c r="B189" s="7"/>
      <c r="C189" s="9" t="s">
        <v>256</v>
      </c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X189" s="64" t="str">
        <f aca="false">IF($AA$185&gt;=Input!$AA$14,"qall ≥ q …. OK!!","qall &lt; q …. NG!!")</f>
        <v>qall ≥ q …. OK!!</v>
      </c>
      <c r="Y189" s="64"/>
      <c r="Z189" s="64"/>
      <c r="AA189" s="64"/>
      <c r="AB189" s="64"/>
      <c r="AC189" s="64"/>
      <c r="AD189" s="64"/>
      <c r="AE189" s="64"/>
      <c r="AF189" s="12"/>
    </row>
    <row r="190" customFormat="false" ht="14.25" hidden="false" customHeight="false" outlineLevel="0" collapsed="false">
      <c r="B190" s="7"/>
      <c r="AF190" s="12"/>
    </row>
    <row r="191" customFormat="false" ht="14.25" hidden="false" customHeight="false" outlineLevel="0" collapsed="false">
      <c r="B191" s="7"/>
      <c r="C191" s="9" t="s">
        <v>257</v>
      </c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12"/>
    </row>
    <row r="192" customFormat="false" ht="14.25" hidden="false" customHeight="true" outlineLevel="0" collapsed="false">
      <c r="B192" s="7"/>
      <c r="C192" s="20" t="s">
        <v>210</v>
      </c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1" t="s">
        <v>211</v>
      </c>
      <c r="P192" s="21"/>
      <c r="Q192" s="21"/>
      <c r="R192" s="21"/>
      <c r="S192" s="21"/>
      <c r="T192" s="21"/>
      <c r="U192" s="21"/>
      <c r="V192" s="21"/>
      <c r="W192" s="21"/>
      <c r="X192" s="22" t="s">
        <v>212</v>
      </c>
      <c r="Y192" s="22"/>
      <c r="Z192" s="22"/>
      <c r="AA192" s="50" t="n">
        <f aca="false">SUMPRODUCT(--(AM83:AM123&lt;&gt;"Sand"),BO83:BO123)</f>
        <v>0</v>
      </c>
      <c r="AB192" s="50"/>
      <c r="AC192" s="50"/>
      <c r="AD192" s="20" t="s">
        <v>19</v>
      </c>
      <c r="AE192" s="20"/>
      <c r="AF192" s="12"/>
    </row>
    <row r="193" customFormat="false" ht="14.25" hidden="false" customHeight="true" outlineLevel="0" collapsed="false">
      <c r="B193" s="7"/>
      <c r="C193" s="20" t="s">
        <v>213</v>
      </c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1" t="s">
        <v>214</v>
      </c>
      <c r="P193" s="21"/>
      <c r="Q193" s="21"/>
      <c r="R193" s="21"/>
      <c r="S193" s="21"/>
      <c r="T193" s="21"/>
      <c r="U193" s="21"/>
      <c r="V193" s="21"/>
      <c r="W193" s="21"/>
      <c r="X193" s="22" t="s">
        <v>215</v>
      </c>
      <c r="Y193" s="22"/>
      <c r="Z193" s="22"/>
      <c r="AA193" s="51" t="n">
        <f aca="false">IF($AA$192=0,0,SUMPRODUCT(--(AM83:AM123&lt;&gt;"Sand"),BO83:BO123,AV83:AV123)/$AA$192)</f>
        <v>0</v>
      </c>
      <c r="AB193" s="51"/>
      <c r="AC193" s="51"/>
      <c r="AD193" s="20" t="s">
        <v>26</v>
      </c>
      <c r="AE193" s="20"/>
      <c r="AF193" s="12"/>
    </row>
    <row r="194" customFormat="false" ht="14.25" hidden="false" customHeight="true" outlineLevel="0" collapsed="false">
      <c r="B194" s="7"/>
      <c r="C194" s="20" t="s">
        <v>216</v>
      </c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1" t="s">
        <v>217</v>
      </c>
      <c r="P194" s="21"/>
      <c r="Q194" s="21"/>
      <c r="R194" s="21"/>
      <c r="S194" s="21"/>
      <c r="T194" s="21"/>
      <c r="U194" s="21"/>
      <c r="V194" s="21"/>
      <c r="W194" s="21"/>
      <c r="X194" s="22" t="s">
        <v>218</v>
      </c>
      <c r="Y194" s="22"/>
      <c r="Z194" s="22"/>
      <c r="AA194" s="51" t="n">
        <f aca="false">(SUMPRODUCT(BO83:BO123,AW83:AW123)+MIN($AA$23,Input!$AA$20)*Input!$AA$29)/Input!$AA$20</f>
        <v>41.127766007824</v>
      </c>
      <c r="AB194" s="51"/>
      <c r="AC194" s="51"/>
      <c r="AD194" s="20" t="s">
        <v>60</v>
      </c>
      <c r="AE194" s="20"/>
      <c r="AF194" s="12"/>
    </row>
    <row r="195" customFormat="false" ht="14.25" hidden="false" customHeight="true" outlineLevel="0" collapsed="false">
      <c r="B195" s="7"/>
      <c r="C195" s="20" t="s">
        <v>219</v>
      </c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1" t="s">
        <v>220</v>
      </c>
      <c r="P195" s="21"/>
      <c r="Q195" s="21"/>
      <c r="R195" s="21"/>
      <c r="S195" s="21"/>
      <c r="T195" s="21"/>
      <c r="U195" s="21"/>
      <c r="V195" s="21"/>
      <c r="W195" s="21"/>
      <c r="X195" s="22" t="s">
        <v>221</v>
      </c>
      <c r="Y195" s="22"/>
      <c r="Z195" s="22"/>
      <c r="AA195" s="51" t="n">
        <f aca="false">(SUMPRODUCT(BO83:BO123,AO83:AO123)+MIN($AA$23,Input!$AA$20)*Input!$AA$28)/Input!$AA$20-10*MAX(0,Input!$AA$20-$AA$20)/Input!$AA$20</f>
        <v>18.3</v>
      </c>
      <c r="AB195" s="51"/>
      <c r="AC195" s="51"/>
      <c r="AD195" s="20" t="s">
        <v>23</v>
      </c>
      <c r="AE195" s="20"/>
      <c r="AF195" s="12"/>
    </row>
    <row r="196" customFormat="false" ht="14.25" hidden="false" customHeight="true" outlineLevel="0" collapsed="false">
      <c r="B196" s="7"/>
      <c r="C196" s="20" t="s">
        <v>222</v>
      </c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1" t="s">
        <v>223</v>
      </c>
      <c r="P196" s="21"/>
      <c r="Q196" s="21"/>
      <c r="R196" s="21"/>
      <c r="S196" s="21"/>
      <c r="T196" s="21"/>
      <c r="U196" s="21"/>
      <c r="V196" s="21"/>
      <c r="W196" s="21"/>
      <c r="X196" s="22" t="s">
        <v>224</v>
      </c>
      <c r="Y196" s="22"/>
      <c r="Z196" s="22"/>
      <c r="AA196" s="50" t="n">
        <f aca="false">IF($AA$192=0,5.14,MAX(5.14,IF(Input!$AA$25&gt;0,MIN(Input!$AA$25,4.14+0.5*Input!$AA$15/$AA$192),4.14+0.5*Input!$AA$15/$AA$192)))</f>
        <v>5.14</v>
      </c>
      <c r="AB196" s="50"/>
      <c r="AC196" s="50"/>
      <c r="AD196" s="20" t="s">
        <v>38</v>
      </c>
      <c r="AE196" s="20"/>
      <c r="AF196" s="12"/>
    </row>
    <row r="197" customFormat="false" ht="14.25" hidden="false" customHeight="true" outlineLevel="0" collapsed="false">
      <c r="B197" s="7"/>
      <c r="C197" s="20" t="s">
        <v>225</v>
      </c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1" t="s">
        <v>226</v>
      </c>
      <c r="P197" s="21"/>
      <c r="Q197" s="21"/>
      <c r="R197" s="21"/>
      <c r="S197" s="21"/>
      <c r="T197" s="21"/>
      <c r="U197" s="21"/>
      <c r="V197" s="21"/>
      <c r="W197" s="21"/>
      <c r="X197" s="22" t="s">
        <v>227</v>
      </c>
      <c r="Y197" s="22"/>
      <c r="Z197" s="22"/>
      <c r="AA197" s="50" t="n">
        <f aca="false">1+0.2*Input!$AA$15/Input!$AA$16</f>
        <v>1.07326732673267</v>
      </c>
      <c r="AB197" s="50"/>
      <c r="AC197" s="50"/>
      <c r="AD197" s="20" t="s">
        <v>38</v>
      </c>
      <c r="AE197" s="20"/>
      <c r="AF197" s="12"/>
    </row>
    <row r="198" customFormat="false" ht="14.25" hidden="false" customHeight="true" outlineLevel="0" collapsed="false">
      <c r="B198" s="7"/>
      <c r="C198" s="20" t="s">
        <v>228</v>
      </c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1" t="s">
        <v>229</v>
      </c>
      <c r="P198" s="21"/>
      <c r="Q198" s="21"/>
      <c r="R198" s="21"/>
      <c r="S198" s="21"/>
      <c r="T198" s="21"/>
      <c r="U198" s="21"/>
      <c r="V198" s="21"/>
      <c r="W198" s="21"/>
      <c r="X198" s="22" t="s">
        <v>230</v>
      </c>
      <c r="Y198" s="22"/>
      <c r="Z198" s="22"/>
      <c r="AA198" s="51" t="str">
        <f aca="false">IF($AA$192=0,"n/a",$AA$193*$AA$196*$AA$197)</f>
        <v>n/a</v>
      </c>
      <c r="AB198" s="51"/>
      <c r="AC198" s="51"/>
      <c r="AD198" s="20" t="s">
        <v>26</v>
      </c>
      <c r="AE198" s="20"/>
      <c r="AF198" s="12"/>
    </row>
    <row r="199" customFormat="false" ht="14.25" hidden="false" customHeight="true" outlineLevel="0" collapsed="false">
      <c r="B199" s="7"/>
      <c r="C199" s="20" t="s">
        <v>231</v>
      </c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1" t="s">
        <v>232</v>
      </c>
      <c r="P199" s="21"/>
      <c r="Q199" s="21"/>
      <c r="R199" s="21"/>
      <c r="S199" s="21"/>
      <c r="T199" s="21"/>
      <c r="U199" s="21"/>
      <c r="V199" s="21"/>
      <c r="W199" s="21"/>
      <c r="X199" s="22" t="s">
        <v>233</v>
      </c>
      <c r="Y199" s="22"/>
      <c r="Z199" s="22"/>
      <c r="AA199" s="50" t="n">
        <f aca="false">EXP(PI()*TAN(RADIANS($AA$194)))*TAN(RADIANS(45+$AA$194/2))^2</f>
        <v>75.2570188076918</v>
      </c>
      <c r="AB199" s="50"/>
      <c r="AC199" s="50"/>
      <c r="AD199" s="20" t="s">
        <v>38</v>
      </c>
      <c r="AE199" s="20"/>
      <c r="AF199" s="12"/>
    </row>
    <row r="200" customFormat="false" ht="14.25" hidden="false" customHeight="true" outlineLevel="0" collapsed="false">
      <c r="B200" s="7"/>
      <c r="C200" s="20" t="s">
        <v>234</v>
      </c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1" t="s">
        <v>235</v>
      </c>
      <c r="P200" s="21"/>
      <c r="Q200" s="21"/>
      <c r="R200" s="21"/>
      <c r="S200" s="21"/>
      <c r="T200" s="21"/>
      <c r="U200" s="21"/>
      <c r="V200" s="21"/>
      <c r="W200" s="21"/>
      <c r="X200" s="22" t="s">
        <v>236</v>
      </c>
      <c r="Y200" s="22"/>
      <c r="Z200" s="22"/>
      <c r="AA200" s="50" t="n">
        <f aca="false">2*($AA$199+1)*TAN(RADIANS($AA$194))</f>
        <v>133.176685019166</v>
      </c>
      <c r="AB200" s="50"/>
      <c r="AC200" s="50"/>
      <c r="AD200" s="20" t="s">
        <v>38</v>
      </c>
      <c r="AE200" s="20"/>
      <c r="AF200" s="12"/>
    </row>
    <row r="201" customFormat="false" ht="14.25" hidden="false" customHeight="true" outlineLevel="0" collapsed="false">
      <c r="B201" s="7"/>
      <c r="C201" s="20" t="s">
        <v>237</v>
      </c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1" t="s">
        <v>238</v>
      </c>
      <c r="P201" s="21"/>
      <c r="Q201" s="21"/>
      <c r="R201" s="21"/>
      <c r="S201" s="21"/>
      <c r="T201" s="21"/>
      <c r="U201" s="21"/>
      <c r="V201" s="21"/>
      <c r="W201" s="21"/>
      <c r="X201" s="22" t="s">
        <v>239</v>
      </c>
      <c r="Y201" s="22"/>
      <c r="Z201" s="22"/>
      <c r="AA201" s="63" t="n">
        <f aca="false">(1-0.4*Input!$AA$15/Input!$AA$16)*IF(Input!$AA$15&gt;2,1-0.25*LOG10(Input!$AA$15/2),1)</f>
        <v>0.518863889567884</v>
      </c>
      <c r="AB201" s="63"/>
      <c r="AC201" s="63"/>
      <c r="AD201" s="20" t="s">
        <v>38</v>
      </c>
      <c r="AE201" s="20"/>
      <c r="AF201" s="12"/>
    </row>
    <row r="202" customFormat="false" ht="14.25" hidden="false" customHeight="true" outlineLevel="0" collapsed="false">
      <c r="B202" s="7"/>
      <c r="C202" s="20" t="s">
        <v>240</v>
      </c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1" t="s">
        <v>241</v>
      </c>
      <c r="P202" s="21"/>
      <c r="Q202" s="21"/>
      <c r="R202" s="21"/>
      <c r="S202" s="21"/>
      <c r="T202" s="21"/>
      <c r="U202" s="21"/>
      <c r="V202" s="21"/>
      <c r="W202" s="21"/>
      <c r="X202" s="22" t="s">
        <v>242</v>
      </c>
      <c r="Y202" s="22"/>
      <c r="Z202" s="22"/>
      <c r="AA202" s="51" t="n">
        <f aca="false">0.5*$AA$195*Input!$AA$15*$AA$200*$AA$201</f>
        <v>46787.9978352974</v>
      </c>
      <c r="AB202" s="51"/>
      <c r="AC202" s="51"/>
      <c r="AD202" s="20" t="s">
        <v>26</v>
      </c>
      <c r="AE202" s="20"/>
      <c r="AF202" s="12"/>
    </row>
    <row r="203" customFormat="false" ht="14.25" hidden="false" customHeight="true" outlineLevel="0" collapsed="false">
      <c r="B203" s="7"/>
      <c r="C203" s="20" t="s">
        <v>243</v>
      </c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1" t="s">
        <v>244</v>
      </c>
      <c r="P203" s="21"/>
      <c r="Q203" s="21"/>
      <c r="R203" s="21"/>
      <c r="S203" s="21"/>
      <c r="T203" s="21"/>
      <c r="U203" s="21"/>
      <c r="V203" s="21"/>
      <c r="W203" s="21"/>
      <c r="X203" s="22" t="s">
        <v>245</v>
      </c>
      <c r="Y203" s="22"/>
      <c r="Z203" s="22"/>
      <c r="AA203" s="24" t="n">
        <f aca="false">IF($AA$192=0,$AA$202,MIN($AA$198,$AA$202))</f>
        <v>46787.9978352974</v>
      </c>
      <c r="AB203" s="24"/>
      <c r="AC203" s="24"/>
      <c r="AD203" s="20" t="s">
        <v>26</v>
      </c>
      <c r="AE203" s="20"/>
      <c r="AF203" s="12"/>
    </row>
    <row r="204" customFormat="false" ht="14.25" hidden="false" customHeight="true" outlineLevel="0" collapsed="false">
      <c r="B204" s="7"/>
      <c r="C204" s="20" t="s">
        <v>246</v>
      </c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1" t="s">
        <v>247</v>
      </c>
      <c r="P204" s="21"/>
      <c r="Q204" s="21"/>
      <c r="R204" s="21"/>
      <c r="S204" s="21"/>
      <c r="T204" s="21"/>
      <c r="U204" s="21"/>
      <c r="V204" s="21"/>
      <c r="W204" s="21"/>
      <c r="X204" s="22" t="s">
        <v>248</v>
      </c>
      <c r="Y204" s="22"/>
      <c r="Z204" s="22"/>
      <c r="AA204" s="24" t="n">
        <f aca="false">$AA$203/Input!$AA$19</f>
        <v>15595.9992784325</v>
      </c>
      <c r="AB204" s="24"/>
      <c r="AC204" s="24"/>
      <c r="AD204" s="20" t="s">
        <v>26</v>
      </c>
      <c r="AE204" s="20"/>
      <c r="AF204" s="12"/>
    </row>
    <row r="205" customFormat="false" ht="14.25" hidden="false" customHeight="true" outlineLevel="0" collapsed="false">
      <c r="B205" s="7"/>
      <c r="C205" s="20" t="s">
        <v>249</v>
      </c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1" t="s">
        <v>28</v>
      </c>
      <c r="P205" s="21"/>
      <c r="Q205" s="21"/>
      <c r="R205" s="21"/>
      <c r="S205" s="21"/>
      <c r="T205" s="21"/>
      <c r="U205" s="21"/>
      <c r="V205" s="21"/>
      <c r="W205" s="21"/>
      <c r="X205" s="22" t="s">
        <v>29</v>
      </c>
      <c r="Y205" s="22"/>
      <c r="Z205" s="22"/>
      <c r="AA205" s="51" t="n">
        <f aca="false">Input!$AA$14</f>
        <v>136</v>
      </c>
      <c r="AB205" s="51"/>
      <c r="AC205" s="51"/>
      <c r="AD205" s="20" t="s">
        <v>26</v>
      </c>
      <c r="AE205" s="20"/>
      <c r="AF205" s="12"/>
    </row>
    <row r="206" customFormat="false" ht="14.25" hidden="false" customHeight="true" outlineLevel="0" collapsed="false">
      <c r="B206" s="7"/>
      <c r="C206" s="20" t="s">
        <v>250</v>
      </c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1" t="s">
        <v>251</v>
      </c>
      <c r="P206" s="21"/>
      <c r="Q206" s="21"/>
      <c r="R206" s="21"/>
      <c r="S206" s="21"/>
      <c r="T206" s="21"/>
      <c r="U206" s="21"/>
      <c r="V206" s="21"/>
      <c r="W206" s="21"/>
      <c r="X206" s="22" t="s">
        <v>252</v>
      </c>
      <c r="Y206" s="22"/>
      <c r="Z206" s="22"/>
      <c r="AA206" s="50" t="n">
        <f aca="false">$AA$203/Input!$AA$14</f>
        <v>344.029395847775</v>
      </c>
      <c r="AB206" s="50"/>
      <c r="AC206" s="50"/>
      <c r="AD206" s="20" t="s">
        <v>38</v>
      </c>
      <c r="AE206" s="20"/>
      <c r="AF206" s="12"/>
    </row>
    <row r="207" customFormat="false" ht="14.25" hidden="false" customHeight="true" outlineLevel="0" collapsed="false">
      <c r="B207" s="7"/>
      <c r="C207" s="20" t="s">
        <v>253</v>
      </c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1" t="s">
        <v>254</v>
      </c>
      <c r="P207" s="21"/>
      <c r="Q207" s="21"/>
      <c r="R207" s="21"/>
      <c r="S207" s="21"/>
      <c r="T207" s="21"/>
      <c r="U207" s="21"/>
      <c r="V207" s="21"/>
      <c r="W207" s="21"/>
      <c r="X207" s="22" t="s">
        <v>255</v>
      </c>
      <c r="Y207" s="22"/>
      <c r="Z207" s="22"/>
      <c r="AA207" s="50" t="n">
        <f aca="false">MAX(0,($AA$204-Input!$AA$13)/Input!$AA$12)</f>
        <v>860.888848801804</v>
      </c>
      <c r="AB207" s="50"/>
      <c r="AC207" s="50"/>
      <c r="AD207" s="20" t="s">
        <v>19</v>
      </c>
      <c r="AE207" s="20"/>
      <c r="AF207" s="12"/>
    </row>
    <row r="208" customFormat="false" ht="14.25" hidden="false" customHeight="false" outlineLevel="0" collapsed="false">
      <c r="B208" s="7"/>
      <c r="C208" s="9" t="s">
        <v>256</v>
      </c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X208" s="64" t="str">
        <f aca="false">IF($AA$204&gt;=Input!$AA$14,"qall ≥ q …. OK!!","qall &lt; q …. NG!!")</f>
        <v>qall ≥ q …. OK!!</v>
      </c>
      <c r="Y208" s="64"/>
      <c r="Z208" s="64"/>
      <c r="AA208" s="64"/>
      <c r="AB208" s="64"/>
      <c r="AC208" s="64"/>
      <c r="AD208" s="64"/>
      <c r="AE208" s="64"/>
      <c r="AF208" s="12"/>
    </row>
    <row r="209" customFormat="false" ht="14.25" hidden="false" customHeight="false" outlineLevel="0" collapsed="false">
      <c r="B209" s="7"/>
      <c r="AF209" s="12"/>
    </row>
    <row r="210" customFormat="false" ht="14.25" hidden="false" customHeight="false" outlineLevel="0" collapsed="false">
      <c r="B210" s="7"/>
      <c r="AF210" s="12"/>
    </row>
    <row r="211" customFormat="false" ht="14.25" hidden="false" customHeight="false" outlineLevel="0" collapsed="false">
      <c r="B211" s="7"/>
      <c r="AF211" s="12"/>
    </row>
    <row r="212" customFormat="false" ht="14.25" hidden="false" customHeight="false" outlineLevel="0" collapsed="false">
      <c r="B212" s="7"/>
      <c r="AF212" s="12"/>
    </row>
    <row r="213" customFormat="false" ht="14.25" hidden="false" customHeight="false" outlineLevel="0" collapsed="false">
      <c r="B213" s="7"/>
      <c r="AF213" s="12"/>
    </row>
    <row r="214" customFormat="false" ht="14.25" hidden="false" customHeight="false" outlineLevel="0" collapsed="false">
      <c r="B214" s="7"/>
      <c r="AF214" s="12"/>
    </row>
    <row r="215" customFormat="false" ht="14.25" hidden="false" customHeight="false" outlineLevel="0" collapsed="false">
      <c r="B215" s="7"/>
      <c r="AF215" s="12"/>
    </row>
    <row r="216" customFormat="false" ht="14.25" hidden="false" customHeight="false" outlineLevel="0" collapsed="false">
      <c r="B216" s="7"/>
      <c r="AF216" s="12"/>
    </row>
    <row r="217" customFormat="false" ht="14.25" hidden="false" customHeight="true" outlineLevel="0" collapsed="false">
      <c r="B217" s="36"/>
      <c r="C217" s="37"/>
      <c r="D217" s="37"/>
      <c r="E217" s="37"/>
      <c r="F217" s="37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8" t="s">
        <v>93</v>
      </c>
      <c r="Y217" s="38"/>
      <c r="Z217" s="38"/>
      <c r="AA217" s="38"/>
      <c r="AB217" s="38" t="n">
        <v>3</v>
      </c>
      <c r="AC217" s="38"/>
      <c r="AD217" s="38"/>
      <c r="AE217" s="38"/>
      <c r="AF217" s="39"/>
    </row>
    <row r="218" customFormat="false" ht="14.25" hidden="false" customHeight="true" outlineLevel="0" collapsed="false">
      <c r="B218" s="1"/>
      <c r="C218" s="2" t="s">
        <v>0</v>
      </c>
      <c r="D218" s="2"/>
      <c r="E218" s="2"/>
      <c r="F218" s="2"/>
      <c r="G218" s="2"/>
      <c r="H218" s="3" t="s">
        <v>1</v>
      </c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4" t="s">
        <v>2</v>
      </c>
      <c r="Y218" s="4"/>
      <c r="Z218" s="4"/>
      <c r="AA218" s="4"/>
      <c r="AB218" s="5" t="s">
        <v>3</v>
      </c>
      <c r="AC218" s="5"/>
      <c r="AD218" s="5"/>
      <c r="AE218" s="5"/>
      <c r="AF218" s="6"/>
    </row>
    <row r="219" customFormat="false" ht="14.25" hidden="false" customHeight="true" outlineLevel="0" collapsed="false">
      <c r="B219" s="7"/>
      <c r="C219" s="8" t="s">
        <v>4</v>
      </c>
      <c r="D219" s="8"/>
      <c r="E219" s="8"/>
      <c r="F219" s="8"/>
      <c r="G219" s="8"/>
      <c r="H219" s="9" t="s">
        <v>5</v>
      </c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10" t="s">
        <v>6</v>
      </c>
      <c r="Y219" s="10"/>
      <c r="Z219" s="10"/>
      <c r="AA219" s="10"/>
      <c r="AB219" s="11" t="n">
        <v>46301</v>
      </c>
      <c r="AC219" s="11"/>
      <c r="AD219" s="11"/>
      <c r="AE219" s="11"/>
      <c r="AF219" s="12"/>
    </row>
    <row r="220" customFormat="false" ht="14.25" hidden="false" customHeight="true" outlineLevel="0" collapsed="false">
      <c r="B220" s="7"/>
      <c r="C220" s="8" t="s">
        <v>7</v>
      </c>
      <c r="D220" s="8"/>
      <c r="E220" s="8"/>
      <c r="F220" s="8"/>
      <c r="G220" s="8"/>
      <c r="H220" s="9" t="s">
        <v>348</v>
      </c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10" t="s">
        <v>9</v>
      </c>
      <c r="Y220" s="10"/>
      <c r="Z220" s="10"/>
      <c r="AA220" s="10"/>
      <c r="AB220" s="11" t="s">
        <v>3</v>
      </c>
      <c r="AC220" s="11"/>
      <c r="AD220" s="11"/>
      <c r="AE220" s="11"/>
      <c r="AF220" s="12"/>
    </row>
    <row r="221" customFormat="false" ht="14.25" hidden="false" customHeight="true" outlineLevel="0" collapsed="false">
      <c r="B221" s="13"/>
      <c r="C221" s="14" t="s">
        <v>10</v>
      </c>
      <c r="D221" s="14"/>
      <c r="E221" s="14"/>
      <c r="F221" s="14"/>
      <c r="G221" s="14"/>
      <c r="H221" s="15" t="s">
        <v>134</v>
      </c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6" t="s">
        <v>12</v>
      </c>
      <c r="Y221" s="16"/>
      <c r="Z221" s="16"/>
      <c r="AA221" s="16"/>
      <c r="AB221" s="17" t="n">
        <v>46301</v>
      </c>
      <c r="AC221" s="17"/>
      <c r="AD221" s="17"/>
      <c r="AE221" s="17"/>
      <c r="AF221" s="18"/>
    </row>
    <row r="222" customFormat="false" ht="14.25" hidden="false" customHeight="false" outlineLevel="0" collapsed="false">
      <c r="B222" s="7"/>
      <c r="AF222" s="12"/>
    </row>
    <row r="223" customFormat="false" ht="14.25" hidden="false" customHeight="false" outlineLevel="0" collapsed="false">
      <c r="B223" s="7"/>
      <c r="C223" s="9" t="s">
        <v>258</v>
      </c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12"/>
    </row>
    <row r="224" customFormat="false" ht="14.25" hidden="false" customHeight="true" outlineLevel="0" collapsed="false">
      <c r="B224" s="7"/>
      <c r="C224" s="20" t="s">
        <v>259</v>
      </c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1"/>
      <c r="P224" s="21"/>
      <c r="Q224" s="21"/>
      <c r="R224" s="21"/>
      <c r="S224" s="21"/>
      <c r="T224" s="21"/>
      <c r="U224" s="21"/>
      <c r="V224" s="21"/>
      <c r="W224" s="21"/>
      <c r="X224" s="22" t="s">
        <v>260</v>
      </c>
      <c r="Y224" s="22"/>
      <c r="Z224" s="22"/>
      <c r="AA224" s="51" t="n">
        <f aca="false">IFERROR(SUMPRODUCT(--(AM83:AM123="Sand"),BN83:BN123,AN83:AN123)/SUMPRODUCT(--(AM83:AM123="Sand"),BN83:BN123)*Input!$AA$35,"n/a")</f>
        <v>51.5508</v>
      </c>
      <c r="AB224" s="51"/>
      <c r="AC224" s="51"/>
      <c r="AD224" s="20" t="s">
        <v>38</v>
      </c>
      <c r="AE224" s="20"/>
      <c r="AF224" s="12"/>
    </row>
    <row r="225" customFormat="false" ht="14.25" hidden="false" customHeight="true" outlineLevel="0" collapsed="false">
      <c r="B225" s="7"/>
      <c r="C225" s="20" t="s">
        <v>261</v>
      </c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1" t="s">
        <v>262</v>
      </c>
      <c r="P225" s="21"/>
      <c r="Q225" s="21"/>
      <c r="R225" s="21"/>
      <c r="S225" s="21"/>
      <c r="T225" s="21"/>
      <c r="U225" s="21"/>
      <c r="V225" s="21"/>
      <c r="W225" s="21"/>
      <c r="X225" s="22" t="s">
        <v>263</v>
      </c>
      <c r="Y225" s="22"/>
      <c r="Z225" s="22"/>
      <c r="AA225" s="51" t="n">
        <f aca="false">IFERROR(($AA$224*60/55)/0.08*((Input!$AA$15+0.3)/Input!$AA$15)^2,"n/a")</f>
        <v>708.676727933462</v>
      </c>
      <c r="AB225" s="51"/>
      <c r="AC225" s="51"/>
      <c r="AD225" s="20" t="s">
        <v>26</v>
      </c>
      <c r="AE225" s="20"/>
      <c r="AF225" s="12"/>
    </row>
    <row r="226" customFormat="false" ht="14.25" hidden="false" customHeight="false" outlineLevel="0" collapsed="false">
      <c r="B226" s="7"/>
      <c r="C226" s="19" t="s">
        <v>264</v>
      </c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  <c r="AC226" s="19"/>
      <c r="AD226" s="19"/>
      <c r="AE226" s="19"/>
      <c r="AF226" s="12"/>
    </row>
    <row r="227" customFormat="false" ht="14.25" hidden="false" customHeight="false" outlineLevel="0" collapsed="false">
      <c r="B227" s="7"/>
      <c r="AF227" s="12"/>
    </row>
    <row r="228" customFormat="false" ht="14.25" hidden="false" customHeight="false" outlineLevel="0" collapsed="false">
      <c r="B228" s="7"/>
      <c r="C228" s="9" t="s">
        <v>265</v>
      </c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12"/>
    </row>
    <row r="229" customFormat="false" ht="14.25" hidden="false" customHeight="false" outlineLevel="0" collapsed="false">
      <c r="B229" s="7"/>
      <c r="C229" s="20" t="s">
        <v>266</v>
      </c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12"/>
    </row>
    <row r="230" customFormat="false" ht="14.25" hidden="false" customHeight="false" outlineLevel="0" collapsed="false">
      <c r="B230" s="7"/>
      <c r="C230" s="20" t="s">
        <v>267</v>
      </c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12"/>
    </row>
    <row r="231" customFormat="false" ht="14.25" hidden="false" customHeight="false" outlineLevel="0" collapsed="false">
      <c r="B231" s="7"/>
      <c r="C231" s="21" t="s">
        <v>268</v>
      </c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12"/>
    </row>
    <row r="232" customFormat="false" ht="14.25" hidden="false" customHeight="false" outlineLevel="0" collapsed="false">
      <c r="B232" s="7"/>
      <c r="AF232" s="12"/>
    </row>
    <row r="233" customFormat="false" ht="14.25" hidden="false" customHeight="false" outlineLevel="0" collapsed="false">
      <c r="B233" s="7"/>
      <c r="AF233" s="12"/>
    </row>
    <row r="234" customFormat="false" ht="14.25" hidden="false" customHeight="false" outlineLevel="0" collapsed="false">
      <c r="B234" s="7"/>
      <c r="AF234" s="12"/>
    </row>
    <row r="235" customFormat="false" ht="14.25" hidden="false" customHeight="false" outlineLevel="0" collapsed="false">
      <c r="B235" s="7"/>
      <c r="AF235" s="12"/>
    </row>
    <row r="236" customFormat="false" ht="14.25" hidden="false" customHeight="false" outlineLevel="0" collapsed="false">
      <c r="B236" s="7"/>
      <c r="AF236" s="12"/>
    </row>
    <row r="237" customFormat="false" ht="14.25" hidden="false" customHeight="false" outlineLevel="0" collapsed="false">
      <c r="B237" s="7"/>
      <c r="AF237" s="12"/>
    </row>
    <row r="238" customFormat="false" ht="14.25" hidden="false" customHeight="false" outlineLevel="0" collapsed="false">
      <c r="B238" s="7"/>
      <c r="AF238" s="12"/>
    </row>
    <row r="239" customFormat="false" ht="14.25" hidden="false" customHeight="false" outlineLevel="0" collapsed="false">
      <c r="B239" s="7"/>
      <c r="AF239" s="12"/>
    </row>
    <row r="240" customFormat="false" ht="14.25" hidden="false" customHeight="false" outlineLevel="0" collapsed="false">
      <c r="B240" s="7"/>
      <c r="AF240" s="12"/>
    </row>
    <row r="241" customFormat="false" ht="14.25" hidden="false" customHeight="false" outlineLevel="0" collapsed="false">
      <c r="B241" s="7"/>
      <c r="AF241" s="12"/>
    </row>
    <row r="242" customFormat="false" ht="14.25" hidden="false" customHeight="false" outlineLevel="0" collapsed="false">
      <c r="B242" s="7"/>
      <c r="AF242" s="12"/>
    </row>
    <row r="243" customFormat="false" ht="14.25" hidden="false" customHeight="false" outlineLevel="0" collapsed="false">
      <c r="B243" s="7"/>
      <c r="AF243" s="12"/>
    </row>
    <row r="244" customFormat="false" ht="14.25" hidden="false" customHeight="false" outlineLevel="0" collapsed="false">
      <c r="B244" s="7"/>
      <c r="AF244" s="12"/>
    </row>
    <row r="245" customFormat="false" ht="14.25" hidden="false" customHeight="false" outlineLevel="0" collapsed="false">
      <c r="B245" s="7"/>
      <c r="AF245" s="12"/>
    </row>
    <row r="246" customFormat="false" ht="14.25" hidden="false" customHeight="false" outlineLevel="0" collapsed="false">
      <c r="B246" s="7"/>
      <c r="AF246" s="12"/>
    </row>
    <row r="247" customFormat="false" ht="14.25" hidden="false" customHeight="false" outlineLevel="0" collapsed="false">
      <c r="B247" s="7"/>
      <c r="AF247" s="12"/>
    </row>
    <row r="248" customFormat="false" ht="14.25" hidden="false" customHeight="false" outlineLevel="0" collapsed="false">
      <c r="B248" s="7"/>
      <c r="AF248" s="12"/>
    </row>
    <row r="249" customFormat="false" ht="14.25" hidden="false" customHeight="false" outlineLevel="0" collapsed="false">
      <c r="B249" s="7"/>
      <c r="AF249" s="12"/>
    </row>
    <row r="250" customFormat="false" ht="14.25" hidden="false" customHeight="false" outlineLevel="0" collapsed="false">
      <c r="B250" s="7"/>
      <c r="AF250" s="12"/>
    </row>
    <row r="251" customFormat="false" ht="14.25" hidden="false" customHeight="false" outlineLevel="0" collapsed="false">
      <c r="B251" s="7"/>
      <c r="C251" s="52" t="s">
        <v>269</v>
      </c>
      <c r="D251" s="52"/>
      <c r="E251" s="52"/>
      <c r="F251" s="52"/>
      <c r="G251" s="52"/>
      <c r="H251" s="52"/>
      <c r="I251" s="52"/>
      <c r="J251" s="52"/>
      <c r="K251" s="52"/>
      <c r="L251" s="52"/>
      <c r="M251" s="52"/>
      <c r="N251" s="52"/>
      <c r="O251" s="52"/>
      <c r="P251" s="52"/>
      <c r="Q251" s="52"/>
      <c r="R251" s="52"/>
      <c r="S251" s="52"/>
      <c r="T251" s="52"/>
      <c r="U251" s="52"/>
      <c r="V251" s="52"/>
      <c r="W251" s="52"/>
      <c r="X251" s="52"/>
      <c r="Y251" s="52"/>
      <c r="Z251" s="52"/>
      <c r="AA251" s="52"/>
      <c r="AB251" s="52"/>
      <c r="AC251" s="52"/>
      <c r="AD251" s="52"/>
      <c r="AE251" s="52"/>
      <c r="AF251" s="12"/>
    </row>
    <row r="252" customFormat="false" ht="14.25" hidden="false" customHeight="false" outlineLevel="0" collapsed="false">
      <c r="B252" s="7"/>
      <c r="AF252" s="12"/>
    </row>
    <row r="253" customFormat="false" ht="14.25" hidden="false" customHeight="true" outlineLevel="0" collapsed="false">
      <c r="B253" s="7"/>
      <c r="C253" s="20" t="s">
        <v>270</v>
      </c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1" t="s">
        <v>271</v>
      </c>
      <c r="P253" s="21"/>
      <c r="Q253" s="21"/>
      <c r="R253" s="21"/>
      <c r="S253" s="21"/>
      <c r="T253" s="21"/>
      <c r="U253" s="21"/>
      <c r="V253" s="21"/>
      <c r="W253" s="21"/>
      <c r="X253" s="22" t="s">
        <v>272</v>
      </c>
      <c r="Y253" s="22"/>
      <c r="Z253" s="22"/>
      <c r="AA253" s="63" t="n">
        <f aca="false">1/Input!$AA$23</f>
        <v>0.5</v>
      </c>
      <c r="AB253" s="63"/>
      <c r="AC253" s="63"/>
      <c r="AD253" s="20" t="s">
        <v>38</v>
      </c>
      <c r="AE253" s="20"/>
      <c r="AF253" s="12"/>
    </row>
    <row r="254" customFormat="false" ht="14.25" hidden="false" customHeight="true" outlineLevel="0" collapsed="false">
      <c r="B254" s="7"/>
      <c r="C254" s="20" t="s">
        <v>273</v>
      </c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1" t="s">
        <v>274</v>
      </c>
      <c r="P254" s="21"/>
      <c r="Q254" s="21"/>
      <c r="R254" s="21"/>
      <c r="S254" s="21"/>
      <c r="T254" s="21"/>
      <c r="U254" s="21"/>
      <c r="V254" s="21"/>
      <c r="W254" s="21"/>
      <c r="X254" s="22" t="s">
        <v>275</v>
      </c>
      <c r="Y254" s="22"/>
      <c r="Z254" s="22"/>
      <c r="AA254" s="50" t="n">
        <f aca="false">Input!$AA$23*Input!$AA$11</f>
        <v>4</v>
      </c>
      <c r="AB254" s="50"/>
      <c r="AC254" s="50"/>
      <c r="AD254" s="20" t="s">
        <v>19</v>
      </c>
      <c r="AE254" s="20"/>
      <c r="AF254" s="12"/>
    </row>
    <row r="255" customFormat="false" ht="14.25" hidden="false" customHeight="true" outlineLevel="0" collapsed="false">
      <c r="B255" s="7"/>
      <c r="C255" s="20" t="s">
        <v>276</v>
      </c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1" t="s">
        <v>277</v>
      </c>
      <c r="P255" s="21"/>
      <c r="Q255" s="21"/>
      <c r="R255" s="21"/>
      <c r="S255" s="21"/>
      <c r="T255" s="21"/>
      <c r="U255" s="21"/>
      <c r="V255" s="21"/>
      <c r="W255" s="21"/>
      <c r="X255" s="22" t="s">
        <v>278</v>
      </c>
      <c r="Y255" s="22"/>
      <c r="Z255" s="22"/>
      <c r="AA255" s="50" t="n">
        <f aca="false">$AA$173</f>
        <v>0</v>
      </c>
      <c r="AB255" s="50"/>
      <c r="AC255" s="50"/>
      <c r="AD255" s="20" t="s">
        <v>19</v>
      </c>
      <c r="AE255" s="20"/>
      <c r="AF255" s="12"/>
    </row>
    <row r="256" customFormat="false" ht="14.25" hidden="false" customHeight="true" outlineLevel="0" collapsed="false">
      <c r="B256" s="7"/>
      <c r="C256" s="20" t="s">
        <v>279</v>
      </c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1"/>
      <c r="P256" s="21"/>
      <c r="Q256" s="21"/>
      <c r="R256" s="21"/>
      <c r="S256" s="21"/>
      <c r="T256" s="21"/>
      <c r="U256" s="21"/>
      <c r="V256" s="21"/>
      <c r="W256" s="21"/>
      <c r="X256" s="22" t="s">
        <v>252</v>
      </c>
      <c r="Y256" s="22"/>
      <c r="Z256" s="22"/>
      <c r="AA256" s="65" t="str">
        <f aca="false">IF($AA$173=0,"n/a",2*$AA$174/(Input!$AA$12*$AA$173*$AA$253)+4.14*$AA$174/Input!$AA$14)</f>
        <v>n/a</v>
      </c>
      <c r="AB256" s="65"/>
      <c r="AC256" s="65"/>
      <c r="AD256" s="20" t="s">
        <v>38</v>
      </c>
      <c r="AE256" s="20"/>
      <c r="AF256" s="12"/>
    </row>
    <row r="257" customFormat="false" ht="14.25" hidden="false" customHeight="false" outlineLevel="0" collapsed="false">
      <c r="B257" s="7"/>
      <c r="C257" s="20" t="s">
        <v>280</v>
      </c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X257" s="64" t="str">
        <f aca="false">IF($AA$173=0,"No soft layer - n/a",IF($AA$256&gt;=Input!$AA$24,"FS ≥ FS req …. OK!!","FS &lt; FS req …. NG!!"))</f>
        <v>No soft layer - n/a</v>
      </c>
      <c r="Y257" s="64"/>
      <c r="Z257" s="64"/>
      <c r="AA257" s="64"/>
      <c r="AB257" s="64"/>
      <c r="AC257" s="64"/>
      <c r="AD257" s="64"/>
      <c r="AE257" s="64"/>
      <c r="AF257" s="12"/>
    </row>
    <row r="258" customFormat="false" ht="14.25" hidden="false" customHeight="true" outlineLevel="0" collapsed="false">
      <c r="B258" s="7"/>
      <c r="C258" s="20" t="s">
        <v>281</v>
      </c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1" t="s">
        <v>277</v>
      </c>
      <c r="P258" s="21"/>
      <c r="Q258" s="21"/>
      <c r="R258" s="21"/>
      <c r="S258" s="21"/>
      <c r="T258" s="21"/>
      <c r="U258" s="21"/>
      <c r="V258" s="21"/>
      <c r="W258" s="21"/>
      <c r="X258" s="22" t="s">
        <v>278</v>
      </c>
      <c r="Y258" s="22"/>
      <c r="Z258" s="22"/>
      <c r="AA258" s="50" t="n">
        <f aca="false">$AA$192</f>
        <v>0</v>
      </c>
      <c r="AB258" s="50"/>
      <c r="AC258" s="50"/>
      <c r="AD258" s="20" t="s">
        <v>19</v>
      </c>
      <c r="AE258" s="20"/>
      <c r="AF258" s="12"/>
    </row>
    <row r="259" customFormat="false" ht="14.25" hidden="false" customHeight="true" outlineLevel="0" collapsed="false">
      <c r="B259" s="7"/>
      <c r="C259" s="20" t="s">
        <v>282</v>
      </c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1"/>
      <c r="P259" s="21"/>
      <c r="Q259" s="21"/>
      <c r="R259" s="21"/>
      <c r="S259" s="21"/>
      <c r="T259" s="21"/>
      <c r="U259" s="21"/>
      <c r="V259" s="21"/>
      <c r="W259" s="21"/>
      <c r="X259" s="22" t="s">
        <v>252</v>
      </c>
      <c r="Y259" s="22"/>
      <c r="Z259" s="22"/>
      <c r="AA259" s="65" t="str">
        <f aca="false">IF($AA$192=0,"n/a",2*$AA$193/(Input!$AA$12*$AA$192*$AA$253)+4.14*$AA$193/Input!$AA$14)</f>
        <v>n/a</v>
      </c>
      <c r="AB259" s="65"/>
      <c r="AC259" s="65"/>
      <c r="AD259" s="20" t="s">
        <v>38</v>
      </c>
      <c r="AE259" s="20"/>
      <c r="AF259" s="12"/>
    </row>
    <row r="260" customFormat="false" ht="14.25" hidden="false" customHeight="false" outlineLevel="0" collapsed="false">
      <c r="B260" s="7"/>
      <c r="C260" s="20" t="s">
        <v>280</v>
      </c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X260" s="64" t="str">
        <f aca="false">IF($AA$192=0,"No soft layer - n/a",IF($AA$259&gt;=Input!$AA$24,"FS ≥ FS req …. OK!!","FS &lt; FS req …. NG!!"))</f>
        <v>No soft layer - n/a</v>
      </c>
      <c r="Y260" s="64"/>
      <c r="Z260" s="64"/>
      <c r="AA260" s="64"/>
      <c r="AB260" s="64"/>
      <c r="AC260" s="64"/>
      <c r="AD260" s="64"/>
      <c r="AE260" s="64"/>
      <c r="AF260" s="12"/>
    </row>
    <row r="261" customFormat="false" ht="14.25" hidden="false" customHeight="false" outlineLevel="0" collapsed="false">
      <c r="B261" s="7"/>
      <c r="C261" s="19" t="s">
        <v>283</v>
      </c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  <c r="AC261" s="19"/>
      <c r="AD261" s="19"/>
      <c r="AE261" s="19"/>
      <c r="AF261" s="12"/>
    </row>
    <row r="262" customFormat="false" ht="14.25" hidden="false" customHeight="false" outlineLevel="0" collapsed="false">
      <c r="B262" s="7"/>
      <c r="AF262" s="12"/>
    </row>
    <row r="263" customFormat="false" ht="14.25" hidden="false" customHeight="false" outlineLevel="0" collapsed="false">
      <c r="B263" s="7"/>
      <c r="AF263" s="12"/>
    </row>
    <row r="264" customFormat="false" ht="14.25" hidden="false" customHeight="false" outlineLevel="0" collapsed="false">
      <c r="B264" s="7"/>
      <c r="AF264" s="12"/>
    </row>
    <row r="265" customFormat="false" ht="14.25" hidden="false" customHeight="false" outlineLevel="0" collapsed="false">
      <c r="B265" s="7"/>
      <c r="AF265" s="12"/>
    </row>
    <row r="266" customFormat="false" ht="14.25" hidden="false" customHeight="false" outlineLevel="0" collapsed="false">
      <c r="B266" s="7"/>
      <c r="AF266" s="12"/>
    </row>
    <row r="267" customFormat="false" ht="14.25" hidden="false" customHeight="false" outlineLevel="0" collapsed="false">
      <c r="B267" s="7"/>
      <c r="AF267" s="12"/>
    </row>
    <row r="268" customFormat="false" ht="14.25" hidden="false" customHeight="false" outlineLevel="0" collapsed="false">
      <c r="B268" s="7"/>
      <c r="AF268" s="12"/>
    </row>
    <row r="269" customFormat="false" ht="14.25" hidden="false" customHeight="false" outlineLevel="0" collapsed="false">
      <c r="B269" s="7"/>
      <c r="AF269" s="12"/>
    </row>
    <row r="270" customFormat="false" ht="14.25" hidden="false" customHeight="false" outlineLevel="0" collapsed="false">
      <c r="B270" s="7"/>
      <c r="AF270" s="12"/>
    </row>
    <row r="271" customFormat="false" ht="14.25" hidden="false" customHeight="false" outlineLevel="0" collapsed="false">
      <c r="B271" s="7"/>
      <c r="AF271" s="12"/>
    </row>
    <row r="272" customFormat="false" ht="14.25" hidden="false" customHeight="false" outlineLevel="0" collapsed="false">
      <c r="B272" s="7"/>
      <c r="AF272" s="12"/>
    </row>
    <row r="273" customFormat="false" ht="14.25" hidden="false" customHeight="false" outlineLevel="0" collapsed="false">
      <c r="B273" s="7"/>
      <c r="AF273" s="12"/>
    </row>
    <row r="274" customFormat="false" ht="14.25" hidden="false" customHeight="false" outlineLevel="0" collapsed="false">
      <c r="B274" s="7"/>
      <c r="AF274" s="12"/>
    </row>
    <row r="275" customFormat="false" ht="14.25" hidden="false" customHeight="false" outlineLevel="0" collapsed="false">
      <c r="B275" s="7"/>
      <c r="AF275" s="12"/>
    </row>
    <row r="276" customFormat="false" ht="14.25" hidden="false" customHeight="false" outlineLevel="0" collapsed="false">
      <c r="B276" s="7"/>
      <c r="AF276" s="12"/>
    </row>
    <row r="277" customFormat="false" ht="14.25" hidden="false" customHeight="false" outlineLevel="0" collapsed="false">
      <c r="B277" s="7"/>
      <c r="AF277" s="12"/>
    </row>
    <row r="278" customFormat="false" ht="14.25" hidden="false" customHeight="false" outlineLevel="0" collapsed="false">
      <c r="B278" s="7"/>
      <c r="AF278" s="12"/>
    </row>
    <row r="279" customFormat="false" ht="14.25" hidden="false" customHeight="false" outlineLevel="0" collapsed="false">
      <c r="B279" s="7"/>
      <c r="AF279" s="12"/>
    </row>
    <row r="280" customFormat="false" ht="14.25" hidden="false" customHeight="false" outlineLevel="0" collapsed="false">
      <c r="B280" s="7"/>
      <c r="AF280" s="12"/>
    </row>
    <row r="281" customFormat="false" ht="14.25" hidden="false" customHeight="false" outlineLevel="0" collapsed="false">
      <c r="B281" s="7"/>
      <c r="AF281" s="12"/>
    </row>
    <row r="282" customFormat="false" ht="14.25" hidden="false" customHeight="false" outlineLevel="0" collapsed="false">
      <c r="B282" s="7"/>
      <c r="AF282" s="12"/>
    </row>
    <row r="283" customFormat="false" ht="14.25" hidden="false" customHeight="false" outlineLevel="0" collapsed="false">
      <c r="B283" s="7"/>
      <c r="AF283" s="12"/>
    </row>
    <row r="284" customFormat="false" ht="14.25" hidden="false" customHeight="false" outlineLevel="0" collapsed="false">
      <c r="B284" s="7"/>
      <c r="AF284" s="12"/>
    </row>
    <row r="285" customFormat="false" ht="14.25" hidden="false" customHeight="false" outlineLevel="0" collapsed="false">
      <c r="B285" s="7"/>
      <c r="AF285" s="12"/>
    </row>
    <row r="286" customFormat="false" ht="14.25" hidden="false" customHeight="false" outlineLevel="0" collapsed="false">
      <c r="B286" s="7"/>
      <c r="AF286" s="12"/>
    </row>
    <row r="287" customFormat="false" ht="14.25" hidden="false" customHeight="false" outlineLevel="0" collapsed="false">
      <c r="B287" s="7"/>
      <c r="AF287" s="12"/>
    </row>
    <row r="288" customFormat="false" ht="14.25" hidden="false" customHeight="false" outlineLevel="0" collapsed="false">
      <c r="B288" s="7"/>
      <c r="AF288" s="12"/>
    </row>
    <row r="289" customFormat="false" ht="14.25" hidden="false" customHeight="true" outlineLevel="0" collapsed="false">
      <c r="B289" s="36"/>
      <c r="C289" s="37"/>
      <c r="D289" s="37"/>
      <c r="E289" s="37"/>
      <c r="F289" s="37"/>
      <c r="G289" s="37"/>
      <c r="H289" s="37"/>
      <c r="I289" s="37"/>
      <c r="J289" s="37"/>
      <c r="K289" s="37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8" t="s">
        <v>93</v>
      </c>
      <c r="Y289" s="38"/>
      <c r="Z289" s="38"/>
      <c r="AA289" s="38"/>
      <c r="AB289" s="38" t="n">
        <v>4</v>
      </c>
      <c r="AC289" s="38"/>
      <c r="AD289" s="38"/>
      <c r="AE289" s="38"/>
      <c r="AF289" s="39"/>
    </row>
    <row r="290" customFormat="false" ht="14.25" hidden="false" customHeight="true" outlineLevel="0" collapsed="false">
      <c r="B290" s="1"/>
      <c r="C290" s="2" t="s">
        <v>0</v>
      </c>
      <c r="D290" s="2"/>
      <c r="E290" s="2"/>
      <c r="F290" s="2"/>
      <c r="G290" s="2"/>
      <c r="H290" s="3" t="s">
        <v>1</v>
      </c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4" t="s">
        <v>2</v>
      </c>
      <c r="Y290" s="4"/>
      <c r="Z290" s="4"/>
      <c r="AA290" s="4"/>
      <c r="AB290" s="5" t="s">
        <v>3</v>
      </c>
      <c r="AC290" s="5"/>
      <c r="AD290" s="5"/>
      <c r="AE290" s="5"/>
      <c r="AF290" s="6"/>
    </row>
    <row r="291" customFormat="false" ht="14.25" hidden="false" customHeight="true" outlineLevel="0" collapsed="false">
      <c r="B291" s="7"/>
      <c r="C291" s="8" t="s">
        <v>4</v>
      </c>
      <c r="D291" s="8"/>
      <c r="E291" s="8"/>
      <c r="F291" s="8"/>
      <c r="G291" s="8"/>
      <c r="H291" s="9" t="s">
        <v>5</v>
      </c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10" t="s">
        <v>6</v>
      </c>
      <c r="Y291" s="10"/>
      <c r="Z291" s="10"/>
      <c r="AA291" s="10"/>
      <c r="AB291" s="11" t="n">
        <v>46301</v>
      </c>
      <c r="AC291" s="11"/>
      <c r="AD291" s="11"/>
      <c r="AE291" s="11"/>
      <c r="AF291" s="12"/>
    </row>
    <row r="292" customFormat="false" ht="14.25" hidden="false" customHeight="true" outlineLevel="0" collapsed="false">
      <c r="B292" s="7"/>
      <c r="C292" s="8" t="s">
        <v>7</v>
      </c>
      <c r="D292" s="8"/>
      <c r="E292" s="8"/>
      <c r="F292" s="8"/>
      <c r="G292" s="8"/>
      <c r="H292" s="9" t="s">
        <v>348</v>
      </c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10" t="s">
        <v>9</v>
      </c>
      <c r="Y292" s="10"/>
      <c r="Z292" s="10"/>
      <c r="AA292" s="10"/>
      <c r="AB292" s="11" t="s">
        <v>3</v>
      </c>
      <c r="AC292" s="11"/>
      <c r="AD292" s="11"/>
      <c r="AE292" s="11"/>
      <c r="AF292" s="12"/>
    </row>
    <row r="293" customFormat="false" ht="14.25" hidden="false" customHeight="true" outlineLevel="0" collapsed="false">
      <c r="B293" s="13"/>
      <c r="C293" s="14" t="s">
        <v>10</v>
      </c>
      <c r="D293" s="14"/>
      <c r="E293" s="14"/>
      <c r="F293" s="14"/>
      <c r="G293" s="14"/>
      <c r="H293" s="15" t="s">
        <v>134</v>
      </c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6" t="s">
        <v>12</v>
      </c>
      <c r="Y293" s="16"/>
      <c r="Z293" s="16"/>
      <c r="AA293" s="16"/>
      <c r="AB293" s="17" t="n">
        <v>46301</v>
      </c>
      <c r="AC293" s="17"/>
      <c r="AD293" s="17"/>
      <c r="AE293" s="17"/>
      <c r="AF293" s="18"/>
    </row>
    <row r="294" customFormat="false" ht="14.25" hidden="false" customHeight="false" outlineLevel="0" collapsed="false">
      <c r="B294" s="7"/>
      <c r="AF294" s="12"/>
    </row>
    <row r="295" customFormat="false" ht="14.25" hidden="false" customHeight="false" outlineLevel="0" collapsed="false">
      <c r="B295" s="7"/>
      <c r="C295" s="9" t="s">
        <v>284</v>
      </c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12"/>
    </row>
    <row r="296" customFormat="false" ht="14.25" hidden="false" customHeight="false" outlineLevel="0" collapsed="false">
      <c r="B296" s="7"/>
      <c r="C296" s="20" t="s">
        <v>285</v>
      </c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  <c r="AD296" s="20"/>
      <c r="AE296" s="20"/>
      <c r="AF296" s="12"/>
    </row>
    <row r="297" customFormat="false" ht="14.25" hidden="false" customHeight="false" outlineLevel="0" collapsed="false">
      <c r="B297" s="7"/>
      <c r="C297" s="20" t="s">
        <v>286</v>
      </c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  <c r="AE297" s="20"/>
      <c r="AF297" s="12"/>
    </row>
    <row r="298" customFormat="false" ht="14.25" hidden="false" customHeight="false" outlineLevel="0" collapsed="false">
      <c r="B298" s="7"/>
      <c r="C298" s="20" t="s">
        <v>287</v>
      </c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  <c r="AE298" s="20"/>
      <c r="AF298" s="12"/>
    </row>
    <row r="299" customFormat="false" ht="14.25" hidden="false" customHeight="false" outlineLevel="0" collapsed="false">
      <c r="B299" s="7"/>
      <c r="C299" s="20" t="s">
        <v>288</v>
      </c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  <c r="AF299" s="12"/>
    </row>
    <row r="300" customFormat="false" ht="14.25" hidden="false" customHeight="false" outlineLevel="0" collapsed="false">
      <c r="B300" s="7"/>
      <c r="C300" s="20" t="s">
        <v>351</v>
      </c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  <c r="AF300" s="12"/>
    </row>
    <row r="301" customFormat="false" ht="27" hidden="false" customHeight="true" outlineLevel="0" collapsed="false">
      <c r="B301" s="7"/>
      <c r="C301" s="28" t="s">
        <v>157</v>
      </c>
      <c r="D301" s="28"/>
      <c r="E301" s="28" t="s">
        <v>158</v>
      </c>
      <c r="F301" s="28"/>
      <c r="G301" s="28"/>
      <c r="H301" s="28" t="s">
        <v>159</v>
      </c>
      <c r="I301" s="28"/>
      <c r="J301" s="28"/>
      <c r="K301" s="28" t="s">
        <v>160</v>
      </c>
      <c r="L301" s="28"/>
      <c r="M301" s="28"/>
      <c r="N301" s="28" t="s">
        <v>178</v>
      </c>
      <c r="O301" s="28"/>
      <c r="P301" s="28"/>
      <c r="Q301" s="28" t="s">
        <v>290</v>
      </c>
      <c r="R301" s="28"/>
      <c r="S301" s="28" t="s">
        <v>291</v>
      </c>
      <c r="T301" s="28"/>
      <c r="U301" s="28"/>
      <c r="V301" s="28" t="s">
        <v>292</v>
      </c>
      <c r="W301" s="28"/>
      <c r="X301" s="28"/>
      <c r="Y301" s="28" t="s">
        <v>183</v>
      </c>
      <c r="Z301" s="28"/>
      <c r="AA301" s="28" t="s">
        <v>184</v>
      </c>
      <c r="AB301" s="28"/>
      <c r="AC301" s="28" t="s">
        <v>186</v>
      </c>
      <c r="AD301" s="28"/>
      <c r="AE301" s="28"/>
      <c r="AF301" s="12"/>
    </row>
    <row r="302" customFormat="false" ht="14.25" hidden="false" customHeight="true" outlineLevel="0" collapsed="false">
      <c r="B302" s="7"/>
      <c r="C302" s="29"/>
      <c r="D302" s="29"/>
      <c r="E302" s="29" t="s">
        <v>19</v>
      </c>
      <c r="F302" s="29"/>
      <c r="G302" s="29"/>
      <c r="H302" s="29" t="s">
        <v>19</v>
      </c>
      <c r="I302" s="29"/>
      <c r="J302" s="29"/>
      <c r="K302" s="29"/>
      <c r="L302" s="29"/>
      <c r="M302" s="29"/>
      <c r="N302" s="29" t="s">
        <v>26</v>
      </c>
      <c r="O302" s="29"/>
      <c r="P302" s="29"/>
      <c r="Q302" s="29" t="s">
        <v>38</v>
      </c>
      <c r="R302" s="29"/>
      <c r="S302" s="29" t="s">
        <v>26</v>
      </c>
      <c r="T302" s="29"/>
      <c r="U302" s="29"/>
      <c r="V302" s="29" t="s">
        <v>26</v>
      </c>
      <c r="W302" s="29"/>
      <c r="X302" s="29"/>
      <c r="Y302" s="29" t="s">
        <v>38</v>
      </c>
      <c r="Z302" s="29"/>
      <c r="AA302" s="29" t="s">
        <v>38</v>
      </c>
      <c r="AB302" s="29"/>
      <c r="AC302" s="29" t="s">
        <v>45</v>
      </c>
      <c r="AD302" s="29"/>
      <c r="AE302" s="29"/>
      <c r="AF302" s="12"/>
    </row>
    <row r="303" customFormat="false" ht="14.25" hidden="false" customHeight="false" outlineLevel="0" collapsed="false">
      <c r="B303" s="7"/>
      <c r="C303" s="46" t="n">
        <v>1</v>
      </c>
      <c r="D303" s="46"/>
      <c r="E303" s="44" t="n">
        <f aca="false">AI83</f>
        <v>0</v>
      </c>
      <c r="F303" s="44"/>
      <c r="G303" s="44"/>
      <c r="H303" s="44" t="n">
        <f aca="false">AJ83</f>
        <v>1.5</v>
      </c>
      <c r="I303" s="44"/>
      <c r="J303" s="44"/>
      <c r="K303" s="41" t="str">
        <f aca="false">AM83</f>
        <v>Sand</v>
      </c>
      <c r="L303" s="41"/>
      <c r="M303" s="41"/>
      <c r="N303" s="43" t="n">
        <f aca="false">AX83</f>
        <v>49818</v>
      </c>
      <c r="O303" s="43"/>
      <c r="P303" s="43"/>
      <c r="Q303" s="42" t="n">
        <f aca="false">AY83</f>
        <v>0.3</v>
      </c>
      <c r="R303" s="42"/>
      <c r="S303" s="42" t="n">
        <f aca="false">AQ83</f>
        <v>13.725</v>
      </c>
      <c r="T303" s="42"/>
      <c r="U303" s="42"/>
      <c r="V303" s="42" t="n">
        <f aca="false">BC83</f>
        <v>135.999510418892</v>
      </c>
      <c r="W303" s="42"/>
      <c r="X303" s="42"/>
      <c r="Y303" s="32" t="n">
        <f aca="false">BD83</f>
        <v>0.000278357738281407</v>
      </c>
      <c r="Z303" s="32"/>
      <c r="AA303" s="32" t="n">
        <f aca="false">BE83</f>
        <v>0.00985670448566872</v>
      </c>
      <c r="AB303" s="32"/>
      <c r="AC303" s="42" t="n">
        <f aca="false">BG83</f>
        <v>2.17319689364481</v>
      </c>
      <c r="AD303" s="42"/>
      <c r="AE303" s="42"/>
      <c r="AF303" s="12"/>
    </row>
    <row r="304" customFormat="false" ht="14.25" hidden="false" customHeight="false" outlineLevel="0" collapsed="false">
      <c r="B304" s="7"/>
      <c r="C304" s="46" t="n">
        <v>2</v>
      </c>
      <c r="D304" s="46"/>
      <c r="E304" s="44" t="n">
        <f aca="false">AI84</f>
        <v>1.5</v>
      </c>
      <c r="F304" s="44"/>
      <c r="G304" s="44"/>
      <c r="H304" s="44" t="n">
        <f aca="false">AJ84</f>
        <v>3</v>
      </c>
      <c r="I304" s="44"/>
      <c r="J304" s="44"/>
      <c r="K304" s="41" t="str">
        <f aca="false">AM84</f>
        <v>Sand</v>
      </c>
      <c r="L304" s="41"/>
      <c r="M304" s="41"/>
      <c r="N304" s="43" t="n">
        <f aca="false">AX84</f>
        <v>49818</v>
      </c>
      <c r="O304" s="43"/>
      <c r="P304" s="43"/>
      <c r="Q304" s="42" t="n">
        <f aca="false">AY84</f>
        <v>0.3</v>
      </c>
      <c r="R304" s="42"/>
      <c r="S304" s="42" t="n">
        <f aca="false">AQ84</f>
        <v>41.175</v>
      </c>
      <c r="T304" s="42"/>
      <c r="U304" s="42"/>
      <c r="V304" s="42" t="n">
        <f aca="false">BC84</f>
        <v>135.986832457853</v>
      </c>
      <c r="W304" s="42"/>
      <c r="X304" s="42"/>
      <c r="Y304" s="32" t="n">
        <f aca="false">BD84</f>
        <v>0.0011108168584366</v>
      </c>
      <c r="Z304" s="32"/>
      <c r="AA304" s="32" t="n">
        <f aca="false">BE84</f>
        <v>0.0191582913405592</v>
      </c>
      <c r="AB304" s="32"/>
      <c r="AC304" s="42" t="n">
        <f aca="false">BG84</f>
        <v>2.2602942257229</v>
      </c>
      <c r="AD304" s="42"/>
      <c r="AE304" s="42"/>
      <c r="AF304" s="12"/>
    </row>
    <row r="305" customFormat="false" ht="14.25" hidden="false" customHeight="false" outlineLevel="0" collapsed="false">
      <c r="B305" s="7"/>
      <c r="C305" s="46" t="n">
        <v>3</v>
      </c>
      <c r="D305" s="46"/>
      <c r="E305" s="44" t="n">
        <f aca="false">AI85</f>
        <v>3</v>
      </c>
      <c r="F305" s="44"/>
      <c r="G305" s="44"/>
      <c r="H305" s="44" t="n">
        <f aca="false">AJ85</f>
        <v>4.5</v>
      </c>
      <c r="I305" s="44"/>
      <c r="J305" s="44"/>
      <c r="K305" s="41" t="str">
        <f aca="false">AM85</f>
        <v>Sand</v>
      </c>
      <c r="L305" s="41"/>
      <c r="M305" s="41"/>
      <c r="N305" s="43" t="n">
        <f aca="false">AX85</f>
        <v>54150</v>
      </c>
      <c r="O305" s="43"/>
      <c r="P305" s="43"/>
      <c r="Q305" s="42" t="n">
        <f aca="false">AY85</f>
        <v>0.3</v>
      </c>
      <c r="R305" s="42"/>
      <c r="S305" s="42" t="n">
        <f aca="false">AQ85</f>
        <v>68.625</v>
      </c>
      <c r="T305" s="42"/>
      <c r="U305" s="42"/>
      <c r="V305" s="42" t="n">
        <f aca="false">BC85</f>
        <v>135.93950780949</v>
      </c>
      <c r="W305" s="42"/>
      <c r="X305" s="42"/>
      <c r="Y305" s="32" t="n">
        <f aca="false">BD85</f>
        <v>0.00248961870853131</v>
      </c>
      <c r="Z305" s="32"/>
      <c r="AA305" s="32" t="n">
        <f aca="false">BE85</f>
        <v>0.027909941348913</v>
      </c>
      <c r="AB305" s="32"/>
      <c r="AC305" s="42" t="n">
        <f aca="false">BG85</f>
        <v>2.15797721925499</v>
      </c>
      <c r="AD305" s="42"/>
      <c r="AE305" s="42"/>
      <c r="AF305" s="12"/>
    </row>
    <row r="306" customFormat="false" ht="14.25" hidden="false" customHeight="false" outlineLevel="0" collapsed="false">
      <c r="B306" s="7"/>
      <c r="C306" s="46" t="n">
        <v>4</v>
      </c>
      <c r="D306" s="46"/>
      <c r="E306" s="44" t="n">
        <f aca="false">AI86</f>
        <v>4.5</v>
      </c>
      <c r="F306" s="44"/>
      <c r="G306" s="44"/>
      <c r="H306" s="44" t="n">
        <f aca="false">AJ86</f>
        <v>6</v>
      </c>
      <c r="I306" s="44"/>
      <c r="J306" s="44"/>
      <c r="K306" s="41" t="str">
        <f aca="false">AM86</f>
        <v>Sand</v>
      </c>
      <c r="L306" s="41"/>
      <c r="M306" s="41"/>
      <c r="N306" s="43" t="n">
        <f aca="false">AX86</f>
        <v>54150</v>
      </c>
      <c r="O306" s="43"/>
      <c r="P306" s="43"/>
      <c r="Q306" s="42" t="n">
        <f aca="false">AY86</f>
        <v>0.3</v>
      </c>
      <c r="R306" s="42"/>
      <c r="S306" s="42" t="n">
        <f aca="false">AQ86</f>
        <v>96.075</v>
      </c>
      <c r="T306" s="42"/>
      <c r="U306" s="42"/>
      <c r="V306" s="42" t="n">
        <f aca="false">BC86</f>
        <v>135.835905210694</v>
      </c>
      <c r="W306" s="42"/>
      <c r="X306" s="42"/>
      <c r="Y306" s="32" t="n">
        <f aca="false">BD86</f>
        <v>0.00440210534422831</v>
      </c>
      <c r="Z306" s="32"/>
      <c r="AA306" s="32" t="n">
        <f aca="false">BE86</f>
        <v>0.0361201249719141</v>
      </c>
      <c r="AB306" s="32"/>
      <c r="AC306" s="42" t="n">
        <f aca="false">BG86</f>
        <v>2.23383938530323</v>
      </c>
      <c r="AD306" s="42"/>
      <c r="AE306" s="42"/>
      <c r="AF306" s="12"/>
    </row>
    <row r="307" customFormat="false" ht="14.25" hidden="false" customHeight="false" outlineLevel="0" collapsed="false">
      <c r="B307" s="7"/>
      <c r="C307" s="46" t="n">
        <v>5</v>
      </c>
      <c r="D307" s="46"/>
      <c r="E307" s="44" t="n">
        <f aca="false">AI87</f>
        <v>6</v>
      </c>
      <c r="F307" s="44"/>
      <c r="G307" s="44"/>
      <c r="H307" s="44" t="n">
        <f aca="false">AJ87</f>
        <v>7.5</v>
      </c>
      <c r="I307" s="44"/>
      <c r="J307" s="44"/>
      <c r="K307" s="41" t="str">
        <f aca="false">AM87</f>
        <v>Sand</v>
      </c>
      <c r="L307" s="41"/>
      <c r="M307" s="41"/>
      <c r="N307" s="43" t="n">
        <f aca="false">AX87</f>
        <v>34656</v>
      </c>
      <c r="O307" s="43"/>
      <c r="P307" s="43"/>
      <c r="Q307" s="42" t="n">
        <f aca="false">AY87</f>
        <v>0.3</v>
      </c>
      <c r="R307" s="42"/>
      <c r="S307" s="42" t="n">
        <f aca="false">AQ87</f>
        <v>123.525</v>
      </c>
      <c r="T307" s="42"/>
      <c r="U307" s="42"/>
      <c r="V307" s="42" t="n">
        <f aca="false">BC87</f>
        <v>135.656483291149</v>
      </c>
      <c r="W307" s="42"/>
      <c r="X307" s="42"/>
      <c r="Y307" s="32" t="n">
        <f aca="false">BD87</f>
        <v>0.00683111017475556</v>
      </c>
      <c r="Z307" s="32"/>
      <c r="AA307" s="32" t="n">
        <f aca="false">BE87</f>
        <v>0.0438003669964678</v>
      </c>
      <c r="AB307" s="32"/>
      <c r="AC307" s="42" t="n">
        <f aca="false">BG87</f>
        <v>3.60331637704205</v>
      </c>
      <c r="AD307" s="42"/>
      <c r="AE307" s="42"/>
      <c r="AF307" s="12"/>
    </row>
    <row r="308" customFormat="false" ht="14.25" hidden="false" customHeight="false" outlineLevel="0" collapsed="false">
      <c r="B308" s="7"/>
      <c r="C308" s="46" t="n">
        <v>6</v>
      </c>
      <c r="D308" s="46"/>
      <c r="E308" s="44" t="n">
        <f aca="false">AI88</f>
        <v>7.5</v>
      </c>
      <c r="F308" s="44"/>
      <c r="G308" s="44"/>
      <c r="H308" s="44" t="n">
        <f aca="false">AJ88</f>
        <v>9</v>
      </c>
      <c r="I308" s="44"/>
      <c r="J308" s="44"/>
      <c r="K308" s="41" t="str">
        <f aca="false">AM88</f>
        <v>Sand</v>
      </c>
      <c r="L308" s="41"/>
      <c r="M308" s="41"/>
      <c r="N308" s="43" t="n">
        <f aca="false">AX88</f>
        <v>30324</v>
      </c>
      <c r="O308" s="43"/>
      <c r="P308" s="43"/>
      <c r="Q308" s="42" t="n">
        <f aca="false">AY88</f>
        <v>0.3</v>
      </c>
      <c r="R308" s="42"/>
      <c r="S308" s="42" t="n">
        <f aca="false">AQ88</f>
        <v>138.4</v>
      </c>
      <c r="T308" s="42"/>
      <c r="U308" s="42"/>
      <c r="V308" s="42" t="n">
        <f aca="false">BC88</f>
        <v>135.384419937794</v>
      </c>
      <c r="W308" s="42"/>
      <c r="X308" s="42"/>
      <c r="Y308" s="32" t="n">
        <f aca="false">BD88</f>
        <v>0.00975546893705105</v>
      </c>
      <c r="Z308" s="32"/>
      <c r="AA308" s="32" t="n">
        <f aca="false">BE88</f>
        <v>0.0509649376512068</v>
      </c>
      <c r="AB308" s="32"/>
      <c r="AC308" s="42" t="n">
        <f aca="false">BG88</f>
        <v>4.23929453286091</v>
      </c>
      <c r="AD308" s="42"/>
      <c r="AE308" s="42"/>
      <c r="AF308" s="12"/>
    </row>
    <row r="309" customFormat="false" ht="14.25" hidden="false" customHeight="false" outlineLevel="0" collapsed="false">
      <c r="B309" s="7"/>
      <c r="C309" s="46" t="n">
        <v>7</v>
      </c>
      <c r="D309" s="46"/>
      <c r="E309" s="44" t="n">
        <f aca="false">AI89</f>
        <v>9</v>
      </c>
      <c r="F309" s="44"/>
      <c r="G309" s="44"/>
      <c r="H309" s="44" t="n">
        <f aca="false">AJ89</f>
        <v>10.5</v>
      </c>
      <c r="I309" s="44"/>
      <c r="J309" s="44"/>
      <c r="K309" s="41" t="str">
        <f aca="false">AM89</f>
        <v>Silt</v>
      </c>
      <c r="L309" s="41"/>
      <c r="M309" s="41"/>
      <c r="N309" s="43" t="n">
        <f aca="false">AX89</f>
        <v>87500</v>
      </c>
      <c r="O309" s="43"/>
      <c r="P309" s="43"/>
      <c r="Q309" s="42" t="n">
        <f aca="false">AY89</f>
        <v>0.5</v>
      </c>
      <c r="R309" s="42"/>
      <c r="S309" s="42" t="n">
        <f aca="false">AQ89</f>
        <v>150.7</v>
      </c>
      <c r="T309" s="42"/>
      <c r="U309" s="42"/>
      <c r="V309" s="42" t="n">
        <f aca="false">BC89</f>
        <v>135.006063558054</v>
      </c>
      <c r="W309" s="42"/>
      <c r="X309" s="42"/>
      <c r="Y309" s="32" t="n">
        <f aca="false">BD89</f>
        <v>0.0131506198333031</v>
      </c>
      <c r="Z309" s="32"/>
      <c r="AA309" s="32" t="n">
        <f aca="false">BE89</f>
        <v>0.0576304881402393</v>
      </c>
      <c r="AB309" s="32"/>
      <c r="AC309" s="42" t="n">
        <f aca="false">BG89</f>
        <v>0.585750833483659</v>
      </c>
      <c r="AD309" s="42"/>
      <c r="AE309" s="42"/>
      <c r="AF309" s="12"/>
    </row>
    <row r="310" customFormat="false" ht="14.25" hidden="false" customHeight="false" outlineLevel="0" collapsed="false">
      <c r="B310" s="7"/>
      <c r="C310" s="46" t="n">
        <v>8</v>
      </c>
      <c r="D310" s="46"/>
      <c r="E310" s="44" t="n">
        <f aca="false">AI90</f>
        <v>10.5</v>
      </c>
      <c r="F310" s="44"/>
      <c r="G310" s="44"/>
      <c r="H310" s="44" t="n">
        <f aca="false">AJ90</f>
        <v>12</v>
      </c>
      <c r="I310" s="44"/>
      <c r="J310" s="44"/>
      <c r="K310" s="41" t="str">
        <f aca="false">AM90</f>
        <v>Sand</v>
      </c>
      <c r="L310" s="41"/>
      <c r="M310" s="41"/>
      <c r="N310" s="43" t="n">
        <f aca="false">AX90</f>
        <v>43320</v>
      </c>
      <c r="O310" s="43"/>
      <c r="P310" s="43"/>
      <c r="Q310" s="42" t="n">
        <f aca="false">AY90</f>
        <v>0.3</v>
      </c>
      <c r="R310" s="42"/>
      <c r="S310" s="42" t="n">
        <f aca="false">AQ90</f>
        <v>163</v>
      </c>
      <c r="T310" s="42"/>
      <c r="U310" s="42"/>
      <c r="V310" s="42" t="n">
        <f aca="false">BC90</f>
        <v>134.511190640081</v>
      </c>
      <c r="W310" s="42"/>
      <c r="X310" s="42"/>
      <c r="Y310" s="32" t="n">
        <f aca="false">BD90</f>
        <v>0.0169892586870808</v>
      </c>
      <c r="Z310" s="32"/>
      <c r="AA310" s="32" t="n">
        <f aca="false">BE90</f>
        <v>0.063815650361614</v>
      </c>
      <c r="AB310" s="32"/>
      <c r="AC310" s="42" t="n">
        <f aca="false">BG90</f>
        <v>3.11744513601556</v>
      </c>
      <c r="AD310" s="42"/>
      <c r="AE310" s="42"/>
      <c r="AF310" s="12"/>
    </row>
    <row r="311" customFormat="false" ht="14.25" hidden="false" customHeight="false" outlineLevel="0" collapsed="false">
      <c r="B311" s="7"/>
      <c r="C311" s="46" t="n">
        <v>9</v>
      </c>
      <c r="D311" s="46"/>
      <c r="E311" s="44" t="n">
        <f aca="false">AI91</f>
        <v>12</v>
      </c>
      <c r="F311" s="44"/>
      <c r="G311" s="44"/>
      <c r="H311" s="44" t="n">
        <f aca="false">AJ91</f>
        <v>13.5</v>
      </c>
      <c r="I311" s="44"/>
      <c r="J311" s="44"/>
      <c r="K311" s="41" t="str">
        <f aca="false">AM91</f>
        <v>Sand</v>
      </c>
      <c r="L311" s="41"/>
      <c r="M311" s="41"/>
      <c r="N311" s="43" t="n">
        <f aca="false">AX91</f>
        <v>45486</v>
      </c>
      <c r="O311" s="43"/>
      <c r="P311" s="43"/>
      <c r="Q311" s="42" t="n">
        <f aca="false">AY91</f>
        <v>0.3</v>
      </c>
      <c r="R311" s="42"/>
      <c r="S311" s="42" t="n">
        <f aca="false">AQ91</f>
        <v>175.3</v>
      </c>
      <c r="T311" s="42"/>
      <c r="U311" s="42"/>
      <c r="V311" s="42" t="n">
        <f aca="false">BC91</f>
        <v>133.893072357031</v>
      </c>
      <c r="W311" s="42"/>
      <c r="X311" s="42"/>
      <c r="Y311" s="32" t="n">
        <f aca="false">BD91</f>
        <v>0.0212420151090567</v>
      </c>
      <c r="Z311" s="32"/>
      <c r="AA311" s="32" t="n">
        <f aca="false">BE91</f>
        <v>0.0695406206380035</v>
      </c>
      <c r="AB311" s="32"/>
      <c r="AC311" s="42" t="n">
        <f aca="false">BG91</f>
        <v>3.02986133852264</v>
      </c>
      <c r="AD311" s="42"/>
      <c r="AE311" s="42"/>
      <c r="AF311" s="12"/>
    </row>
    <row r="312" customFormat="false" ht="14.25" hidden="false" customHeight="false" outlineLevel="0" collapsed="false">
      <c r="B312" s="7"/>
      <c r="C312" s="46" t="n">
        <v>10</v>
      </c>
      <c r="D312" s="46"/>
      <c r="E312" s="44" t="n">
        <f aca="false">AI92</f>
        <v>13.5</v>
      </c>
      <c r="F312" s="44"/>
      <c r="G312" s="44"/>
      <c r="H312" s="44" t="n">
        <f aca="false">AJ92</f>
        <v>15</v>
      </c>
      <c r="I312" s="44"/>
      <c r="J312" s="44"/>
      <c r="K312" s="41" t="str">
        <f aca="false">AM92</f>
        <v>Sand</v>
      </c>
      <c r="L312" s="41"/>
      <c r="M312" s="41"/>
      <c r="N312" s="43" t="n">
        <f aca="false">AX92</f>
        <v>45486</v>
      </c>
      <c r="O312" s="43"/>
      <c r="P312" s="43"/>
      <c r="Q312" s="42" t="n">
        <f aca="false">AY92</f>
        <v>0.3</v>
      </c>
      <c r="R312" s="42"/>
      <c r="S312" s="42" t="n">
        <f aca="false">AQ92</f>
        <v>187.6</v>
      </c>
      <c r="T312" s="42"/>
      <c r="U312" s="42"/>
      <c r="V312" s="42" t="n">
        <f aca="false">BC92</f>
        <v>133.148368665013</v>
      </c>
      <c r="W312" s="42"/>
      <c r="X312" s="42"/>
      <c r="Y312" s="32" t="n">
        <f aca="false">BD92</f>
        <v>0.0258781185005073</v>
      </c>
      <c r="Z312" s="32"/>
      <c r="AA312" s="32" t="n">
        <f aca="false">BE92</f>
        <v>0.0748267458113844</v>
      </c>
      <c r="AB312" s="32"/>
      <c r="AC312" s="42" t="n">
        <f aca="false">BG92</f>
        <v>3.08324850156396</v>
      </c>
      <c r="AD312" s="42"/>
      <c r="AE312" s="42"/>
      <c r="AF312" s="12"/>
    </row>
    <row r="313" customFormat="false" ht="14.25" hidden="false" customHeight="false" outlineLevel="0" collapsed="false">
      <c r="B313" s="7"/>
      <c r="C313" s="46" t="n">
        <v>11</v>
      </c>
      <c r="D313" s="46"/>
      <c r="E313" s="44" t="n">
        <f aca="false">AI93</f>
        <v>15</v>
      </c>
      <c r="F313" s="44"/>
      <c r="G313" s="44"/>
      <c r="H313" s="44" t="n">
        <f aca="false">AJ93</f>
        <v>16.5</v>
      </c>
      <c r="I313" s="44"/>
      <c r="J313" s="44"/>
      <c r="K313" s="41" t="str">
        <f aca="false">AM93</f>
        <v>Sand</v>
      </c>
      <c r="L313" s="41"/>
      <c r="M313" s="41"/>
      <c r="N313" s="43" t="n">
        <f aca="false">AX93</f>
        <v>54150</v>
      </c>
      <c r="O313" s="43"/>
      <c r="P313" s="43"/>
      <c r="Q313" s="42" t="n">
        <f aca="false">AY93</f>
        <v>0.3</v>
      </c>
      <c r="R313" s="42"/>
      <c r="S313" s="42" t="n">
        <f aca="false">AQ93</f>
        <v>199.9</v>
      </c>
      <c r="T313" s="42"/>
      <c r="U313" s="42"/>
      <c r="V313" s="42" t="n">
        <f aca="false">BC93</f>
        <v>132.27687978272</v>
      </c>
      <c r="W313" s="42"/>
      <c r="X313" s="42"/>
      <c r="Y313" s="32" t="n">
        <f aca="false">BD93</f>
        <v>0.0308660275726865</v>
      </c>
      <c r="Z313" s="32"/>
      <c r="AA313" s="32" t="n">
        <f aca="false">BE93</f>
        <v>0.0796961274153755</v>
      </c>
      <c r="AB313" s="32"/>
      <c r="AC313" s="42" t="n">
        <f aca="false">BG93</f>
        <v>2.62837694336949</v>
      </c>
      <c r="AD313" s="42"/>
      <c r="AE313" s="42"/>
      <c r="AF313" s="12"/>
    </row>
    <row r="314" customFormat="false" ht="14.25" hidden="false" customHeight="false" outlineLevel="0" collapsed="false">
      <c r="B314" s="7"/>
      <c r="C314" s="46" t="n">
        <v>12</v>
      </c>
      <c r="D314" s="46"/>
      <c r="E314" s="44" t="n">
        <f aca="false">AI94</f>
        <v>16.5</v>
      </c>
      <c r="F314" s="44"/>
      <c r="G314" s="44"/>
      <c r="H314" s="44" t="n">
        <f aca="false">AJ94</f>
        <v>18</v>
      </c>
      <c r="I314" s="44"/>
      <c r="J314" s="44"/>
      <c r="K314" s="41" t="str">
        <f aca="false">AM94</f>
        <v>Sand</v>
      </c>
      <c r="L314" s="41"/>
      <c r="M314" s="41"/>
      <c r="N314" s="43" t="n">
        <f aca="false">AX94</f>
        <v>32490</v>
      </c>
      <c r="O314" s="43"/>
      <c r="P314" s="43"/>
      <c r="Q314" s="42" t="n">
        <f aca="false">AY94</f>
        <v>0.3</v>
      </c>
      <c r="R314" s="42"/>
      <c r="S314" s="42" t="n">
        <f aca="false">AQ94</f>
        <v>212.2</v>
      </c>
      <c r="T314" s="42"/>
      <c r="U314" s="42"/>
      <c r="V314" s="42" t="n">
        <f aca="false">BC94</f>
        <v>131.281191431882</v>
      </c>
      <c r="W314" s="42"/>
      <c r="X314" s="42"/>
      <c r="Y314" s="32" t="n">
        <f aca="false">BD94</f>
        <v>0.0361740031105239</v>
      </c>
      <c r="Z314" s="32"/>
      <c r="AA314" s="32" t="n">
        <f aca="false">BE94</f>
        <v>0.0841712562846844</v>
      </c>
      <c r="AB314" s="32"/>
      <c r="AC314" s="42" t="n">
        <f aca="false">BG94</f>
        <v>4.43406071399327</v>
      </c>
      <c r="AD314" s="42"/>
      <c r="AE314" s="42"/>
      <c r="AF314" s="12"/>
    </row>
    <row r="315" customFormat="false" ht="14.25" hidden="false" customHeight="false" outlineLevel="0" collapsed="false">
      <c r="B315" s="7"/>
      <c r="C315" s="46" t="n">
        <v>13</v>
      </c>
      <c r="D315" s="46"/>
      <c r="E315" s="44" t="n">
        <f aca="false">AI95</f>
        <v>18</v>
      </c>
      <c r="F315" s="44"/>
      <c r="G315" s="44"/>
      <c r="H315" s="44" t="n">
        <f aca="false">AJ95</f>
        <v>19.5</v>
      </c>
      <c r="I315" s="44"/>
      <c r="J315" s="44"/>
      <c r="K315" s="41" t="str">
        <f aca="false">AM95</f>
        <v>Sand</v>
      </c>
      <c r="L315" s="41"/>
      <c r="M315" s="41"/>
      <c r="N315" s="43" t="n">
        <f aca="false">AX95</f>
        <v>28158</v>
      </c>
      <c r="O315" s="43"/>
      <c r="P315" s="43"/>
      <c r="Q315" s="42" t="n">
        <f aca="false">AY95</f>
        <v>0.3</v>
      </c>
      <c r="R315" s="42"/>
      <c r="S315" s="42" t="n">
        <f aca="false">AQ95</f>
        <v>224.5</v>
      </c>
      <c r="T315" s="42"/>
      <c r="U315" s="42"/>
      <c r="V315" s="42" t="n">
        <f aca="false">BC95</f>
        <v>130.166251943235</v>
      </c>
      <c r="W315" s="42"/>
      <c r="X315" s="42"/>
      <c r="Y315" s="32" t="n">
        <f aca="false">BD95</f>
        <v>0.0417706101655238</v>
      </c>
      <c r="Z315" s="32"/>
      <c r="AA315" s="32" t="n">
        <f aca="false">BE95</f>
        <v>0.0882746863320375</v>
      </c>
      <c r="AB315" s="32"/>
      <c r="AC315" s="42" t="n">
        <f aca="false">BG95</f>
        <v>5.16581213108852</v>
      </c>
      <c r="AD315" s="42"/>
      <c r="AE315" s="42"/>
      <c r="AF315" s="12"/>
    </row>
    <row r="316" customFormat="false" ht="14.25" hidden="false" customHeight="false" outlineLevel="0" collapsed="false">
      <c r="B316" s="7"/>
      <c r="C316" s="46" t="n">
        <v>14</v>
      </c>
      <c r="D316" s="46"/>
      <c r="E316" s="44" t="n">
        <f aca="false">AI96</f>
        <v>19.5</v>
      </c>
      <c r="F316" s="44"/>
      <c r="G316" s="44"/>
      <c r="H316" s="44" t="n">
        <f aca="false">AJ96</f>
        <v>21</v>
      </c>
      <c r="I316" s="44"/>
      <c r="J316" s="44"/>
      <c r="K316" s="41" t="str">
        <f aca="false">AM96</f>
        <v>Sand</v>
      </c>
      <c r="L316" s="41"/>
      <c r="M316" s="41"/>
      <c r="N316" s="43" t="n">
        <f aca="false">AX96</f>
        <v>44403</v>
      </c>
      <c r="O316" s="43"/>
      <c r="P316" s="43"/>
      <c r="Q316" s="42" t="n">
        <f aca="false">AY96</f>
        <v>0.3</v>
      </c>
      <c r="R316" s="42"/>
      <c r="S316" s="42" t="n">
        <f aca="false">AQ96</f>
        <v>236.8</v>
      </c>
      <c r="T316" s="42"/>
      <c r="U316" s="42"/>
      <c r="V316" s="42" t="n">
        <f aca="false">BC96</f>
        <v>128.938917112008</v>
      </c>
      <c r="W316" s="42"/>
      <c r="X316" s="42"/>
      <c r="Y316" s="32" t="n">
        <f aca="false">BD96</f>
        <v>0.0476251420550853</v>
      </c>
      <c r="Z316" s="32"/>
      <c r="AA316" s="32" t="n">
        <f aca="false">BE96</f>
        <v>0.0920287526961581</v>
      </c>
      <c r="AB316" s="32"/>
      <c r="AC316" s="42" t="n">
        <f aca="false">BG96</f>
        <v>3.2999251651592</v>
      </c>
      <c r="AD316" s="42"/>
      <c r="AE316" s="42"/>
      <c r="AF316" s="12"/>
    </row>
    <row r="317" customFormat="false" ht="14.25" hidden="false" customHeight="false" outlineLevel="0" collapsed="false">
      <c r="B317" s="7"/>
      <c r="C317" s="46" t="n">
        <v>15</v>
      </c>
      <c r="D317" s="46"/>
      <c r="E317" s="44" t="n">
        <f aca="false">AI97</f>
        <v>21</v>
      </c>
      <c r="F317" s="44"/>
      <c r="G317" s="44"/>
      <c r="H317" s="44" t="n">
        <f aca="false">AJ97</f>
        <v>22.5</v>
      </c>
      <c r="I317" s="44"/>
      <c r="J317" s="44"/>
      <c r="K317" s="41" t="str">
        <f aca="false">AM97</f>
        <v>Sand</v>
      </c>
      <c r="L317" s="41"/>
      <c r="M317" s="41"/>
      <c r="N317" s="43" t="n">
        <f aca="false">AX97</f>
        <v>43320</v>
      </c>
      <c r="O317" s="43"/>
      <c r="P317" s="43"/>
      <c r="Q317" s="42" t="n">
        <f aca="false">AY97</f>
        <v>0.3</v>
      </c>
      <c r="R317" s="42"/>
      <c r="S317" s="42" t="n">
        <f aca="false">AQ97</f>
        <v>249.1</v>
      </c>
      <c r="T317" s="42"/>
      <c r="U317" s="42"/>
      <c r="V317" s="42" t="n">
        <f aca="false">BC97</f>
        <v>127.607493683403</v>
      </c>
      <c r="W317" s="42"/>
      <c r="X317" s="42"/>
      <c r="Y317" s="32" t="n">
        <f aca="false">BD97</f>
        <v>0.0537079639877145</v>
      </c>
      <c r="Z317" s="32"/>
      <c r="AA317" s="32" t="n">
        <f aca="false">BE97</f>
        <v>0.0954553363186186</v>
      </c>
      <c r="AB317" s="32"/>
      <c r="AC317" s="42" t="n">
        <f aca="false">BG97</f>
        <v>3.39982523896735</v>
      </c>
      <c r="AD317" s="42"/>
      <c r="AE317" s="42"/>
      <c r="AF317" s="12"/>
    </row>
    <row r="318" customFormat="false" ht="14.25" hidden="false" customHeight="false" outlineLevel="0" collapsed="false">
      <c r="B318" s="7"/>
      <c r="C318" s="46" t="n">
        <v>16</v>
      </c>
      <c r="D318" s="46"/>
      <c r="E318" s="44" t="n">
        <f aca="false">AI98</f>
        <v>22.5</v>
      </c>
      <c r="F318" s="44"/>
      <c r="G318" s="44"/>
      <c r="H318" s="44" t="n">
        <f aca="false">AJ98</f>
        <v>24</v>
      </c>
      <c r="I318" s="44"/>
      <c r="J318" s="44"/>
      <c r="K318" s="41" t="str">
        <f aca="false">AM98</f>
        <v>Sand</v>
      </c>
      <c r="L318" s="41"/>
      <c r="M318" s="41"/>
      <c r="N318" s="43" t="n">
        <f aca="false">AX98</f>
        <v>54150</v>
      </c>
      <c r="O318" s="43"/>
      <c r="P318" s="43"/>
      <c r="Q318" s="42" t="n">
        <f aca="false">AY98</f>
        <v>0.3</v>
      </c>
      <c r="R318" s="42"/>
      <c r="S318" s="42" t="n">
        <f aca="false">AQ98</f>
        <v>261.4</v>
      </c>
      <c r="T318" s="42"/>
      <c r="U318" s="42"/>
      <c r="V318" s="42" t="n">
        <f aca="false">BC98</f>
        <v>126.181305793762</v>
      </c>
      <c r="W318" s="42"/>
      <c r="X318" s="42"/>
      <c r="Y318" s="32" t="n">
        <f aca="false">BD98</f>
        <v>0.0599907785392672</v>
      </c>
      <c r="Z318" s="32"/>
      <c r="AA318" s="32" t="n">
        <f aca="false">BE98</f>
        <v>0.0985756744132035</v>
      </c>
      <c r="AB318" s="32"/>
      <c r="AC318" s="42" t="n">
        <f aca="false">BG98</f>
        <v>2.72831492085838</v>
      </c>
      <c r="AD318" s="42"/>
      <c r="AE318" s="42"/>
      <c r="AF318" s="12"/>
    </row>
    <row r="319" customFormat="false" ht="14.25" hidden="false" customHeight="false" outlineLevel="0" collapsed="false">
      <c r="B319" s="7"/>
      <c r="C319" s="46" t="n">
        <v>17</v>
      </c>
      <c r="D319" s="46"/>
      <c r="E319" s="44" t="n">
        <f aca="false">AI99</f>
        <v>24</v>
      </c>
      <c r="F319" s="44"/>
      <c r="G319" s="44"/>
      <c r="H319" s="44" t="n">
        <f aca="false">AJ99</f>
        <v>25.5</v>
      </c>
      <c r="I319" s="44"/>
      <c r="J319" s="44"/>
      <c r="K319" s="41" t="str">
        <f aca="false">AM99</f>
        <v>Sand</v>
      </c>
      <c r="L319" s="41"/>
      <c r="M319" s="41"/>
      <c r="N319" s="43" t="n">
        <f aca="false">AX99</f>
        <v>43320</v>
      </c>
      <c r="O319" s="43"/>
      <c r="P319" s="43"/>
      <c r="Q319" s="42" t="n">
        <f aca="false">AY99</f>
        <v>0.3</v>
      </c>
      <c r="R319" s="42"/>
      <c r="S319" s="42" t="n">
        <f aca="false">AQ99</f>
        <v>273.7</v>
      </c>
      <c r="T319" s="42"/>
      <c r="U319" s="42"/>
      <c r="V319" s="42" t="n">
        <f aca="false">BC99</f>
        <v>124.670301678981</v>
      </c>
      <c r="W319" s="42"/>
      <c r="X319" s="42"/>
      <c r="Y319" s="32" t="n">
        <f aca="false">BD99</f>
        <v>0.0664468184683822</v>
      </c>
      <c r="Z319" s="32"/>
      <c r="AA319" s="32" t="n">
        <f aca="false">BE99</f>
        <v>0.101410214319719</v>
      </c>
      <c r="AB319" s="32"/>
      <c r="AC319" s="42" t="n">
        <f aca="false">BG99</f>
        <v>3.41458467785713</v>
      </c>
      <c r="AD319" s="42"/>
      <c r="AE319" s="42"/>
      <c r="AF319" s="12"/>
    </row>
    <row r="320" customFormat="false" ht="14.25" hidden="false" customHeight="false" outlineLevel="0" collapsed="false">
      <c r="B320" s="7"/>
      <c r="C320" s="46" t="n">
        <v>18</v>
      </c>
      <c r="D320" s="46"/>
      <c r="E320" s="44" t="n">
        <f aca="false">AI100</f>
        <v>25.5</v>
      </c>
      <c r="F320" s="44"/>
      <c r="G320" s="44"/>
      <c r="H320" s="44" t="n">
        <f aca="false">AJ100</f>
        <v>27</v>
      </c>
      <c r="I320" s="44"/>
      <c r="J320" s="44"/>
      <c r="K320" s="41" t="str">
        <f aca="false">AM100</f>
        <v>Sand</v>
      </c>
      <c r="L320" s="41"/>
      <c r="M320" s="41"/>
      <c r="N320" s="43" t="n">
        <f aca="false">AX100</f>
        <v>22743</v>
      </c>
      <c r="O320" s="43"/>
      <c r="P320" s="43"/>
      <c r="Q320" s="42" t="n">
        <f aca="false">AY100</f>
        <v>0.3</v>
      </c>
      <c r="R320" s="42"/>
      <c r="S320" s="42" t="n">
        <f aca="false">AQ100</f>
        <v>286</v>
      </c>
      <c r="T320" s="42"/>
      <c r="U320" s="42"/>
      <c r="V320" s="42" t="n">
        <f aca="false">BC100</f>
        <v>123.084711322374</v>
      </c>
      <c r="W320" s="42"/>
      <c r="X320" s="42"/>
      <c r="Y320" s="32" t="n">
        <f aca="false">BD100</f>
        <v>0.0730509745149719</v>
      </c>
      <c r="Z320" s="32"/>
      <c r="AA320" s="32" t="n">
        <f aca="false">BE100</f>
        <v>0.103978506876715</v>
      </c>
      <c r="AB320" s="32"/>
      <c r="AC320" s="42" t="n">
        <f aca="false">BG100</f>
        <v>6.50072902825465</v>
      </c>
      <c r="AD320" s="42"/>
      <c r="AE320" s="42"/>
      <c r="AF320" s="12"/>
    </row>
    <row r="321" customFormat="false" ht="14.25" hidden="false" customHeight="false" outlineLevel="0" collapsed="false">
      <c r="B321" s="7"/>
      <c r="C321" s="46" t="n">
        <v>19</v>
      </c>
      <c r="D321" s="46"/>
      <c r="E321" s="44" t="n">
        <f aca="false">AI101</f>
        <v>27</v>
      </c>
      <c r="F321" s="44"/>
      <c r="G321" s="44"/>
      <c r="H321" s="44" t="n">
        <f aca="false">AJ101</f>
        <v>28.5</v>
      </c>
      <c r="I321" s="44"/>
      <c r="J321" s="44"/>
      <c r="K321" s="41" t="str">
        <f aca="false">AM101</f>
        <v>Sand</v>
      </c>
      <c r="L321" s="41"/>
      <c r="M321" s="41"/>
      <c r="N321" s="43" t="n">
        <f aca="false">AX101</f>
        <v>33573</v>
      </c>
      <c r="O321" s="43"/>
      <c r="P321" s="43"/>
      <c r="Q321" s="42" t="n">
        <f aca="false">AY101</f>
        <v>0.3</v>
      </c>
      <c r="R321" s="42"/>
      <c r="S321" s="42" t="n">
        <f aca="false">AQ101</f>
        <v>298.3</v>
      </c>
      <c r="T321" s="42"/>
      <c r="U321" s="42"/>
      <c r="V321" s="42" t="n">
        <f aca="false">BC101</f>
        <v>121.434759989289</v>
      </c>
      <c r="W321" s="42"/>
      <c r="X321" s="42"/>
      <c r="Y321" s="32" t="n">
        <f aca="false">BD101</f>
        <v>0.0797798670040491</v>
      </c>
      <c r="Z321" s="32"/>
      <c r="AA321" s="32" t="n">
        <f aca="false">BE101</f>
        <v>0.106299134641581</v>
      </c>
      <c r="AB321" s="32"/>
      <c r="AC321" s="42" t="n">
        <f aca="false">BG101</f>
        <v>4.39456153566757</v>
      </c>
      <c r="AD321" s="42"/>
      <c r="AE321" s="42"/>
      <c r="AF321" s="12"/>
    </row>
    <row r="322" customFormat="false" ht="14.25" hidden="false" customHeight="false" outlineLevel="0" collapsed="false">
      <c r="B322" s="7"/>
      <c r="C322" s="46" t="n">
        <v>20</v>
      </c>
      <c r="D322" s="46"/>
      <c r="E322" s="44" t="n">
        <f aca="false">AI102</f>
        <v>28.5</v>
      </c>
      <c r="F322" s="44"/>
      <c r="G322" s="44"/>
      <c r="H322" s="44" t="n">
        <f aca="false">AJ102</f>
        <v>30</v>
      </c>
      <c r="I322" s="44"/>
      <c r="J322" s="44"/>
      <c r="K322" s="41" t="str">
        <f aca="false">AM102</f>
        <v>Sand</v>
      </c>
      <c r="L322" s="41"/>
      <c r="M322" s="41"/>
      <c r="N322" s="43" t="n">
        <f aca="false">AX102</f>
        <v>54150</v>
      </c>
      <c r="O322" s="43"/>
      <c r="P322" s="43"/>
      <c r="Q322" s="42" t="n">
        <f aca="false">AY102</f>
        <v>0.3</v>
      </c>
      <c r="R322" s="42"/>
      <c r="S322" s="42" t="n">
        <f aca="false">AQ102</f>
        <v>310.6</v>
      </c>
      <c r="T322" s="42"/>
      <c r="U322" s="42"/>
      <c r="V322" s="42" t="n">
        <f aca="false">BC102</f>
        <v>119.73043805321</v>
      </c>
      <c r="W322" s="42"/>
      <c r="X322" s="42"/>
      <c r="Y322" s="32" t="n">
        <f aca="false">BD102</f>
        <v>0.0866118704592208</v>
      </c>
      <c r="Z322" s="32"/>
      <c r="AA322" s="32" t="n">
        <f aca="false">BE102</f>
        <v>0.108389669938441</v>
      </c>
      <c r="AB322" s="32"/>
      <c r="AC322" s="42" t="n">
        <f aca="false">BG102</f>
        <v>2.71503172231372</v>
      </c>
      <c r="AD322" s="42"/>
      <c r="AE322" s="42"/>
      <c r="AF322" s="12"/>
    </row>
    <row r="323" customFormat="false" ht="14.25" hidden="false" customHeight="false" outlineLevel="0" collapsed="false">
      <c r="B323" s="7"/>
      <c r="C323" s="46" t="n">
        <v>21</v>
      </c>
      <c r="D323" s="46"/>
      <c r="E323" s="44" t="n">
        <f aca="false">AI103</f>
        <v>30</v>
      </c>
      <c r="F323" s="44"/>
      <c r="G323" s="44"/>
      <c r="H323" s="44" t="n">
        <f aca="false">AJ103</f>
        <v>31.5</v>
      </c>
      <c r="I323" s="44"/>
      <c r="J323" s="44"/>
      <c r="K323" s="41" t="str">
        <f aca="false">AM103</f>
        <v>Sand</v>
      </c>
      <c r="L323" s="41"/>
      <c r="M323" s="41"/>
      <c r="N323" s="43" t="n">
        <f aca="false">AX103</f>
        <v>43320</v>
      </c>
      <c r="O323" s="43"/>
      <c r="P323" s="43"/>
      <c r="Q323" s="42" t="n">
        <f aca="false">AY103</f>
        <v>0.3</v>
      </c>
      <c r="R323" s="42"/>
      <c r="S323" s="42" t="n">
        <f aca="false">AQ103</f>
        <v>322.9</v>
      </c>
      <c r="T323" s="42"/>
      <c r="U323" s="42"/>
      <c r="V323" s="42" t="n">
        <f aca="false">BC103</f>
        <v>117.981324211207</v>
      </c>
      <c r="W323" s="42"/>
      <c r="X323" s="42"/>
      <c r="Y323" s="32" t="n">
        <f aca="false">BD103</f>
        <v>0.0935271002119951</v>
      </c>
      <c r="Z323" s="32"/>
      <c r="AA323" s="32" t="n">
        <f aca="false">BE103</f>
        <v>0.11026665771977</v>
      </c>
      <c r="AB323" s="32"/>
      <c r="AC323" s="42" t="n">
        <f aca="false">BG103</f>
        <v>3.37738394955323</v>
      </c>
      <c r="AD323" s="42"/>
      <c r="AE323" s="42"/>
      <c r="AF323" s="12"/>
    </row>
    <row r="324" customFormat="false" ht="14.25" hidden="false" customHeight="false" outlineLevel="0" collapsed="false">
      <c r="B324" s="7"/>
      <c r="C324" s="46" t="n">
        <v>22</v>
      </c>
      <c r="D324" s="46"/>
      <c r="E324" s="44" t="n">
        <f aca="false">AI104</f>
        <v>31.5</v>
      </c>
      <c r="F324" s="44"/>
      <c r="G324" s="44"/>
      <c r="H324" s="44" t="n">
        <f aca="false">AJ104</f>
        <v>33</v>
      </c>
      <c r="I324" s="44"/>
      <c r="J324" s="44"/>
      <c r="K324" s="41" t="str">
        <f aca="false">AM104</f>
        <v>Sand</v>
      </c>
      <c r="L324" s="41"/>
      <c r="M324" s="41"/>
      <c r="N324" s="43" t="n">
        <f aca="false">AX104</f>
        <v>46569</v>
      </c>
      <c r="O324" s="43"/>
      <c r="P324" s="43"/>
      <c r="Q324" s="42" t="n">
        <f aca="false">AY104</f>
        <v>0.3</v>
      </c>
      <c r="R324" s="42"/>
      <c r="S324" s="42" t="n">
        <f aca="false">AQ104</f>
        <v>335.2</v>
      </c>
      <c r="T324" s="42"/>
      <c r="U324" s="42"/>
      <c r="V324" s="42" t="n">
        <f aca="false">BC104</f>
        <v>116.196457021307</v>
      </c>
      <c r="W324" s="42"/>
      <c r="X324" s="42"/>
      <c r="Y324" s="32" t="n">
        <f aca="false">BD104</f>
        <v>0.100507369360851</v>
      </c>
      <c r="Z324" s="32"/>
      <c r="AA324" s="32" t="n">
        <f aca="false">BE104</f>
        <v>0.111945618485189</v>
      </c>
      <c r="AB324" s="32"/>
      <c r="AC324" s="42" t="n">
        <f aca="false">BG104</f>
        <v>3.12282642634641</v>
      </c>
      <c r="AD324" s="42"/>
      <c r="AE324" s="42"/>
      <c r="AF324" s="12"/>
    </row>
    <row r="325" customFormat="false" ht="14.25" hidden="false" customHeight="false" outlineLevel="0" collapsed="false">
      <c r="B325" s="7"/>
      <c r="C325" s="46" t="n">
        <v>23</v>
      </c>
      <c r="D325" s="46"/>
      <c r="E325" s="44" t="n">
        <f aca="false">AI105</f>
        <v>33</v>
      </c>
      <c r="F325" s="44"/>
      <c r="G325" s="44"/>
      <c r="H325" s="44" t="n">
        <f aca="false">AJ105</f>
        <v>34.5</v>
      </c>
      <c r="I325" s="44"/>
      <c r="J325" s="44"/>
      <c r="K325" s="41" t="str">
        <f aca="false">AM105</f>
        <v>Sand</v>
      </c>
      <c r="L325" s="41"/>
      <c r="M325" s="41"/>
      <c r="N325" s="43" t="n">
        <f aca="false">AX105</f>
        <v>28158</v>
      </c>
      <c r="O325" s="43"/>
      <c r="P325" s="43"/>
      <c r="Q325" s="42" t="n">
        <f aca="false">AY105</f>
        <v>0.3</v>
      </c>
      <c r="R325" s="42"/>
      <c r="S325" s="42" t="n">
        <f aca="false">AQ105</f>
        <v>347.5</v>
      </c>
      <c r="T325" s="42"/>
      <c r="U325" s="42"/>
      <c r="V325" s="42" t="n">
        <f aca="false">BC105</f>
        <v>114.384248493289</v>
      </c>
      <c r="W325" s="42"/>
      <c r="X325" s="42"/>
      <c r="Y325" s="32" t="n">
        <f aca="false">BD105</f>
        <v>0.107536123549061</v>
      </c>
      <c r="Z325" s="32"/>
      <c r="AA325" s="32" t="n">
        <f aca="false">BE105</f>
        <v>0.113441066921048</v>
      </c>
      <c r="AB325" s="32"/>
      <c r="AC325" s="42" t="n">
        <f aca="false">BG105</f>
        <v>5.12800043661121</v>
      </c>
      <c r="AD325" s="42"/>
      <c r="AE325" s="42"/>
      <c r="AF325" s="12"/>
    </row>
    <row r="326" customFormat="false" ht="14.25" hidden="false" customHeight="false" outlineLevel="0" collapsed="false">
      <c r="B326" s="7"/>
      <c r="C326" s="46" t="n">
        <v>24</v>
      </c>
      <c r="D326" s="46"/>
      <c r="E326" s="44" t="n">
        <f aca="false">AI106</f>
        <v>34.5</v>
      </c>
      <c r="F326" s="44"/>
      <c r="G326" s="44"/>
      <c r="H326" s="44" t="n">
        <f aca="false">AJ106</f>
        <v>36</v>
      </c>
      <c r="I326" s="44"/>
      <c r="J326" s="44"/>
      <c r="K326" s="41" t="str">
        <f aca="false">AM106</f>
        <v>Sand</v>
      </c>
      <c r="L326" s="41"/>
      <c r="M326" s="41"/>
      <c r="N326" s="43" t="n">
        <f aca="false">AX106</f>
        <v>57399</v>
      </c>
      <c r="O326" s="43"/>
      <c r="P326" s="43"/>
      <c r="Q326" s="42" t="n">
        <f aca="false">AY106</f>
        <v>0.3</v>
      </c>
      <c r="R326" s="42"/>
      <c r="S326" s="42" t="n">
        <f aca="false">AQ106</f>
        <v>359.8</v>
      </c>
      <c r="T326" s="42"/>
      <c r="U326" s="42"/>
      <c r="V326" s="42" t="n">
        <f aca="false">BC106</f>
        <v>112.552433017023</v>
      </c>
      <c r="W326" s="42"/>
      <c r="X326" s="42"/>
      <c r="Y326" s="32" t="n">
        <f aca="false">BD106</f>
        <v>0.114598360022051</v>
      </c>
      <c r="Z326" s="32"/>
      <c r="AA326" s="32" t="n">
        <f aca="false">BE106</f>
        <v>0.114766542433847</v>
      </c>
      <c r="AB326" s="32"/>
      <c r="AC326" s="42" t="n">
        <f aca="false">BG106</f>
        <v>2.49531319528265</v>
      </c>
      <c r="AD326" s="42"/>
      <c r="AE326" s="42"/>
      <c r="AF326" s="12"/>
    </row>
    <row r="327" customFormat="false" ht="14.25" hidden="false" customHeight="false" outlineLevel="0" collapsed="false">
      <c r="B327" s="7"/>
      <c r="C327" s="46" t="n">
        <v>25</v>
      </c>
      <c r="D327" s="46"/>
      <c r="E327" s="44" t="n">
        <f aca="false">AI107</f>
        <v>36</v>
      </c>
      <c r="F327" s="44"/>
      <c r="G327" s="44"/>
      <c r="H327" s="44" t="n">
        <f aca="false">AJ107</f>
        <v>37.5</v>
      </c>
      <c r="I327" s="44"/>
      <c r="J327" s="44"/>
      <c r="K327" s="41" t="str">
        <f aca="false">AM107</f>
        <v>Sand</v>
      </c>
      <c r="L327" s="41"/>
      <c r="M327" s="41"/>
      <c r="N327" s="43" t="n">
        <f aca="false">AX107</f>
        <v>58482</v>
      </c>
      <c r="O327" s="43"/>
      <c r="P327" s="43"/>
      <c r="Q327" s="42" t="n">
        <f aca="false">AY107</f>
        <v>0.3</v>
      </c>
      <c r="R327" s="42"/>
      <c r="S327" s="42" t="n">
        <f aca="false">AQ107</f>
        <v>372.1</v>
      </c>
      <c r="T327" s="42"/>
      <c r="U327" s="42"/>
      <c r="V327" s="42" t="n">
        <f aca="false">BC107</f>
        <v>110.708045010863</v>
      </c>
      <c r="W327" s="42"/>
      <c r="X327" s="42"/>
      <c r="Y327" s="32" t="n">
        <f aca="false">BD107</f>
        <v>0.121680536390531</v>
      </c>
      <c r="Z327" s="32"/>
      <c r="AA327" s="32" t="n">
        <f aca="false">BE107</f>
        <v>0.115934648292991</v>
      </c>
      <c r="AB327" s="32"/>
      <c r="AC327" s="42" t="n">
        <f aca="false">BG107</f>
        <v>2.42718429381396</v>
      </c>
      <c r="AD327" s="42"/>
      <c r="AE327" s="42"/>
      <c r="AF327" s="12"/>
    </row>
    <row r="328" customFormat="false" ht="14.25" hidden="false" customHeight="false" outlineLevel="0" collapsed="false">
      <c r="B328" s="7"/>
      <c r="C328" s="46" t="n">
        <v>26</v>
      </c>
      <c r="D328" s="46"/>
      <c r="E328" s="44" t="n">
        <f aca="false">AI108</f>
        <v>37.5</v>
      </c>
      <c r="F328" s="44"/>
      <c r="G328" s="44"/>
      <c r="H328" s="44" t="n">
        <f aca="false">AJ108</f>
        <v>39</v>
      </c>
      <c r="I328" s="44"/>
      <c r="J328" s="44"/>
      <c r="K328" s="41" t="str">
        <f aca="false">AM108</f>
        <v>Sand</v>
      </c>
      <c r="L328" s="41"/>
      <c r="M328" s="41"/>
      <c r="N328" s="43" t="n">
        <f aca="false">AX108</f>
        <v>54150</v>
      </c>
      <c r="O328" s="43"/>
      <c r="P328" s="43"/>
      <c r="Q328" s="42" t="n">
        <f aca="false">AY108</f>
        <v>0.3</v>
      </c>
      <c r="R328" s="42"/>
      <c r="S328" s="42" t="n">
        <f aca="false">AQ108</f>
        <v>384.4</v>
      </c>
      <c r="T328" s="42"/>
      <c r="U328" s="42"/>
      <c r="V328" s="42" t="n">
        <f aca="false">BC108</f>
        <v>108.857419132691</v>
      </c>
      <c r="W328" s="42"/>
      <c r="X328" s="42"/>
      <c r="Y328" s="32" t="n">
        <f aca="false">BD108</f>
        <v>0.128770473532044</v>
      </c>
      <c r="Z328" s="32"/>
      <c r="AA328" s="32" t="n">
        <f aca="false">BE108</f>
        <v>0.116957096633813</v>
      </c>
      <c r="AB328" s="32"/>
      <c r="AC328" s="42" t="n">
        <f aca="false">BG108</f>
        <v>2.59583026334049</v>
      </c>
      <c r="AD328" s="42"/>
      <c r="AE328" s="42"/>
      <c r="AF328" s="12"/>
    </row>
    <row r="329" customFormat="false" ht="14.25" hidden="false" customHeight="false" outlineLevel="0" collapsed="false">
      <c r="B329" s="7"/>
      <c r="C329" s="46" t="n">
        <v>27</v>
      </c>
      <c r="D329" s="46"/>
      <c r="E329" s="44" t="n">
        <f aca="false">AI109</f>
        <v>39</v>
      </c>
      <c r="F329" s="44"/>
      <c r="G329" s="44"/>
      <c r="H329" s="44" t="n">
        <f aca="false">AJ109</f>
        <v>40.5</v>
      </c>
      <c r="I329" s="44"/>
      <c r="J329" s="44"/>
      <c r="K329" s="41" t="str">
        <f aca="false">AM109</f>
        <v>Sand</v>
      </c>
      <c r="L329" s="41"/>
      <c r="M329" s="41"/>
      <c r="N329" s="43" t="n">
        <f aca="false">AX109</f>
        <v>54150</v>
      </c>
      <c r="O329" s="43"/>
      <c r="P329" s="43"/>
      <c r="Q329" s="42" t="n">
        <f aca="false">AY109</f>
        <v>0.3</v>
      </c>
      <c r="R329" s="42"/>
      <c r="S329" s="42" t="n">
        <f aca="false">AQ109</f>
        <v>396.7</v>
      </c>
      <c r="T329" s="42"/>
      <c r="U329" s="42"/>
      <c r="V329" s="42" t="n">
        <f aca="false">BC109</f>
        <v>107.006207567439</v>
      </c>
      <c r="W329" s="42"/>
      <c r="X329" s="42"/>
      <c r="Y329" s="32" t="n">
        <f aca="false">BD109</f>
        <v>0.135857256153312</v>
      </c>
      <c r="Z329" s="32"/>
      <c r="AA329" s="32" t="n">
        <f aca="false">BE109</f>
        <v>0.117844757073459</v>
      </c>
      <c r="AB329" s="32"/>
      <c r="AC329" s="42" t="n">
        <f aca="false">BG109</f>
        <v>2.56871031205885</v>
      </c>
      <c r="AD329" s="42"/>
      <c r="AE329" s="42"/>
      <c r="AF329" s="12"/>
    </row>
    <row r="330" customFormat="false" ht="14.25" hidden="false" customHeight="false" outlineLevel="0" collapsed="false">
      <c r="B330" s="7"/>
      <c r="C330" s="46" t="n">
        <v>28</v>
      </c>
      <c r="D330" s="46"/>
      <c r="E330" s="44" t="n">
        <f aca="false">AI110</f>
        <v>40.5</v>
      </c>
      <c r="F330" s="44"/>
      <c r="G330" s="44"/>
      <c r="H330" s="44" t="n">
        <f aca="false">AJ110</f>
        <v>42</v>
      </c>
      <c r="I330" s="44"/>
      <c r="J330" s="44"/>
      <c r="K330" s="41" t="str">
        <f aca="false">AM110</f>
        <v>Sand</v>
      </c>
      <c r="L330" s="41"/>
      <c r="M330" s="41"/>
      <c r="N330" s="43" t="n">
        <f aca="false">AX110</f>
        <v>40071</v>
      </c>
      <c r="O330" s="43"/>
      <c r="P330" s="43"/>
      <c r="Q330" s="42" t="n">
        <f aca="false">AY110</f>
        <v>0.3</v>
      </c>
      <c r="R330" s="42"/>
      <c r="S330" s="42" t="n">
        <f aca="false">AQ110</f>
        <v>409</v>
      </c>
      <c r="T330" s="42"/>
      <c r="U330" s="42"/>
      <c r="V330" s="42" t="n">
        <f aca="false">BC110</f>
        <v>105.159409672716</v>
      </c>
      <c r="W330" s="42"/>
      <c r="X330" s="42"/>
      <c r="Y330" s="32" t="n">
        <f aca="false">BD110</f>
        <v>0.142931133731755</v>
      </c>
      <c r="Z330" s="32"/>
      <c r="AA330" s="32" t="n">
        <f aca="false">BE110</f>
        <v>0.118607707144671</v>
      </c>
      <c r="AB330" s="32"/>
      <c r="AC330" s="42" t="n">
        <f aca="false">BG110</f>
        <v>3.43275685371848</v>
      </c>
      <c r="AD330" s="42"/>
      <c r="AE330" s="42"/>
      <c r="AF330" s="12"/>
    </row>
    <row r="331" customFormat="false" ht="14.25" hidden="false" customHeight="false" outlineLevel="0" collapsed="false">
      <c r="B331" s="7"/>
      <c r="C331" s="46" t="n">
        <v>29</v>
      </c>
      <c r="D331" s="46"/>
      <c r="E331" s="44" t="n">
        <f aca="false">AI111</f>
        <v>42</v>
      </c>
      <c r="F331" s="44"/>
      <c r="G331" s="44"/>
      <c r="H331" s="44" t="n">
        <f aca="false">AJ111</f>
        <v>43.5</v>
      </c>
      <c r="I331" s="44"/>
      <c r="J331" s="44"/>
      <c r="K331" s="41" t="str">
        <f aca="false">AM111</f>
        <v>Sand</v>
      </c>
      <c r="L331" s="41"/>
      <c r="M331" s="41"/>
      <c r="N331" s="43" t="n">
        <f aca="false">AX111</f>
        <v>54150</v>
      </c>
      <c r="O331" s="43"/>
      <c r="P331" s="43"/>
      <c r="Q331" s="42" t="n">
        <f aca="false">AY111</f>
        <v>0.3</v>
      </c>
      <c r="R331" s="42"/>
      <c r="S331" s="42" t="n">
        <f aca="false">AQ111</f>
        <v>421.3</v>
      </c>
      <c r="T331" s="42"/>
      <c r="U331" s="42"/>
      <c r="V331" s="42" t="n">
        <f aca="false">BC111</f>
        <v>103.321410046931</v>
      </c>
      <c r="W331" s="42"/>
      <c r="X331" s="42"/>
      <c r="Y331" s="32" t="n">
        <f aca="false">BD111</f>
        <v>0.149983423865366</v>
      </c>
      <c r="Z331" s="32"/>
      <c r="AA331" s="32" t="n">
        <f aca="false">BE111</f>
        <v>0.11925528314828</v>
      </c>
      <c r="AB331" s="32"/>
      <c r="AC331" s="42" t="n">
        <f aca="false">BG111</f>
        <v>2.51063756754944</v>
      </c>
      <c r="AD331" s="42"/>
      <c r="AE331" s="42"/>
      <c r="AF331" s="12"/>
    </row>
    <row r="332" customFormat="false" ht="14.25" hidden="false" customHeight="false" outlineLevel="0" collapsed="false">
      <c r="B332" s="7"/>
      <c r="C332" s="46" t="n">
        <v>30</v>
      </c>
      <c r="D332" s="46"/>
      <c r="E332" s="44" t="n">
        <f aca="false">AI112</f>
        <v>43.5</v>
      </c>
      <c r="F332" s="44"/>
      <c r="G332" s="44"/>
      <c r="H332" s="44" t="n">
        <f aca="false">AJ112</f>
        <v>45</v>
      </c>
      <c r="I332" s="44"/>
      <c r="J332" s="44"/>
      <c r="K332" s="41" t="str">
        <f aca="false">AM112</f>
        <v>Sand</v>
      </c>
      <c r="L332" s="41"/>
      <c r="M332" s="41"/>
      <c r="N332" s="43" t="n">
        <f aca="false">AX112</f>
        <v>54150</v>
      </c>
      <c r="O332" s="43"/>
      <c r="P332" s="43"/>
      <c r="Q332" s="42" t="n">
        <f aca="false">AY112</f>
        <v>0.3</v>
      </c>
      <c r="R332" s="42"/>
      <c r="S332" s="42" t="n">
        <f aca="false">AQ112</f>
        <v>433.6</v>
      </c>
      <c r="T332" s="42"/>
      <c r="U332" s="42"/>
      <c r="V332" s="42" t="n">
        <f aca="false">BC112</f>
        <v>101.496021828265</v>
      </c>
      <c r="W332" s="42"/>
      <c r="X332" s="42"/>
      <c r="Y332" s="32" t="n">
        <f aca="false">BD112</f>
        <v>0.157006419484548</v>
      </c>
      <c r="Z332" s="32"/>
      <c r="AA332" s="32" t="n">
        <f aca="false">BE112</f>
        <v>0.119796130362691</v>
      </c>
      <c r="AB332" s="32"/>
      <c r="AC332" s="42" t="n">
        <f aca="false">BG112</f>
        <v>2.48009914347766</v>
      </c>
      <c r="AD332" s="42"/>
      <c r="AE332" s="42"/>
      <c r="AF332" s="12"/>
    </row>
    <row r="333" customFormat="false" ht="14.25" hidden="false" customHeight="false" outlineLevel="0" collapsed="false">
      <c r="B333" s="7"/>
      <c r="C333" s="46" t="n">
        <v>31</v>
      </c>
      <c r="D333" s="46"/>
      <c r="E333" s="44" t="n">
        <f aca="false">AI113</f>
        <v>45</v>
      </c>
      <c r="F333" s="44"/>
      <c r="G333" s="44"/>
      <c r="H333" s="44" t="n">
        <f aca="false">AJ113</f>
        <v>46.5</v>
      </c>
      <c r="I333" s="44"/>
      <c r="J333" s="44"/>
      <c r="K333" s="41" t="str">
        <f aca="false">AM113</f>
        <v>Sand</v>
      </c>
      <c r="L333" s="41"/>
      <c r="M333" s="41"/>
      <c r="N333" s="43" t="n">
        <f aca="false">AX113</f>
        <v>54150</v>
      </c>
      <c r="O333" s="43"/>
      <c r="P333" s="43"/>
      <c r="Q333" s="42" t="n">
        <f aca="false">AY113</f>
        <v>0.3</v>
      </c>
      <c r="R333" s="42"/>
      <c r="S333" s="42" t="n">
        <f aca="false">AQ113</f>
        <v>445.9</v>
      </c>
      <c r="T333" s="42"/>
      <c r="U333" s="42"/>
      <c r="V333" s="42" t="n">
        <f aca="false">BC113</f>
        <v>99.6865327062518</v>
      </c>
      <c r="W333" s="42"/>
      <c r="X333" s="42"/>
      <c r="Y333" s="32" t="n">
        <f aca="false">BD113</f>
        <v>0.163993300910008</v>
      </c>
      <c r="Z333" s="32"/>
      <c r="AA333" s="32" t="n">
        <f aca="false">BE113</f>
        <v>0.120238251830284</v>
      </c>
      <c r="AB333" s="32"/>
      <c r="AC333" s="42" t="n">
        <f aca="false">BG113</f>
        <v>2.44880082658623</v>
      </c>
      <c r="AD333" s="42"/>
      <c r="AE333" s="42"/>
      <c r="AF333" s="12"/>
    </row>
    <row r="334" customFormat="false" ht="14.25" hidden="false" customHeight="false" outlineLevel="0" collapsed="false">
      <c r="B334" s="7"/>
      <c r="C334" s="46" t="n">
        <v>32</v>
      </c>
      <c r="D334" s="46"/>
      <c r="E334" s="44" t="n">
        <f aca="false">AI114</f>
        <v>46.5</v>
      </c>
      <c r="F334" s="44"/>
      <c r="G334" s="44"/>
      <c r="H334" s="44" t="n">
        <f aca="false">AJ114</f>
        <v>48</v>
      </c>
      <c r="I334" s="44"/>
      <c r="J334" s="44"/>
      <c r="K334" s="41" t="str">
        <f aca="false">AM114</f>
        <v>Sand</v>
      </c>
      <c r="L334" s="41"/>
      <c r="M334" s="41"/>
      <c r="N334" s="43" t="n">
        <f aca="false">AX114</f>
        <v>54150</v>
      </c>
      <c r="O334" s="43"/>
      <c r="P334" s="43"/>
      <c r="Q334" s="42" t="n">
        <f aca="false">AY114</f>
        <v>0.3</v>
      </c>
      <c r="R334" s="42"/>
      <c r="S334" s="42" t="n">
        <f aca="false">AQ114</f>
        <v>458.2</v>
      </c>
      <c r="T334" s="42"/>
      <c r="U334" s="42"/>
      <c r="V334" s="42" t="n">
        <f aca="false">BC114</f>
        <v>97.8957517150986</v>
      </c>
      <c r="W334" s="42"/>
      <c r="X334" s="42"/>
      <c r="Y334" s="32" t="n">
        <f aca="false">BD114</f>
        <v>0.170938053366324</v>
      </c>
      <c r="Z334" s="32"/>
      <c r="AA334" s="32" t="n">
        <f aca="false">BE114</f>
        <v>0.120589055170862</v>
      </c>
      <c r="AB334" s="32"/>
      <c r="AC334" s="42" t="n">
        <f aca="false">BG114</f>
        <v>2.41689979101431</v>
      </c>
      <c r="AD334" s="42"/>
      <c r="AE334" s="42"/>
      <c r="AF334" s="12"/>
    </row>
    <row r="335" customFormat="false" ht="14.25" hidden="false" customHeight="false" outlineLevel="0" collapsed="false">
      <c r="B335" s="7"/>
      <c r="C335" s="46" t="n">
        <v>33</v>
      </c>
      <c r="D335" s="46"/>
      <c r="E335" s="44" t="n">
        <f aca="false">AI115</f>
        <v>48</v>
      </c>
      <c r="F335" s="44"/>
      <c r="G335" s="44"/>
      <c r="H335" s="44" t="n">
        <f aca="false">AJ115</f>
        <v>49.5</v>
      </c>
      <c r="I335" s="44"/>
      <c r="J335" s="44"/>
      <c r="K335" s="41" t="str">
        <f aca="false">AM115</f>
        <v>Sand</v>
      </c>
      <c r="L335" s="41"/>
      <c r="M335" s="41"/>
      <c r="N335" s="43" t="n">
        <f aca="false">AX115</f>
        <v>29241</v>
      </c>
      <c r="O335" s="43"/>
      <c r="P335" s="43"/>
      <c r="Q335" s="42" t="n">
        <f aca="false">AY115</f>
        <v>0.3</v>
      </c>
      <c r="R335" s="42"/>
      <c r="S335" s="42" t="n">
        <f aca="false">AQ115</f>
        <v>470.5</v>
      </c>
      <c r="T335" s="42"/>
      <c r="U335" s="42"/>
      <c r="V335" s="42" t="n">
        <f aca="false">BC115</f>
        <v>96.1260553748583</v>
      </c>
      <c r="W335" s="42"/>
      <c r="X335" s="42"/>
      <c r="Y335" s="32" t="n">
        <f aca="false">BD115</f>
        <v>0.177835390268971</v>
      </c>
      <c r="Z335" s="32"/>
      <c r="AA335" s="32" t="n">
        <f aca="false">BE115</f>
        <v>0.120855397057084</v>
      </c>
      <c r="AB335" s="32"/>
      <c r="AC335" s="42" t="n">
        <f aca="false">BG115</f>
        <v>4.41580714624181</v>
      </c>
      <c r="AD335" s="42"/>
      <c r="AE335" s="42"/>
      <c r="AF335" s="12"/>
    </row>
    <row r="336" customFormat="false" ht="14.25" hidden="false" customHeight="false" outlineLevel="0" collapsed="false">
      <c r="B336" s="7"/>
      <c r="C336" s="46" t="n">
        <v>34</v>
      </c>
      <c r="D336" s="46"/>
      <c r="E336" s="44" t="n">
        <f aca="false">AI116</f>
        <v>49.5</v>
      </c>
      <c r="F336" s="44"/>
      <c r="G336" s="44"/>
      <c r="H336" s="44" t="n">
        <f aca="false">AJ116</f>
        <v>51</v>
      </c>
      <c r="I336" s="44"/>
      <c r="J336" s="44"/>
      <c r="K336" s="41" t="str">
        <f aca="false">AM116</f>
        <v>Sand</v>
      </c>
      <c r="L336" s="41"/>
      <c r="M336" s="41"/>
      <c r="N336" s="43" t="n">
        <f aca="false">AX116</f>
        <v>27075</v>
      </c>
      <c r="O336" s="43"/>
      <c r="P336" s="43"/>
      <c r="Q336" s="42" t="n">
        <f aca="false">AY116</f>
        <v>0.3</v>
      </c>
      <c r="R336" s="42"/>
      <c r="S336" s="42" t="n">
        <f aca="false">AQ116</f>
        <v>482.8</v>
      </c>
      <c r="T336" s="42"/>
      <c r="U336" s="42"/>
      <c r="V336" s="42" t="n">
        <f aca="false">BC116</f>
        <v>94.379432156388</v>
      </c>
      <c r="W336" s="42"/>
      <c r="X336" s="42"/>
      <c r="Y336" s="32" t="n">
        <f aca="false">BD116</f>
        <v>0.184680682380465</v>
      </c>
      <c r="Z336" s="32"/>
      <c r="AA336" s="32" t="n">
        <f aca="false">BE116</f>
        <v>0.121043625132288</v>
      </c>
      <c r="AB336" s="32"/>
      <c r="AC336" s="42" t="n">
        <f aca="false">BG116</f>
        <v>0</v>
      </c>
      <c r="AD336" s="42"/>
      <c r="AE336" s="42"/>
      <c r="AF336" s="12"/>
    </row>
    <row r="337" customFormat="false" ht="14.25" hidden="false" customHeight="false" outlineLevel="0" collapsed="false">
      <c r="B337" s="7"/>
      <c r="C337" s="46" t="n">
        <v>35</v>
      </c>
      <c r="D337" s="46"/>
      <c r="E337" s="44" t="n">
        <f aca="false">AI117</f>
        <v>51</v>
      </c>
      <c r="F337" s="44"/>
      <c r="G337" s="44"/>
      <c r="H337" s="44" t="n">
        <f aca="false">AJ117</f>
        <v>52.5</v>
      </c>
      <c r="I337" s="44"/>
      <c r="J337" s="44"/>
      <c r="K337" s="41" t="str">
        <f aca="false">AM117</f>
        <v>Sand</v>
      </c>
      <c r="L337" s="41"/>
      <c r="M337" s="41"/>
      <c r="N337" s="43" t="n">
        <f aca="false">AX117</f>
        <v>31407</v>
      </c>
      <c r="O337" s="43"/>
      <c r="P337" s="43"/>
      <c r="Q337" s="42" t="n">
        <f aca="false">AY117</f>
        <v>0.3</v>
      </c>
      <c r="R337" s="42"/>
      <c r="S337" s="42" t="n">
        <f aca="false">AQ117</f>
        <v>495.099999999999</v>
      </c>
      <c r="T337" s="42"/>
      <c r="U337" s="42"/>
      <c r="V337" s="42" t="n">
        <f aca="false">BC117</f>
        <v>92.657524576064</v>
      </c>
      <c r="W337" s="42"/>
      <c r="X337" s="42"/>
      <c r="Y337" s="32" t="n">
        <f aca="false">BD117</f>
        <v>0.191469892767081</v>
      </c>
      <c r="Z337" s="32"/>
      <c r="AA337" s="32" t="n">
        <f aca="false">BE117</f>
        <v>0.121159617263437</v>
      </c>
      <c r="AB337" s="32"/>
      <c r="AC337" s="42" t="n">
        <f aca="false">BG117</f>
        <v>0</v>
      </c>
      <c r="AD337" s="42"/>
      <c r="AE337" s="42"/>
      <c r="AF337" s="12"/>
    </row>
    <row r="338" customFormat="false" ht="14.25" hidden="false" customHeight="false" outlineLevel="0" collapsed="false">
      <c r="B338" s="7"/>
      <c r="C338" s="46" t="n">
        <v>36</v>
      </c>
      <c r="D338" s="46"/>
      <c r="E338" s="44" t="n">
        <f aca="false">AI118</f>
        <v>52.5</v>
      </c>
      <c r="F338" s="44"/>
      <c r="G338" s="44"/>
      <c r="H338" s="44" t="n">
        <f aca="false">AJ118</f>
        <v>54</v>
      </c>
      <c r="I338" s="44"/>
      <c r="J338" s="44"/>
      <c r="K338" s="41" t="str">
        <f aca="false">AM118</f>
        <v>Sand</v>
      </c>
      <c r="L338" s="41"/>
      <c r="M338" s="41"/>
      <c r="N338" s="43" t="n">
        <f aca="false">AX118</f>
        <v>37905</v>
      </c>
      <c r="O338" s="43"/>
      <c r="P338" s="43"/>
      <c r="Q338" s="42" t="n">
        <f aca="false">AY118</f>
        <v>0.3</v>
      </c>
      <c r="R338" s="42"/>
      <c r="S338" s="42" t="n">
        <f aca="false">AQ118</f>
        <v>507.399999999999</v>
      </c>
      <c r="T338" s="42"/>
      <c r="U338" s="42"/>
      <c r="V338" s="42" t="n">
        <f aca="false">BC118</f>
        <v>90.9616684860851</v>
      </c>
      <c r="W338" s="42"/>
      <c r="X338" s="42"/>
      <c r="Y338" s="32" t="n">
        <f aca="false">BD118</f>
        <v>0.19819951737019</v>
      </c>
      <c r="Z338" s="32"/>
      <c r="AA338" s="32" t="n">
        <f aca="false">BE118</f>
        <v>0.121208818106769</v>
      </c>
      <c r="AB338" s="32"/>
      <c r="AC338" s="42" t="n">
        <f aca="false">BG118</f>
        <v>0</v>
      </c>
      <c r="AD338" s="42"/>
      <c r="AE338" s="42"/>
      <c r="AF338" s="12"/>
    </row>
    <row r="339" customFormat="false" ht="14.25" hidden="false" customHeight="false" outlineLevel="0" collapsed="false">
      <c r="B339" s="7"/>
      <c r="C339" s="46" t="n">
        <v>37</v>
      </c>
      <c r="D339" s="46"/>
      <c r="E339" s="44" t="n">
        <f aca="false">AI119</f>
        <v>54</v>
      </c>
      <c r="F339" s="44"/>
      <c r="G339" s="44"/>
      <c r="H339" s="44" t="n">
        <f aca="false">AJ119</f>
        <v>55.5</v>
      </c>
      <c r="I339" s="44"/>
      <c r="J339" s="44"/>
      <c r="K339" s="41" t="str">
        <f aca="false">AM119</f>
        <v>Sand</v>
      </c>
      <c r="L339" s="41"/>
      <c r="M339" s="41"/>
      <c r="N339" s="43" t="n">
        <f aca="false">AX119</f>
        <v>54150</v>
      </c>
      <c r="O339" s="43"/>
      <c r="P339" s="43"/>
      <c r="Q339" s="42" t="n">
        <f aca="false">AY119</f>
        <v>0.3</v>
      </c>
      <c r="R339" s="42"/>
      <c r="S339" s="42" t="n">
        <f aca="false">AQ119</f>
        <v>519.699999999999</v>
      </c>
      <c r="T339" s="42"/>
      <c r="U339" s="42"/>
      <c r="V339" s="42" t="n">
        <f aca="false">BC119</f>
        <v>89.2929293261871</v>
      </c>
      <c r="W339" s="42"/>
      <c r="X339" s="42"/>
      <c r="Y339" s="32" t="n">
        <f aca="false">BD119</f>
        <v>0.204866530926182</v>
      </c>
      <c r="Z339" s="32"/>
      <c r="AA339" s="32" t="n">
        <f aca="false">BE119</f>
        <v>0.121196273026185</v>
      </c>
      <c r="AB339" s="32"/>
      <c r="AC339" s="42" t="n">
        <f aca="false">BG119</f>
        <v>0</v>
      </c>
      <c r="AD339" s="42"/>
      <c r="AE339" s="42"/>
      <c r="AF339" s="12"/>
    </row>
    <row r="340" customFormat="false" ht="14.25" hidden="false" customHeight="false" outlineLevel="0" collapsed="false">
      <c r="B340" s="7"/>
      <c r="C340" s="46" t="n">
        <v>38</v>
      </c>
      <c r="D340" s="46"/>
      <c r="E340" s="44" t="n">
        <f aca="false">AI120</f>
        <v>55.5</v>
      </c>
      <c r="F340" s="44"/>
      <c r="G340" s="44"/>
      <c r="H340" s="44" t="n">
        <f aca="false">AJ120</f>
        <v>57</v>
      </c>
      <c r="I340" s="44"/>
      <c r="J340" s="44"/>
      <c r="K340" s="41" t="str">
        <f aca="false">AM120</f>
        <v>Sand</v>
      </c>
      <c r="L340" s="41"/>
      <c r="M340" s="41"/>
      <c r="N340" s="43" t="n">
        <f aca="false">AX120</f>
        <v>54150</v>
      </c>
      <c r="O340" s="43"/>
      <c r="P340" s="43"/>
      <c r="Q340" s="42" t="n">
        <f aca="false">AY120</f>
        <v>0.3</v>
      </c>
      <c r="R340" s="42"/>
      <c r="S340" s="42" t="n">
        <f aca="false">AQ120</f>
        <v>531.999999999999</v>
      </c>
      <c r="T340" s="42"/>
      <c r="U340" s="42"/>
      <c r="V340" s="42" t="n">
        <f aca="false">BC120</f>
        <v>87.6521352527307</v>
      </c>
      <c r="W340" s="42"/>
      <c r="X340" s="42"/>
      <c r="Y340" s="32" t="n">
        <f aca="false">BD120</f>
        <v>0.211468337918076</v>
      </c>
      <c r="Z340" s="32"/>
      <c r="AA340" s="32" t="n">
        <f aca="false">BE120</f>
        <v>0.121126659448925</v>
      </c>
      <c r="AB340" s="32"/>
      <c r="AC340" s="42" t="n">
        <f aca="false">BG120</f>
        <v>0</v>
      </c>
      <c r="AD340" s="42"/>
      <c r="AE340" s="42"/>
      <c r="AF340" s="12"/>
    </row>
    <row r="341" customFormat="false" ht="14.25" hidden="false" customHeight="false" outlineLevel="0" collapsed="false">
      <c r="B341" s="7"/>
      <c r="C341" s="46" t="n">
        <v>39</v>
      </c>
      <c r="D341" s="46"/>
      <c r="E341" s="44" t="n">
        <f aca="false">AI121</f>
        <v>57</v>
      </c>
      <c r="F341" s="44"/>
      <c r="G341" s="44"/>
      <c r="H341" s="44" t="n">
        <f aca="false">AJ121</f>
        <v>58.5</v>
      </c>
      <c r="I341" s="44"/>
      <c r="J341" s="44"/>
      <c r="K341" s="41" t="str">
        <f aca="false">AM121</f>
        <v>Sand</v>
      </c>
      <c r="L341" s="41"/>
      <c r="M341" s="41"/>
      <c r="N341" s="43" t="n">
        <f aca="false">AX121</f>
        <v>54150</v>
      </c>
      <c r="O341" s="43"/>
      <c r="P341" s="43"/>
      <c r="Q341" s="42" t="n">
        <f aca="false">AY121</f>
        <v>0.3</v>
      </c>
      <c r="R341" s="42"/>
      <c r="S341" s="42" t="n">
        <f aca="false">AQ121</f>
        <v>544.299999999999</v>
      </c>
      <c r="T341" s="42"/>
      <c r="U341" s="42"/>
      <c r="V341" s="42" t="n">
        <f aca="false">BC121</f>
        <v>86.0399071706701</v>
      </c>
      <c r="W341" s="42"/>
      <c r="X341" s="42"/>
      <c r="Y341" s="32" t="n">
        <f aca="false">BD121</f>
        <v>0.218002728213384</v>
      </c>
      <c r="Z341" s="32"/>
      <c r="AA341" s="32" t="n">
        <f aca="false">BE121</f>
        <v>0.121004315773392</v>
      </c>
      <c r="AB341" s="32"/>
      <c r="AC341" s="42" t="n">
        <f aca="false">BG121</f>
        <v>0</v>
      </c>
      <c r="AD341" s="42"/>
      <c r="AE341" s="42"/>
      <c r="AF341" s="12"/>
    </row>
    <row r="342" customFormat="false" ht="14.25" hidden="false" customHeight="false" outlineLevel="0" collapsed="false">
      <c r="B342" s="7"/>
      <c r="C342" s="46" t="n">
        <v>40</v>
      </c>
      <c r="D342" s="46"/>
      <c r="E342" s="44" t="n">
        <f aca="false">AI122</f>
        <v>58.5</v>
      </c>
      <c r="F342" s="44"/>
      <c r="G342" s="44"/>
      <c r="H342" s="44" t="n">
        <f aca="false">AJ122</f>
        <v>59.5</v>
      </c>
      <c r="I342" s="44"/>
      <c r="J342" s="44"/>
      <c r="K342" s="41" t="str">
        <f aca="false">AM122</f>
        <v>Sand</v>
      </c>
      <c r="L342" s="41"/>
      <c r="M342" s="41"/>
      <c r="N342" s="43" t="n">
        <f aca="false">AX122</f>
        <v>31407</v>
      </c>
      <c r="O342" s="43"/>
      <c r="P342" s="43"/>
      <c r="Q342" s="42" t="n">
        <f aca="false">AY122</f>
        <v>0.3</v>
      </c>
      <c r="R342" s="42"/>
      <c r="S342" s="42" t="n">
        <f aca="false">AQ122</f>
        <v>554.55</v>
      </c>
      <c r="T342" s="42"/>
      <c r="U342" s="42"/>
      <c r="V342" s="42" t="n">
        <f aca="false">BC122</f>
        <v>84.7185277966616</v>
      </c>
      <c r="W342" s="42"/>
      <c r="X342" s="42"/>
      <c r="Y342" s="32" t="n">
        <f aca="false">BD122</f>
        <v>0.222320600711722</v>
      </c>
      <c r="Z342" s="32"/>
      <c r="AA342" s="32" t="n">
        <f aca="false">BE122</f>
        <v>0.120895459060618</v>
      </c>
      <c r="AB342" s="32"/>
      <c r="AC342" s="42" t="n">
        <f aca="false">BG122</f>
        <v>0</v>
      </c>
      <c r="AD342" s="42"/>
      <c r="AE342" s="42"/>
      <c r="AF342" s="12"/>
    </row>
    <row r="343" customFormat="false" ht="14.25" hidden="false" customHeight="false" outlineLevel="0" collapsed="false">
      <c r="B343" s="7"/>
      <c r="C343" s="60" t="n">
        <v>41</v>
      </c>
      <c r="D343" s="60"/>
      <c r="E343" s="61" t="n">
        <f aca="false">AI123</f>
        <v>59.5</v>
      </c>
      <c r="F343" s="61"/>
      <c r="G343" s="61"/>
      <c r="H343" s="61" t="n">
        <f aca="false">AJ123</f>
        <v>60</v>
      </c>
      <c r="I343" s="61"/>
      <c r="J343" s="61"/>
      <c r="K343" s="48" t="str">
        <f aca="false">AM123</f>
        <v>Sand</v>
      </c>
      <c r="L343" s="48"/>
      <c r="M343" s="48"/>
      <c r="N343" s="66" t="n">
        <f aca="false">AX123</f>
        <v>47652</v>
      </c>
      <c r="O343" s="66"/>
      <c r="P343" s="66"/>
      <c r="Q343" s="49" t="n">
        <f aca="false">AY123</f>
        <v>0.3</v>
      </c>
      <c r="R343" s="49"/>
      <c r="S343" s="49" t="n">
        <f aca="false">AQ123</f>
        <v>560.699999999999</v>
      </c>
      <c r="T343" s="49"/>
      <c r="U343" s="49"/>
      <c r="V343" s="49" t="n">
        <f aca="false">BC123</f>
        <v>83.9354445039259</v>
      </c>
      <c r="W343" s="49"/>
      <c r="X343" s="49"/>
      <c r="Y343" s="35" t="n">
        <f aca="false">BD123</f>
        <v>0.224467837031054</v>
      </c>
      <c r="Z343" s="35"/>
      <c r="AA343" s="35" t="n">
        <f aca="false">BE123</f>
        <v>0.120833267963286</v>
      </c>
      <c r="AB343" s="35"/>
      <c r="AC343" s="49" t="n">
        <f aca="false">BG123</f>
        <v>0</v>
      </c>
      <c r="AD343" s="49"/>
      <c r="AE343" s="49"/>
      <c r="AF343" s="12"/>
    </row>
    <row r="344" customFormat="false" ht="14.25" hidden="false" customHeight="false" outlineLevel="0" collapsed="false">
      <c r="B344" s="7"/>
      <c r="AF344" s="12"/>
    </row>
    <row r="345" customFormat="false" ht="14.25" hidden="false" customHeight="true" outlineLevel="0" collapsed="false">
      <c r="B345" s="7"/>
      <c r="C345" s="20" t="s">
        <v>293</v>
      </c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1" t="s">
        <v>294</v>
      </c>
      <c r="P345" s="21"/>
      <c r="Q345" s="21"/>
      <c r="R345" s="21"/>
      <c r="S345" s="21"/>
      <c r="T345" s="21"/>
      <c r="U345" s="21"/>
      <c r="V345" s="21"/>
      <c r="W345" s="21"/>
      <c r="X345" s="22" t="s">
        <v>295</v>
      </c>
      <c r="Y345" s="22"/>
      <c r="Z345" s="22"/>
      <c r="AA345" s="24" t="n">
        <f aca="false">SUM(BG83:BG123)</f>
        <v>104.585696726539</v>
      </c>
      <c r="AB345" s="24"/>
      <c r="AC345" s="24"/>
      <c r="AD345" s="20" t="s">
        <v>45</v>
      </c>
      <c r="AE345" s="20"/>
      <c r="AF345" s="12"/>
    </row>
    <row r="346" customFormat="false" ht="14.25" hidden="false" customHeight="false" outlineLevel="0" collapsed="false">
      <c r="B346" s="7"/>
      <c r="C346" s="20" t="s">
        <v>296</v>
      </c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1"/>
      <c r="P346" s="21"/>
      <c r="Q346" s="21"/>
      <c r="R346" s="21"/>
      <c r="S346" s="21"/>
      <c r="T346" s="21"/>
      <c r="U346" s="21"/>
      <c r="V346" s="21"/>
      <c r="W346" s="21"/>
      <c r="X346" s="22"/>
      <c r="Y346" s="22"/>
      <c r="Z346" s="22"/>
      <c r="AA346" s="51" t="n">
        <f aca="false">SUMPRODUCT(--(AM83:AM123="Sand"),BG83:BG123)</f>
        <v>103.999945893055</v>
      </c>
      <c r="AB346" s="51"/>
      <c r="AC346" s="51"/>
      <c r="AD346" s="20" t="s">
        <v>45</v>
      </c>
      <c r="AE346" s="20"/>
      <c r="AF346" s="12"/>
    </row>
    <row r="347" customFormat="false" ht="14.25" hidden="false" customHeight="false" outlineLevel="0" collapsed="false">
      <c r="B347" s="7"/>
      <c r="C347" s="20" t="s">
        <v>297</v>
      </c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1"/>
      <c r="P347" s="21"/>
      <c r="Q347" s="21"/>
      <c r="R347" s="21"/>
      <c r="S347" s="21"/>
      <c r="T347" s="21"/>
      <c r="U347" s="21"/>
      <c r="V347" s="21"/>
      <c r="W347" s="21"/>
      <c r="X347" s="22"/>
      <c r="Y347" s="22"/>
      <c r="Z347" s="22"/>
      <c r="AA347" s="51" t="n">
        <f aca="false">$AA$345-$AA$346</f>
        <v>0.585750833483658</v>
      </c>
      <c r="AB347" s="51"/>
      <c r="AC347" s="51"/>
      <c r="AD347" s="20" t="s">
        <v>45</v>
      </c>
      <c r="AE347" s="20"/>
      <c r="AF347" s="12"/>
    </row>
    <row r="348" customFormat="false" ht="14.25" hidden="false" customHeight="false" outlineLevel="0" collapsed="false">
      <c r="B348" s="7"/>
      <c r="AF348" s="12"/>
    </row>
    <row r="349" customFormat="false" ht="14.25" hidden="false" customHeight="false" outlineLevel="0" collapsed="false">
      <c r="B349" s="7"/>
      <c r="AF349" s="12"/>
    </row>
    <row r="350" customFormat="false" ht="14.25" hidden="false" customHeight="false" outlineLevel="0" collapsed="false">
      <c r="B350" s="7"/>
      <c r="AF350" s="12"/>
    </row>
    <row r="351" customFormat="false" ht="14.25" hidden="false" customHeight="false" outlineLevel="0" collapsed="false">
      <c r="B351" s="7"/>
      <c r="AF351" s="12"/>
    </row>
    <row r="352" customFormat="false" ht="14.25" hidden="false" customHeight="false" outlineLevel="0" collapsed="false">
      <c r="B352" s="7"/>
      <c r="AF352" s="12"/>
    </row>
    <row r="353" customFormat="false" ht="14.25" hidden="false" customHeight="false" outlineLevel="0" collapsed="false">
      <c r="B353" s="7"/>
      <c r="AF353" s="12"/>
    </row>
    <row r="354" customFormat="false" ht="14.25" hidden="false" customHeight="false" outlineLevel="0" collapsed="false">
      <c r="B354" s="7"/>
      <c r="AF354" s="12"/>
    </row>
    <row r="355" customFormat="false" ht="14.25" hidden="false" customHeight="false" outlineLevel="0" collapsed="false">
      <c r="B355" s="7"/>
      <c r="AF355" s="12"/>
    </row>
    <row r="356" customFormat="false" ht="14.25" hidden="false" customHeight="false" outlineLevel="0" collapsed="false">
      <c r="B356" s="7"/>
      <c r="AF356" s="12"/>
    </row>
    <row r="357" customFormat="false" ht="14.25" hidden="false" customHeight="false" outlineLevel="0" collapsed="false">
      <c r="B357" s="7"/>
      <c r="AF357" s="12"/>
    </row>
    <row r="358" customFormat="false" ht="14.25" hidden="false" customHeight="false" outlineLevel="0" collapsed="false">
      <c r="B358" s="7"/>
      <c r="AF358" s="12"/>
    </row>
    <row r="359" customFormat="false" ht="14.25" hidden="false" customHeight="false" outlineLevel="0" collapsed="false">
      <c r="B359" s="7"/>
      <c r="AF359" s="12"/>
    </row>
    <row r="360" customFormat="false" ht="14.25" hidden="false" customHeight="false" outlineLevel="0" collapsed="false">
      <c r="B360" s="7"/>
      <c r="AF360" s="12"/>
    </row>
    <row r="361" customFormat="false" ht="14.25" hidden="false" customHeight="true" outlineLevel="0" collapsed="false">
      <c r="B361" s="36"/>
      <c r="C361" s="37"/>
      <c r="D361" s="37"/>
      <c r="E361" s="37"/>
      <c r="F361" s="37"/>
      <c r="G361" s="37"/>
      <c r="H361" s="37"/>
      <c r="I361" s="37"/>
      <c r="J361" s="37"/>
      <c r="K361" s="37"/>
      <c r="L361" s="37"/>
      <c r="M361" s="37"/>
      <c r="N361" s="37"/>
      <c r="O361" s="37"/>
      <c r="P361" s="37"/>
      <c r="Q361" s="37"/>
      <c r="R361" s="37"/>
      <c r="S361" s="37"/>
      <c r="T361" s="37"/>
      <c r="U361" s="37"/>
      <c r="V361" s="37"/>
      <c r="W361" s="37"/>
      <c r="X361" s="38" t="s">
        <v>93</v>
      </c>
      <c r="Y361" s="38"/>
      <c r="Z361" s="38"/>
      <c r="AA361" s="38"/>
      <c r="AB361" s="38" t="n">
        <v>5</v>
      </c>
      <c r="AC361" s="38"/>
      <c r="AD361" s="38"/>
      <c r="AE361" s="38"/>
      <c r="AF361" s="39"/>
    </row>
    <row r="362" customFormat="false" ht="14.25" hidden="false" customHeight="true" outlineLevel="0" collapsed="false">
      <c r="B362" s="1"/>
      <c r="C362" s="2" t="s">
        <v>0</v>
      </c>
      <c r="D362" s="2"/>
      <c r="E362" s="2"/>
      <c r="F362" s="2"/>
      <c r="G362" s="2"/>
      <c r="H362" s="3" t="s">
        <v>1</v>
      </c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4" t="s">
        <v>2</v>
      </c>
      <c r="Y362" s="4"/>
      <c r="Z362" s="4"/>
      <c r="AA362" s="4"/>
      <c r="AB362" s="5" t="s">
        <v>3</v>
      </c>
      <c r="AC362" s="5"/>
      <c r="AD362" s="5"/>
      <c r="AE362" s="5"/>
      <c r="AF362" s="6"/>
    </row>
    <row r="363" customFormat="false" ht="14.25" hidden="false" customHeight="true" outlineLevel="0" collapsed="false">
      <c r="B363" s="7"/>
      <c r="C363" s="8" t="s">
        <v>4</v>
      </c>
      <c r="D363" s="8"/>
      <c r="E363" s="8"/>
      <c r="F363" s="8"/>
      <c r="G363" s="8"/>
      <c r="H363" s="9" t="s">
        <v>5</v>
      </c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10" t="s">
        <v>6</v>
      </c>
      <c r="Y363" s="10"/>
      <c r="Z363" s="10"/>
      <c r="AA363" s="10"/>
      <c r="AB363" s="11" t="n">
        <v>46301</v>
      </c>
      <c r="AC363" s="11"/>
      <c r="AD363" s="11"/>
      <c r="AE363" s="11"/>
      <c r="AF363" s="12"/>
    </row>
    <row r="364" customFormat="false" ht="14.25" hidden="false" customHeight="true" outlineLevel="0" collapsed="false">
      <c r="B364" s="7"/>
      <c r="C364" s="8" t="s">
        <v>7</v>
      </c>
      <c r="D364" s="8"/>
      <c r="E364" s="8"/>
      <c r="F364" s="8"/>
      <c r="G364" s="8"/>
      <c r="H364" s="9" t="s">
        <v>348</v>
      </c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10" t="s">
        <v>9</v>
      </c>
      <c r="Y364" s="10"/>
      <c r="Z364" s="10"/>
      <c r="AA364" s="10"/>
      <c r="AB364" s="11" t="s">
        <v>3</v>
      </c>
      <c r="AC364" s="11"/>
      <c r="AD364" s="11"/>
      <c r="AE364" s="11"/>
      <c r="AF364" s="12"/>
    </row>
    <row r="365" customFormat="false" ht="14.25" hidden="false" customHeight="true" outlineLevel="0" collapsed="false">
      <c r="B365" s="13"/>
      <c r="C365" s="14" t="s">
        <v>10</v>
      </c>
      <c r="D365" s="14"/>
      <c r="E365" s="14"/>
      <c r="F365" s="14"/>
      <c r="G365" s="14"/>
      <c r="H365" s="15" t="s">
        <v>134</v>
      </c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6" t="s">
        <v>12</v>
      </c>
      <c r="Y365" s="16"/>
      <c r="Z365" s="16"/>
      <c r="AA365" s="16"/>
      <c r="AB365" s="17" t="n">
        <v>46301</v>
      </c>
      <c r="AC365" s="17"/>
      <c r="AD365" s="17"/>
      <c r="AE365" s="17"/>
      <c r="AF365" s="18"/>
    </row>
    <row r="366" customFormat="false" ht="14.25" hidden="false" customHeight="false" outlineLevel="0" collapsed="false">
      <c r="B366" s="7"/>
      <c r="AF366" s="12"/>
    </row>
    <row r="367" customFormat="false" ht="14.25" hidden="false" customHeight="false" outlineLevel="0" collapsed="false">
      <c r="B367" s="7"/>
      <c r="AF367" s="12"/>
    </row>
    <row r="368" customFormat="false" ht="14.25" hidden="false" customHeight="false" outlineLevel="0" collapsed="false">
      <c r="B368" s="7"/>
      <c r="AF368" s="12"/>
    </row>
    <row r="369" customFormat="false" ht="14.25" hidden="false" customHeight="false" outlineLevel="0" collapsed="false">
      <c r="B369" s="7"/>
      <c r="AF369" s="12"/>
    </row>
    <row r="370" customFormat="false" ht="14.25" hidden="false" customHeight="false" outlineLevel="0" collapsed="false">
      <c r="B370" s="7"/>
      <c r="AF370" s="12"/>
    </row>
    <row r="371" customFormat="false" ht="14.25" hidden="false" customHeight="false" outlineLevel="0" collapsed="false">
      <c r="B371" s="7"/>
      <c r="AF371" s="12"/>
    </row>
    <row r="372" customFormat="false" ht="14.25" hidden="false" customHeight="false" outlineLevel="0" collapsed="false">
      <c r="B372" s="7"/>
      <c r="AF372" s="12"/>
    </row>
    <row r="373" customFormat="false" ht="14.25" hidden="false" customHeight="false" outlineLevel="0" collapsed="false">
      <c r="B373" s="7"/>
      <c r="AF373" s="12"/>
    </row>
    <row r="374" customFormat="false" ht="14.25" hidden="false" customHeight="false" outlineLevel="0" collapsed="false">
      <c r="B374" s="7"/>
      <c r="AF374" s="12"/>
    </row>
    <row r="375" customFormat="false" ht="14.25" hidden="false" customHeight="false" outlineLevel="0" collapsed="false">
      <c r="B375" s="7"/>
      <c r="AF375" s="12"/>
    </row>
    <row r="376" customFormat="false" ht="14.25" hidden="false" customHeight="false" outlineLevel="0" collapsed="false">
      <c r="B376" s="7"/>
      <c r="AF376" s="12"/>
    </row>
    <row r="377" customFormat="false" ht="14.25" hidden="false" customHeight="false" outlineLevel="0" collapsed="false">
      <c r="B377" s="7"/>
      <c r="AF377" s="12"/>
    </row>
    <row r="378" customFormat="false" ht="14.25" hidden="false" customHeight="false" outlineLevel="0" collapsed="false">
      <c r="B378" s="7"/>
      <c r="AF378" s="12"/>
    </row>
    <row r="379" customFormat="false" ht="14.25" hidden="false" customHeight="false" outlineLevel="0" collapsed="false">
      <c r="B379" s="7"/>
      <c r="AF379" s="12"/>
    </row>
    <row r="380" customFormat="false" ht="14.25" hidden="false" customHeight="false" outlineLevel="0" collapsed="false">
      <c r="B380" s="7"/>
      <c r="AF380" s="12"/>
    </row>
    <row r="381" customFormat="false" ht="14.25" hidden="false" customHeight="false" outlineLevel="0" collapsed="false">
      <c r="B381" s="7"/>
      <c r="AF381" s="12"/>
    </row>
    <row r="382" customFormat="false" ht="14.25" hidden="false" customHeight="false" outlineLevel="0" collapsed="false">
      <c r="B382" s="7"/>
      <c r="AF382" s="12"/>
    </row>
    <row r="383" customFormat="false" ht="14.25" hidden="false" customHeight="false" outlineLevel="0" collapsed="false">
      <c r="B383" s="7"/>
      <c r="AF383" s="12"/>
    </row>
    <row r="384" customFormat="false" ht="14.25" hidden="false" customHeight="false" outlineLevel="0" collapsed="false">
      <c r="B384" s="7"/>
      <c r="AF384" s="12"/>
    </row>
    <row r="385" customFormat="false" ht="14.25" hidden="false" customHeight="false" outlineLevel="0" collapsed="false">
      <c r="B385" s="7"/>
      <c r="AF385" s="12"/>
    </row>
    <row r="386" customFormat="false" ht="14.25" hidden="false" customHeight="false" outlineLevel="0" collapsed="false">
      <c r="B386" s="7"/>
      <c r="C386" s="52" t="s">
        <v>298</v>
      </c>
      <c r="D386" s="52"/>
      <c r="E386" s="52"/>
      <c r="F386" s="52"/>
      <c r="G386" s="52"/>
      <c r="H386" s="52"/>
      <c r="I386" s="52"/>
      <c r="J386" s="52"/>
      <c r="K386" s="52"/>
      <c r="L386" s="52"/>
      <c r="M386" s="52"/>
      <c r="N386" s="52"/>
      <c r="O386" s="52"/>
      <c r="P386" s="52"/>
      <c r="Q386" s="52"/>
      <c r="R386" s="52"/>
      <c r="S386" s="52"/>
      <c r="T386" s="52"/>
      <c r="U386" s="52"/>
      <c r="V386" s="52"/>
      <c r="W386" s="52"/>
      <c r="X386" s="52"/>
      <c r="Y386" s="52"/>
      <c r="Z386" s="52"/>
      <c r="AA386" s="52"/>
      <c r="AB386" s="52"/>
      <c r="AC386" s="52"/>
      <c r="AD386" s="52"/>
      <c r="AE386" s="52"/>
      <c r="AF386" s="12"/>
    </row>
    <row r="387" customFormat="false" ht="14.25" hidden="false" customHeight="false" outlineLevel="0" collapsed="false">
      <c r="B387" s="7"/>
      <c r="AF387" s="12"/>
    </row>
    <row r="388" customFormat="false" ht="14.25" hidden="false" customHeight="false" outlineLevel="0" collapsed="false">
      <c r="B388" s="7"/>
      <c r="C388" s="9" t="s">
        <v>299</v>
      </c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12"/>
    </row>
    <row r="389" customFormat="false" ht="14.25" hidden="false" customHeight="false" outlineLevel="0" collapsed="false">
      <c r="B389" s="7"/>
      <c r="C389" s="20" t="s">
        <v>300</v>
      </c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  <c r="AE389" s="20"/>
      <c r="AF389" s="12"/>
    </row>
    <row r="390" customFormat="false" ht="14.25" hidden="false" customHeight="false" outlineLevel="0" collapsed="false">
      <c r="B390" s="7"/>
      <c r="C390" s="20" t="s">
        <v>301</v>
      </c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  <c r="AD390" s="20"/>
      <c r="AE390" s="20"/>
      <c r="AF390" s="12"/>
    </row>
    <row r="391" customFormat="false" ht="14.25" hidden="false" customHeight="false" outlineLevel="0" collapsed="false">
      <c r="B391" s="7"/>
      <c r="AF391" s="12"/>
    </row>
    <row r="392" customFormat="false" ht="14.25" hidden="false" customHeight="false" outlineLevel="0" collapsed="false">
      <c r="B392" s="7"/>
      <c r="AF392" s="12"/>
    </row>
    <row r="393" customFormat="false" ht="14.25" hidden="false" customHeight="false" outlineLevel="0" collapsed="false">
      <c r="B393" s="7"/>
      <c r="AF393" s="12"/>
    </row>
    <row r="394" customFormat="false" ht="14.25" hidden="false" customHeight="false" outlineLevel="0" collapsed="false">
      <c r="B394" s="7"/>
      <c r="AF394" s="12"/>
    </row>
    <row r="395" customFormat="false" ht="14.25" hidden="false" customHeight="false" outlineLevel="0" collapsed="false">
      <c r="B395" s="7"/>
      <c r="AF395" s="12"/>
    </row>
    <row r="396" customFormat="false" ht="14.25" hidden="false" customHeight="false" outlineLevel="0" collapsed="false">
      <c r="B396" s="7"/>
      <c r="AF396" s="12"/>
    </row>
    <row r="397" customFormat="false" ht="14.25" hidden="false" customHeight="false" outlineLevel="0" collapsed="false">
      <c r="B397" s="7"/>
      <c r="AF397" s="12"/>
    </row>
    <row r="398" customFormat="false" ht="14.25" hidden="false" customHeight="false" outlineLevel="0" collapsed="false">
      <c r="B398" s="7"/>
      <c r="AF398" s="12"/>
    </row>
    <row r="399" customFormat="false" ht="14.25" hidden="false" customHeight="false" outlineLevel="0" collapsed="false">
      <c r="B399" s="7"/>
      <c r="AF399" s="12"/>
    </row>
    <row r="400" customFormat="false" ht="14.25" hidden="false" customHeight="false" outlineLevel="0" collapsed="false">
      <c r="B400" s="7"/>
      <c r="AF400" s="12"/>
    </row>
    <row r="401" customFormat="false" ht="14.25" hidden="false" customHeight="false" outlineLevel="0" collapsed="false">
      <c r="B401" s="7"/>
      <c r="AF401" s="12"/>
    </row>
    <row r="402" customFormat="false" ht="14.25" hidden="false" customHeight="false" outlineLevel="0" collapsed="false">
      <c r="B402" s="7"/>
      <c r="AF402" s="12"/>
    </row>
    <row r="403" customFormat="false" ht="14.25" hidden="false" customHeight="false" outlineLevel="0" collapsed="false">
      <c r="B403" s="7"/>
      <c r="AF403" s="12"/>
    </row>
    <row r="404" customFormat="false" ht="14.25" hidden="false" customHeight="false" outlineLevel="0" collapsed="false">
      <c r="B404" s="7"/>
      <c r="AF404" s="12"/>
    </row>
    <row r="405" customFormat="false" ht="14.25" hidden="false" customHeight="false" outlineLevel="0" collapsed="false">
      <c r="B405" s="7"/>
      <c r="AF405" s="12"/>
    </row>
    <row r="406" customFormat="false" ht="14.25" hidden="false" customHeight="false" outlineLevel="0" collapsed="false">
      <c r="B406" s="7"/>
      <c r="AF406" s="12"/>
    </row>
    <row r="407" customFormat="false" ht="14.25" hidden="false" customHeight="false" outlineLevel="0" collapsed="false">
      <c r="B407" s="7"/>
      <c r="C407" s="52" t="s">
        <v>302</v>
      </c>
      <c r="D407" s="52"/>
      <c r="E407" s="52"/>
      <c r="F407" s="52"/>
      <c r="G407" s="52"/>
      <c r="H407" s="52"/>
      <c r="I407" s="52"/>
      <c r="J407" s="52"/>
      <c r="K407" s="52"/>
      <c r="L407" s="52"/>
      <c r="M407" s="52"/>
      <c r="N407" s="52"/>
      <c r="O407" s="52"/>
      <c r="P407" s="52"/>
      <c r="Q407" s="52"/>
      <c r="R407" s="52"/>
      <c r="S407" s="52"/>
      <c r="T407" s="52"/>
      <c r="U407" s="52"/>
      <c r="V407" s="52"/>
      <c r="W407" s="52"/>
      <c r="X407" s="52"/>
      <c r="Y407" s="52"/>
      <c r="Z407" s="52"/>
      <c r="AA407" s="52"/>
      <c r="AB407" s="52"/>
      <c r="AC407" s="52"/>
      <c r="AD407" s="52"/>
      <c r="AE407" s="52"/>
      <c r="AF407" s="12"/>
    </row>
    <row r="408" customFormat="false" ht="14.25" hidden="false" customHeight="false" outlineLevel="0" collapsed="false">
      <c r="B408" s="7"/>
      <c r="AF408" s="12"/>
    </row>
    <row r="409" customFormat="false" ht="14.25" hidden="false" customHeight="false" outlineLevel="0" collapsed="false">
      <c r="B409" s="7"/>
      <c r="AF409" s="12"/>
    </row>
    <row r="410" customFormat="false" ht="14.25" hidden="false" customHeight="false" outlineLevel="0" collapsed="false">
      <c r="B410" s="7"/>
      <c r="AF410" s="12"/>
    </row>
    <row r="411" customFormat="false" ht="14.25" hidden="false" customHeight="false" outlineLevel="0" collapsed="false">
      <c r="B411" s="7"/>
      <c r="AF411" s="12"/>
    </row>
    <row r="412" customFormat="false" ht="14.25" hidden="false" customHeight="false" outlineLevel="0" collapsed="false">
      <c r="B412" s="7"/>
      <c r="AF412" s="12"/>
    </row>
    <row r="413" customFormat="false" ht="14.25" hidden="false" customHeight="false" outlineLevel="0" collapsed="false">
      <c r="B413" s="7"/>
      <c r="AF413" s="12"/>
    </row>
    <row r="414" customFormat="false" ht="14.25" hidden="false" customHeight="false" outlineLevel="0" collapsed="false">
      <c r="B414" s="7"/>
      <c r="AF414" s="12"/>
    </row>
    <row r="415" customFormat="false" ht="14.25" hidden="false" customHeight="false" outlineLevel="0" collapsed="false">
      <c r="B415" s="7"/>
      <c r="AF415" s="12"/>
    </row>
    <row r="416" customFormat="false" ht="14.25" hidden="false" customHeight="false" outlineLevel="0" collapsed="false">
      <c r="B416" s="7"/>
      <c r="AF416" s="12"/>
    </row>
    <row r="417" customFormat="false" ht="14.25" hidden="false" customHeight="false" outlineLevel="0" collapsed="false">
      <c r="B417" s="7"/>
      <c r="AF417" s="12"/>
    </row>
    <row r="418" customFormat="false" ht="14.25" hidden="false" customHeight="false" outlineLevel="0" collapsed="false">
      <c r="B418" s="7"/>
      <c r="AF418" s="12"/>
    </row>
    <row r="419" customFormat="false" ht="14.25" hidden="false" customHeight="false" outlineLevel="0" collapsed="false">
      <c r="B419" s="7"/>
      <c r="AF419" s="12"/>
    </row>
    <row r="420" customFormat="false" ht="14.25" hidden="false" customHeight="false" outlineLevel="0" collapsed="false">
      <c r="B420" s="7"/>
      <c r="AF420" s="12"/>
    </row>
    <row r="421" customFormat="false" ht="14.25" hidden="false" customHeight="false" outlineLevel="0" collapsed="false">
      <c r="B421" s="7"/>
      <c r="AF421" s="12"/>
    </row>
    <row r="422" customFormat="false" ht="14.25" hidden="false" customHeight="false" outlineLevel="0" collapsed="false">
      <c r="B422" s="7"/>
      <c r="AF422" s="12"/>
    </row>
    <row r="423" customFormat="false" ht="14.25" hidden="false" customHeight="false" outlineLevel="0" collapsed="false">
      <c r="B423" s="7"/>
      <c r="AF423" s="12"/>
    </row>
    <row r="424" customFormat="false" ht="14.25" hidden="false" customHeight="false" outlineLevel="0" collapsed="false">
      <c r="B424" s="7"/>
      <c r="AF424" s="12"/>
    </row>
    <row r="425" customFormat="false" ht="14.25" hidden="false" customHeight="false" outlineLevel="0" collapsed="false">
      <c r="B425" s="7"/>
      <c r="AF425" s="12"/>
    </row>
    <row r="426" customFormat="false" ht="14.25" hidden="false" customHeight="false" outlineLevel="0" collapsed="false">
      <c r="B426" s="7"/>
      <c r="AF426" s="12"/>
    </row>
    <row r="427" customFormat="false" ht="14.25" hidden="false" customHeight="false" outlineLevel="0" collapsed="false">
      <c r="B427" s="7"/>
      <c r="AF427" s="12"/>
    </row>
    <row r="428" customFormat="false" ht="14.25" hidden="false" customHeight="false" outlineLevel="0" collapsed="false">
      <c r="B428" s="7"/>
      <c r="AF428" s="12"/>
    </row>
    <row r="429" customFormat="false" ht="14.25" hidden="false" customHeight="false" outlineLevel="0" collapsed="false">
      <c r="B429" s="7"/>
      <c r="AF429" s="12"/>
    </row>
    <row r="430" customFormat="false" ht="14.25" hidden="false" customHeight="false" outlineLevel="0" collapsed="false">
      <c r="B430" s="7"/>
      <c r="AF430" s="12"/>
    </row>
    <row r="431" customFormat="false" ht="14.25" hidden="false" customHeight="false" outlineLevel="0" collapsed="false">
      <c r="B431" s="7"/>
      <c r="AF431" s="12"/>
    </row>
    <row r="432" customFormat="false" ht="14.25" hidden="false" customHeight="false" outlineLevel="0" collapsed="false">
      <c r="B432" s="7"/>
      <c r="AF432" s="12"/>
    </row>
    <row r="433" customFormat="false" ht="14.25" hidden="false" customHeight="true" outlineLevel="0" collapsed="false">
      <c r="B433" s="36"/>
      <c r="C433" s="37"/>
      <c r="D433" s="37"/>
      <c r="E433" s="37"/>
      <c r="F433" s="37"/>
      <c r="G433" s="37"/>
      <c r="H433" s="37"/>
      <c r="I433" s="37"/>
      <c r="J433" s="37"/>
      <c r="K433" s="37"/>
      <c r="L433" s="37"/>
      <c r="M433" s="37"/>
      <c r="N433" s="37"/>
      <c r="O433" s="37"/>
      <c r="P433" s="37"/>
      <c r="Q433" s="37"/>
      <c r="R433" s="37"/>
      <c r="S433" s="37"/>
      <c r="T433" s="37"/>
      <c r="U433" s="37"/>
      <c r="V433" s="37"/>
      <c r="W433" s="37"/>
      <c r="X433" s="38" t="s">
        <v>93</v>
      </c>
      <c r="Y433" s="38"/>
      <c r="Z433" s="38"/>
      <c r="AA433" s="38"/>
      <c r="AB433" s="38" t="n">
        <v>6</v>
      </c>
      <c r="AC433" s="38"/>
      <c r="AD433" s="38"/>
      <c r="AE433" s="38"/>
      <c r="AF433" s="39"/>
    </row>
    <row r="434" customFormat="false" ht="14.25" hidden="false" customHeight="true" outlineLevel="0" collapsed="false">
      <c r="B434" s="1"/>
      <c r="C434" s="2" t="s">
        <v>0</v>
      </c>
      <c r="D434" s="2"/>
      <c r="E434" s="2"/>
      <c r="F434" s="2"/>
      <c r="G434" s="2"/>
      <c r="H434" s="3" t="s">
        <v>1</v>
      </c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4" t="s">
        <v>2</v>
      </c>
      <c r="Y434" s="4"/>
      <c r="Z434" s="4"/>
      <c r="AA434" s="4"/>
      <c r="AB434" s="5" t="s">
        <v>3</v>
      </c>
      <c r="AC434" s="5"/>
      <c r="AD434" s="5"/>
      <c r="AE434" s="5"/>
      <c r="AF434" s="6"/>
    </row>
    <row r="435" customFormat="false" ht="14.25" hidden="false" customHeight="true" outlineLevel="0" collapsed="false">
      <c r="B435" s="7"/>
      <c r="C435" s="8" t="s">
        <v>4</v>
      </c>
      <c r="D435" s="8"/>
      <c r="E435" s="8"/>
      <c r="F435" s="8"/>
      <c r="G435" s="8"/>
      <c r="H435" s="9" t="s">
        <v>5</v>
      </c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10" t="s">
        <v>6</v>
      </c>
      <c r="Y435" s="10"/>
      <c r="Z435" s="10"/>
      <c r="AA435" s="10"/>
      <c r="AB435" s="11" t="n">
        <v>46301</v>
      </c>
      <c r="AC435" s="11"/>
      <c r="AD435" s="11"/>
      <c r="AE435" s="11"/>
      <c r="AF435" s="12"/>
    </row>
    <row r="436" customFormat="false" ht="14.25" hidden="false" customHeight="true" outlineLevel="0" collapsed="false">
      <c r="B436" s="7"/>
      <c r="C436" s="8" t="s">
        <v>7</v>
      </c>
      <c r="D436" s="8"/>
      <c r="E436" s="8"/>
      <c r="F436" s="8"/>
      <c r="G436" s="8"/>
      <c r="H436" s="9" t="s">
        <v>348</v>
      </c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10" t="s">
        <v>9</v>
      </c>
      <c r="Y436" s="10"/>
      <c r="Z436" s="10"/>
      <c r="AA436" s="10"/>
      <c r="AB436" s="11" t="s">
        <v>3</v>
      </c>
      <c r="AC436" s="11"/>
      <c r="AD436" s="11"/>
      <c r="AE436" s="11"/>
      <c r="AF436" s="12"/>
    </row>
    <row r="437" customFormat="false" ht="14.25" hidden="false" customHeight="true" outlineLevel="0" collapsed="false">
      <c r="B437" s="13"/>
      <c r="C437" s="14" t="s">
        <v>10</v>
      </c>
      <c r="D437" s="14"/>
      <c r="E437" s="14"/>
      <c r="F437" s="14"/>
      <c r="G437" s="14"/>
      <c r="H437" s="15" t="s">
        <v>134</v>
      </c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6" t="s">
        <v>12</v>
      </c>
      <c r="Y437" s="16"/>
      <c r="Z437" s="16"/>
      <c r="AA437" s="16"/>
      <c r="AB437" s="17" t="n">
        <v>46301</v>
      </c>
      <c r="AC437" s="17"/>
      <c r="AD437" s="17"/>
      <c r="AE437" s="17"/>
      <c r="AF437" s="18"/>
    </row>
    <row r="438" customFormat="false" ht="14.25" hidden="false" customHeight="false" outlineLevel="0" collapsed="false">
      <c r="B438" s="7"/>
      <c r="AF438" s="12"/>
    </row>
    <row r="439" customFormat="false" ht="14.25" hidden="false" customHeight="false" outlineLevel="0" collapsed="false">
      <c r="B439" s="7"/>
      <c r="C439" s="20" t="s">
        <v>352</v>
      </c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  <c r="AC439" s="20"/>
      <c r="AD439" s="20"/>
      <c r="AE439" s="20"/>
      <c r="AF439" s="12"/>
    </row>
    <row r="440" customFormat="false" ht="27" hidden="false" customHeight="true" outlineLevel="0" collapsed="false">
      <c r="B440" s="7"/>
      <c r="C440" s="28" t="s">
        <v>157</v>
      </c>
      <c r="D440" s="28"/>
      <c r="E440" s="28" t="s">
        <v>158</v>
      </c>
      <c r="F440" s="28"/>
      <c r="G440" s="28"/>
      <c r="H440" s="28" t="s">
        <v>160</v>
      </c>
      <c r="I440" s="28"/>
      <c r="J440" s="28"/>
      <c r="K440" s="28" t="s">
        <v>291</v>
      </c>
      <c r="L440" s="28"/>
      <c r="M440" s="28"/>
      <c r="N440" s="28" t="s">
        <v>292</v>
      </c>
      <c r="O440" s="28"/>
      <c r="P440" s="28"/>
      <c r="Q440" s="28" t="s">
        <v>304</v>
      </c>
      <c r="R440" s="28"/>
      <c r="S440" s="28"/>
      <c r="T440" s="28" t="s">
        <v>164</v>
      </c>
      <c r="U440" s="28"/>
      <c r="V440" s="28" t="s">
        <v>187</v>
      </c>
      <c r="W440" s="28"/>
      <c r="X440" s="28" t="s">
        <v>188</v>
      </c>
      <c r="Y440" s="28"/>
      <c r="Z440" s="28" t="s">
        <v>190</v>
      </c>
      <c r="AA440" s="28"/>
      <c r="AB440" s="28"/>
      <c r="AC440" s="28" t="s">
        <v>191</v>
      </c>
      <c r="AD440" s="28"/>
      <c r="AE440" s="28"/>
      <c r="AF440" s="12"/>
    </row>
    <row r="441" customFormat="false" ht="14.25" hidden="false" customHeight="true" outlineLevel="0" collapsed="false">
      <c r="B441" s="7"/>
      <c r="C441" s="29"/>
      <c r="D441" s="29"/>
      <c r="E441" s="29" t="s">
        <v>19</v>
      </c>
      <c r="F441" s="29"/>
      <c r="G441" s="29"/>
      <c r="H441" s="29"/>
      <c r="I441" s="29"/>
      <c r="J441" s="29"/>
      <c r="K441" s="29" t="s">
        <v>26</v>
      </c>
      <c r="L441" s="29"/>
      <c r="M441" s="29"/>
      <c r="N441" s="29" t="s">
        <v>26</v>
      </c>
      <c r="O441" s="29"/>
      <c r="P441" s="29"/>
      <c r="Q441" s="29" t="s">
        <v>26</v>
      </c>
      <c r="R441" s="29"/>
      <c r="S441" s="29"/>
      <c r="T441" s="29" t="s">
        <v>38</v>
      </c>
      <c r="U441" s="29"/>
      <c r="V441" s="29" t="s">
        <v>38</v>
      </c>
      <c r="W441" s="29"/>
      <c r="X441" s="29" t="s">
        <v>38</v>
      </c>
      <c r="Y441" s="29"/>
      <c r="Z441" s="29" t="s">
        <v>45</v>
      </c>
      <c r="AA441" s="29"/>
      <c r="AB441" s="29"/>
      <c r="AC441" s="29" t="s">
        <v>124</v>
      </c>
      <c r="AD441" s="29"/>
      <c r="AE441" s="29"/>
      <c r="AF441" s="12"/>
    </row>
    <row r="442" customFormat="false" ht="14.25" hidden="false" customHeight="false" outlineLevel="0" collapsed="false">
      <c r="B442" s="7"/>
      <c r="C442" s="46" t="n">
        <v>1</v>
      </c>
      <c r="D442" s="46"/>
      <c r="E442" s="44" t="n">
        <f aca="false">AI83</f>
        <v>0</v>
      </c>
      <c r="F442" s="44"/>
      <c r="G442" s="44"/>
      <c r="H442" s="41" t="str">
        <f aca="false">AM83</f>
        <v>Sand</v>
      </c>
      <c r="I442" s="41"/>
      <c r="J442" s="41"/>
      <c r="K442" s="42" t="n">
        <f aca="false">AQ83</f>
        <v>13.725</v>
      </c>
      <c r="L442" s="42"/>
      <c r="M442" s="42"/>
      <c r="N442" s="42" t="n">
        <f aca="false">BC83</f>
        <v>135.999510418892</v>
      </c>
      <c r="O442" s="42"/>
      <c r="P442" s="42"/>
      <c r="Q442" s="55" t="n">
        <f aca="false">BJ83</f>
        <v>0</v>
      </c>
      <c r="R442" s="55"/>
      <c r="S442" s="55"/>
      <c r="T442" s="44" t="n">
        <f aca="false">AU83</f>
        <v>0.65</v>
      </c>
      <c r="U442" s="44"/>
      <c r="V442" s="67" t="n">
        <f aca="false">BH83</f>
        <v>0</v>
      </c>
      <c r="W442" s="67"/>
      <c r="X442" s="67" t="n">
        <f aca="false">BI83</f>
        <v>0</v>
      </c>
      <c r="Y442" s="67"/>
      <c r="Z442" s="68" t="n">
        <f aca="false">BK83</f>
        <v>0</v>
      </c>
      <c r="AA442" s="68"/>
      <c r="AB442" s="68"/>
      <c r="AC442" s="69" t="n">
        <f aca="false">BM83</f>
        <v>0</v>
      </c>
      <c r="AD442" s="69"/>
      <c r="AE442" s="69"/>
      <c r="AF442" s="12"/>
    </row>
    <row r="443" customFormat="false" ht="14.25" hidden="false" customHeight="false" outlineLevel="0" collapsed="false">
      <c r="B443" s="7"/>
      <c r="C443" s="46" t="n">
        <v>2</v>
      </c>
      <c r="D443" s="46"/>
      <c r="E443" s="44" t="n">
        <f aca="false">AI84</f>
        <v>1.5</v>
      </c>
      <c r="F443" s="44"/>
      <c r="G443" s="44"/>
      <c r="H443" s="41" t="str">
        <f aca="false">AM84</f>
        <v>Sand</v>
      </c>
      <c r="I443" s="41"/>
      <c r="J443" s="41"/>
      <c r="K443" s="42" t="n">
        <f aca="false">AQ84</f>
        <v>41.175</v>
      </c>
      <c r="L443" s="42"/>
      <c r="M443" s="42"/>
      <c r="N443" s="42" t="n">
        <f aca="false">BC84</f>
        <v>135.986832457853</v>
      </c>
      <c r="O443" s="42"/>
      <c r="P443" s="42"/>
      <c r="Q443" s="55" t="n">
        <f aca="false">BJ84</f>
        <v>0</v>
      </c>
      <c r="R443" s="55"/>
      <c r="S443" s="55"/>
      <c r="T443" s="44" t="n">
        <f aca="false">AU84</f>
        <v>0.659</v>
      </c>
      <c r="U443" s="44"/>
      <c r="V443" s="67" t="n">
        <f aca="false">BH84</f>
        <v>0</v>
      </c>
      <c r="W443" s="67"/>
      <c r="X443" s="67" t="n">
        <f aca="false">BI84</f>
        <v>0</v>
      </c>
      <c r="Y443" s="67"/>
      <c r="Z443" s="68" t="n">
        <f aca="false">BK84</f>
        <v>0</v>
      </c>
      <c r="AA443" s="68"/>
      <c r="AB443" s="68"/>
      <c r="AC443" s="69" t="n">
        <f aca="false">BM84</f>
        <v>0</v>
      </c>
      <c r="AD443" s="69"/>
      <c r="AE443" s="69"/>
      <c r="AF443" s="12"/>
    </row>
    <row r="444" customFormat="false" ht="14.25" hidden="false" customHeight="false" outlineLevel="0" collapsed="false">
      <c r="B444" s="7"/>
      <c r="C444" s="46" t="n">
        <v>3</v>
      </c>
      <c r="D444" s="46"/>
      <c r="E444" s="44" t="n">
        <f aca="false">AI85</f>
        <v>3</v>
      </c>
      <c r="F444" s="44"/>
      <c r="G444" s="44"/>
      <c r="H444" s="41" t="str">
        <f aca="false">AM85</f>
        <v>Sand</v>
      </c>
      <c r="I444" s="41"/>
      <c r="J444" s="41"/>
      <c r="K444" s="42" t="n">
        <f aca="false">AQ85</f>
        <v>68.625</v>
      </c>
      <c r="L444" s="42"/>
      <c r="M444" s="42"/>
      <c r="N444" s="42" t="n">
        <f aca="false">BC85</f>
        <v>135.93950780949</v>
      </c>
      <c r="O444" s="42"/>
      <c r="P444" s="42"/>
      <c r="Q444" s="55" t="n">
        <f aca="false">BJ85</f>
        <v>0</v>
      </c>
      <c r="R444" s="55"/>
      <c r="S444" s="55"/>
      <c r="T444" s="44" t="n">
        <f aca="false">AU85</f>
        <v>0.65</v>
      </c>
      <c r="U444" s="44"/>
      <c r="V444" s="67" t="n">
        <f aca="false">BH85</f>
        <v>0</v>
      </c>
      <c r="W444" s="67"/>
      <c r="X444" s="67" t="n">
        <f aca="false">BI85</f>
        <v>0</v>
      </c>
      <c r="Y444" s="67"/>
      <c r="Z444" s="68" t="n">
        <f aca="false">BK85</f>
        <v>0</v>
      </c>
      <c r="AA444" s="68"/>
      <c r="AB444" s="68"/>
      <c r="AC444" s="69" t="n">
        <f aca="false">BM85</f>
        <v>0</v>
      </c>
      <c r="AD444" s="69"/>
      <c r="AE444" s="69"/>
      <c r="AF444" s="12"/>
    </row>
    <row r="445" customFormat="false" ht="14.25" hidden="false" customHeight="false" outlineLevel="0" collapsed="false">
      <c r="B445" s="7"/>
      <c r="C445" s="46" t="n">
        <v>4</v>
      </c>
      <c r="D445" s="46"/>
      <c r="E445" s="44" t="n">
        <f aca="false">AI86</f>
        <v>4.5</v>
      </c>
      <c r="F445" s="44"/>
      <c r="G445" s="44"/>
      <c r="H445" s="41" t="str">
        <f aca="false">AM86</f>
        <v>Sand</v>
      </c>
      <c r="I445" s="41"/>
      <c r="J445" s="41"/>
      <c r="K445" s="42" t="n">
        <f aca="false">AQ86</f>
        <v>96.075</v>
      </c>
      <c r="L445" s="42"/>
      <c r="M445" s="42"/>
      <c r="N445" s="42" t="n">
        <f aca="false">BC86</f>
        <v>135.835905210694</v>
      </c>
      <c r="O445" s="42"/>
      <c r="P445" s="42"/>
      <c r="Q445" s="55" t="n">
        <f aca="false">BJ86</f>
        <v>0</v>
      </c>
      <c r="R445" s="55"/>
      <c r="S445" s="55"/>
      <c r="T445" s="44" t="n">
        <f aca="false">AU86</f>
        <v>0.783</v>
      </c>
      <c r="U445" s="44"/>
      <c r="V445" s="67" t="n">
        <f aca="false">BH86</f>
        <v>0</v>
      </c>
      <c r="W445" s="67"/>
      <c r="X445" s="67" t="n">
        <f aca="false">BI86</f>
        <v>0</v>
      </c>
      <c r="Y445" s="67"/>
      <c r="Z445" s="68" t="n">
        <f aca="false">BK86</f>
        <v>0</v>
      </c>
      <c r="AA445" s="68"/>
      <c r="AB445" s="68"/>
      <c r="AC445" s="69" t="n">
        <f aca="false">BM86</f>
        <v>0</v>
      </c>
      <c r="AD445" s="69"/>
      <c r="AE445" s="69"/>
      <c r="AF445" s="12"/>
    </row>
    <row r="446" customFormat="false" ht="14.25" hidden="false" customHeight="false" outlineLevel="0" collapsed="false">
      <c r="B446" s="7"/>
      <c r="C446" s="46" t="n">
        <v>5</v>
      </c>
      <c r="D446" s="46"/>
      <c r="E446" s="44" t="n">
        <f aca="false">AI87</f>
        <v>6</v>
      </c>
      <c r="F446" s="44"/>
      <c r="G446" s="44"/>
      <c r="H446" s="41" t="str">
        <f aca="false">AM87</f>
        <v>Sand</v>
      </c>
      <c r="I446" s="41"/>
      <c r="J446" s="41"/>
      <c r="K446" s="42" t="n">
        <f aca="false">AQ87</f>
        <v>123.525</v>
      </c>
      <c r="L446" s="42"/>
      <c r="M446" s="42"/>
      <c r="N446" s="42" t="n">
        <f aca="false">BC87</f>
        <v>135.656483291149</v>
      </c>
      <c r="O446" s="42"/>
      <c r="P446" s="42"/>
      <c r="Q446" s="55" t="n">
        <f aca="false">BJ87</f>
        <v>0</v>
      </c>
      <c r="R446" s="55"/>
      <c r="S446" s="55"/>
      <c r="T446" s="44" t="n">
        <f aca="false">AU87</f>
        <v>0.43</v>
      </c>
      <c r="U446" s="44"/>
      <c r="V446" s="67" t="n">
        <f aca="false">BH87</f>
        <v>0</v>
      </c>
      <c r="W446" s="67"/>
      <c r="X446" s="67" t="n">
        <f aca="false">BI87</f>
        <v>0</v>
      </c>
      <c r="Y446" s="67"/>
      <c r="Z446" s="68" t="n">
        <f aca="false">BK87</f>
        <v>0</v>
      </c>
      <c r="AA446" s="68"/>
      <c r="AB446" s="68"/>
      <c r="AC446" s="69" t="n">
        <f aca="false">BM87</f>
        <v>0</v>
      </c>
      <c r="AD446" s="69"/>
      <c r="AE446" s="69"/>
      <c r="AF446" s="12"/>
    </row>
    <row r="447" customFormat="false" ht="14.25" hidden="false" customHeight="false" outlineLevel="0" collapsed="false">
      <c r="B447" s="7"/>
      <c r="C447" s="46" t="n">
        <v>6</v>
      </c>
      <c r="D447" s="46"/>
      <c r="E447" s="44" t="n">
        <f aca="false">AI88</f>
        <v>7.5</v>
      </c>
      <c r="F447" s="44"/>
      <c r="G447" s="44"/>
      <c r="H447" s="41" t="str">
        <f aca="false">AM88</f>
        <v>Sand</v>
      </c>
      <c r="I447" s="41"/>
      <c r="J447" s="41"/>
      <c r="K447" s="42" t="n">
        <f aca="false">AQ88</f>
        <v>138.4</v>
      </c>
      <c r="L447" s="42"/>
      <c r="M447" s="42"/>
      <c r="N447" s="42" t="n">
        <f aca="false">BC88</f>
        <v>135.384419937794</v>
      </c>
      <c r="O447" s="42"/>
      <c r="P447" s="42"/>
      <c r="Q447" s="55" t="n">
        <f aca="false">BJ88</f>
        <v>0</v>
      </c>
      <c r="R447" s="55"/>
      <c r="S447" s="55"/>
      <c r="T447" s="44" t="n">
        <f aca="false">AU88</f>
        <v>0.715</v>
      </c>
      <c r="U447" s="44"/>
      <c r="V447" s="67" t="n">
        <f aca="false">BH88</f>
        <v>0</v>
      </c>
      <c r="W447" s="67"/>
      <c r="X447" s="67" t="n">
        <f aca="false">BI88</f>
        <v>0</v>
      </c>
      <c r="Y447" s="67"/>
      <c r="Z447" s="68" t="n">
        <f aca="false">BK88</f>
        <v>0</v>
      </c>
      <c r="AA447" s="68"/>
      <c r="AB447" s="68"/>
      <c r="AC447" s="69" t="n">
        <f aca="false">BM88</f>
        <v>0</v>
      </c>
      <c r="AD447" s="69"/>
      <c r="AE447" s="69"/>
      <c r="AF447" s="12"/>
    </row>
    <row r="448" customFormat="false" ht="14.25" hidden="false" customHeight="false" outlineLevel="0" collapsed="false">
      <c r="B448" s="7"/>
      <c r="C448" s="46" t="n">
        <v>7</v>
      </c>
      <c r="D448" s="46"/>
      <c r="E448" s="44" t="n">
        <f aca="false">AI89</f>
        <v>9</v>
      </c>
      <c r="F448" s="44"/>
      <c r="G448" s="44"/>
      <c r="H448" s="41" t="str">
        <f aca="false">AM89</f>
        <v>Silt</v>
      </c>
      <c r="I448" s="41"/>
      <c r="J448" s="41"/>
      <c r="K448" s="42" t="n">
        <f aca="false">AQ89</f>
        <v>150.7</v>
      </c>
      <c r="L448" s="42"/>
      <c r="M448" s="42"/>
      <c r="N448" s="42" t="n">
        <f aca="false">BC89</f>
        <v>135.006063558054</v>
      </c>
      <c r="O448" s="42"/>
      <c r="P448" s="42"/>
      <c r="Q448" s="55" t="n">
        <f aca="false">BJ89</f>
        <v>795.454545454546</v>
      </c>
      <c r="R448" s="55"/>
      <c r="S448" s="55"/>
      <c r="T448" s="44" t="n">
        <f aca="false">AU89</f>
        <v>0.779</v>
      </c>
      <c r="U448" s="44"/>
      <c r="V448" s="67" t="n">
        <f aca="false">BH89</f>
        <v>0.142794</v>
      </c>
      <c r="W448" s="67"/>
      <c r="X448" s="67" t="n">
        <f aca="false">BI89</f>
        <v>0.0285588</v>
      </c>
      <c r="Y448" s="67"/>
      <c r="Z448" s="68" t="n">
        <f aca="false">BK89</f>
        <v>6.68955468279371</v>
      </c>
      <c r="AA448" s="68"/>
      <c r="AB448" s="68"/>
      <c r="AC448" s="69" t="n">
        <f aca="false">BM89</f>
        <v>0.0504185692541857</v>
      </c>
      <c r="AD448" s="69"/>
      <c r="AE448" s="69"/>
      <c r="AF448" s="12"/>
    </row>
    <row r="449" customFormat="false" ht="14.25" hidden="false" customHeight="false" outlineLevel="0" collapsed="false">
      <c r="B449" s="7"/>
      <c r="C449" s="46" t="n">
        <v>8</v>
      </c>
      <c r="D449" s="46"/>
      <c r="E449" s="44" t="n">
        <f aca="false">AI90</f>
        <v>10.5</v>
      </c>
      <c r="F449" s="44"/>
      <c r="G449" s="44"/>
      <c r="H449" s="41" t="str">
        <f aca="false">AM90</f>
        <v>Sand</v>
      </c>
      <c r="I449" s="41"/>
      <c r="J449" s="41"/>
      <c r="K449" s="42" t="n">
        <f aca="false">AQ90</f>
        <v>163</v>
      </c>
      <c r="L449" s="42"/>
      <c r="M449" s="42"/>
      <c r="N449" s="42" t="n">
        <f aca="false">BC90</f>
        <v>134.511190640081</v>
      </c>
      <c r="O449" s="42"/>
      <c r="P449" s="42"/>
      <c r="Q449" s="55" t="n">
        <f aca="false">BJ90</f>
        <v>0</v>
      </c>
      <c r="R449" s="55"/>
      <c r="S449" s="55"/>
      <c r="T449" s="44" t="n">
        <f aca="false">AU90</f>
        <v>0.441</v>
      </c>
      <c r="U449" s="44"/>
      <c r="V449" s="67" t="n">
        <f aca="false">BH90</f>
        <v>0</v>
      </c>
      <c r="W449" s="67"/>
      <c r="X449" s="67" t="n">
        <f aca="false">BI90</f>
        <v>0</v>
      </c>
      <c r="Y449" s="67"/>
      <c r="Z449" s="68" t="n">
        <f aca="false">BK90</f>
        <v>0</v>
      </c>
      <c r="AA449" s="68"/>
      <c r="AB449" s="68"/>
      <c r="AC449" s="69" t="n">
        <f aca="false">BM90</f>
        <v>0</v>
      </c>
      <c r="AD449" s="69"/>
      <c r="AE449" s="69"/>
      <c r="AF449" s="12"/>
    </row>
    <row r="450" customFormat="false" ht="14.25" hidden="false" customHeight="false" outlineLevel="0" collapsed="false">
      <c r="B450" s="7"/>
      <c r="C450" s="46" t="n">
        <v>9</v>
      </c>
      <c r="D450" s="46"/>
      <c r="E450" s="44" t="n">
        <f aca="false">AI91</f>
        <v>12</v>
      </c>
      <c r="F450" s="44"/>
      <c r="G450" s="44"/>
      <c r="H450" s="41" t="str">
        <f aca="false">AM91</f>
        <v>Sand</v>
      </c>
      <c r="I450" s="41"/>
      <c r="J450" s="41"/>
      <c r="K450" s="42" t="n">
        <f aca="false">AQ91</f>
        <v>175.3</v>
      </c>
      <c r="L450" s="42"/>
      <c r="M450" s="42"/>
      <c r="N450" s="42" t="n">
        <f aca="false">BC91</f>
        <v>133.893072357031</v>
      </c>
      <c r="O450" s="42"/>
      <c r="P450" s="42"/>
      <c r="Q450" s="55" t="n">
        <f aca="false">BJ91</f>
        <v>0</v>
      </c>
      <c r="R450" s="55"/>
      <c r="S450" s="55"/>
      <c r="T450" s="44" t="n">
        <f aca="false">AU91</f>
        <v>0.71</v>
      </c>
      <c r="U450" s="44"/>
      <c r="V450" s="67" t="n">
        <f aca="false">BH91</f>
        <v>0</v>
      </c>
      <c r="W450" s="67"/>
      <c r="X450" s="67" t="n">
        <f aca="false">BI91</f>
        <v>0</v>
      </c>
      <c r="Y450" s="67"/>
      <c r="Z450" s="68" t="n">
        <f aca="false">BK91</f>
        <v>0</v>
      </c>
      <c r="AA450" s="68"/>
      <c r="AB450" s="68"/>
      <c r="AC450" s="69" t="n">
        <f aca="false">BM91</f>
        <v>0</v>
      </c>
      <c r="AD450" s="69"/>
      <c r="AE450" s="69"/>
      <c r="AF450" s="12"/>
    </row>
    <row r="451" customFormat="false" ht="14.25" hidden="false" customHeight="false" outlineLevel="0" collapsed="false">
      <c r="B451" s="7"/>
      <c r="C451" s="46" t="n">
        <v>10</v>
      </c>
      <c r="D451" s="46"/>
      <c r="E451" s="44" t="n">
        <f aca="false">AI92</f>
        <v>13.5</v>
      </c>
      <c r="F451" s="44"/>
      <c r="G451" s="44"/>
      <c r="H451" s="41" t="str">
        <f aca="false">AM92</f>
        <v>Sand</v>
      </c>
      <c r="I451" s="41"/>
      <c r="J451" s="41"/>
      <c r="K451" s="42" t="n">
        <f aca="false">AQ92</f>
        <v>187.6</v>
      </c>
      <c r="L451" s="42"/>
      <c r="M451" s="42"/>
      <c r="N451" s="42" t="n">
        <f aca="false">BC92</f>
        <v>133.148368665013</v>
      </c>
      <c r="O451" s="42"/>
      <c r="P451" s="42"/>
      <c r="Q451" s="55" t="n">
        <f aca="false">BJ92</f>
        <v>0</v>
      </c>
      <c r="R451" s="55"/>
      <c r="S451" s="55"/>
      <c r="T451" s="44" t="n">
        <f aca="false">AU92</f>
        <v>0.546</v>
      </c>
      <c r="U451" s="44"/>
      <c r="V451" s="67" t="n">
        <f aca="false">BH92</f>
        <v>0</v>
      </c>
      <c r="W451" s="67"/>
      <c r="X451" s="67" t="n">
        <f aca="false">BI92</f>
        <v>0</v>
      </c>
      <c r="Y451" s="67"/>
      <c r="Z451" s="68" t="n">
        <f aca="false">BK92</f>
        <v>0</v>
      </c>
      <c r="AA451" s="68"/>
      <c r="AB451" s="68"/>
      <c r="AC451" s="69" t="n">
        <f aca="false">BM92</f>
        <v>0</v>
      </c>
      <c r="AD451" s="69"/>
      <c r="AE451" s="69"/>
      <c r="AF451" s="12"/>
    </row>
    <row r="452" customFormat="false" ht="14.25" hidden="false" customHeight="false" outlineLevel="0" collapsed="false">
      <c r="B452" s="7"/>
      <c r="C452" s="46" t="n">
        <v>11</v>
      </c>
      <c r="D452" s="46"/>
      <c r="E452" s="44" t="n">
        <f aca="false">AI93</f>
        <v>15</v>
      </c>
      <c r="F452" s="44"/>
      <c r="G452" s="44"/>
      <c r="H452" s="41" t="str">
        <f aca="false">AM93</f>
        <v>Sand</v>
      </c>
      <c r="I452" s="41"/>
      <c r="J452" s="41"/>
      <c r="K452" s="42" t="n">
        <f aca="false">AQ93</f>
        <v>199.9</v>
      </c>
      <c r="L452" s="42"/>
      <c r="M452" s="42"/>
      <c r="N452" s="42" t="n">
        <f aca="false">BC93</f>
        <v>132.27687978272</v>
      </c>
      <c r="O452" s="42"/>
      <c r="P452" s="42"/>
      <c r="Q452" s="55" t="n">
        <f aca="false">BJ93</f>
        <v>0</v>
      </c>
      <c r="R452" s="55"/>
      <c r="S452" s="55"/>
      <c r="T452" s="44" t="n">
        <f aca="false">AU93</f>
        <v>0.65</v>
      </c>
      <c r="U452" s="44"/>
      <c r="V452" s="67" t="n">
        <f aca="false">BH93</f>
        <v>0</v>
      </c>
      <c r="W452" s="67"/>
      <c r="X452" s="67" t="n">
        <f aca="false">BI93</f>
        <v>0</v>
      </c>
      <c r="Y452" s="67"/>
      <c r="Z452" s="68" t="n">
        <f aca="false">BK93</f>
        <v>0</v>
      </c>
      <c r="AA452" s="68"/>
      <c r="AB452" s="68"/>
      <c r="AC452" s="69" t="n">
        <f aca="false">BM93</f>
        <v>0</v>
      </c>
      <c r="AD452" s="69"/>
      <c r="AE452" s="69"/>
      <c r="AF452" s="12"/>
    </row>
    <row r="453" customFormat="false" ht="14.25" hidden="false" customHeight="false" outlineLevel="0" collapsed="false">
      <c r="B453" s="7"/>
      <c r="C453" s="46" t="n">
        <v>12</v>
      </c>
      <c r="D453" s="46"/>
      <c r="E453" s="44" t="n">
        <f aca="false">AI94</f>
        <v>16.5</v>
      </c>
      <c r="F453" s="44"/>
      <c r="G453" s="44"/>
      <c r="H453" s="41" t="str">
        <f aca="false">AM94</f>
        <v>Sand</v>
      </c>
      <c r="I453" s="41"/>
      <c r="J453" s="41"/>
      <c r="K453" s="42" t="n">
        <f aca="false">AQ94</f>
        <v>212.2</v>
      </c>
      <c r="L453" s="42"/>
      <c r="M453" s="42"/>
      <c r="N453" s="42" t="n">
        <f aca="false">BC94</f>
        <v>131.281191431882</v>
      </c>
      <c r="O453" s="42"/>
      <c r="P453" s="42"/>
      <c r="Q453" s="55" t="n">
        <f aca="false">BJ94</f>
        <v>0</v>
      </c>
      <c r="R453" s="55"/>
      <c r="S453" s="55"/>
      <c r="T453" s="44" t="n">
        <f aca="false">AU94</f>
        <v>0.757</v>
      </c>
      <c r="U453" s="44"/>
      <c r="V453" s="67" t="n">
        <f aca="false">BH94</f>
        <v>0</v>
      </c>
      <c r="W453" s="67"/>
      <c r="X453" s="67" t="n">
        <f aca="false">BI94</f>
        <v>0</v>
      </c>
      <c r="Y453" s="67"/>
      <c r="Z453" s="68" t="n">
        <f aca="false">BK94</f>
        <v>0</v>
      </c>
      <c r="AA453" s="68"/>
      <c r="AB453" s="68"/>
      <c r="AC453" s="69" t="n">
        <f aca="false">BM94</f>
        <v>0</v>
      </c>
      <c r="AD453" s="69"/>
      <c r="AE453" s="69"/>
      <c r="AF453" s="12"/>
    </row>
    <row r="454" customFormat="false" ht="14.25" hidden="false" customHeight="false" outlineLevel="0" collapsed="false">
      <c r="B454" s="7"/>
      <c r="C454" s="46" t="n">
        <v>13</v>
      </c>
      <c r="D454" s="46"/>
      <c r="E454" s="44" t="n">
        <f aca="false">AI95</f>
        <v>18</v>
      </c>
      <c r="F454" s="44"/>
      <c r="G454" s="44"/>
      <c r="H454" s="41" t="str">
        <f aca="false">AM95</f>
        <v>Sand</v>
      </c>
      <c r="I454" s="41"/>
      <c r="J454" s="41"/>
      <c r="K454" s="42" t="n">
        <f aca="false">AQ95</f>
        <v>224.5</v>
      </c>
      <c r="L454" s="42"/>
      <c r="M454" s="42"/>
      <c r="N454" s="42" t="n">
        <f aca="false">BC95</f>
        <v>130.166251943235</v>
      </c>
      <c r="O454" s="42"/>
      <c r="P454" s="42"/>
      <c r="Q454" s="55" t="n">
        <f aca="false">BJ95</f>
        <v>0</v>
      </c>
      <c r="R454" s="55"/>
      <c r="S454" s="55"/>
      <c r="T454" s="44" t="n">
        <f aca="false">AU95</f>
        <v>0.801</v>
      </c>
      <c r="U454" s="44"/>
      <c r="V454" s="67" t="n">
        <f aca="false">BH95</f>
        <v>0</v>
      </c>
      <c r="W454" s="67"/>
      <c r="X454" s="67" t="n">
        <f aca="false">BI95</f>
        <v>0</v>
      </c>
      <c r="Y454" s="67"/>
      <c r="Z454" s="68" t="n">
        <f aca="false">BK95</f>
        <v>0</v>
      </c>
      <c r="AA454" s="68"/>
      <c r="AB454" s="68"/>
      <c r="AC454" s="69" t="n">
        <f aca="false">BM95</f>
        <v>0</v>
      </c>
      <c r="AD454" s="69"/>
      <c r="AE454" s="69"/>
      <c r="AF454" s="12"/>
    </row>
    <row r="455" customFormat="false" ht="14.25" hidden="false" customHeight="false" outlineLevel="0" collapsed="false">
      <c r="B455" s="7"/>
      <c r="C455" s="46" t="n">
        <v>14</v>
      </c>
      <c r="D455" s="46"/>
      <c r="E455" s="44" t="n">
        <f aca="false">AI96</f>
        <v>19.5</v>
      </c>
      <c r="F455" s="44"/>
      <c r="G455" s="44"/>
      <c r="H455" s="41" t="str">
        <f aca="false">AM96</f>
        <v>Sand</v>
      </c>
      <c r="I455" s="41"/>
      <c r="J455" s="41"/>
      <c r="K455" s="42" t="n">
        <f aca="false">AQ96</f>
        <v>236.8</v>
      </c>
      <c r="L455" s="42"/>
      <c r="M455" s="42"/>
      <c r="N455" s="42" t="n">
        <f aca="false">BC96</f>
        <v>128.938917112008</v>
      </c>
      <c r="O455" s="42"/>
      <c r="P455" s="42"/>
      <c r="Q455" s="55" t="n">
        <f aca="false">BJ96</f>
        <v>0</v>
      </c>
      <c r="R455" s="55"/>
      <c r="S455" s="55"/>
      <c r="T455" s="44" t="n">
        <f aca="false">AU96</f>
        <v>0.673</v>
      </c>
      <c r="U455" s="44"/>
      <c r="V455" s="67" t="n">
        <f aca="false">BH96</f>
        <v>0</v>
      </c>
      <c r="W455" s="67"/>
      <c r="X455" s="67" t="n">
        <f aca="false">BI96</f>
        <v>0</v>
      </c>
      <c r="Y455" s="67"/>
      <c r="Z455" s="68" t="n">
        <f aca="false">BK96</f>
        <v>0</v>
      </c>
      <c r="AA455" s="68"/>
      <c r="AB455" s="68"/>
      <c r="AC455" s="69" t="n">
        <f aca="false">BM96</f>
        <v>0</v>
      </c>
      <c r="AD455" s="69"/>
      <c r="AE455" s="69"/>
      <c r="AF455" s="12"/>
    </row>
    <row r="456" customFormat="false" ht="14.25" hidden="false" customHeight="false" outlineLevel="0" collapsed="false">
      <c r="B456" s="7"/>
      <c r="C456" s="46" t="n">
        <v>15</v>
      </c>
      <c r="D456" s="46"/>
      <c r="E456" s="44" t="n">
        <f aca="false">AI97</f>
        <v>21</v>
      </c>
      <c r="F456" s="44"/>
      <c r="G456" s="44"/>
      <c r="H456" s="41" t="str">
        <f aca="false">AM97</f>
        <v>Sand</v>
      </c>
      <c r="I456" s="41"/>
      <c r="J456" s="41"/>
      <c r="K456" s="42" t="n">
        <f aca="false">AQ97</f>
        <v>249.1</v>
      </c>
      <c r="L456" s="42"/>
      <c r="M456" s="42"/>
      <c r="N456" s="42" t="n">
        <f aca="false">BC97</f>
        <v>127.607493683403</v>
      </c>
      <c r="O456" s="42"/>
      <c r="P456" s="42"/>
      <c r="Q456" s="55" t="n">
        <f aca="false">BJ97</f>
        <v>0</v>
      </c>
      <c r="R456" s="55"/>
      <c r="S456" s="55"/>
      <c r="T456" s="44" t="n">
        <f aca="false">AU97</f>
        <v>0.65</v>
      </c>
      <c r="U456" s="44"/>
      <c r="V456" s="67" t="n">
        <f aca="false">BH97</f>
        <v>0</v>
      </c>
      <c r="W456" s="67"/>
      <c r="X456" s="67" t="n">
        <f aca="false">BI97</f>
        <v>0</v>
      </c>
      <c r="Y456" s="67"/>
      <c r="Z456" s="68" t="n">
        <f aca="false">BK97</f>
        <v>0</v>
      </c>
      <c r="AA456" s="68"/>
      <c r="AB456" s="68"/>
      <c r="AC456" s="69" t="n">
        <f aca="false">BM97</f>
        <v>0</v>
      </c>
      <c r="AD456" s="69"/>
      <c r="AE456" s="69"/>
      <c r="AF456" s="12"/>
    </row>
    <row r="457" customFormat="false" ht="14.25" hidden="false" customHeight="false" outlineLevel="0" collapsed="false">
      <c r="B457" s="7"/>
      <c r="C457" s="46" t="n">
        <v>16</v>
      </c>
      <c r="D457" s="46"/>
      <c r="E457" s="44" t="n">
        <f aca="false">AI98</f>
        <v>22.5</v>
      </c>
      <c r="F457" s="44"/>
      <c r="G457" s="44"/>
      <c r="H457" s="41" t="str">
        <f aca="false">AM98</f>
        <v>Sand</v>
      </c>
      <c r="I457" s="41"/>
      <c r="J457" s="41"/>
      <c r="K457" s="42" t="n">
        <f aca="false">AQ98</f>
        <v>261.4</v>
      </c>
      <c r="L457" s="42"/>
      <c r="M457" s="42"/>
      <c r="N457" s="42" t="n">
        <f aca="false">BC98</f>
        <v>126.181305793762</v>
      </c>
      <c r="O457" s="42"/>
      <c r="P457" s="42"/>
      <c r="Q457" s="55" t="n">
        <f aca="false">BJ98</f>
        <v>0</v>
      </c>
      <c r="R457" s="55"/>
      <c r="S457" s="55"/>
      <c r="T457" s="44" t="n">
        <f aca="false">AU98</f>
        <v>0.65</v>
      </c>
      <c r="U457" s="44"/>
      <c r="V457" s="67" t="n">
        <f aca="false">BH98</f>
        <v>0</v>
      </c>
      <c r="W457" s="67"/>
      <c r="X457" s="67" t="n">
        <f aca="false">BI98</f>
        <v>0</v>
      </c>
      <c r="Y457" s="67"/>
      <c r="Z457" s="68" t="n">
        <f aca="false">BK98</f>
        <v>0</v>
      </c>
      <c r="AA457" s="68"/>
      <c r="AB457" s="68"/>
      <c r="AC457" s="69" t="n">
        <f aca="false">BM98</f>
        <v>0</v>
      </c>
      <c r="AD457" s="69"/>
      <c r="AE457" s="69"/>
      <c r="AF457" s="12"/>
    </row>
    <row r="458" customFormat="false" ht="14.25" hidden="false" customHeight="false" outlineLevel="0" collapsed="false">
      <c r="B458" s="7"/>
      <c r="C458" s="46" t="n">
        <v>17</v>
      </c>
      <c r="D458" s="46"/>
      <c r="E458" s="44" t="n">
        <f aca="false">AI99</f>
        <v>24</v>
      </c>
      <c r="F458" s="44"/>
      <c r="G458" s="44"/>
      <c r="H458" s="41" t="str">
        <f aca="false">AM99</f>
        <v>Sand</v>
      </c>
      <c r="I458" s="41"/>
      <c r="J458" s="41"/>
      <c r="K458" s="42" t="n">
        <f aca="false">AQ99</f>
        <v>273.7</v>
      </c>
      <c r="L458" s="42"/>
      <c r="M458" s="42"/>
      <c r="N458" s="42" t="n">
        <f aca="false">BC99</f>
        <v>124.670301678981</v>
      </c>
      <c r="O458" s="42"/>
      <c r="P458" s="42"/>
      <c r="Q458" s="55" t="n">
        <f aca="false">BJ99</f>
        <v>0</v>
      </c>
      <c r="R458" s="55"/>
      <c r="S458" s="55"/>
      <c r="T458" s="44" t="n">
        <f aca="false">AU99</f>
        <v>0.65</v>
      </c>
      <c r="U458" s="44"/>
      <c r="V458" s="67" t="n">
        <f aca="false">BH99</f>
        <v>0</v>
      </c>
      <c r="W458" s="67"/>
      <c r="X458" s="67" t="n">
        <f aca="false">BI99</f>
        <v>0</v>
      </c>
      <c r="Y458" s="67"/>
      <c r="Z458" s="68" t="n">
        <f aca="false">BK99</f>
        <v>0</v>
      </c>
      <c r="AA458" s="68"/>
      <c r="AB458" s="68"/>
      <c r="AC458" s="69" t="n">
        <f aca="false">BM99</f>
        <v>0</v>
      </c>
      <c r="AD458" s="69"/>
      <c r="AE458" s="69"/>
      <c r="AF458" s="12"/>
    </row>
    <row r="459" customFormat="false" ht="14.25" hidden="false" customHeight="false" outlineLevel="0" collapsed="false">
      <c r="B459" s="7"/>
      <c r="C459" s="46" t="n">
        <v>18</v>
      </c>
      <c r="D459" s="46"/>
      <c r="E459" s="44" t="n">
        <f aca="false">AI100</f>
        <v>25.5</v>
      </c>
      <c r="F459" s="44"/>
      <c r="G459" s="44"/>
      <c r="H459" s="41" t="str">
        <f aca="false">AM100</f>
        <v>Sand</v>
      </c>
      <c r="I459" s="41"/>
      <c r="J459" s="41"/>
      <c r="K459" s="42" t="n">
        <f aca="false">AQ100</f>
        <v>286</v>
      </c>
      <c r="L459" s="42"/>
      <c r="M459" s="42"/>
      <c r="N459" s="42" t="n">
        <f aca="false">BC100</f>
        <v>123.084711322374</v>
      </c>
      <c r="O459" s="42"/>
      <c r="P459" s="42"/>
      <c r="Q459" s="55" t="n">
        <f aca="false">BJ100</f>
        <v>0</v>
      </c>
      <c r="R459" s="55"/>
      <c r="S459" s="55"/>
      <c r="T459" s="44" t="n">
        <f aca="false">AU100</f>
        <v>0.73</v>
      </c>
      <c r="U459" s="44"/>
      <c r="V459" s="67" t="n">
        <f aca="false">BH100</f>
        <v>0</v>
      </c>
      <c r="W459" s="67"/>
      <c r="X459" s="67" t="n">
        <f aca="false">BI100</f>
        <v>0</v>
      </c>
      <c r="Y459" s="67"/>
      <c r="Z459" s="68" t="n">
        <f aca="false">BK100</f>
        <v>0</v>
      </c>
      <c r="AA459" s="68"/>
      <c r="AB459" s="68"/>
      <c r="AC459" s="69" t="n">
        <f aca="false">BM100</f>
        <v>0</v>
      </c>
      <c r="AD459" s="69"/>
      <c r="AE459" s="69"/>
      <c r="AF459" s="12"/>
    </row>
    <row r="460" customFormat="false" ht="14.25" hidden="false" customHeight="false" outlineLevel="0" collapsed="false">
      <c r="B460" s="7"/>
      <c r="C460" s="46" t="n">
        <v>19</v>
      </c>
      <c r="D460" s="46"/>
      <c r="E460" s="44" t="n">
        <f aca="false">AI101</f>
        <v>27</v>
      </c>
      <c r="F460" s="44"/>
      <c r="G460" s="44"/>
      <c r="H460" s="41" t="str">
        <f aca="false">AM101</f>
        <v>Sand</v>
      </c>
      <c r="I460" s="41"/>
      <c r="J460" s="41"/>
      <c r="K460" s="42" t="n">
        <f aca="false">AQ101</f>
        <v>298.3</v>
      </c>
      <c r="L460" s="42"/>
      <c r="M460" s="42"/>
      <c r="N460" s="42" t="n">
        <f aca="false">BC101</f>
        <v>121.434759989289</v>
      </c>
      <c r="O460" s="42"/>
      <c r="P460" s="42"/>
      <c r="Q460" s="55" t="n">
        <f aca="false">BJ101</f>
        <v>0</v>
      </c>
      <c r="R460" s="55"/>
      <c r="S460" s="55"/>
      <c r="T460" s="44" t="n">
        <f aca="false">AU101</f>
        <v>0.65</v>
      </c>
      <c r="U460" s="44"/>
      <c r="V460" s="67" t="n">
        <f aca="false">BH101</f>
        <v>0</v>
      </c>
      <c r="W460" s="67"/>
      <c r="X460" s="67" t="n">
        <f aca="false">BI101</f>
        <v>0</v>
      </c>
      <c r="Y460" s="67"/>
      <c r="Z460" s="68" t="n">
        <f aca="false">BK101</f>
        <v>0</v>
      </c>
      <c r="AA460" s="68"/>
      <c r="AB460" s="68"/>
      <c r="AC460" s="69" t="n">
        <f aca="false">BM101</f>
        <v>0</v>
      </c>
      <c r="AD460" s="69"/>
      <c r="AE460" s="69"/>
      <c r="AF460" s="12"/>
    </row>
    <row r="461" customFormat="false" ht="14.25" hidden="false" customHeight="false" outlineLevel="0" collapsed="false">
      <c r="B461" s="7"/>
      <c r="C461" s="46" t="n">
        <v>20</v>
      </c>
      <c r="D461" s="46"/>
      <c r="E461" s="44" t="n">
        <f aca="false">AI102</f>
        <v>28.5</v>
      </c>
      <c r="F461" s="44"/>
      <c r="G461" s="44"/>
      <c r="H461" s="41" t="str">
        <f aca="false">AM102</f>
        <v>Sand</v>
      </c>
      <c r="I461" s="41"/>
      <c r="J461" s="41"/>
      <c r="K461" s="42" t="n">
        <f aca="false">AQ102</f>
        <v>310.6</v>
      </c>
      <c r="L461" s="42"/>
      <c r="M461" s="42"/>
      <c r="N461" s="42" t="n">
        <f aca="false">BC102</f>
        <v>119.73043805321</v>
      </c>
      <c r="O461" s="42"/>
      <c r="P461" s="42"/>
      <c r="Q461" s="55" t="n">
        <f aca="false">BJ102</f>
        <v>0</v>
      </c>
      <c r="R461" s="55"/>
      <c r="S461" s="55"/>
      <c r="T461" s="44" t="n">
        <f aca="false">AU102</f>
        <v>0.65</v>
      </c>
      <c r="U461" s="44"/>
      <c r="V461" s="67" t="n">
        <f aca="false">BH102</f>
        <v>0</v>
      </c>
      <c r="W461" s="67"/>
      <c r="X461" s="67" t="n">
        <f aca="false">BI102</f>
        <v>0</v>
      </c>
      <c r="Y461" s="67"/>
      <c r="Z461" s="68" t="n">
        <f aca="false">BK102</f>
        <v>0</v>
      </c>
      <c r="AA461" s="68"/>
      <c r="AB461" s="68"/>
      <c r="AC461" s="69" t="n">
        <f aca="false">BM102</f>
        <v>0</v>
      </c>
      <c r="AD461" s="69"/>
      <c r="AE461" s="69"/>
      <c r="AF461" s="12"/>
    </row>
    <row r="462" customFormat="false" ht="14.25" hidden="false" customHeight="false" outlineLevel="0" collapsed="false">
      <c r="B462" s="7"/>
      <c r="C462" s="46" t="n">
        <v>21</v>
      </c>
      <c r="D462" s="46"/>
      <c r="E462" s="44" t="n">
        <f aca="false">AI103</f>
        <v>30</v>
      </c>
      <c r="F462" s="44"/>
      <c r="G462" s="44"/>
      <c r="H462" s="41" t="str">
        <f aca="false">AM103</f>
        <v>Sand</v>
      </c>
      <c r="I462" s="41"/>
      <c r="J462" s="41"/>
      <c r="K462" s="42" t="n">
        <f aca="false">AQ103</f>
        <v>322.9</v>
      </c>
      <c r="L462" s="42"/>
      <c r="M462" s="42"/>
      <c r="N462" s="42" t="n">
        <f aca="false">BC103</f>
        <v>117.981324211207</v>
      </c>
      <c r="O462" s="42"/>
      <c r="P462" s="42"/>
      <c r="Q462" s="55" t="n">
        <f aca="false">BJ103</f>
        <v>0</v>
      </c>
      <c r="R462" s="55"/>
      <c r="S462" s="55"/>
      <c r="T462" s="44" t="n">
        <f aca="false">AU103</f>
        <v>0.65</v>
      </c>
      <c r="U462" s="44"/>
      <c r="V462" s="67" t="n">
        <f aca="false">BH103</f>
        <v>0</v>
      </c>
      <c r="W462" s="67"/>
      <c r="X462" s="67" t="n">
        <f aca="false">BI103</f>
        <v>0</v>
      </c>
      <c r="Y462" s="67"/>
      <c r="Z462" s="68" t="n">
        <f aca="false">BK103</f>
        <v>0</v>
      </c>
      <c r="AA462" s="68"/>
      <c r="AB462" s="68"/>
      <c r="AC462" s="69" t="n">
        <f aca="false">BM103</f>
        <v>0</v>
      </c>
      <c r="AD462" s="69"/>
      <c r="AE462" s="69"/>
      <c r="AF462" s="12"/>
    </row>
    <row r="463" customFormat="false" ht="14.25" hidden="false" customHeight="false" outlineLevel="0" collapsed="false">
      <c r="B463" s="7"/>
      <c r="C463" s="46" t="n">
        <v>22</v>
      </c>
      <c r="D463" s="46"/>
      <c r="E463" s="44" t="n">
        <f aca="false">AI104</f>
        <v>31.5</v>
      </c>
      <c r="F463" s="44"/>
      <c r="G463" s="44"/>
      <c r="H463" s="41" t="str">
        <f aca="false">AM104</f>
        <v>Sand</v>
      </c>
      <c r="I463" s="41"/>
      <c r="J463" s="41"/>
      <c r="K463" s="42" t="n">
        <f aca="false">AQ104</f>
        <v>335.2</v>
      </c>
      <c r="L463" s="42"/>
      <c r="M463" s="42"/>
      <c r="N463" s="42" t="n">
        <f aca="false">BC104</f>
        <v>116.196457021307</v>
      </c>
      <c r="O463" s="42"/>
      <c r="P463" s="42"/>
      <c r="Q463" s="55" t="n">
        <f aca="false">BJ104</f>
        <v>0</v>
      </c>
      <c r="R463" s="55"/>
      <c r="S463" s="55"/>
      <c r="T463" s="44" t="n">
        <f aca="false">AU104</f>
        <v>0.65</v>
      </c>
      <c r="U463" s="44"/>
      <c r="V463" s="67" t="n">
        <f aca="false">BH104</f>
        <v>0</v>
      </c>
      <c r="W463" s="67"/>
      <c r="X463" s="67" t="n">
        <f aca="false">BI104</f>
        <v>0</v>
      </c>
      <c r="Y463" s="67"/>
      <c r="Z463" s="68" t="n">
        <f aca="false">BK104</f>
        <v>0</v>
      </c>
      <c r="AA463" s="68"/>
      <c r="AB463" s="68"/>
      <c r="AC463" s="69" t="n">
        <f aca="false">BM104</f>
        <v>0</v>
      </c>
      <c r="AD463" s="69"/>
      <c r="AE463" s="69"/>
      <c r="AF463" s="12"/>
    </row>
    <row r="464" customFormat="false" ht="14.25" hidden="false" customHeight="false" outlineLevel="0" collapsed="false">
      <c r="B464" s="7"/>
      <c r="C464" s="46" t="n">
        <v>23</v>
      </c>
      <c r="D464" s="46"/>
      <c r="E464" s="44" t="n">
        <f aca="false">AI105</f>
        <v>33</v>
      </c>
      <c r="F464" s="44"/>
      <c r="G464" s="44"/>
      <c r="H464" s="41" t="str">
        <f aca="false">AM105</f>
        <v>Sand</v>
      </c>
      <c r="I464" s="41"/>
      <c r="J464" s="41"/>
      <c r="K464" s="42" t="n">
        <f aca="false">AQ105</f>
        <v>347.5</v>
      </c>
      <c r="L464" s="42"/>
      <c r="M464" s="42"/>
      <c r="N464" s="42" t="n">
        <f aca="false">BC105</f>
        <v>114.384248493289</v>
      </c>
      <c r="O464" s="42"/>
      <c r="P464" s="42"/>
      <c r="Q464" s="55" t="n">
        <f aca="false">BJ105</f>
        <v>0</v>
      </c>
      <c r="R464" s="55"/>
      <c r="S464" s="55"/>
      <c r="T464" s="44" t="n">
        <f aca="false">AU105</f>
        <v>0.65</v>
      </c>
      <c r="U464" s="44"/>
      <c r="V464" s="67" t="n">
        <f aca="false">BH105</f>
        <v>0</v>
      </c>
      <c r="W464" s="67"/>
      <c r="X464" s="67" t="n">
        <f aca="false">BI105</f>
        <v>0</v>
      </c>
      <c r="Y464" s="67"/>
      <c r="Z464" s="68" t="n">
        <f aca="false">BK105</f>
        <v>0</v>
      </c>
      <c r="AA464" s="68"/>
      <c r="AB464" s="68"/>
      <c r="AC464" s="69" t="n">
        <f aca="false">BM105</f>
        <v>0</v>
      </c>
      <c r="AD464" s="69"/>
      <c r="AE464" s="69"/>
      <c r="AF464" s="12"/>
    </row>
    <row r="465" customFormat="false" ht="14.25" hidden="false" customHeight="false" outlineLevel="0" collapsed="false">
      <c r="B465" s="7"/>
      <c r="C465" s="46" t="n">
        <v>24</v>
      </c>
      <c r="D465" s="46"/>
      <c r="E465" s="44" t="n">
        <f aca="false">AI106</f>
        <v>34.5</v>
      </c>
      <c r="F465" s="44"/>
      <c r="G465" s="44"/>
      <c r="H465" s="41" t="str">
        <f aca="false">AM106</f>
        <v>Sand</v>
      </c>
      <c r="I465" s="41"/>
      <c r="J465" s="41"/>
      <c r="K465" s="42" t="n">
        <f aca="false">AQ106</f>
        <v>359.8</v>
      </c>
      <c r="L465" s="42"/>
      <c r="M465" s="42"/>
      <c r="N465" s="42" t="n">
        <f aca="false">BC106</f>
        <v>112.552433017023</v>
      </c>
      <c r="O465" s="42"/>
      <c r="P465" s="42"/>
      <c r="Q465" s="55" t="n">
        <f aca="false">BJ106</f>
        <v>0</v>
      </c>
      <c r="R465" s="55"/>
      <c r="S465" s="55"/>
      <c r="T465" s="44" t="n">
        <f aca="false">AU106</f>
        <v>0.65</v>
      </c>
      <c r="U465" s="44"/>
      <c r="V465" s="67" t="n">
        <f aca="false">BH106</f>
        <v>0</v>
      </c>
      <c r="W465" s="67"/>
      <c r="X465" s="67" t="n">
        <f aca="false">BI106</f>
        <v>0</v>
      </c>
      <c r="Y465" s="67"/>
      <c r="Z465" s="68" t="n">
        <f aca="false">BK106</f>
        <v>0</v>
      </c>
      <c r="AA465" s="68"/>
      <c r="AB465" s="68"/>
      <c r="AC465" s="69" t="n">
        <f aca="false">BM106</f>
        <v>0</v>
      </c>
      <c r="AD465" s="69"/>
      <c r="AE465" s="69"/>
      <c r="AF465" s="12"/>
    </row>
    <row r="466" customFormat="false" ht="14.25" hidden="false" customHeight="false" outlineLevel="0" collapsed="false">
      <c r="B466" s="7"/>
      <c r="C466" s="46" t="n">
        <v>25</v>
      </c>
      <c r="D466" s="46"/>
      <c r="E466" s="44" t="n">
        <f aca="false">AI107</f>
        <v>36</v>
      </c>
      <c r="F466" s="44"/>
      <c r="G466" s="44"/>
      <c r="H466" s="41" t="str">
        <f aca="false">AM107</f>
        <v>Sand</v>
      </c>
      <c r="I466" s="41"/>
      <c r="J466" s="41"/>
      <c r="K466" s="42" t="n">
        <f aca="false">AQ107</f>
        <v>372.1</v>
      </c>
      <c r="L466" s="42"/>
      <c r="M466" s="42"/>
      <c r="N466" s="42" t="n">
        <f aca="false">BC107</f>
        <v>110.708045010863</v>
      </c>
      <c r="O466" s="42"/>
      <c r="P466" s="42"/>
      <c r="Q466" s="55" t="n">
        <f aca="false">BJ107</f>
        <v>0</v>
      </c>
      <c r="R466" s="55"/>
      <c r="S466" s="55"/>
      <c r="T466" s="44" t="n">
        <f aca="false">AU107</f>
        <v>0.65</v>
      </c>
      <c r="U466" s="44"/>
      <c r="V466" s="67" t="n">
        <f aca="false">BH107</f>
        <v>0</v>
      </c>
      <c r="W466" s="67"/>
      <c r="X466" s="67" t="n">
        <f aca="false">BI107</f>
        <v>0</v>
      </c>
      <c r="Y466" s="67"/>
      <c r="Z466" s="68" t="n">
        <f aca="false">BK107</f>
        <v>0</v>
      </c>
      <c r="AA466" s="68"/>
      <c r="AB466" s="68"/>
      <c r="AC466" s="69" t="n">
        <f aca="false">BM107</f>
        <v>0</v>
      </c>
      <c r="AD466" s="69"/>
      <c r="AE466" s="69"/>
      <c r="AF466" s="12"/>
    </row>
    <row r="467" customFormat="false" ht="14.25" hidden="false" customHeight="false" outlineLevel="0" collapsed="false">
      <c r="B467" s="7"/>
      <c r="C467" s="46" t="n">
        <v>26</v>
      </c>
      <c r="D467" s="46"/>
      <c r="E467" s="44" t="n">
        <f aca="false">AI108</f>
        <v>37.5</v>
      </c>
      <c r="F467" s="44"/>
      <c r="G467" s="44"/>
      <c r="H467" s="41" t="str">
        <f aca="false">AM108</f>
        <v>Sand</v>
      </c>
      <c r="I467" s="41"/>
      <c r="J467" s="41"/>
      <c r="K467" s="42" t="n">
        <f aca="false">AQ108</f>
        <v>384.4</v>
      </c>
      <c r="L467" s="42"/>
      <c r="M467" s="42"/>
      <c r="N467" s="42" t="n">
        <f aca="false">BC108</f>
        <v>108.857419132691</v>
      </c>
      <c r="O467" s="42"/>
      <c r="P467" s="42"/>
      <c r="Q467" s="55" t="n">
        <f aca="false">BJ108</f>
        <v>0</v>
      </c>
      <c r="R467" s="55"/>
      <c r="S467" s="55"/>
      <c r="T467" s="44" t="n">
        <f aca="false">AU108</f>
        <v>0.65</v>
      </c>
      <c r="U467" s="44"/>
      <c r="V467" s="67" t="n">
        <f aca="false">BH108</f>
        <v>0</v>
      </c>
      <c r="W467" s="67"/>
      <c r="X467" s="67" t="n">
        <f aca="false">BI108</f>
        <v>0</v>
      </c>
      <c r="Y467" s="67"/>
      <c r="Z467" s="68" t="n">
        <f aca="false">BK108</f>
        <v>0</v>
      </c>
      <c r="AA467" s="68"/>
      <c r="AB467" s="68"/>
      <c r="AC467" s="69" t="n">
        <f aca="false">BM108</f>
        <v>0</v>
      </c>
      <c r="AD467" s="69"/>
      <c r="AE467" s="69"/>
      <c r="AF467" s="12"/>
    </row>
    <row r="468" customFormat="false" ht="14.25" hidden="false" customHeight="false" outlineLevel="0" collapsed="false">
      <c r="B468" s="7"/>
      <c r="C468" s="46" t="n">
        <v>27</v>
      </c>
      <c r="D468" s="46"/>
      <c r="E468" s="44" t="n">
        <f aca="false">AI109</f>
        <v>39</v>
      </c>
      <c r="F468" s="44"/>
      <c r="G468" s="44"/>
      <c r="H468" s="41" t="str">
        <f aca="false">AM109</f>
        <v>Sand</v>
      </c>
      <c r="I468" s="41"/>
      <c r="J468" s="41"/>
      <c r="K468" s="42" t="n">
        <f aca="false">AQ109</f>
        <v>396.7</v>
      </c>
      <c r="L468" s="42"/>
      <c r="M468" s="42"/>
      <c r="N468" s="42" t="n">
        <f aca="false">BC109</f>
        <v>107.006207567439</v>
      </c>
      <c r="O468" s="42"/>
      <c r="P468" s="42"/>
      <c r="Q468" s="55" t="n">
        <f aca="false">BJ109</f>
        <v>0</v>
      </c>
      <c r="R468" s="55"/>
      <c r="S468" s="55"/>
      <c r="T468" s="44" t="n">
        <f aca="false">AU109</f>
        <v>0.65</v>
      </c>
      <c r="U468" s="44"/>
      <c r="V468" s="67" t="n">
        <f aca="false">BH109</f>
        <v>0</v>
      </c>
      <c r="W468" s="67"/>
      <c r="X468" s="67" t="n">
        <f aca="false">BI109</f>
        <v>0</v>
      </c>
      <c r="Y468" s="67"/>
      <c r="Z468" s="68" t="n">
        <f aca="false">BK109</f>
        <v>0</v>
      </c>
      <c r="AA468" s="68"/>
      <c r="AB468" s="68"/>
      <c r="AC468" s="69" t="n">
        <f aca="false">BM109</f>
        <v>0</v>
      </c>
      <c r="AD468" s="69"/>
      <c r="AE468" s="69"/>
      <c r="AF468" s="12"/>
    </row>
    <row r="469" customFormat="false" ht="14.25" hidden="false" customHeight="false" outlineLevel="0" collapsed="false">
      <c r="B469" s="7"/>
      <c r="C469" s="46" t="n">
        <v>28</v>
      </c>
      <c r="D469" s="46"/>
      <c r="E469" s="44" t="n">
        <f aca="false">AI110</f>
        <v>40.5</v>
      </c>
      <c r="F469" s="44"/>
      <c r="G469" s="44"/>
      <c r="H469" s="41" t="str">
        <f aca="false">AM110</f>
        <v>Sand</v>
      </c>
      <c r="I469" s="41"/>
      <c r="J469" s="41"/>
      <c r="K469" s="42" t="n">
        <f aca="false">AQ110</f>
        <v>409</v>
      </c>
      <c r="L469" s="42"/>
      <c r="M469" s="42"/>
      <c r="N469" s="42" t="n">
        <f aca="false">BC110</f>
        <v>105.159409672716</v>
      </c>
      <c r="O469" s="42"/>
      <c r="P469" s="42"/>
      <c r="Q469" s="55" t="n">
        <f aca="false">BJ110</f>
        <v>0</v>
      </c>
      <c r="R469" s="55"/>
      <c r="S469" s="55"/>
      <c r="T469" s="44" t="n">
        <f aca="false">AU110</f>
        <v>0.65</v>
      </c>
      <c r="U469" s="44"/>
      <c r="V469" s="67" t="n">
        <f aca="false">BH110</f>
        <v>0</v>
      </c>
      <c r="W469" s="67"/>
      <c r="X469" s="67" t="n">
        <f aca="false">BI110</f>
        <v>0</v>
      </c>
      <c r="Y469" s="67"/>
      <c r="Z469" s="68" t="n">
        <f aca="false">BK110</f>
        <v>0</v>
      </c>
      <c r="AA469" s="68"/>
      <c r="AB469" s="68"/>
      <c r="AC469" s="69" t="n">
        <f aca="false">BM110</f>
        <v>0</v>
      </c>
      <c r="AD469" s="69"/>
      <c r="AE469" s="69"/>
      <c r="AF469" s="12"/>
    </row>
    <row r="470" customFormat="false" ht="14.25" hidden="false" customHeight="false" outlineLevel="0" collapsed="false">
      <c r="B470" s="7"/>
      <c r="C470" s="46" t="n">
        <v>29</v>
      </c>
      <c r="D470" s="46"/>
      <c r="E470" s="44" t="n">
        <f aca="false">AI111</f>
        <v>42</v>
      </c>
      <c r="F470" s="44"/>
      <c r="G470" s="44"/>
      <c r="H470" s="41" t="str">
        <f aca="false">AM111</f>
        <v>Sand</v>
      </c>
      <c r="I470" s="41"/>
      <c r="J470" s="41"/>
      <c r="K470" s="42" t="n">
        <f aca="false">AQ111</f>
        <v>421.3</v>
      </c>
      <c r="L470" s="42"/>
      <c r="M470" s="42"/>
      <c r="N470" s="42" t="n">
        <f aca="false">BC111</f>
        <v>103.321410046931</v>
      </c>
      <c r="O470" s="42"/>
      <c r="P470" s="42"/>
      <c r="Q470" s="55" t="n">
        <f aca="false">BJ111</f>
        <v>0</v>
      </c>
      <c r="R470" s="55"/>
      <c r="S470" s="55"/>
      <c r="T470" s="44" t="n">
        <f aca="false">AU111</f>
        <v>0.65</v>
      </c>
      <c r="U470" s="44"/>
      <c r="V470" s="67" t="n">
        <f aca="false">BH111</f>
        <v>0</v>
      </c>
      <c r="W470" s="67"/>
      <c r="X470" s="67" t="n">
        <f aca="false">BI111</f>
        <v>0</v>
      </c>
      <c r="Y470" s="67"/>
      <c r="Z470" s="68" t="n">
        <f aca="false">BK111</f>
        <v>0</v>
      </c>
      <c r="AA470" s="68"/>
      <c r="AB470" s="68"/>
      <c r="AC470" s="69" t="n">
        <f aca="false">BM111</f>
        <v>0</v>
      </c>
      <c r="AD470" s="69"/>
      <c r="AE470" s="69"/>
      <c r="AF470" s="12"/>
    </row>
    <row r="471" customFormat="false" ht="14.25" hidden="false" customHeight="false" outlineLevel="0" collapsed="false">
      <c r="B471" s="7"/>
      <c r="C471" s="46" t="n">
        <v>30</v>
      </c>
      <c r="D471" s="46"/>
      <c r="E471" s="44" t="n">
        <f aca="false">AI112</f>
        <v>43.5</v>
      </c>
      <c r="F471" s="44"/>
      <c r="G471" s="44"/>
      <c r="H471" s="41" t="str">
        <f aca="false">AM112</f>
        <v>Sand</v>
      </c>
      <c r="I471" s="41"/>
      <c r="J471" s="41"/>
      <c r="K471" s="42" t="n">
        <f aca="false">AQ112</f>
        <v>433.6</v>
      </c>
      <c r="L471" s="42"/>
      <c r="M471" s="42"/>
      <c r="N471" s="42" t="n">
        <f aca="false">BC112</f>
        <v>101.496021828265</v>
      </c>
      <c r="O471" s="42"/>
      <c r="P471" s="42"/>
      <c r="Q471" s="55" t="n">
        <f aca="false">BJ112</f>
        <v>0</v>
      </c>
      <c r="R471" s="55"/>
      <c r="S471" s="55"/>
      <c r="T471" s="44" t="n">
        <f aca="false">AU112</f>
        <v>0.65</v>
      </c>
      <c r="U471" s="44"/>
      <c r="V471" s="67" t="n">
        <f aca="false">BH112</f>
        <v>0</v>
      </c>
      <c r="W471" s="67"/>
      <c r="X471" s="67" t="n">
        <f aca="false">BI112</f>
        <v>0</v>
      </c>
      <c r="Y471" s="67"/>
      <c r="Z471" s="68" t="n">
        <f aca="false">BK112</f>
        <v>0</v>
      </c>
      <c r="AA471" s="68"/>
      <c r="AB471" s="68"/>
      <c r="AC471" s="69" t="n">
        <f aca="false">BM112</f>
        <v>0</v>
      </c>
      <c r="AD471" s="69"/>
      <c r="AE471" s="69"/>
      <c r="AF471" s="12"/>
    </row>
    <row r="472" customFormat="false" ht="14.25" hidden="false" customHeight="false" outlineLevel="0" collapsed="false">
      <c r="B472" s="7"/>
      <c r="C472" s="46" t="n">
        <v>31</v>
      </c>
      <c r="D472" s="46"/>
      <c r="E472" s="44" t="n">
        <f aca="false">AI113</f>
        <v>45</v>
      </c>
      <c r="F472" s="44"/>
      <c r="G472" s="44"/>
      <c r="H472" s="41" t="str">
        <f aca="false">AM113</f>
        <v>Sand</v>
      </c>
      <c r="I472" s="41"/>
      <c r="J472" s="41"/>
      <c r="K472" s="42" t="n">
        <f aca="false">AQ113</f>
        <v>445.9</v>
      </c>
      <c r="L472" s="42"/>
      <c r="M472" s="42"/>
      <c r="N472" s="42" t="n">
        <f aca="false">BC113</f>
        <v>99.6865327062518</v>
      </c>
      <c r="O472" s="42"/>
      <c r="P472" s="42"/>
      <c r="Q472" s="55" t="n">
        <f aca="false">BJ113</f>
        <v>0</v>
      </c>
      <c r="R472" s="55"/>
      <c r="S472" s="55"/>
      <c r="T472" s="44" t="n">
        <f aca="false">AU113</f>
        <v>0.65</v>
      </c>
      <c r="U472" s="44"/>
      <c r="V472" s="67" t="n">
        <f aca="false">BH113</f>
        <v>0</v>
      </c>
      <c r="W472" s="67"/>
      <c r="X472" s="67" t="n">
        <f aca="false">BI113</f>
        <v>0</v>
      </c>
      <c r="Y472" s="67"/>
      <c r="Z472" s="68" t="n">
        <f aca="false">BK113</f>
        <v>0</v>
      </c>
      <c r="AA472" s="68"/>
      <c r="AB472" s="68"/>
      <c r="AC472" s="69" t="n">
        <f aca="false">BM113</f>
        <v>0</v>
      </c>
      <c r="AD472" s="69"/>
      <c r="AE472" s="69"/>
      <c r="AF472" s="12"/>
    </row>
    <row r="473" customFormat="false" ht="14.25" hidden="false" customHeight="false" outlineLevel="0" collapsed="false">
      <c r="B473" s="7"/>
      <c r="C473" s="46" t="n">
        <v>32</v>
      </c>
      <c r="D473" s="46"/>
      <c r="E473" s="44" t="n">
        <f aca="false">AI114</f>
        <v>46.5</v>
      </c>
      <c r="F473" s="44"/>
      <c r="G473" s="44"/>
      <c r="H473" s="41" t="str">
        <f aca="false">AM114</f>
        <v>Sand</v>
      </c>
      <c r="I473" s="41"/>
      <c r="J473" s="41"/>
      <c r="K473" s="42" t="n">
        <f aca="false">AQ114</f>
        <v>458.2</v>
      </c>
      <c r="L473" s="42"/>
      <c r="M473" s="42"/>
      <c r="N473" s="42" t="n">
        <f aca="false">BC114</f>
        <v>97.8957517150986</v>
      </c>
      <c r="O473" s="42"/>
      <c r="P473" s="42"/>
      <c r="Q473" s="55" t="n">
        <f aca="false">BJ114</f>
        <v>0</v>
      </c>
      <c r="R473" s="55"/>
      <c r="S473" s="55"/>
      <c r="T473" s="44" t="n">
        <f aca="false">AU114</f>
        <v>0.65</v>
      </c>
      <c r="U473" s="44"/>
      <c r="V473" s="67" t="n">
        <f aca="false">BH114</f>
        <v>0</v>
      </c>
      <c r="W473" s="67"/>
      <c r="X473" s="67" t="n">
        <f aca="false">BI114</f>
        <v>0</v>
      </c>
      <c r="Y473" s="67"/>
      <c r="Z473" s="68" t="n">
        <f aca="false">BK114</f>
        <v>0</v>
      </c>
      <c r="AA473" s="68"/>
      <c r="AB473" s="68"/>
      <c r="AC473" s="69" t="n">
        <f aca="false">BM114</f>
        <v>0</v>
      </c>
      <c r="AD473" s="69"/>
      <c r="AE473" s="69"/>
      <c r="AF473" s="12"/>
    </row>
    <row r="474" customFormat="false" ht="14.25" hidden="false" customHeight="false" outlineLevel="0" collapsed="false">
      <c r="B474" s="7"/>
      <c r="C474" s="46" t="n">
        <v>33</v>
      </c>
      <c r="D474" s="46"/>
      <c r="E474" s="44" t="n">
        <f aca="false">AI115</f>
        <v>48</v>
      </c>
      <c r="F474" s="44"/>
      <c r="G474" s="44"/>
      <c r="H474" s="41" t="str">
        <f aca="false">AM115</f>
        <v>Sand</v>
      </c>
      <c r="I474" s="41"/>
      <c r="J474" s="41"/>
      <c r="K474" s="42" t="n">
        <f aca="false">AQ115</f>
        <v>470.5</v>
      </c>
      <c r="L474" s="42"/>
      <c r="M474" s="42"/>
      <c r="N474" s="42" t="n">
        <f aca="false">BC115</f>
        <v>96.1260553748583</v>
      </c>
      <c r="O474" s="42"/>
      <c r="P474" s="42"/>
      <c r="Q474" s="55" t="n">
        <f aca="false">BJ115</f>
        <v>0</v>
      </c>
      <c r="R474" s="55"/>
      <c r="S474" s="55"/>
      <c r="T474" s="44" t="n">
        <f aca="false">AU115</f>
        <v>0.65</v>
      </c>
      <c r="U474" s="44"/>
      <c r="V474" s="67" t="n">
        <f aca="false">BH115</f>
        <v>0</v>
      </c>
      <c r="W474" s="67"/>
      <c r="X474" s="67" t="n">
        <f aca="false">BI115</f>
        <v>0</v>
      </c>
      <c r="Y474" s="67"/>
      <c r="Z474" s="68" t="n">
        <f aca="false">BK115</f>
        <v>0</v>
      </c>
      <c r="AA474" s="68"/>
      <c r="AB474" s="68"/>
      <c r="AC474" s="69" t="n">
        <f aca="false">BM115</f>
        <v>0</v>
      </c>
      <c r="AD474" s="69"/>
      <c r="AE474" s="69"/>
      <c r="AF474" s="12"/>
    </row>
    <row r="475" customFormat="false" ht="14.25" hidden="false" customHeight="false" outlineLevel="0" collapsed="false">
      <c r="B475" s="7"/>
      <c r="C475" s="46" t="n">
        <v>34</v>
      </c>
      <c r="D475" s="46"/>
      <c r="E475" s="44" t="n">
        <f aca="false">AI116</f>
        <v>49.5</v>
      </c>
      <c r="F475" s="44"/>
      <c r="G475" s="44"/>
      <c r="H475" s="41" t="str">
        <f aca="false">AM116</f>
        <v>Sand</v>
      </c>
      <c r="I475" s="41"/>
      <c r="J475" s="41"/>
      <c r="K475" s="42" t="n">
        <f aca="false">AQ116</f>
        <v>482.8</v>
      </c>
      <c r="L475" s="42"/>
      <c r="M475" s="42"/>
      <c r="N475" s="42" t="n">
        <f aca="false">BC116</f>
        <v>94.379432156388</v>
      </c>
      <c r="O475" s="42"/>
      <c r="P475" s="42"/>
      <c r="Q475" s="55" t="n">
        <f aca="false">BJ116</f>
        <v>0</v>
      </c>
      <c r="R475" s="55"/>
      <c r="S475" s="55"/>
      <c r="T475" s="44" t="n">
        <f aca="false">AU116</f>
        <v>0.65</v>
      </c>
      <c r="U475" s="44"/>
      <c r="V475" s="67" t="n">
        <f aca="false">BH116</f>
        <v>0</v>
      </c>
      <c r="W475" s="67"/>
      <c r="X475" s="67" t="n">
        <f aca="false">BI116</f>
        <v>0</v>
      </c>
      <c r="Y475" s="67"/>
      <c r="Z475" s="68" t="n">
        <f aca="false">BK116</f>
        <v>0</v>
      </c>
      <c r="AA475" s="68"/>
      <c r="AB475" s="68"/>
      <c r="AC475" s="69" t="n">
        <f aca="false">BM116</f>
        <v>0</v>
      </c>
      <c r="AD475" s="69"/>
      <c r="AE475" s="69"/>
      <c r="AF475" s="12"/>
    </row>
    <row r="476" customFormat="false" ht="14.25" hidden="false" customHeight="false" outlineLevel="0" collapsed="false">
      <c r="B476" s="7"/>
      <c r="C476" s="46" t="n">
        <v>35</v>
      </c>
      <c r="D476" s="46"/>
      <c r="E476" s="44" t="n">
        <f aca="false">AI117</f>
        <v>51</v>
      </c>
      <c r="F476" s="44"/>
      <c r="G476" s="44"/>
      <c r="H476" s="41" t="str">
        <f aca="false">AM117</f>
        <v>Sand</v>
      </c>
      <c r="I476" s="41"/>
      <c r="J476" s="41"/>
      <c r="K476" s="42" t="n">
        <f aca="false">AQ117</f>
        <v>495.099999999999</v>
      </c>
      <c r="L476" s="42"/>
      <c r="M476" s="42"/>
      <c r="N476" s="42" t="n">
        <f aca="false">BC117</f>
        <v>92.657524576064</v>
      </c>
      <c r="O476" s="42"/>
      <c r="P476" s="42"/>
      <c r="Q476" s="55" t="n">
        <f aca="false">BJ117</f>
        <v>0</v>
      </c>
      <c r="R476" s="55"/>
      <c r="S476" s="55"/>
      <c r="T476" s="44" t="n">
        <f aca="false">AU117</f>
        <v>0.65</v>
      </c>
      <c r="U476" s="44"/>
      <c r="V476" s="67" t="n">
        <f aca="false">BH117</f>
        <v>0</v>
      </c>
      <c r="W476" s="67"/>
      <c r="X476" s="67" t="n">
        <f aca="false">BI117</f>
        <v>0</v>
      </c>
      <c r="Y476" s="67"/>
      <c r="Z476" s="68" t="n">
        <f aca="false">BK117</f>
        <v>0</v>
      </c>
      <c r="AA476" s="68"/>
      <c r="AB476" s="68"/>
      <c r="AC476" s="69" t="n">
        <f aca="false">BM117</f>
        <v>0</v>
      </c>
      <c r="AD476" s="69"/>
      <c r="AE476" s="69"/>
      <c r="AF476" s="12"/>
    </row>
    <row r="477" customFormat="false" ht="14.25" hidden="false" customHeight="false" outlineLevel="0" collapsed="false">
      <c r="B477" s="7"/>
      <c r="C477" s="46" t="n">
        <v>36</v>
      </c>
      <c r="D477" s="46"/>
      <c r="E477" s="44" t="n">
        <f aca="false">AI118</f>
        <v>52.5</v>
      </c>
      <c r="F477" s="44"/>
      <c r="G477" s="44"/>
      <c r="H477" s="41" t="str">
        <f aca="false">AM118</f>
        <v>Sand</v>
      </c>
      <c r="I477" s="41"/>
      <c r="J477" s="41"/>
      <c r="K477" s="42" t="n">
        <f aca="false">AQ118</f>
        <v>507.399999999999</v>
      </c>
      <c r="L477" s="42"/>
      <c r="M477" s="42"/>
      <c r="N477" s="42" t="n">
        <f aca="false">BC118</f>
        <v>90.9616684860851</v>
      </c>
      <c r="O477" s="42"/>
      <c r="P477" s="42"/>
      <c r="Q477" s="55" t="n">
        <f aca="false">BJ118</f>
        <v>0</v>
      </c>
      <c r="R477" s="55"/>
      <c r="S477" s="55"/>
      <c r="T477" s="44" t="n">
        <f aca="false">AU118</f>
        <v>0.65</v>
      </c>
      <c r="U477" s="44"/>
      <c r="V477" s="67" t="n">
        <f aca="false">BH118</f>
        <v>0</v>
      </c>
      <c r="W477" s="67"/>
      <c r="X477" s="67" t="n">
        <f aca="false">BI118</f>
        <v>0</v>
      </c>
      <c r="Y477" s="67"/>
      <c r="Z477" s="68" t="n">
        <f aca="false">BK118</f>
        <v>0</v>
      </c>
      <c r="AA477" s="68"/>
      <c r="AB477" s="68"/>
      <c r="AC477" s="69" t="n">
        <f aca="false">BM118</f>
        <v>0</v>
      </c>
      <c r="AD477" s="69"/>
      <c r="AE477" s="69"/>
      <c r="AF477" s="12"/>
    </row>
    <row r="478" customFormat="false" ht="14.25" hidden="false" customHeight="false" outlineLevel="0" collapsed="false">
      <c r="B478" s="7"/>
      <c r="C478" s="46" t="n">
        <v>37</v>
      </c>
      <c r="D478" s="46"/>
      <c r="E478" s="44" t="n">
        <f aca="false">AI119</f>
        <v>54</v>
      </c>
      <c r="F478" s="44"/>
      <c r="G478" s="44"/>
      <c r="H478" s="41" t="str">
        <f aca="false">AM119</f>
        <v>Sand</v>
      </c>
      <c r="I478" s="41"/>
      <c r="J478" s="41"/>
      <c r="K478" s="42" t="n">
        <f aca="false">AQ119</f>
        <v>519.699999999999</v>
      </c>
      <c r="L478" s="42"/>
      <c r="M478" s="42"/>
      <c r="N478" s="42" t="n">
        <f aca="false">BC119</f>
        <v>89.2929293261871</v>
      </c>
      <c r="O478" s="42"/>
      <c r="P478" s="42"/>
      <c r="Q478" s="55" t="n">
        <f aca="false">BJ119</f>
        <v>0</v>
      </c>
      <c r="R478" s="55"/>
      <c r="S478" s="55"/>
      <c r="T478" s="44" t="n">
        <f aca="false">AU119</f>
        <v>0.65</v>
      </c>
      <c r="U478" s="44"/>
      <c r="V478" s="67" t="n">
        <f aca="false">BH119</f>
        <v>0</v>
      </c>
      <c r="W478" s="67"/>
      <c r="X478" s="67" t="n">
        <f aca="false">BI119</f>
        <v>0</v>
      </c>
      <c r="Y478" s="67"/>
      <c r="Z478" s="68" t="n">
        <f aca="false">BK119</f>
        <v>0</v>
      </c>
      <c r="AA478" s="68"/>
      <c r="AB478" s="68"/>
      <c r="AC478" s="69" t="n">
        <f aca="false">BM119</f>
        <v>0</v>
      </c>
      <c r="AD478" s="69"/>
      <c r="AE478" s="69"/>
      <c r="AF478" s="12"/>
    </row>
    <row r="479" customFormat="false" ht="14.25" hidden="false" customHeight="false" outlineLevel="0" collapsed="false">
      <c r="B479" s="7"/>
      <c r="C479" s="46" t="n">
        <v>38</v>
      </c>
      <c r="D479" s="46"/>
      <c r="E479" s="44" t="n">
        <f aca="false">AI120</f>
        <v>55.5</v>
      </c>
      <c r="F479" s="44"/>
      <c r="G479" s="44"/>
      <c r="H479" s="41" t="str">
        <f aca="false">AM120</f>
        <v>Sand</v>
      </c>
      <c r="I479" s="41"/>
      <c r="J479" s="41"/>
      <c r="K479" s="42" t="n">
        <f aca="false">AQ120</f>
        <v>531.999999999999</v>
      </c>
      <c r="L479" s="42"/>
      <c r="M479" s="42"/>
      <c r="N479" s="42" t="n">
        <f aca="false">BC120</f>
        <v>87.6521352527307</v>
      </c>
      <c r="O479" s="42"/>
      <c r="P479" s="42"/>
      <c r="Q479" s="55" t="n">
        <f aca="false">BJ120</f>
        <v>0</v>
      </c>
      <c r="R479" s="55"/>
      <c r="S479" s="55"/>
      <c r="T479" s="44" t="n">
        <f aca="false">AU120</f>
        <v>0.65</v>
      </c>
      <c r="U479" s="44"/>
      <c r="V479" s="67" t="n">
        <f aca="false">BH120</f>
        <v>0</v>
      </c>
      <c r="W479" s="67"/>
      <c r="X479" s="67" t="n">
        <f aca="false">BI120</f>
        <v>0</v>
      </c>
      <c r="Y479" s="67"/>
      <c r="Z479" s="68" t="n">
        <f aca="false">BK120</f>
        <v>0</v>
      </c>
      <c r="AA479" s="68"/>
      <c r="AB479" s="68"/>
      <c r="AC479" s="69" t="n">
        <f aca="false">BM120</f>
        <v>0</v>
      </c>
      <c r="AD479" s="69"/>
      <c r="AE479" s="69"/>
      <c r="AF479" s="12"/>
    </row>
    <row r="480" customFormat="false" ht="14.25" hidden="false" customHeight="false" outlineLevel="0" collapsed="false">
      <c r="B480" s="7"/>
      <c r="C480" s="46" t="n">
        <v>39</v>
      </c>
      <c r="D480" s="46"/>
      <c r="E480" s="44" t="n">
        <f aca="false">AI121</f>
        <v>57</v>
      </c>
      <c r="F480" s="44"/>
      <c r="G480" s="44"/>
      <c r="H480" s="41" t="str">
        <f aca="false">AM121</f>
        <v>Sand</v>
      </c>
      <c r="I480" s="41"/>
      <c r="J480" s="41"/>
      <c r="K480" s="42" t="n">
        <f aca="false">AQ121</f>
        <v>544.299999999999</v>
      </c>
      <c r="L480" s="42"/>
      <c r="M480" s="42"/>
      <c r="N480" s="42" t="n">
        <f aca="false">BC121</f>
        <v>86.0399071706701</v>
      </c>
      <c r="O480" s="42"/>
      <c r="P480" s="42"/>
      <c r="Q480" s="55" t="n">
        <f aca="false">BJ121</f>
        <v>0</v>
      </c>
      <c r="R480" s="55"/>
      <c r="S480" s="55"/>
      <c r="T480" s="44" t="n">
        <f aca="false">AU121</f>
        <v>0.65</v>
      </c>
      <c r="U480" s="44"/>
      <c r="V480" s="67" t="n">
        <f aca="false">BH121</f>
        <v>0</v>
      </c>
      <c r="W480" s="67"/>
      <c r="X480" s="67" t="n">
        <f aca="false">BI121</f>
        <v>0</v>
      </c>
      <c r="Y480" s="67"/>
      <c r="Z480" s="68" t="n">
        <f aca="false">BK121</f>
        <v>0</v>
      </c>
      <c r="AA480" s="68"/>
      <c r="AB480" s="68"/>
      <c r="AC480" s="69" t="n">
        <f aca="false">BM121</f>
        <v>0</v>
      </c>
      <c r="AD480" s="69"/>
      <c r="AE480" s="69"/>
      <c r="AF480" s="12"/>
    </row>
    <row r="481" customFormat="false" ht="14.25" hidden="false" customHeight="false" outlineLevel="0" collapsed="false">
      <c r="B481" s="7"/>
      <c r="C481" s="46" t="n">
        <v>40</v>
      </c>
      <c r="D481" s="46"/>
      <c r="E481" s="44" t="n">
        <f aca="false">AI122</f>
        <v>58.5</v>
      </c>
      <c r="F481" s="44"/>
      <c r="G481" s="44"/>
      <c r="H481" s="41" t="str">
        <f aca="false">AM122</f>
        <v>Sand</v>
      </c>
      <c r="I481" s="41"/>
      <c r="J481" s="41"/>
      <c r="K481" s="42" t="n">
        <f aca="false">AQ122</f>
        <v>554.55</v>
      </c>
      <c r="L481" s="42"/>
      <c r="M481" s="42"/>
      <c r="N481" s="42" t="n">
        <f aca="false">BC122</f>
        <v>84.7185277966616</v>
      </c>
      <c r="O481" s="42"/>
      <c r="P481" s="42"/>
      <c r="Q481" s="55" t="n">
        <f aca="false">BJ122</f>
        <v>0</v>
      </c>
      <c r="R481" s="55"/>
      <c r="S481" s="55"/>
      <c r="T481" s="44" t="n">
        <f aca="false">AU122</f>
        <v>0.65</v>
      </c>
      <c r="U481" s="44"/>
      <c r="V481" s="67" t="n">
        <f aca="false">BH122</f>
        <v>0</v>
      </c>
      <c r="W481" s="67"/>
      <c r="X481" s="67" t="n">
        <f aca="false">BI122</f>
        <v>0</v>
      </c>
      <c r="Y481" s="67"/>
      <c r="Z481" s="68" t="n">
        <f aca="false">BK122</f>
        <v>0</v>
      </c>
      <c r="AA481" s="68"/>
      <c r="AB481" s="68"/>
      <c r="AC481" s="69" t="n">
        <f aca="false">BM122</f>
        <v>0</v>
      </c>
      <c r="AD481" s="69"/>
      <c r="AE481" s="69"/>
      <c r="AF481" s="12"/>
    </row>
    <row r="482" customFormat="false" ht="14.25" hidden="false" customHeight="false" outlineLevel="0" collapsed="false">
      <c r="B482" s="7"/>
      <c r="C482" s="60" t="n">
        <v>41</v>
      </c>
      <c r="D482" s="60"/>
      <c r="E482" s="61" t="n">
        <f aca="false">AI123</f>
        <v>59.5</v>
      </c>
      <c r="F482" s="61"/>
      <c r="G482" s="61"/>
      <c r="H482" s="48" t="str">
        <f aca="false">AM123</f>
        <v>Sand</v>
      </c>
      <c r="I482" s="48"/>
      <c r="J482" s="48"/>
      <c r="K482" s="49" t="n">
        <f aca="false">AQ123</f>
        <v>560.699999999999</v>
      </c>
      <c r="L482" s="49"/>
      <c r="M482" s="49"/>
      <c r="N482" s="49" t="n">
        <f aca="false">BC123</f>
        <v>83.9354445039259</v>
      </c>
      <c r="O482" s="49"/>
      <c r="P482" s="49"/>
      <c r="Q482" s="62" t="n">
        <f aca="false">BJ123</f>
        <v>0</v>
      </c>
      <c r="R482" s="62"/>
      <c r="S482" s="62"/>
      <c r="T482" s="61" t="n">
        <f aca="false">AU123</f>
        <v>0.65</v>
      </c>
      <c r="U482" s="61"/>
      <c r="V482" s="70" t="n">
        <f aca="false">BH123</f>
        <v>0</v>
      </c>
      <c r="W482" s="70"/>
      <c r="X482" s="70" t="n">
        <f aca="false">BI123</f>
        <v>0</v>
      </c>
      <c r="Y482" s="70"/>
      <c r="Z482" s="71" t="n">
        <f aca="false">BK123</f>
        <v>0</v>
      </c>
      <c r="AA482" s="71"/>
      <c r="AB482" s="71"/>
      <c r="AC482" s="72" t="n">
        <f aca="false">BM123</f>
        <v>0</v>
      </c>
      <c r="AD482" s="72"/>
      <c r="AE482" s="72"/>
      <c r="AF482" s="12"/>
    </row>
    <row r="483" customFormat="false" ht="14.25" hidden="false" customHeight="false" outlineLevel="0" collapsed="false">
      <c r="B483" s="7"/>
      <c r="AF483" s="12"/>
    </row>
    <row r="484" customFormat="false" ht="14.25" hidden="false" customHeight="true" outlineLevel="0" collapsed="false">
      <c r="B484" s="7"/>
      <c r="C484" s="20" t="s">
        <v>305</v>
      </c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1" t="s">
        <v>306</v>
      </c>
      <c r="P484" s="21"/>
      <c r="Q484" s="21"/>
      <c r="R484" s="21"/>
      <c r="S484" s="21"/>
      <c r="T484" s="21"/>
      <c r="U484" s="21"/>
      <c r="V484" s="21"/>
      <c r="W484" s="21"/>
      <c r="X484" s="22" t="s">
        <v>307</v>
      </c>
      <c r="Y484" s="22"/>
      <c r="Z484" s="22"/>
      <c r="AA484" s="24" t="n">
        <f aca="false">SUM(BK83:BK123)</f>
        <v>6.68955468279371</v>
      </c>
      <c r="AB484" s="24"/>
      <c r="AC484" s="24"/>
      <c r="AD484" s="20" t="s">
        <v>45</v>
      </c>
      <c r="AE484" s="20"/>
      <c r="AF484" s="12"/>
    </row>
    <row r="485" customFormat="false" ht="14.25" hidden="false" customHeight="true" outlineLevel="0" collapsed="false">
      <c r="B485" s="7"/>
      <c r="C485" s="20" t="s">
        <v>308</v>
      </c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1" t="s">
        <v>309</v>
      </c>
      <c r="P485" s="21"/>
      <c r="Q485" s="21"/>
      <c r="R485" s="21"/>
      <c r="S485" s="21"/>
      <c r="T485" s="21"/>
      <c r="U485" s="21"/>
      <c r="V485" s="21"/>
      <c r="W485" s="21"/>
      <c r="X485" s="22" t="s">
        <v>310</v>
      </c>
      <c r="Y485" s="22"/>
      <c r="Z485" s="22"/>
      <c r="AA485" s="50" t="n">
        <f aca="false">MAX(BM83:BM123)</f>
        <v>0.0504185692541857</v>
      </c>
      <c r="AB485" s="50"/>
      <c r="AC485" s="50"/>
      <c r="AD485" s="20" t="s">
        <v>124</v>
      </c>
      <c r="AE485" s="20"/>
      <c r="AF485" s="12"/>
    </row>
    <row r="486" customFormat="false" ht="14.25" hidden="false" customHeight="false" outlineLevel="0" collapsed="false">
      <c r="B486" s="7"/>
      <c r="AF486" s="12"/>
    </row>
    <row r="487" customFormat="false" ht="14.25" hidden="false" customHeight="false" outlineLevel="0" collapsed="false">
      <c r="B487" s="7"/>
      <c r="AF487" s="12"/>
    </row>
    <row r="488" customFormat="false" ht="14.25" hidden="false" customHeight="false" outlineLevel="0" collapsed="false">
      <c r="B488" s="7"/>
      <c r="AF488" s="12"/>
    </row>
    <row r="489" customFormat="false" ht="14.25" hidden="false" customHeight="false" outlineLevel="0" collapsed="false">
      <c r="B489" s="7"/>
      <c r="AF489" s="12"/>
    </row>
    <row r="490" customFormat="false" ht="14.25" hidden="false" customHeight="false" outlineLevel="0" collapsed="false">
      <c r="B490" s="7"/>
      <c r="AF490" s="12"/>
    </row>
    <row r="491" customFormat="false" ht="14.25" hidden="false" customHeight="false" outlineLevel="0" collapsed="false">
      <c r="B491" s="7"/>
      <c r="AF491" s="12"/>
    </row>
    <row r="492" customFormat="false" ht="14.25" hidden="false" customHeight="false" outlineLevel="0" collapsed="false">
      <c r="B492" s="7"/>
      <c r="AF492" s="12"/>
    </row>
    <row r="493" customFormat="false" ht="14.25" hidden="false" customHeight="false" outlineLevel="0" collapsed="false">
      <c r="B493" s="7"/>
      <c r="AF493" s="12"/>
    </row>
    <row r="494" customFormat="false" ht="14.25" hidden="false" customHeight="false" outlineLevel="0" collapsed="false">
      <c r="B494" s="7"/>
      <c r="AF494" s="12"/>
    </row>
    <row r="495" customFormat="false" ht="14.25" hidden="false" customHeight="false" outlineLevel="0" collapsed="false">
      <c r="B495" s="7"/>
      <c r="AF495" s="12"/>
    </row>
    <row r="496" customFormat="false" ht="14.25" hidden="false" customHeight="false" outlineLevel="0" collapsed="false">
      <c r="B496" s="7"/>
      <c r="AF496" s="12"/>
    </row>
    <row r="497" customFormat="false" ht="14.25" hidden="false" customHeight="false" outlineLevel="0" collapsed="false">
      <c r="B497" s="7"/>
      <c r="AF497" s="12"/>
    </row>
    <row r="498" customFormat="false" ht="14.25" hidden="false" customHeight="false" outlineLevel="0" collapsed="false">
      <c r="B498" s="7"/>
      <c r="AF498" s="12"/>
    </row>
    <row r="499" customFormat="false" ht="14.25" hidden="false" customHeight="false" outlineLevel="0" collapsed="false">
      <c r="B499" s="7"/>
      <c r="AF499" s="12"/>
    </row>
    <row r="500" customFormat="false" ht="14.25" hidden="false" customHeight="false" outlineLevel="0" collapsed="false">
      <c r="B500" s="7"/>
      <c r="AF500" s="12"/>
    </row>
    <row r="501" customFormat="false" ht="14.25" hidden="false" customHeight="false" outlineLevel="0" collapsed="false">
      <c r="B501" s="7"/>
      <c r="AF501" s="12"/>
    </row>
    <row r="502" customFormat="false" ht="14.25" hidden="false" customHeight="false" outlineLevel="0" collapsed="false">
      <c r="B502" s="7"/>
      <c r="AF502" s="12"/>
    </row>
    <row r="503" customFormat="false" ht="14.25" hidden="false" customHeight="false" outlineLevel="0" collapsed="false">
      <c r="B503" s="7"/>
      <c r="AF503" s="12"/>
    </row>
    <row r="504" customFormat="false" ht="14.25" hidden="false" customHeight="false" outlineLevel="0" collapsed="false">
      <c r="B504" s="7"/>
      <c r="AF504" s="12"/>
    </row>
    <row r="505" customFormat="false" ht="14.25" hidden="false" customHeight="true" outlineLevel="0" collapsed="false">
      <c r="B505" s="36"/>
      <c r="C505" s="37"/>
      <c r="D505" s="37"/>
      <c r="E505" s="37"/>
      <c r="F505" s="37"/>
      <c r="G505" s="37"/>
      <c r="H505" s="37"/>
      <c r="I505" s="37"/>
      <c r="J505" s="37"/>
      <c r="K505" s="37"/>
      <c r="L505" s="37"/>
      <c r="M505" s="37"/>
      <c r="N505" s="37"/>
      <c r="O505" s="37"/>
      <c r="P505" s="37"/>
      <c r="Q505" s="37"/>
      <c r="R505" s="37"/>
      <c r="S505" s="37"/>
      <c r="T505" s="37"/>
      <c r="U505" s="37"/>
      <c r="V505" s="37"/>
      <c r="W505" s="37"/>
      <c r="X505" s="38" t="s">
        <v>93</v>
      </c>
      <c r="Y505" s="38"/>
      <c r="Z505" s="38"/>
      <c r="AA505" s="38"/>
      <c r="AB505" s="38" t="n">
        <v>7</v>
      </c>
      <c r="AC505" s="38"/>
      <c r="AD505" s="38"/>
      <c r="AE505" s="38"/>
      <c r="AF505" s="39"/>
    </row>
    <row r="506" customFormat="false" ht="14.25" hidden="false" customHeight="true" outlineLevel="0" collapsed="false">
      <c r="B506" s="1"/>
      <c r="C506" s="2" t="s">
        <v>0</v>
      </c>
      <c r="D506" s="2"/>
      <c r="E506" s="2"/>
      <c r="F506" s="2"/>
      <c r="G506" s="2"/>
      <c r="H506" s="3" t="s">
        <v>1</v>
      </c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4" t="s">
        <v>2</v>
      </c>
      <c r="Y506" s="4"/>
      <c r="Z506" s="4"/>
      <c r="AA506" s="4"/>
      <c r="AB506" s="5" t="s">
        <v>3</v>
      </c>
      <c r="AC506" s="5"/>
      <c r="AD506" s="5"/>
      <c r="AE506" s="5"/>
      <c r="AF506" s="6"/>
    </row>
    <row r="507" customFormat="false" ht="14.25" hidden="false" customHeight="true" outlineLevel="0" collapsed="false">
      <c r="B507" s="7"/>
      <c r="C507" s="8" t="s">
        <v>4</v>
      </c>
      <c r="D507" s="8"/>
      <c r="E507" s="8"/>
      <c r="F507" s="8"/>
      <c r="G507" s="8"/>
      <c r="H507" s="9" t="s">
        <v>5</v>
      </c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10" t="s">
        <v>6</v>
      </c>
      <c r="Y507" s="10"/>
      <c r="Z507" s="10"/>
      <c r="AA507" s="10"/>
      <c r="AB507" s="11" t="n">
        <v>46301</v>
      </c>
      <c r="AC507" s="11"/>
      <c r="AD507" s="11"/>
      <c r="AE507" s="11"/>
      <c r="AF507" s="12"/>
    </row>
    <row r="508" customFormat="false" ht="14.25" hidden="false" customHeight="true" outlineLevel="0" collapsed="false">
      <c r="B508" s="7"/>
      <c r="C508" s="8" t="s">
        <v>7</v>
      </c>
      <c r="D508" s="8"/>
      <c r="E508" s="8"/>
      <c r="F508" s="8"/>
      <c r="G508" s="8"/>
      <c r="H508" s="9" t="s">
        <v>348</v>
      </c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10" t="s">
        <v>9</v>
      </c>
      <c r="Y508" s="10"/>
      <c r="Z508" s="10"/>
      <c r="AA508" s="10"/>
      <c r="AB508" s="11" t="s">
        <v>3</v>
      </c>
      <c r="AC508" s="11"/>
      <c r="AD508" s="11"/>
      <c r="AE508" s="11"/>
      <c r="AF508" s="12"/>
    </row>
    <row r="509" customFormat="false" ht="14.25" hidden="false" customHeight="true" outlineLevel="0" collapsed="false">
      <c r="B509" s="13"/>
      <c r="C509" s="14" t="s">
        <v>10</v>
      </c>
      <c r="D509" s="14"/>
      <c r="E509" s="14"/>
      <c r="F509" s="14"/>
      <c r="G509" s="14"/>
      <c r="H509" s="15" t="s">
        <v>134</v>
      </c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6" t="s">
        <v>12</v>
      </c>
      <c r="Y509" s="16"/>
      <c r="Z509" s="16"/>
      <c r="AA509" s="16"/>
      <c r="AB509" s="17" t="n">
        <v>46301</v>
      </c>
      <c r="AC509" s="17"/>
      <c r="AD509" s="17"/>
      <c r="AE509" s="17"/>
      <c r="AF509" s="18"/>
    </row>
    <row r="510" customFormat="false" ht="14.25" hidden="false" customHeight="false" outlineLevel="0" collapsed="false">
      <c r="B510" s="7"/>
      <c r="AF510" s="12"/>
    </row>
    <row r="511" customFormat="false" ht="14.25" hidden="false" customHeight="false" outlineLevel="0" collapsed="false">
      <c r="B511" s="7"/>
      <c r="C511" s="9" t="s">
        <v>311</v>
      </c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9"/>
      <c r="AF511" s="12"/>
    </row>
    <row r="512" customFormat="false" ht="14.25" hidden="false" customHeight="false" outlineLevel="0" collapsed="false">
      <c r="B512" s="7"/>
      <c r="AF512" s="12"/>
    </row>
    <row r="513" customFormat="false" ht="14.25" hidden="false" customHeight="true" outlineLevel="0" collapsed="false">
      <c r="B513" s="7"/>
      <c r="C513" s="20" t="s">
        <v>312</v>
      </c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1"/>
      <c r="P513" s="21"/>
      <c r="Q513" s="21"/>
      <c r="R513" s="21"/>
      <c r="S513" s="21"/>
      <c r="T513" s="21"/>
      <c r="U513" s="21"/>
      <c r="V513" s="21"/>
      <c r="W513" s="21"/>
      <c r="X513" s="22" t="s">
        <v>248</v>
      </c>
      <c r="Y513" s="22"/>
      <c r="Z513" s="22"/>
      <c r="AA513" s="51" t="n">
        <f aca="false">$AA$185</f>
        <v>15595.9992784325</v>
      </c>
      <c r="AB513" s="51"/>
      <c r="AC513" s="51"/>
      <c r="AD513" s="20" t="s">
        <v>26</v>
      </c>
      <c r="AE513" s="20"/>
      <c r="AF513" s="12"/>
    </row>
    <row r="514" customFormat="false" ht="14.25" hidden="false" customHeight="false" outlineLevel="0" collapsed="false">
      <c r="B514" s="7"/>
      <c r="C514" s="20" t="s">
        <v>280</v>
      </c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X514" s="73" t="str">
        <f aca="false">$X$189</f>
        <v>qall ≥ q …. OK!!</v>
      </c>
      <c r="Y514" s="73"/>
      <c r="Z514" s="73"/>
      <c r="AA514" s="73"/>
      <c r="AB514" s="73"/>
      <c r="AC514" s="73"/>
      <c r="AD514" s="73"/>
      <c r="AE514" s="73"/>
      <c r="AF514" s="12"/>
    </row>
    <row r="515" customFormat="false" ht="14.25" hidden="false" customHeight="true" outlineLevel="0" collapsed="false">
      <c r="B515" s="7"/>
      <c r="C515" s="20" t="s">
        <v>313</v>
      </c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1" t="s">
        <v>314</v>
      </c>
      <c r="P515" s="21"/>
      <c r="Q515" s="21"/>
      <c r="R515" s="21"/>
      <c r="S515" s="21"/>
      <c r="T515" s="21"/>
      <c r="U515" s="21"/>
      <c r="V515" s="21"/>
      <c r="W515" s="21"/>
      <c r="X515" s="22" t="s">
        <v>248</v>
      </c>
      <c r="Y515" s="22"/>
      <c r="Z515" s="22"/>
      <c r="AA515" s="51" t="n">
        <f aca="false">$AA$204</f>
        <v>15595.9992784325</v>
      </c>
      <c r="AB515" s="51"/>
      <c r="AC515" s="51"/>
      <c r="AD515" s="20" t="s">
        <v>26</v>
      </c>
      <c r="AE515" s="20"/>
      <c r="AF515" s="12"/>
    </row>
    <row r="516" customFormat="false" ht="14.25" hidden="false" customHeight="false" outlineLevel="0" collapsed="false">
      <c r="B516" s="7"/>
      <c r="C516" s="20" t="s">
        <v>280</v>
      </c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X516" s="73" t="str">
        <f aca="false">$X$208</f>
        <v>qall ≥ q …. OK!!</v>
      </c>
      <c r="Y516" s="73"/>
      <c r="Z516" s="73"/>
      <c r="AA516" s="73"/>
      <c r="AB516" s="73"/>
      <c r="AC516" s="73"/>
      <c r="AD516" s="73"/>
      <c r="AE516" s="73"/>
      <c r="AF516" s="12"/>
    </row>
    <row r="517" customFormat="false" ht="14.25" hidden="false" customHeight="true" outlineLevel="0" collapsed="false">
      <c r="B517" s="7"/>
      <c r="C517" s="20" t="s">
        <v>315</v>
      </c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1" t="s">
        <v>316</v>
      </c>
      <c r="P517" s="21"/>
      <c r="Q517" s="21"/>
      <c r="R517" s="21"/>
      <c r="S517" s="21"/>
      <c r="T517" s="21"/>
      <c r="U517" s="21"/>
      <c r="V517" s="21"/>
      <c r="W517" s="21"/>
      <c r="X517" s="22" t="s">
        <v>252</v>
      </c>
      <c r="Y517" s="22"/>
      <c r="Z517" s="22"/>
      <c r="AA517" s="50" t="str">
        <f aca="false">$AA$259</f>
        <v>n/a</v>
      </c>
      <c r="AB517" s="50"/>
      <c r="AC517" s="50"/>
      <c r="AD517" s="20" t="s">
        <v>38</v>
      </c>
      <c r="AE517" s="20"/>
      <c r="AF517" s="12"/>
    </row>
    <row r="518" customFormat="false" ht="14.25" hidden="false" customHeight="false" outlineLevel="0" collapsed="false">
      <c r="B518" s="7"/>
      <c r="C518" s="20" t="s">
        <v>280</v>
      </c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X518" s="73" t="str">
        <f aca="false">$X$260</f>
        <v>No soft layer - n/a</v>
      </c>
      <c r="Y518" s="73"/>
      <c r="Z518" s="73"/>
      <c r="AA518" s="73"/>
      <c r="AB518" s="73"/>
      <c r="AC518" s="73"/>
      <c r="AD518" s="73"/>
      <c r="AE518" s="73"/>
      <c r="AF518" s="12"/>
    </row>
    <row r="519" customFormat="false" ht="14.25" hidden="false" customHeight="true" outlineLevel="0" collapsed="false">
      <c r="B519" s="7"/>
      <c r="C519" s="20" t="s">
        <v>317</v>
      </c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1" t="s">
        <v>318</v>
      </c>
      <c r="P519" s="21"/>
      <c r="Q519" s="21"/>
      <c r="R519" s="21"/>
      <c r="S519" s="21"/>
      <c r="T519" s="21"/>
      <c r="U519" s="21"/>
      <c r="V519" s="21"/>
      <c r="W519" s="21"/>
      <c r="X519" s="22" t="s">
        <v>295</v>
      </c>
      <c r="Y519" s="22"/>
      <c r="Z519" s="22"/>
      <c r="AA519" s="51" t="n">
        <f aca="false">$AA$345</f>
        <v>104.585696726539</v>
      </c>
      <c r="AB519" s="51"/>
      <c r="AC519" s="51"/>
      <c r="AD519" s="20" t="s">
        <v>45</v>
      </c>
      <c r="AE519" s="20"/>
      <c r="AF519" s="12"/>
    </row>
    <row r="520" customFormat="false" ht="14.25" hidden="false" customHeight="true" outlineLevel="0" collapsed="false">
      <c r="B520" s="7"/>
      <c r="C520" s="20" t="s">
        <v>319</v>
      </c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1" t="s">
        <v>320</v>
      </c>
      <c r="P520" s="21"/>
      <c r="Q520" s="21"/>
      <c r="R520" s="21"/>
      <c r="S520" s="21"/>
      <c r="T520" s="21"/>
      <c r="U520" s="21"/>
      <c r="V520" s="21"/>
      <c r="W520" s="21"/>
      <c r="X520" s="22" t="s">
        <v>307</v>
      </c>
      <c r="Y520" s="22"/>
      <c r="Z520" s="22"/>
      <c r="AA520" s="51" t="n">
        <f aca="false">$AA$484</f>
        <v>6.68955468279371</v>
      </c>
      <c r="AB520" s="51"/>
      <c r="AC520" s="51"/>
      <c r="AD520" s="20" t="s">
        <v>45</v>
      </c>
      <c r="AE520" s="20"/>
      <c r="AF520" s="12"/>
    </row>
    <row r="521" customFormat="false" ht="14.25" hidden="false" customHeight="true" outlineLevel="0" collapsed="false">
      <c r="B521" s="7"/>
      <c r="C521" s="20" t="s">
        <v>123</v>
      </c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1" t="s">
        <v>320</v>
      </c>
      <c r="P521" s="21"/>
      <c r="Q521" s="21"/>
      <c r="R521" s="21"/>
      <c r="S521" s="21"/>
      <c r="T521" s="21"/>
      <c r="U521" s="21"/>
      <c r="V521" s="21"/>
      <c r="W521" s="21"/>
      <c r="X521" s="22" t="s">
        <v>310</v>
      </c>
      <c r="Y521" s="22"/>
      <c r="Z521" s="22"/>
      <c r="AA521" s="50" t="n">
        <f aca="false">$AA$485</f>
        <v>0.0504185692541857</v>
      </c>
      <c r="AB521" s="50"/>
      <c r="AC521" s="50"/>
      <c r="AD521" s="20" t="s">
        <v>124</v>
      </c>
      <c r="AE521" s="20"/>
      <c r="AF521" s="12"/>
    </row>
    <row r="522" customFormat="false" ht="14.25" hidden="false" customHeight="true" outlineLevel="0" collapsed="false">
      <c r="B522" s="7"/>
      <c r="C522" s="20" t="s">
        <v>321</v>
      </c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1" t="s">
        <v>322</v>
      </c>
      <c r="P522" s="21"/>
      <c r="Q522" s="21"/>
      <c r="R522" s="21"/>
      <c r="S522" s="21"/>
      <c r="T522" s="21"/>
      <c r="U522" s="21"/>
      <c r="V522" s="21"/>
      <c r="W522" s="21"/>
      <c r="X522" s="22" t="s">
        <v>323</v>
      </c>
      <c r="Y522" s="22"/>
      <c r="Z522" s="22"/>
      <c r="AA522" s="24" t="n">
        <f aca="false">$AA$345+$AA$484</f>
        <v>111.275251409332</v>
      </c>
      <c r="AB522" s="24"/>
      <c r="AC522" s="24"/>
      <c r="AD522" s="20" t="s">
        <v>45</v>
      </c>
      <c r="AE522" s="20"/>
      <c r="AF522" s="12"/>
    </row>
    <row r="523" customFormat="false" ht="14.25" hidden="true" customHeight="false" outlineLevel="0" collapsed="false">
      <c r="B523" s="7"/>
      <c r="C523" s="9" t="s">
        <v>324</v>
      </c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X523" s="64" t="str">
        <f aca="false">IF($AA$522&lt;=Input!$AA$22,"S ≤ S all …. OK!!","S &gt; S all …. NG!!")</f>
        <v>S &gt; S all …. NG!!</v>
      </c>
      <c r="Y523" s="64"/>
      <c r="Z523" s="64"/>
      <c r="AA523" s="64"/>
      <c r="AB523" s="64"/>
      <c r="AC523" s="64"/>
      <c r="AD523" s="64"/>
      <c r="AE523" s="64"/>
      <c r="AF523" s="12"/>
    </row>
    <row r="524" customFormat="false" ht="14.25" hidden="false" customHeight="false" outlineLevel="0" collapsed="false">
      <c r="B524" s="7"/>
      <c r="AF524" s="12"/>
    </row>
    <row r="525" customFormat="false" ht="14.25" hidden="false" customHeight="false" outlineLevel="0" collapsed="false">
      <c r="B525" s="7"/>
      <c r="C525" s="19" t="s">
        <v>325</v>
      </c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  <c r="AA525" s="19"/>
      <c r="AB525" s="19"/>
      <c r="AC525" s="19"/>
      <c r="AD525" s="19"/>
      <c r="AE525" s="19"/>
      <c r="AF525" s="12"/>
    </row>
    <row r="526" customFormat="false" ht="14.25" hidden="false" customHeight="false" outlineLevel="0" collapsed="false">
      <c r="B526" s="7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  <c r="AA526" s="19"/>
      <c r="AB526" s="19"/>
      <c r="AC526" s="19"/>
      <c r="AD526" s="19"/>
      <c r="AE526" s="19"/>
      <c r="AF526" s="12"/>
    </row>
    <row r="527" customFormat="false" ht="14.25" hidden="false" customHeight="false" outlineLevel="0" collapsed="false">
      <c r="B527" s="7"/>
      <c r="AF527" s="12"/>
    </row>
    <row r="528" customFormat="false" ht="14.25" hidden="false" customHeight="false" outlineLevel="0" collapsed="false">
      <c r="B528" s="7"/>
      <c r="C528" s="9" t="s">
        <v>353</v>
      </c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  <c r="AE528" s="9"/>
      <c r="AF528" s="12"/>
    </row>
    <row r="529" customFormat="false" ht="14.25" hidden="false" customHeight="false" outlineLevel="0" collapsed="false">
      <c r="B529" s="7"/>
      <c r="AF529" s="12"/>
    </row>
    <row r="530" customFormat="false" ht="14.25" hidden="false" customHeight="false" outlineLevel="0" collapsed="false">
      <c r="B530" s="7"/>
      <c r="AF530" s="12"/>
    </row>
    <row r="531" customFormat="false" ht="14.25" hidden="false" customHeight="false" outlineLevel="0" collapsed="false">
      <c r="B531" s="7"/>
      <c r="AF531" s="12"/>
    </row>
    <row r="532" customFormat="false" ht="14.25" hidden="false" customHeight="false" outlineLevel="0" collapsed="false">
      <c r="B532" s="7"/>
      <c r="AF532" s="12"/>
    </row>
    <row r="533" customFormat="false" ht="14.25" hidden="false" customHeight="false" outlineLevel="0" collapsed="false">
      <c r="B533" s="7"/>
      <c r="AF533" s="12"/>
    </row>
    <row r="534" customFormat="false" ht="14.25" hidden="false" customHeight="false" outlineLevel="0" collapsed="false">
      <c r="B534" s="7"/>
      <c r="AF534" s="12"/>
    </row>
    <row r="535" customFormat="false" ht="14.25" hidden="false" customHeight="false" outlineLevel="0" collapsed="false">
      <c r="B535" s="7"/>
      <c r="AF535" s="12"/>
    </row>
    <row r="536" customFormat="false" ht="14.25" hidden="false" customHeight="false" outlineLevel="0" collapsed="false">
      <c r="B536" s="7"/>
      <c r="AF536" s="12"/>
    </row>
    <row r="537" customFormat="false" ht="14.25" hidden="false" customHeight="false" outlineLevel="0" collapsed="false">
      <c r="B537" s="7"/>
      <c r="AF537" s="12"/>
    </row>
    <row r="538" customFormat="false" ht="14.25" hidden="false" customHeight="false" outlineLevel="0" collapsed="false">
      <c r="B538" s="7"/>
      <c r="AF538" s="12"/>
    </row>
    <row r="539" customFormat="false" ht="14.25" hidden="false" customHeight="false" outlineLevel="0" collapsed="false">
      <c r="B539" s="7"/>
      <c r="AF539" s="12"/>
    </row>
    <row r="540" customFormat="false" ht="14.25" hidden="false" customHeight="false" outlineLevel="0" collapsed="false">
      <c r="B540" s="7"/>
      <c r="AF540" s="12"/>
    </row>
    <row r="541" customFormat="false" ht="14.25" hidden="false" customHeight="false" outlineLevel="0" collapsed="false">
      <c r="B541" s="7"/>
      <c r="AF541" s="12"/>
    </row>
    <row r="542" customFormat="false" ht="14.25" hidden="false" customHeight="false" outlineLevel="0" collapsed="false">
      <c r="B542" s="7"/>
      <c r="AF542" s="12"/>
    </row>
    <row r="543" customFormat="false" ht="14.25" hidden="false" customHeight="false" outlineLevel="0" collapsed="false">
      <c r="B543" s="7"/>
      <c r="AF543" s="12"/>
    </row>
    <row r="544" customFormat="false" ht="14.25" hidden="false" customHeight="false" outlineLevel="0" collapsed="false">
      <c r="B544" s="7"/>
      <c r="AF544" s="12"/>
    </row>
    <row r="545" customFormat="false" ht="14.25" hidden="false" customHeight="false" outlineLevel="0" collapsed="false">
      <c r="B545" s="7"/>
      <c r="AF545" s="12"/>
    </row>
    <row r="546" customFormat="false" ht="14.25" hidden="false" customHeight="false" outlineLevel="0" collapsed="false">
      <c r="B546" s="7"/>
      <c r="AF546" s="12"/>
    </row>
    <row r="547" customFormat="false" ht="14.25" hidden="false" customHeight="false" outlineLevel="0" collapsed="false">
      <c r="B547" s="7"/>
      <c r="AF547" s="12"/>
    </row>
    <row r="548" customFormat="false" ht="14.25" hidden="false" customHeight="false" outlineLevel="0" collapsed="false">
      <c r="B548" s="7"/>
      <c r="AF548" s="12"/>
    </row>
    <row r="549" customFormat="false" ht="14.25" hidden="false" customHeight="false" outlineLevel="0" collapsed="false">
      <c r="B549" s="7"/>
      <c r="AF549" s="12"/>
    </row>
    <row r="550" customFormat="false" ht="14.25" hidden="false" customHeight="false" outlineLevel="0" collapsed="false">
      <c r="B550" s="7"/>
      <c r="AF550" s="12"/>
    </row>
    <row r="551" customFormat="false" ht="14.25" hidden="false" customHeight="false" outlineLevel="0" collapsed="false">
      <c r="B551" s="7"/>
      <c r="AF551" s="12"/>
    </row>
    <row r="552" customFormat="false" ht="14.25" hidden="false" customHeight="false" outlineLevel="0" collapsed="false">
      <c r="B552" s="7"/>
      <c r="AF552" s="12"/>
    </row>
    <row r="553" customFormat="false" ht="14.25" hidden="false" customHeight="false" outlineLevel="0" collapsed="false">
      <c r="B553" s="7"/>
      <c r="AF553" s="12"/>
    </row>
    <row r="554" customFormat="false" ht="14.25" hidden="false" customHeight="false" outlineLevel="0" collapsed="false">
      <c r="B554" s="7"/>
      <c r="AF554" s="12"/>
    </row>
    <row r="555" customFormat="false" ht="14.25" hidden="false" customHeight="false" outlineLevel="0" collapsed="false">
      <c r="B555" s="7"/>
      <c r="AF555" s="12"/>
    </row>
    <row r="556" customFormat="false" ht="14.25" hidden="false" customHeight="false" outlineLevel="0" collapsed="false">
      <c r="B556" s="7"/>
      <c r="AF556" s="12"/>
    </row>
    <row r="557" customFormat="false" ht="14.25" hidden="false" customHeight="false" outlineLevel="0" collapsed="false">
      <c r="B557" s="7"/>
      <c r="AF557" s="12"/>
    </row>
    <row r="558" customFormat="false" ht="14.25" hidden="false" customHeight="false" outlineLevel="0" collapsed="false">
      <c r="B558" s="7"/>
      <c r="AF558" s="12"/>
    </row>
    <row r="559" customFormat="false" ht="14.25" hidden="false" customHeight="false" outlineLevel="0" collapsed="false">
      <c r="B559" s="7"/>
      <c r="AF559" s="12"/>
    </row>
    <row r="560" customFormat="false" ht="14.25" hidden="false" customHeight="false" outlineLevel="0" collapsed="false">
      <c r="B560" s="7"/>
      <c r="AF560" s="12"/>
    </row>
    <row r="561" customFormat="false" ht="14.25" hidden="false" customHeight="false" outlineLevel="0" collapsed="false">
      <c r="B561" s="7"/>
      <c r="AF561" s="12"/>
    </row>
    <row r="562" customFormat="false" ht="14.25" hidden="false" customHeight="false" outlineLevel="0" collapsed="false">
      <c r="B562" s="7"/>
      <c r="AF562" s="12"/>
    </row>
    <row r="563" customFormat="false" ht="14.25" hidden="false" customHeight="false" outlineLevel="0" collapsed="false">
      <c r="B563" s="7"/>
      <c r="AF563" s="12"/>
    </row>
    <row r="564" customFormat="false" ht="14.25" hidden="false" customHeight="false" outlineLevel="0" collapsed="false">
      <c r="B564" s="7"/>
      <c r="AF564" s="12"/>
    </row>
    <row r="565" customFormat="false" ht="14.25" hidden="false" customHeight="false" outlineLevel="0" collapsed="false">
      <c r="B565" s="7"/>
      <c r="AF565" s="12"/>
    </row>
    <row r="566" customFormat="false" ht="14.25" hidden="false" customHeight="false" outlineLevel="0" collapsed="false">
      <c r="B566" s="7"/>
      <c r="AF566" s="12"/>
    </row>
    <row r="567" customFormat="false" ht="14.25" hidden="false" customHeight="false" outlineLevel="0" collapsed="false">
      <c r="B567" s="7"/>
      <c r="AF567" s="12"/>
    </row>
    <row r="568" customFormat="false" ht="14.25" hidden="false" customHeight="false" outlineLevel="0" collapsed="false">
      <c r="B568" s="7"/>
      <c r="AF568" s="12"/>
    </row>
    <row r="569" customFormat="false" ht="14.25" hidden="false" customHeight="false" outlineLevel="0" collapsed="false">
      <c r="B569" s="7"/>
      <c r="AF569" s="12"/>
    </row>
    <row r="570" customFormat="false" ht="14.25" hidden="false" customHeight="false" outlineLevel="0" collapsed="false">
      <c r="B570" s="7"/>
      <c r="AF570" s="12"/>
    </row>
    <row r="571" customFormat="false" ht="14.25" hidden="false" customHeight="false" outlineLevel="0" collapsed="false">
      <c r="B571" s="7"/>
      <c r="AF571" s="12"/>
    </row>
    <row r="572" customFormat="false" ht="14.25" hidden="false" customHeight="false" outlineLevel="0" collapsed="false">
      <c r="B572" s="7"/>
      <c r="AF572" s="12"/>
    </row>
    <row r="573" customFormat="false" ht="14.25" hidden="false" customHeight="false" outlineLevel="0" collapsed="false">
      <c r="B573" s="7"/>
      <c r="AF573" s="12"/>
    </row>
    <row r="574" customFormat="false" ht="14.25" hidden="false" customHeight="false" outlineLevel="0" collapsed="false">
      <c r="B574" s="7"/>
      <c r="AF574" s="12"/>
    </row>
    <row r="575" customFormat="false" ht="14.25" hidden="false" customHeight="false" outlineLevel="0" collapsed="false">
      <c r="B575" s="7"/>
      <c r="AF575" s="12"/>
    </row>
    <row r="576" customFormat="false" ht="14.25" hidden="false" customHeight="false" outlineLevel="0" collapsed="false">
      <c r="B576" s="7"/>
      <c r="AF576" s="12"/>
    </row>
    <row r="577" customFormat="false" ht="14.25" hidden="false" customHeight="true" outlineLevel="0" collapsed="false">
      <c r="B577" s="36"/>
      <c r="C577" s="37"/>
      <c r="D577" s="37"/>
      <c r="E577" s="37"/>
      <c r="F577" s="37"/>
      <c r="G577" s="37"/>
      <c r="H577" s="37"/>
      <c r="I577" s="37"/>
      <c r="J577" s="37"/>
      <c r="K577" s="37"/>
      <c r="L577" s="37"/>
      <c r="M577" s="37"/>
      <c r="N577" s="37"/>
      <c r="O577" s="37"/>
      <c r="P577" s="37"/>
      <c r="Q577" s="37"/>
      <c r="R577" s="37"/>
      <c r="S577" s="37"/>
      <c r="T577" s="37"/>
      <c r="U577" s="37"/>
      <c r="V577" s="37"/>
      <c r="W577" s="37"/>
      <c r="X577" s="38" t="s">
        <v>93</v>
      </c>
      <c r="Y577" s="38"/>
      <c r="Z577" s="38"/>
      <c r="AA577" s="38"/>
      <c r="AB577" s="38" t="n">
        <v>8</v>
      </c>
      <c r="AC577" s="38"/>
      <c r="AD577" s="38"/>
      <c r="AE577" s="38"/>
      <c r="AF577" s="39"/>
    </row>
  </sheetData>
  <mergeCells count="1932">
    <mergeCell ref="C2:G2"/>
    <mergeCell ref="H2:W2"/>
    <mergeCell ref="X2:AA2"/>
    <mergeCell ref="AB2:AE2"/>
    <mergeCell ref="C3:G3"/>
    <mergeCell ref="H3:W3"/>
    <mergeCell ref="X3:AA3"/>
    <mergeCell ref="AB3:AE3"/>
    <mergeCell ref="C4:G4"/>
    <mergeCell ref="H4:W4"/>
    <mergeCell ref="X4:AA4"/>
    <mergeCell ref="AB4:AE4"/>
    <mergeCell ref="C5:G5"/>
    <mergeCell ref="H5:W5"/>
    <mergeCell ref="X5:AA5"/>
    <mergeCell ref="AB5:AE5"/>
    <mergeCell ref="C7:AE7"/>
    <mergeCell ref="C8:AE8"/>
    <mergeCell ref="C9:AE9"/>
    <mergeCell ref="C11:AE11"/>
    <mergeCell ref="C12:N12"/>
    <mergeCell ref="O12:W12"/>
    <mergeCell ref="X12:Z12"/>
    <mergeCell ref="AA12:AC12"/>
    <mergeCell ref="AD12:AE12"/>
    <mergeCell ref="C13:N13"/>
    <mergeCell ref="O13:W13"/>
    <mergeCell ref="X13:Z13"/>
    <mergeCell ref="AA13:AC13"/>
    <mergeCell ref="AD13:AE13"/>
    <mergeCell ref="C14:N14"/>
    <mergeCell ref="O14:W14"/>
    <mergeCell ref="X14:Z14"/>
    <mergeCell ref="AA14:AC14"/>
    <mergeCell ref="AD14:AE14"/>
    <mergeCell ref="C15:N15"/>
    <mergeCell ref="O15:W15"/>
    <mergeCell ref="X15:Z15"/>
    <mergeCell ref="AA15:AC15"/>
    <mergeCell ref="AD15:AE15"/>
    <mergeCell ref="C16:N16"/>
    <mergeCell ref="O16:W16"/>
    <mergeCell ref="X16:Z16"/>
    <mergeCell ref="AA16:AC16"/>
    <mergeCell ref="AD16:AE16"/>
    <mergeCell ref="C17:N17"/>
    <mergeCell ref="O17:W17"/>
    <mergeCell ref="X17:Z17"/>
    <mergeCell ref="AA17:AC17"/>
    <mergeCell ref="AD17:AE17"/>
    <mergeCell ref="C19:AE19"/>
    <mergeCell ref="C20:N20"/>
    <mergeCell ref="O20:W20"/>
    <mergeCell ref="X20:Z20"/>
    <mergeCell ref="AA20:AC20"/>
    <mergeCell ref="AD20:AE20"/>
    <mergeCell ref="C21:N21"/>
    <mergeCell ref="O21:W21"/>
    <mergeCell ref="X21:Z21"/>
    <mergeCell ref="AA21:AC21"/>
    <mergeCell ref="AD21:AE21"/>
    <mergeCell ref="C22:N22"/>
    <mergeCell ref="O22:W22"/>
    <mergeCell ref="X22:Z22"/>
    <mergeCell ref="AA22:AC22"/>
    <mergeCell ref="AD22:AE22"/>
    <mergeCell ref="C23:N23"/>
    <mergeCell ref="O23:W23"/>
    <mergeCell ref="X23:Z23"/>
    <mergeCell ref="AA23:AC23"/>
    <mergeCell ref="AD23:AE23"/>
    <mergeCell ref="C41:AE41"/>
    <mergeCell ref="X73:AA73"/>
    <mergeCell ref="AB73:AE73"/>
    <mergeCell ref="C74:G74"/>
    <mergeCell ref="H74:W74"/>
    <mergeCell ref="X74:AA74"/>
    <mergeCell ref="AB74:AE74"/>
    <mergeCell ref="C75:G75"/>
    <mergeCell ref="H75:W75"/>
    <mergeCell ref="X75:AA75"/>
    <mergeCell ref="AB75:AE75"/>
    <mergeCell ref="C76:G76"/>
    <mergeCell ref="H76:W76"/>
    <mergeCell ref="X76:AA76"/>
    <mergeCell ref="AB76:AE76"/>
    <mergeCell ref="C77:G77"/>
    <mergeCell ref="H77:W77"/>
    <mergeCell ref="X77:AA77"/>
    <mergeCell ref="AB77:AE77"/>
    <mergeCell ref="C79:AE79"/>
    <mergeCell ref="C80:AE80"/>
    <mergeCell ref="C81:D81"/>
    <mergeCell ref="E81:G81"/>
    <mergeCell ref="H81:J81"/>
    <mergeCell ref="K81:M81"/>
    <mergeCell ref="N81:P81"/>
    <mergeCell ref="Q81:S81"/>
    <mergeCell ref="T81:U81"/>
    <mergeCell ref="V81:W81"/>
    <mergeCell ref="X81:Y81"/>
    <mergeCell ref="Z81:AB81"/>
    <mergeCell ref="AC81:AE81"/>
    <mergeCell ref="C82:D82"/>
    <mergeCell ref="E82:G82"/>
    <mergeCell ref="H82:J82"/>
    <mergeCell ref="K82:M82"/>
    <mergeCell ref="N82:P82"/>
    <mergeCell ref="Q82:S82"/>
    <mergeCell ref="T82:U82"/>
    <mergeCell ref="V82:W82"/>
    <mergeCell ref="X82:Y82"/>
    <mergeCell ref="Z82:AB82"/>
    <mergeCell ref="AC82:AE82"/>
    <mergeCell ref="C83:D83"/>
    <mergeCell ref="E83:G83"/>
    <mergeCell ref="H83:J83"/>
    <mergeCell ref="K83:M83"/>
    <mergeCell ref="N83:P83"/>
    <mergeCell ref="Q83:S83"/>
    <mergeCell ref="T83:U83"/>
    <mergeCell ref="V83:W83"/>
    <mergeCell ref="X83:Y83"/>
    <mergeCell ref="Z83:AB83"/>
    <mergeCell ref="AC83:AE83"/>
    <mergeCell ref="C84:D84"/>
    <mergeCell ref="E84:G84"/>
    <mergeCell ref="H84:J84"/>
    <mergeCell ref="K84:M84"/>
    <mergeCell ref="N84:P84"/>
    <mergeCell ref="Q84:S84"/>
    <mergeCell ref="T84:U84"/>
    <mergeCell ref="V84:W84"/>
    <mergeCell ref="X84:Y84"/>
    <mergeCell ref="Z84:AB84"/>
    <mergeCell ref="AC84:AE84"/>
    <mergeCell ref="C85:D85"/>
    <mergeCell ref="E85:G85"/>
    <mergeCell ref="H85:J85"/>
    <mergeCell ref="K85:M85"/>
    <mergeCell ref="N85:P85"/>
    <mergeCell ref="Q85:S85"/>
    <mergeCell ref="T85:U85"/>
    <mergeCell ref="V85:W85"/>
    <mergeCell ref="X85:Y85"/>
    <mergeCell ref="Z85:AB85"/>
    <mergeCell ref="AC85:AE85"/>
    <mergeCell ref="C86:D86"/>
    <mergeCell ref="E86:G86"/>
    <mergeCell ref="H86:J86"/>
    <mergeCell ref="K86:M86"/>
    <mergeCell ref="N86:P86"/>
    <mergeCell ref="Q86:S86"/>
    <mergeCell ref="T86:U86"/>
    <mergeCell ref="V86:W86"/>
    <mergeCell ref="X86:Y86"/>
    <mergeCell ref="Z86:AB86"/>
    <mergeCell ref="AC86:AE86"/>
    <mergeCell ref="C87:D87"/>
    <mergeCell ref="E87:G87"/>
    <mergeCell ref="H87:J87"/>
    <mergeCell ref="K87:M87"/>
    <mergeCell ref="N87:P87"/>
    <mergeCell ref="Q87:S87"/>
    <mergeCell ref="T87:U87"/>
    <mergeCell ref="V87:W87"/>
    <mergeCell ref="X87:Y87"/>
    <mergeCell ref="Z87:AB87"/>
    <mergeCell ref="AC87:AE87"/>
    <mergeCell ref="C88:D88"/>
    <mergeCell ref="E88:G88"/>
    <mergeCell ref="H88:J88"/>
    <mergeCell ref="K88:M88"/>
    <mergeCell ref="N88:P88"/>
    <mergeCell ref="Q88:S88"/>
    <mergeCell ref="T88:U88"/>
    <mergeCell ref="V88:W88"/>
    <mergeCell ref="X88:Y88"/>
    <mergeCell ref="Z88:AB88"/>
    <mergeCell ref="AC88:AE88"/>
    <mergeCell ref="C89:D89"/>
    <mergeCell ref="E89:G89"/>
    <mergeCell ref="H89:J89"/>
    <mergeCell ref="K89:M89"/>
    <mergeCell ref="N89:P89"/>
    <mergeCell ref="Q89:S89"/>
    <mergeCell ref="T89:U89"/>
    <mergeCell ref="V89:W89"/>
    <mergeCell ref="X89:Y89"/>
    <mergeCell ref="Z89:AB89"/>
    <mergeCell ref="AC89:AE89"/>
    <mergeCell ref="C90:D90"/>
    <mergeCell ref="E90:G90"/>
    <mergeCell ref="H90:J90"/>
    <mergeCell ref="K90:M90"/>
    <mergeCell ref="N90:P90"/>
    <mergeCell ref="Q90:S90"/>
    <mergeCell ref="T90:U90"/>
    <mergeCell ref="V90:W90"/>
    <mergeCell ref="X90:Y90"/>
    <mergeCell ref="Z90:AB90"/>
    <mergeCell ref="AC90:AE90"/>
    <mergeCell ref="C91:D91"/>
    <mergeCell ref="E91:G91"/>
    <mergeCell ref="H91:J91"/>
    <mergeCell ref="K91:M91"/>
    <mergeCell ref="N91:P91"/>
    <mergeCell ref="Q91:S91"/>
    <mergeCell ref="T91:U91"/>
    <mergeCell ref="V91:W91"/>
    <mergeCell ref="X91:Y91"/>
    <mergeCell ref="Z91:AB91"/>
    <mergeCell ref="AC91:AE91"/>
    <mergeCell ref="C92:D92"/>
    <mergeCell ref="E92:G92"/>
    <mergeCell ref="H92:J92"/>
    <mergeCell ref="K92:M92"/>
    <mergeCell ref="N92:P92"/>
    <mergeCell ref="Q92:S92"/>
    <mergeCell ref="T92:U92"/>
    <mergeCell ref="V92:W92"/>
    <mergeCell ref="X92:Y92"/>
    <mergeCell ref="Z92:AB92"/>
    <mergeCell ref="AC92:AE92"/>
    <mergeCell ref="C93:D93"/>
    <mergeCell ref="E93:G93"/>
    <mergeCell ref="H93:J93"/>
    <mergeCell ref="K93:M93"/>
    <mergeCell ref="N93:P93"/>
    <mergeCell ref="Q93:S93"/>
    <mergeCell ref="T93:U93"/>
    <mergeCell ref="V93:W93"/>
    <mergeCell ref="X93:Y93"/>
    <mergeCell ref="Z93:AB93"/>
    <mergeCell ref="AC93:AE93"/>
    <mergeCell ref="C94:D94"/>
    <mergeCell ref="E94:G94"/>
    <mergeCell ref="H94:J94"/>
    <mergeCell ref="K94:M94"/>
    <mergeCell ref="N94:P94"/>
    <mergeCell ref="Q94:S94"/>
    <mergeCell ref="T94:U94"/>
    <mergeCell ref="V94:W94"/>
    <mergeCell ref="X94:Y94"/>
    <mergeCell ref="Z94:AB94"/>
    <mergeCell ref="AC94:AE94"/>
    <mergeCell ref="C95:D95"/>
    <mergeCell ref="E95:G95"/>
    <mergeCell ref="H95:J95"/>
    <mergeCell ref="K95:M95"/>
    <mergeCell ref="N95:P95"/>
    <mergeCell ref="Q95:S95"/>
    <mergeCell ref="T95:U95"/>
    <mergeCell ref="V95:W95"/>
    <mergeCell ref="X95:Y95"/>
    <mergeCell ref="Z95:AB95"/>
    <mergeCell ref="AC95:AE95"/>
    <mergeCell ref="C96:D96"/>
    <mergeCell ref="E96:G96"/>
    <mergeCell ref="H96:J96"/>
    <mergeCell ref="K96:M96"/>
    <mergeCell ref="N96:P96"/>
    <mergeCell ref="Q96:S96"/>
    <mergeCell ref="T96:U96"/>
    <mergeCell ref="V96:W96"/>
    <mergeCell ref="X96:Y96"/>
    <mergeCell ref="Z96:AB96"/>
    <mergeCell ref="AC96:AE96"/>
    <mergeCell ref="C97:D97"/>
    <mergeCell ref="E97:G97"/>
    <mergeCell ref="H97:J97"/>
    <mergeCell ref="K97:M97"/>
    <mergeCell ref="N97:P97"/>
    <mergeCell ref="Q97:S97"/>
    <mergeCell ref="T97:U97"/>
    <mergeCell ref="V97:W97"/>
    <mergeCell ref="X97:Y97"/>
    <mergeCell ref="Z97:AB97"/>
    <mergeCell ref="AC97:AE97"/>
    <mergeCell ref="C98:D98"/>
    <mergeCell ref="E98:G98"/>
    <mergeCell ref="H98:J98"/>
    <mergeCell ref="K98:M98"/>
    <mergeCell ref="N98:P98"/>
    <mergeCell ref="Q98:S98"/>
    <mergeCell ref="T98:U98"/>
    <mergeCell ref="V98:W98"/>
    <mergeCell ref="X98:Y98"/>
    <mergeCell ref="Z98:AB98"/>
    <mergeCell ref="AC98:AE98"/>
    <mergeCell ref="C99:D99"/>
    <mergeCell ref="E99:G99"/>
    <mergeCell ref="H99:J99"/>
    <mergeCell ref="K99:M99"/>
    <mergeCell ref="N99:P99"/>
    <mergeCell ref="Q99:S99"/>
    <mergeCell ref="T99:U99"/>
    <mergeCell ref="V99:W99"/>
    <mergeCell ref="X99:Y99"/>
    <mergeCell ref="Z99:AB99"/>
    <mergeCell ref="AC99:AE99"/>
    <mergeCell ref="C100:D100"/>
    <mergeCell ref="E100:G100"/>
    <mergeCell ref="H100:J100"/>
    <mergeCell ref="K100:M100"/>
    <mergeCell ref="N100:P100"/>
    <mergeCell ref="Q100:S100"/>
    <mergeCell ref="T100:U100"/>
    <mergeCell ref="V100:W100"/>
    <mergeCell ref="X100:Y100"/>
    <mergeCell ref="Z100:AB100"/>
    <mergeCell ref="AC100:AE100"/>
    <mergeCell ref="C101:D101"/>
    <mergeCell ref="E101:G101"/>
    <mergeCell ref="H101:J101"/>
    <mergeCell ref="K101:M101"/>
    <mergeCell ref="N101:P101"/>
    <mergeCell ref="Q101:S101"/>
    <mergeCell ref="T101:U101"/>
    <mergeCell ref="V101:W101"/>
    <mergeCell ref="X101:Y101"/>
    <mergeCell ref="Z101:AB101"/>
    <mergeCell ref="AC101:AE101"/>
    <mergeCell ref="C102:D102"/>
    <mergeCell ref="E102:G102"/>
    <mergeCell ref="H102:J102"/>
    <mergeCell ref="K102:M102"/>
    <mergeCell ref="N102:P102"/>
    <mergeCell ref="Q102:S102"/>
    <mergeCell ref="T102:U102"/>
    <mergeCell ref="V102:W102"/>
    <mergeCell ref="X102:Y102"/>
    <mergeCell ref="Z102:AB102"/>
    <mergeCell ref="AC102:AE102"/>
    <mergeCell ref="C103:D103"/>
    <mergeCell ref="E103:G103"/>
    <mergeCell ref="H103:J103"/>
    <mergeCell ref="K103:M103"/>
    <mergeCell ref="N103:P103"/>
    <mergeCell ref="Q103:S103"/>
    <mergeCell ref="T103:U103"/>
    <mergeCell ref="V103:W103"/>
    <mergeCell ref="X103:Y103"/>
    <mergeCell ref="Z103:AB103"/>
    <mergeCell ref="AC103:AE103"/>
    <mergeCell ref="C104:D104"/>
    <mergeCell ref="E104:G104"/>
    <mergeCell ref="H104:J104"/>
    <mergeCell ref="K104:M104"/>
    <mergeCell ref="N104:P104"/>
    <mergeCell ref="Q104:S104"/>
    <mergeCell ref="T104:U104"/>
    <mergeCell ref="V104:W104"/>
    <mergeCell ref="X104:Y104"/>
    <mergeCell ref="Z104:AB104"/>
    <mergeCell ref="AC104:AE104"/>
    <mergeCell ref="C105:D105"/>
    <mergeCell ref="E105:G105"/>
    <mergeCell ref="H105:J105"/>
    <mergeCell ref="K105:M105"/>
    <mergeCell ref="N105:P105"/>
    <mergeCell ref="Q105:S105"/>
    <mergeCell ref="T105:U105"/>
    <mergeCell ref="V105:W105"/>
    <mergeCell ref="X105:Y105"/>
    <mergeCell ref="Z105:AB105"/>
    <mergeCell ref="AC105:AE105"/>
    <mergeCell ref="C106:D106"/>
    <mergeCell ref="E106:G106"/>
    <mergeCell ref="H106:J106"/>
    <mergeCell ref="K106:M106"/>
    <mergeCell ref="N106:P106"/>
    <mergeCell ref="Q106:S106"/>
    <mergeCell ref="T106:U106"/>
    <mergeCell ref="V106:W106"/>
    <mergeCell ref="X106:Y106"/>
    <mergeCell ref="Z106:AB106"/>
    <mergeCell ref="AC106:AE106"/>
    <mergeCell ref="C107:D107"/>
    <mergeCell ref="E107:G107"/>
    <mergeCell ref="H107:J107"/>
    <mergeCell ref="K107:M107"/>
    <mergeCell ref="N107:P107"/>
    <mergeCell ref="Q107:S107"/>
    <mergeCell ref="T107:U107"/>
    <mergeCell ref="V107:W107"/>
    <mergeCell ref="X107:Y107"/>
    <mergeCell ref="Z107:AB107"/>
    <mergeCell ref="AC107:AE107"/>
    <mergeCell ref="C108:D108"/>
    <mergeCell ref="E108:G108"/>
    <mergeCell ref="H108:J108"/>
    <mergeCell ref="K108:M108"/>
    <mergeCell ref="N108:P108"/>
    <mergeCell ref="Q108:S108"/>
    <mergeCell ref="T108:U108"/>
    <mergeCell ref="V108:W108"/>
    <mergeCell ref="X108:Y108"/>
    <mergeCell ref="Z108:AB108"/>
    <mergeCell ref="AC108:AE108"/>
    <mergeCell ref="C109:D109"/>
    <mergeCell ref="E109:G109"/>
    <mergeCell ref="H109:J109"/>
    <mergeCell ref="K109:M109"/>
    <mergeCell ref="N109:P109"/>
    <mergeCell ref="Q109:S109"/>
    <mergeCell ref="T109:U109"/>
    <mergeCell ref="V109:W109"/>
    <mergeCell ref="X109:Y109"/>
    <mergeCell ref="Z109:AB109"/>
    <mergeCell ref="AC109:AE109"/>
    <mergeCell ref="C110:D110"/>
    <mergeCell ref="E110:G110"/>
    <mergeCell ref="H110:J110"/>
    <mergeCell ref="K110:M110"/>
    <mergeCell ref="N110:P110"/>
    <mergeCell ref="Q110:S110"/>
    <mergeCell ref="T110:U110"/>
    <mergeCell ref="V110:W110"/>
    <mergeCell ref="X110:Y110"/>
    <mergeCell ref="Z110:AB110"/>
    <mergeCell ref="AC110:AE110"/>
    <mergeCell ref="C111:D111"/>
    <mergeCell ref="E111:G111"/>
    <mergeCell ref="H111:J111"/>
    <mergeCell ref="K111:M111"/>
    <mergeCell ref="N111:P111"/>
    <mergeCell ref="Q111:S111"/>
    <mergeCell ref="T111:U111"/>
    <mergeCell ref="V111:W111"/>
    <mergeCell ref="X111:Y111"/>
    <mergeCell ref="Z111:AB111"/>
    <mergeCell ref="AC111:AE111"/>
    <mergeCell ref="C112:D112"/>
    <mergeCell ref="E112:G112"/>
    <mergeCell ref="H112:J112"/>
    <mergeCell ref="K112:M112"/>
    <mergeCell ref="N112:P112"/>
    <mergeCell ref="Q112:S112"/>
    <mergeCell ref="T112:U112"/>
    <mergeCell ref="V112:W112"/>
    <mergeCell ref="X112:Y112"/>
    <mergeCell ref="Z112:AB112"/>
    <mergeCell ref="AC112:AE112"/>
    <mergeCell ref="C113:D113"/>
    <mergeCell ref="E113:G113"/>
    <mergeCell ref="H113:J113"/>
    <mergeCell ref="K113:M113"/>
    <mergeCell ref="N113:P113"/>
    <mergeCell ref="Q113:S113"/>
    <mergeCell ref="T113:U113"/>
    <mergeCell ref="V113:W113"/>
    <mergeCell ref="X113:Y113"/>
    <mergeCell ref="Z113:AB113"/>
    <mergeCell ref="AC113:AE113"/>
    <mergeCell ref="C114:D114"/>
    <mergeCell ref="E114:G114"/>
    <mergeCell ref="H114:J114"/>
    <mergeCell ref="K114:M114"/>
    <mergeCell ref="N114:P114"/>
    <mergeCell ref="Q114:S114"/>
    <mergeCell ref="T114:U114"/>
    <mergeCell ref="V114:W114"/>
    <mergeCell ref="X114:Y114"/>
    <mergeCell ref="Z114:AB114"/>
    <mergeCell ref="AC114:AE114"/>
    <mergeCell ref="C115:D115"/>
    <mergeCell ref="E115:G115"/>
    <mergeCell ref="H115:J115"/>
    <mergeCell ref="K115:M115"/>
    <mergeCell ref="N115:P115"/>
    <mergeCell ref="Q115:S115"/>
    <mergeCell ref="T115:U115"/>
    <mergeCell ref="V115:W115"/>
    <mergeCell ref="X115:Y115"/>
    <mergeCell ref="Z115:AB115"/>
    <mergeCell ref="AC115:AE115"/>
    <mergeCell ref="C116:D116"/>
    <mergeCell ref="E116:G116"/>
    <mergeCell ref="H116:J116"/>
    <mergeCell ref="K116:M116"/>
    <mergeCell ref="N116:P116"/>
    <mergeCell ref="Q116:S116"/>
    <mergeCell ref="T116:U116"/>
    <mergeCell ref="V116:W116"/>
    <mergeCell ref="X116:Y116"/>
    <mergeCell ref="Z116:AB116"/>
    <mergeCell ref="AC116:AE116"/>
    <mergeCell ref="C117:D117"/>
    <mergeCell ref="E117:G117"/>
    <mergeCell ref="H117:J117"/>
    <mergeCell ref="K117:M117"/>
    <mergeCell ref="N117:P117"/>
    <mergeCell ref="Q117:S117"/>
    <mergeCell ref="T117:U117"/>
    <mergeCell ref="V117:W117"/>
    <mergeCell ref="X117:Y117"/>
    <mergeCell ref="Z117:AB117"/>
    <mergeCell ref="AC117:AE117"/>
    <mergeCell ref="C118:D118"/>
    <mergeCell ref="E118:G118"/>
    <mergeCell ref="H118:J118"/>
    <mergeCell ref="K118:M118"/>
    <mergeCell ref="N118:P118"/>
    <mergeCell ref="Q118:S118"/>
    <mergeCell ref="T118:U118"/>
    <mergeCell ref="V118:W118"/>
    <mergeCell ref="X118:Y118"/>
    <mergeCell ref="Z118:AB118"/>
    <mergeCell ref="AC118:AE118"/>
    <mergeCell ref="C119:D119"/>
    <mergeCell ref="E119:G119"/>
    <mergeCell ref="H119:J119"/>
    <mergeCell ref="K119:M119"/>
    <mergeCell ref="N119:P119"/>
    <mergeCell ref="Q119:S119"/>
    <mergeCell ref="T119:U119"/>
    <mergeCell ref="V119:W119"/>
    <mergeCell ref="X119:Y119"/>
    <mergeCell ref="Z119:AB119"/>
    <mergeCell ref="AC119:AE119"/>
    <mergeCell ref="C120:D120"/>
    <mergeCell ref="E120:G120"/>
    <mergeCell ref="H120:J120"/>
    <mergeCell ref="K120:M120"/>
    <mergeCell ref="N120:P120"/>
    <mergeCell ref="Q120:S120"/>
    <mergeCell ref="T120:U120"/>
    <mergeCell ref="V120:W120"/>
    <mergeCell ref="X120:Y120"/>
    <mergeCell ref="Z120:AB120"/>
    <mergeCell ref="AC120:AE120"/>
    <mergeCell ref="C121:D121"/>
    <mergeCell ref="E121:G121"/>
    <mergeCell ref="H121:J121"/>
    <mergeCell ref="K121:M121"/>
    <mergeCell ref="N121:P121"/>
    <mergeCell ref="Q121:S121"/>
    <mergeCell ref="T121:U121"/>
    <mergeCell ref="V121:W121"/>
    <mergeCell ref="X121:Y121"/>
    <mergeCell ref="Z121:AB121"/>
    <mergeCell ref="AC121:AE121"/>
    <mergeCell ref="C122:D122"/>
    <mergeCell ref="E122:G122"/>
    <mergeCell ref="H122:J122"/>
    <mergeCell ref="K122:M122"/>
    <mergeCell ref="N122:P122"/>
    <mergeCell ref="Q122:S122"/>
    <mergeCell ref="T122:U122"/>
    <mergeCell ref="V122:W122"/>
    <mergeCell ref="X122:Y122"/>
    <mergeCell ref="Z122:AB122"/>
    <mergeCell ref="AC122:AE122"/>
    <mergeCell ref="C123:D123"/>
    <mergeCell ref="E123:G123"/>
    <mergeCell ref="H123:J123"/>
    <mergeCell ref="K123:M123"/>
    <mergeCell ref="N123:P123"/>
    <mergeCell ref="Q123:S123"/>
    <mergeCell ref="T123:U123"/>
    <mergeCell ref="V123:W123"/>
    <mergeCell ref="X123:Y123"/>
    <mergeCell ref="Z123:AB123"/>
    <mergeCell ref="AC123:AE123"/>
    <mergeCell ref="C124:AE124"/>
    <mergeCell ref="C125:AE125"/>
    <mergeCell ref="X145:AA145"/>
    <mergeCell ref="AB145:AE145"/>
    <mergeCell ref="C146:G146"/>
    <mergeCell ref="H146:W146"/>
    <mergeCell ref="X146:AA146"/>
    <mergeCell ref="AB146:AE146"/>
    <mergeCell ref="C147:G147"/>
    <mergeCell ref="H147:W147"/>
    <mergeCell ref="X147:AA147"/>
    <mergeCell ref="AB147:AE147"/>
    <mergeCell ref="C148:G148"/>
    <mergeCell ref="H148:W148"/>
    <mergeCell ref="X148:AA148"/>
    <mergeCell ref="AB148:AE148"/>
    <mergeCell ref="C149:G149"/>
    <mergeCell ref="H149:W149"/>
    <mergeCell ref="X149:AA149"/>
    <mergeCell ref="AB149:AE149"/>
    <mergeCell ref="C151:AE151"/>
    <mergeCell ref="C152:AE152"/>
    <mergeCell ref="C153:AE153"/>
    <mergeCell ref="C154:AE154"/>
    <mergeCell ref="C155:AE155"/>
    <mergeCell ref="C156:AE156"/>
    <mergeCell ref="C170:AE170"/>
    <mergeCell ref="C172:AE172"/>
    <mergeCell ref="C173:N173"/>
    <mergeCell ref="O173:W173"/>
    <mergeCell ref="X173:Z173"/>
    <mergeCell ref="AA173:AC173"/>
    <mergeCell ref="AD173:AE173"/>
    <mergeCell ref="C174:N174"/>
    <mergeCell ref="O174:W174"/>
    <mergeCell ref="X174:Z174"/>
    <mergeCell ref="AA174:AC174"/>
    <mergeCell ref="AD174:AE174"/>
    <mergeCell ref="C175:N175"/>
    <mergeCell ref="O175:W175"/>
    <mergeCell ref="X175:Z175"/>
    <mergeCell ref="AA175:AC175"/>
    <mergeCell ref="AD175:AE175"/>
    <mergeCell ref="C176:N176"/>
    <mergeCell ref="O176:W176"/>
    <mergeCell ref="X176:Z176"/>
    <mergeCell ref="AA176:AC176"/>
    <mergeCell ref="AD176:AE176"/>
    <mergeCell ref="C177:N177"/>
    <mergeCell ref="O177:W177"/>
    <mergeCell ref="X177:Z177"/>
    <mergeCell ref="AA177:AC177"/>
    <mergeCell ref="AD177:AE177"/>
    <mergeCell ref="C178:N178"/>
    <mergeCell ref="O178:W178"/>
    <mergeCell ref="X178:Z178"/>
    <mergeCell ref="AA178:AC178"/>
    <mergeCell ref="AD178:AE178"/>
    <mergeCell ref="C179:N179"/>
    <mergeCell ref="O179:W179"/>
    <mergeCell ref="X179:Z179"/>
    <mergeCell ref="AA179:AC179"/>
    <mergeCell ref="AD179:AE179"/>
    <mergeCell ref="C180:N180"/>
    <mergeCell ref="O180:W180"/>
    <mergeCell ref="X180:Z180"/>
    <mergeCell ref="AA180:AC180"/>
    <mergeCell ref="AD180:AE180"/>
    <mergeCell ref="C181:N181"/>
    <mergeCell ref="O181:W181"/>
    <mergeCell ref="X181:Z181"/>
    <mergeCell ref="AA181:AC181"/>
    <mergeCell ref="AD181:AE181"/>
    <mergeCell ref="C182:N182"/>
    <mergeCell ref="O182:W182"/>
    <mergeCell ref="X182:Z182"/>
    <mergeCell ref="AA182:AC182"/>
    <mergeCell ref="AD182:AE182"/>
    <mergeCell ref="C183:N183"/>
    <mergeCell ref="O183:W183"/>
    <mergeCell ref="X183:Z183"/>
    <mergeCell ref="AA183:AC183"/>
    <mergeCell ref="AD183:AE183"/>
    <mergeCell ref="C184:N184"/>
    <mergeCell ref="O184:W184"/>
    <mergeCell ref="X184:Z184"/>
    <mergeCell ref="AA184:AC184"/>
    <mergeCell ref="AD184:AE184"/>
    <mergeCell ref="C185:N185"/>
    <mergeCell ref="O185:W185"/>
    <mergeCell ref="X185:Z185"/>
    <mergeCell ref="AA185:AC185"/>
    <mergeCell ref="AD185:AE185"/>
    <mergeCell ref="C186:N186"/>
    <mergeCell ref="O186:W186"/>
    <mergeCell ref="X186:Z186"/>
    <mergeCell ref="AA186:AC186"/>
    <mergeCell ref="AD186:AE186"/>
    <mergeCell ref="C187:N187"/>
    <mergeCell ref="O187:W187"/>
    <mergeCell ref="X187:Z187"/>
    <mergeCell ref="AA187:AC187"/>
    <mergeCell ref="AD187:AE187"/>
    <mergeCell ref="C188:N188"/>
    <mergeCell ref="O188:W188"/>
    <mergeCell ref="X188:Z188"/>
    <mergeCell ref="AA188:AC188"/>
    <mergeCell ref="AD188:AE188"/>
    <mergeCell ref="C189:N189"/>
    <mergeCell ref="X189:AE189"/>
    <mergeCell ref="C191:AE191"/>
    <mergeCell ref="C192:N192"/>
    <mergeCell ref="O192:W192"/>
    <mergeCell ref="X192:Z192"/>
    <mergeCell ref="AA192:AC192"/>
    <mergeCell ref="AD192:AE192"/>
    <mergeCell ref="C193:N193"/>
    <mergeCell ref="O193:W193"/>
    <mergeCell ref="X193:Z193"/>
    <mergeCell ref="AA193:AC193"/>
    <mergeCell ref="AD193:AE193"/>
    <mergeCell ref="C194:N194"/>
    <mergeCell ref="O194:W194"/>
    <mergeCell ref="X194:Z194"/>
    <mergeCell ref="AA194:AC194"/>
    <mergeCell ref="AD194:AE194"/>
    <mergeCell ref="C195:N195"/>
    <mergeCell ref="O195:W195"/>
    <mergeCell ref="X195:Z195"/>
    <mergeCell ref="AA195:AC195"/>
    <mergeCell ref="AD195:AE195"/>
    <mergeCell ref="C196:N196"/>
    <mergeCell ref="O196:W196"/>
    <mergeCell ref="X196:Z196"/>
    <mergeCell ref="AA196:AC196"/>
    <mergeCell ref="AD196:AE196"/>
    <mergeCell ref="C197:N197"/>
    <mergeCell ref="O197:W197"/>
    <mergeCell ref="X197:Z197"/>
    <mergeCell ref="AA197:AC197"/>
    <mergeCell ref="AD197:AE197"/>
    <mergeCell ref="C198:N198"/>
    <mergeCell ref="O198:W198"/>
    <mergeCell ref="X198:Z198"/>
    <mergeCell ref="AA198:AC198"/>
    <mergeCell ref="AD198:AE198"/>
    <mergeCell ref="C199:N199"/>
    <mergeCell ref="O199:W199"/>
    <mergeCell ref="X199:Z199"/>
    <mergeCell ref="AA199:AC199"/>
    <mergeCell ref="AD199:AE199"/>
    <mergeCell ref="C200:N200"/>
    <mergeCell ref="O200:W200"/>
    <mergeCell ref="X200:Z200"/>
    <mergeCell ref="AA200:AC200"/>
    <mergeCell ref="AD200:AE200"/>
    <mergeCell ref="C201:N201"/>
    <mergeCell ref="O201:W201"/>
    <mergeCell ref="X201:Z201"/>
    <mergeCell ref="AA201:AC201"/>
    <mergeCell ref="AD201:AE201"/>
    <mergeCell ref="C202:N202"/>
    <mergeCell ref="O202:W202"/>
    <mergeCell ref="X202:Z202"/>
    <mergeCell ref="AA202:AC202"/>
    <mergeCell ref="AD202:AE202"/>
    <mergeCell ref="C203:N203"/>
    <mergeCell ref="O203:W203"/>
    <mergeCell ref="X203:Z203"/>
    <mergeCell ref="AA203:AC203"/>
    <mergeCell ref="AD203:AE203"/>
    <mergeCell ref="C204:N204"/>
    <mergeCell ref="O204:W204"/>
    <mergeCell ref="X204:Z204"/>
    <mergeCell ref="AA204:AC204"/>
    <mergeCell ref="AD204:AE204"/>
    <mergeCell ref="C205:N205"/>
    <mergeCell ref="O205:W205"/>
    <mergeCell ref="X205:Z205"/>
    <mergeCell ref="AA205:AC205"/>
    <mergeCell ref="AD205:AE205"/>
    <mergeCell ref="C206:N206"/>
    <mergeCell ref="O206:W206"/>
    <mergeCell ref="X206:Z206"/>
    <mergeCell ref="AA206:AC206"/>
    <mergeCell ref="AD206:AE206"/>
    <mergeCell ref="C207:N207"/>
    <mergeCell ref="O207:W207"/>
    <mergeCell ref="X207:Z207"/>
    <mergeCell ref="AA207:AC207"/>
    <mergeCell ref="AD207:AE207"/>
    <mergeCell ref="C208:N208"/>
    <mergeCell ref="X208:AE208"/>
    <mergeCell ref="X217:AA217"/>
    <mergeCell ref="AB217:AE217"/>
    <mergeCell ref="C218:G218"/>
    <mergeCell ref="H218:W218"/>
    <mergeCell ref="X218:AA218"/>
    <mergeCell ref="AB218:AE218"/>
    <mergeCell ref="C219:G219"/>
    <mergeCell ref="H219:W219"/>
    <mergeCell ref="X219:AA219"/>
    <mergeCell ref="AB219:AE219"/>
    <mergeCell ref="C220:G220"/>
    <mergeCell ref="H220:W220"/>
    <mergeCell ref="X220:AA220"/>
    <mergeCell ref="AB220:AE220"/>
    <mergeCell ref="C221:G221"/>
    <mergeCell ref="H221:W221"/>
    <mergeCell ref="X221:AA221"/>
    <mergeCell ref="AB221:AE221"/>
    <mergeCell ref="C223:AE223"/>
    <mergeCell ref="C224:N224"/>
    <mergeCell ref="O224:W224"/>
    <mergeCell ref="X224:Z224"/>
    <mergeCell ref="AA224:AC224"/>
    <mergeCell ref="AD224:AE224"/>
    <mergeCell ref="C225:N225"/>
    <mergeCell ref="O225:W225"/>
    <mergeCell ref="X225:Z225"/>
    <mergeCell ref="AA225:AC225"/>
    <mergeCell ref="AD225:AE225"/>
    <mergeCell ref="C226:AE226"/>
    <mergeCell ref="C228:AE228"/>
    <mergeCell ref="C229:AE229"/>
    <mergeCell ref="C230:AE230"/>
    <mergeCell ref="C231:AE231"/>
    <mergeCell ref="C251:AE251"/>
    <mergeCell ref="C253:N253"/>
    <mergeCell ref="O253:W253"/>
    <mergeCell ref="X253:Z253"/>
    <mergeCell ref="AA253:AC253"/>
    <mergeCell ref="AD253:AE253"/>
    <mergeCell ref="C254:N254"/>
    <mergeCell ref="O254:W254"/>
    <mergeCell ref="X254:Z254"/>
    <mergeCell ref="AA254:AC254"/>
    <mergeCell ref="AD254:AE254"/>
    <mergeCell ref="C255:N255"/>
    <mergeCell ref="O255:W255"/>
    <mergeCell ref="X255:Z255"/>
    <mergeCell ref="AA255:AC255"/>
    <mergeCell ref="AD255:AE255"/>
    <mergeCell ref="C256:N256"/>
    <mergeCell ref="O256:W256"/>
    <mergeCell ref="X256:Z256"/>
    <mergeCell ref="AA256:AC256"/>
    <mergeCell ref="AD256:AE256"/>
    <mergeCell ref="C257:N257"/>
    <mergeCell ref="X257:AE257"/>
    <mergeCell ref="C258:N258"/>
    <mergeCell ref="O258:W258"/>
    <mergeCell ref="X258:Z258"/>
    <mergeCell ref="AA258:AC258"/>
    <mergeCell ref="AD258:AE258"/>
    <mergeCell ref="C259:N259"/>
    <mergeCell ref="O259:W259"/>
    <mergeCell ref="X259:Z259"/>
    <mergeCell ref="AA259:AC259"/>
    <mergeCell ref="AD259:AE259"/>
    <mergeCell ref="C260:N260"/>
    <mergeCell ref="X260:AE260"/>
    <mergeCell ref="C261:AE261"/>
    <mergeCell ref="X289:AA289"/>
    <mergeCell ref="AB289:AE289"/>
    <mergeCell ref="C290:G290"/>
    <mergeCell ref="H290:W290"/>
    <mergeCell ref="X290:AA290"/>
    <mergeCell ref="AB290:AE290"/>
    <mergeCell ref="C291:G291"/>
    <mergeCell ref="H291:W291"/>
    <mergeCell ref="X291:AA291"/>
    <mergeCell ref="AB291:AE291"/>
    <mergeCell ref="C292:G292"/>
    <mergeCell ref="H292:W292"/>
    <mergeCell ref="X292:AA292"/>
    <mergeCell ref="AB292:AE292"/>
    <mergeCell ref="C293:G293"/>
    <mergeCell ref="H293:W293"/>
    <mergeCell ref="X293:AA293"/>
    <mergeCell ref="AB293:AE293"/>
    <mergeCell ref="C295:AE295"/>
    <mergeCell ref="C296:AE296"/>
    <mergeCell ref="C297:AE297"/>
    <mergeCell ref="C298:AE298"/>
    <mergeCell ref="C299:AE299"/>
    <mergeCell ref="C300:AE300"/>
    <mergeCell ref="C301:D301"/>
    <mergeCell ref="E301:G301"/>
    <mergeCell ref="H301:J301"/>
    <mergeCell ref="K301:M301"/>
    <mergeCell ref="N301:P301"/>
    <mergeCell ref="Q301:R301"/>
    <mergeCell ref="S301:U301"/>
    <mergeCell ref="V301:X301"/>
    <mergeCell ref="Y301:Z301"/>
    <mergeCell ref="AA301:AB301"/>
    <mergeCell ref="AC301:AE301"/>
    <mergeCell ref="C302:D302"/>
    <mergeCell ref="E302:G302"/>
    <mergeCell ref="H302:J302"/>
    <mergeCell ref="K302:M302"/>
    <mergeCell ref="N302:P302"/>
    <mergeCell ref="Q302:R302"/>
    <mergeCell ref="S302:U302"/>
    <mergeCell ref="V302:X302"/>
    <mergeCell ref="Y302:Z302"/>
    <mergeCell ref="AA302:AB302"/>
    <mergeCell ref="AC302:AE302"/>
    <mergeCell ref="C303:D303"/>
    <mergeCell ref="E303:G303"/>
    <mergeCell ref="H303:J303"/>
    <mergeCell ref="K303:M303"/>
    <mergeCell ref="N303:P303"/>
    <mergeCell ref="Q303:R303"/>
    <mergeCell ref="S303:U303"/>
    <mergeCell ref="V303:X303"/>
    <mergeCell ref="Y303:Z303"/>
    <mergeCell ref="AA303:AB303"/>
    <mergeCell ref="AC303:AE303"/>
    <mergeCell ref="C304:D304"/>
    <mergeCell ref="E304:G304"/>
    <mergeCell ref="H304:J304"/>
    <mergeCell ref="K304:M304"/>
    <mergeCell ref="N304:P304"/>
    <mergeCell ref="Q304:R304"/>
    <mergeCell ref="S304:U304"/>
    <mergeCell ref="V304:X304"/>
    <mergeCell ref="Y304:Z304"/>
    <mergeCell ref="AA304:AB304"/>
    <mergeCell ref="AC304:AE304"/>
    <mergeCell ref="C305:D305"/>
    <mergeCell ref="E305:G305"/>
    <mergeCell ref="H305:J305"/>
    <mergeCell ref="K305:M305"/>
    <mergeCell ref="N305:P305"/>
    <mergeCell ref="Q305:R305"/>
    <mergeCell ref="S305:U305"/>
    <mergeCell ref="V305:X305"/>
    <mergeCell ref="Y305:Z305"/>
    <mergeCell ref="AA305:AB305"/>
    <mergeCell ref="AC305:AE305"/>
    <mergeCell ref="C306:D306"/>
    <mergeCell ref="E306:G306"/>
    <mergeCell ref="H306:J306"/>
    <mergeCell ref="K306:M306"/>
    <mergeCell ref="N306:P306"/>
    <mergeCell ref="Q306:R306"/>
    <mergeCell ref="S306:U306"/>
    <mergeCell ref="V306:X306"/>
    <mergeCell ref="Y306:Z306"/>
    <mergeCell ref="AA306:AB306"/>
    <mergeCell ref="AC306:AE306"/>
    <mergeCell ref="C307:D307"/>
    <mergeCell ref="E307:G307"/>
    <mergeCell ref="H307:J307"/>
    <mergeCell ref="K307:M307"/>
    <mergeCell ref="N307:P307"/>
    <mergeCell ref="Q307:R307"/>
    <mergeCell ref="S307:U307"/>
    <mergeCell ref="V307:X307"/>
    <mergeCell ref="Y307:Z307"/>
    <mergeCell ref="AA307:AB307"/>
    <mergeCell ref="AC307:AE307"/>
    <mergeCell ref="C308:D308"/>
    <mergeCell ref="E308:G308"/>
    <mergeCell ref="H308:J308"/>
    <mergeCell ref="K308:M308"/>
    <mergeCell ref="N308:P308"/>
    <mergeCell ref="Q308:R308"/>
    <mergeCell ref="S308:U308"/>
    <mergeCell ref="V308:X308"/>
    <mergeCell ref="Y308:Z308"/>
    <mergeCell ref="AA308:AB308"/>
    <mergeCell ref="AC308:AE308"/>
    <mergeCell ref="C309:D309"/>
    <mergeCell ref="E309:G309"/>
    <mergeCell ref="H309:J309"/>
    <mergeCell ref="K309:M309"/>
    <mergeCell ref="N309:P309"/>
    <mergeCell ref="Q309:R309"/>
    <mergeCell ref="S309:U309"/>
    <mergeCell ref="V309:X309"/>
    <mergeCell ref="Y309:Z309"/>
    <mergeCell ref="AA309:AB309"/>
    <mergeCell ref="AC309:AE309"/>
    <mergeCell ref="C310:D310"/>
    <mergeCell ref="E310:G310"/>
    <mergeCell ref="H310:J310"/>
    <mergeCell ref="K310:M310"/>
    <mergeCell ref="N310:P310"/>
    <mergeCell ref="Q310:R310"/>
    <mergeCell ref="S310:U310"/>
    <mergeCell ref="V310:X310"/>
    <mergeCell ref="Y310:Z310"/>
    <mergeCell ref="AA310:AB310"/>
    <mergeCell ref="AC310:AE310"/>
    <mergeCell ref="C311:D311"/>
    <mergeCell ref="E311:G311"/>
    <mergeCell ref="H311:J311"/>
    <mergeCell ref="K311:M311"/>
    <mergeCell ref="N311:P311"/>
    <mergeCell ref="Q311:R311"/>
    <mergeCell ref="S311:U311"/>
    <mergeCell ref="V311:X311"/>
    <mergeCell ref="Y311:Z311"/>
    <mergeCell ref="AA311:AB311"/>
    <mergeCell ref="AC311:AE311"/>
    <mergeCell ref="C312:D312"/>
    <mergeCell ref="E312:G312"/>
    <mergeCell ref="H312:J312"/>
    <mergeCell ref="K312:M312"/>
    <mergeCell ref="N312:P312"/>
    <mergeCell ref="Q312:R312"/>
    <mergeCell ref="S312:U312"/>
    <mergeCell ref="V312:X312"/>
    <mergeCell ref="Y312:Z312"/>
    <mergeCell ref="AA312:AB312"/>
    <mergeCell ref="AC312:AE312"/>
    <mergeCell ref="C313:D313"/>
    <mergeCell ref="E313:G313"/>
    <mergeCell ref="H313:J313"/>
    <mergeCell ref="K313:M313"/>
    <mergeCell ref="N313:P313"/>
    <mergeCell ref="Q313:R313"/>
    <mergeCell ref="S313:U313"/>
    <mergeCell ref="V313:X313"/>
    <mergeCell ref="Y313:Z313"/>
    <mergeCell ref="AA313:AB313"/>
    <mergeCell ref="AC313:AE313"/>
    <mergeCell ref="C314:D314"/>
    <mergeCell ref="E314:G314"/>
    <mergeCell ref="H314:J314"/>
    <mergeCell ref="K314:M314"/>
    <mergeCell ref="N314:P314"/>
    <mergeCell ref="Q314:R314"/>
    <mergeCell ref="S314:U314"/>
    <mergeCell ref="V314:X314"/>
    <mergeCell ref="Y314:Z314"/>
    <mergeCell ref="AA314:AB314"/>
    <mergeCell ref="AC314:AE314"/>
    <mergeCell ref="C315:D315"/>
    <mergeCell ref="E315:G315"/>
    <mergeCell ref="H315:J315"/>
    <mergeCell ref="K315:M315"/>
    <mergeCell ref="N315:P315"/>
    <mergeCell ref="Q315:R315"/>
    <mergeCell ref="S315:U315"/>
    <mergeCell ref="V315:X315"/>
    <mergeCell ref="Y315:Z315"/>
    <mergeCell ref="AA315:AB315"/>
    <mergeCell ref="AC315:AE315"/>
    <mergeCell ref="C316:D316"/>
    <mergeCell ref="E316:G316"/>
    <mergeCell ref="H316:J316"/>
    <mergeCell ref="K316:M316"/>
    <mergeCell ref="N316:P316"/>
    <mergeCell ref="Q316:R316"/>
    <mergeCell ref="S316:U316"/>
    <mergeCell ref="V316:X316"/>
    <mergeCell ref="Y316:Z316"/>
    <mergeCell ref="AA316:AB316"/>
    <mergeCell ref="AC316:AE316"/>
    <mergeCell ref="C317:D317"/>
    <mergeCell ref="E317:G317"/>
    <mergeCell ref="H317:J317"/>
    <mergeCell ref="K317:M317"/>
    <mergeCell ref="N317:P317"/>
    <mergeCell ref="Q317:R317"/>
    <mergeCell ref="S317:U317"/>
    <mergeCell ref="V317:X317"/>
    <mergeCell ref="Y317:Z317"/>
    <mergeCell ref="AA317:AB317"/>
    <mergeCell ref="AC317:AE317"/>
    <mergeCell ref="C318:D318"/>
    <mergeCell ref="E318:G318"/>
    <mergeCell ref="H318:J318"/>
    <mergeCell ref="K318:M318"/>
    <mergeCell ref="N318:P318"/>
    <mergeCell ref="Q318:R318"/>
    <mergeCell ref="S318:U318"/>
    <mergeCell ref="V318:X318"/>
    <mergeCell ref="Y318:Z318"/>
    <mergeCell ref="AA318:AB318"/>
    <mergeCell ref="AC318:AE318"/>
    <mergeCell ref="C319:D319"/>
    <mergeCell ref="E319:G319"/>
    <mergeCell ref="H319:J319"/>
    <mergeCell ref="K319:M319"/>
    <mergeCell ref="N319:P319"/>
    <mergeCell ref="Q319:R319"/>
    <mergeCell ref="S319:U319"/>
    <mergeCell ref="V319:X319"/>
    <mergeCell ref="Y319:Z319"/>
    <mergeCell ref="AA319:AB319"/>
    <mergeCell ref="AC319:AE319"/>
    <mergeCell ref="C320:D320"/>
    <mergeCell ref="E320:G320"/>
    <mergeCell ref="H320:J320"/>
    <mergeCell ref="K320:M320"/>
    <mergeCell ref="N320:P320"/>
    <mergeCell ref="Q320:R320"/>
    <mergeCell ref="S320:U320"/>
    <mergeCell ref="V320:X320"/>
    <mergeCell ref="Y320:Z320"/>
    <mergeCell ref="AA320:AB320"/>
    <mergeCell ref="AC320:AE320"/>
    <mergeCell ref="C321:D321"/>
    <mergeCell ref="E321:G321"/>
    <mergeCell ref="H321:J321"/>
    <mergeCell ref="K321:M321"/>
    <mergeCell ref="N321:P321"/>
    <mergeCell ref="Q321:R321"/>
    <mergeCell ref="S321:U321"/>
    <mergeCell ref="V321:X321"/>
    <mergeCell ref="Y321:Z321"/>
    <mergeCell ref="AA321:AB321"/>
    <mergeCell ref="AC321:AE321"/>
    <mergeCell ref="C322:D322"/>
    <mergeCell ref="E322:G322"/>
    <mergeCell ref="H322:J322"/>
    <mergeCell ref="K322:M322"/>
    <mergeCell ref="N322:P322"/>
    <mergeCell ref="Q322:R322"/>
    <mergeCell ref="S322:U322"/>
    <mergeCell ref="V322:X322"/>
    <mergeCell ref="Y322:Z322"/>
    <mergeCell ref="AA322:AB322"/>
    <mergeCell ref="AC322:AE322"/>
    <mergeCell ref="C323:D323"/>
    <mergeCell ref="E323:G323"/>
    <mergeCell ref="H323:J323"/>
    <mergeCell ref="K323:M323"/>
    <mergeCell ref="N323:P323"/>
    <mergeCell ref="Q323:R323"/>
    <mergeCell ref="S323:U323"/>
    <mergeCell ref="V323:X323"/>
    <mergeCell ref="Y323:Z323"/>
    <mergeCell ref="AA323:AB323"/>
    <mergeCell ref="AC323:AE323"/>
    <mergeCell ref="C324:D324"/>
    <mergeCell ref="E324:G324"/>
    <mergeCell ref="H324:J324"/>
    <mergeCell ref="K324:M324"/>
    <mergeCell ref="N324:P324"/>
    <mergeCell ref="Q324:R324"/>
    <mergeCell ref="S324:U324"/>
    <mergeCell ref="V324:X324"/>
    <mergeCell ref="Y324:Z324"/>
    <mergeCell ref="AA324:AB324"/>
    <mergeCell ref="AC324:AE324"/>
    <mergeCell ref="C325:D325"/>
    <mergeCell ref="E325:G325"/>
    <mergeCell ref="H325:J325"/>
    <mergeCell ref="K325:M325"/>
    <mergeCell ref="N325:P325"/>
    <mergeCell ref="Q325:R325"/>
    <mergeCell ref="S325:U325"/>
    <mergeCell ref="V325:X325"/>
    <mergeCell ref="Y325:Z325"/>
    <mergeCell ref="AA325:AB325"/>
    <mergeCell ref="AC325:AE325"/>
    <mergeCell ref="C326:D326"/>
    <mergeCell ref="E326:G326"/>
    <mergeCell ref="H326:J326"/>
    <mergeCell ref="K326:M326"/>
    <mergeCell ref="N326:P326"/>
    <mergeCell ref="Q326:R326"/>
    <mergeCell ref="S326:U326"/>
    <mergeCell ref="V326:X326"/>
    <mergeCell ref="Y326:Z326"/>
    <mergeCell ref="AA326:AB326"/>
    <mergeCell ref="AC326:AE326"/>
    <mergeCell ref="C327:D327"/>
    <mergeCell ref="E327:G327"/>
    <mergeCell ref="H327:J327"/>
    <mergeCell ref="K327:M327"/>
    <mergeCell ref="N327:P327"/>
    <mergeCell ref="Q327:R327"/>
    <mergeCell ref="S327:U327"/>
    <mergeCell ref="V327:X327"/>
    <mergeCell ref="Y327:Z327"/>
    <mergeCell ref="AA327:AB327"/>
    <mergeCell ref="AC327:AE327"/>
    <mergeCell ref="C328:D328"/>
    <mergeCell ref="E328:G328"/>
    <mergeCell ref="H328:J328"/>
    <mergeCell ref="K328:M328"/>
    <mergeCell ref="N328:P328"/>
    <mergeCell ref="Q328:R328"/>
    <mergeCell ref="S328:U328"/>
    <mergeCell ref="V328:X328"/>
    <mergeCell ref="Y328:Z328"/>
    <mergeCell ref="AA328:AB328"/>
    <mergeCell ref="AC328:AE328"/>
    <mergeCell ref="C329:D329"/>
    <mergeCell ref="E329:G329"/>
    <mergeCell ref="H329:J329"/>
    <mergeCell ref="K329:M329"/>
    <mergeCell ref="N329:P329"/>
    <mergeCell ref="Q329:R329"/>
    <mergeCell ref="S329:U329"/>
    <mergeCell ref="V329:X329"/>
    <mergeCell ref="Y329:Z329"/>
    <mergeCell ref="AA329:AB329"/>
    <mergeCell ref="AC329:AE329"/>
    <mergeCell ref="C330:D330"/>
    <mergeCell ref="E330:G330"/>
    <mergeCell ref="H330:J330"/>
    <mergeCell ref="K330:M330"/>
    <mergeCell ref="N330:P330"/>
    <mergeCell ref="Q330:R330"/>
    <mergeCell ref="S330:U330"/>
    <mergeCell ref="V330:X330"/>
    <mergeCell ref="Y330:Z330"/>
    <mergeCell ref="AA330:AB330"/>
    <mergeCell ref="AC330:AE330"/>
    <mergeCell ref="C331:D331"/>
    <mergeCell ref="E331:G331"/>
    <mergeCell ref="H331:J331"/>
    <mergeCell ref="K331:M331"/>
    <mergeCell ref="N331:P331"/>
    <mergeCell ref="Q331:R331"/>
    <mergeCell ref="S331:U331"/>
    <mergeCell ref="V331:X331"/>
    <mergeCell ref="Y331:Z331"/>
    <mergeCell ref="AA331:AB331"/>
    <mergeCell ref="AC331:AE331"/>
    <mergeCell ref="C332:D332"/>
    <mergeCell ref="E332:G332"/>
    <mergeCell ref="H332:J332"/>
    <mergeCell ref="K332:M332"/>
    <mergeCell ref="N332:P332"/>
    <mergeCell ref="Q332:R332"/>
    <mergeCell ref="S332:U332"/>
    <mergeCell ref="V332:X332"/>
    <mergeCell ref="Y332:Z332"/>
    <mergeCell ref="AA332:AB332"/>
    <mergeCell ref="AC332:AE332"/>
    <mergeCell ref="C333:D333"/>
    <mergeCell ref="E333:G333"/>
    <mergeCell ref="H333:J333"/>
    <mergeCell ref="K333:M333"/>
    <mergeCell ref="N333:P333"/>
    <mergeCell ref="Q333:R333"/>
    <mergeCell ref="S333:U333"/>
    <mergeCell ref="V333:X333"/>
    <mergeCell ref="Y333:Z333"/>
    <mergeCell ref="AA333:AB333"/>
    <mergeCell ref="AC333:AE333"/>
    <mergeCell ref="C334:D334"/>
    <mergeCell ref="E334:G334"/>
    <mergeCell ref="H334:J334"/>
    <mergeCell ref="K334:M334"/>
    <mergeCell ref="N334:P334"/>
    <mergeCell ref="Q334:R334"/>
    <mergeCell ref="S334:U334"/>
    <mergeCell ref="V334:X334"/>
    <mergeCell ref="Y334:Z334"/>
    <mergeCell ref="AA334:AB334"/>
    <mergeCell ref="AC334:AE334"/>
    <mergeCell ref="C335:D335"/>
    <mergeCell ref="E335:G335"/>
    <mergeCell ref="H335:J335"/>
    <mergeCell ref="K335:M335"/>
    <mergeCell ref="N335:P335"/>
    <mergeCell ref="Q335:R335"/>
    <mergeCell ref="S335:U335"/>
    <mergeCell ref="V335:X335"/>
    <mergeCell ref="Y335:Z335"/>
    <mergeCell ref="AA335:AB335"/>
    <mergeCell ref="AC335:AE335"/>
    <mergeCell ref="C336:D336"/>
    <mergeCell ref="E336:G336"/>
    <mergeCell ref="H336:J336"/>
    <mergeCell ref="K336:M336"/>
    <mergeCell ref="N336:P336"/>
    <mergeCell ref="Q336:R336"/>
    <mergeCell ref="S336:U336"/>
    <mergeCell ref="V336:X336"/>
    <mergeCell ref="Y336:Z336"/>
    <mergeCell ref="AA336:AB336"/>
    <mergeCell ref="AC336:AE336"/>
    <mergeCell ref="C337:D337"/>
    <mergeCell ref="E337:G337"/>
    <mergeCell ref="H337:J337"/>
    <mergeCell ref="K337:M337"/>
    <mergeCell ref="N337:P337"/>
    <mergeCell ref="Q337:R337"/>
    <mergeCell ref="S337:U337"/>
    <mergeCell ref="V337:X337"/>
    <mergeCell ref="Y337:Z337"/>
    <mergeCell ref="AA337:AB337"/>
    <mergeCell ref="AC337:AE337"/>
    <mergeCell ref="C338:D338"/>
    <mergeCell ref="E338:G338"/>
    <mergeCell ref="H338:J338"/>
    <mergeCell ref="K338:M338"/>
    <mergeCell ref="N338:P338"/>
    <mergeCell ref="Q338:R338"/>
    <mergeCell ref="S338:U338"/>
    <mergeCell ref="V338:X338"/>
    <mergeCell ref="Y338:Z338"/>
    <mergeCell ref="AA338:AB338"/>
    <mergeCell ref="AC338:AE338"/>
    <mergeCell ref="C339:D339"/>
    <mergeCell ref="E339:G339"/>
    <mergeCell ref="H339:J339"/>
    <mergeCell ref="K339:M339"/>
    <mergeCell ref="N339:P339"/>
    <mergeCell ref="Q339:R339"/>
    <mergeCell ref="S339:U339"/>
    <mergeCell ref="V339:X339"/>
    <mergeCell ref="Y339:Z339"/>
    <mergeCell ref="AA339:AB339"/>
    <mergeCell ref="AC339:AE339"/>
    <mergeCell ref="C340:D340"/>
    <mergeCell ref="E340:G340"/>
    <mergeCell ref="H340:J340"/>
    <mergeCell ref="K340:M340"/>
    <mergeCell ref="N340:P340"/>
    <mergeCell ref="Q340:R340"/>
    <mergeCell ref="S340:U340"/>
    <mergeCell ref="V340:X340"/>
    <mergeCell ref="Y340:Z340"/>
    <mergeCell ref="AA340:AB340"/>
    <mergeCell ref="AC340:AE340"/>
    <mergeCell ref="C341:D341"/>
    <mergeCell ref="E341:G341"/>
    <mergeCell ref="H341:J341"/>
    <mergeCell ref="K341:M341"/>
    <mergeCell ref="N341:P341"/>
    <mergeCell ref="Q341:R341"/>
    <mergeCell ref="S341:U341"/>
    <mergeCell ref="V341:X341"/>
    <mergeCell ref="Y341:Z341"/>
    <mergeCell ref="AA341:AB341"/>
    <mergeCell ref="AC341:AE341"/>
    <mergeCell ref="C342:D342"/>
    <mergeCell ref="E342:G342"/>
    <mergeCell ref="H342:J342"/>
    <mergeCell ref="K342:M342"/>
    <mergeCell ref="N342:P342"/>
    <mergeCell ref="Q342:R342"/>
    <mergeCell ref="S342:U342"/>
    <mergeCell ref="V342:X342"/>
    <mergeCell ref="Y342:Z342"/>
    <mergeCell ref="AA342:AB342"/>
    <mergeCell ref="AC342:AE342"/>
    <mergeCell ref="C343:D343"/>
    <mergeCell ref="E343:G343"/>
    <mergeCell ref="H343:J343"/>
    <mergeCell ref="K343:M343"/>
    <mergeCell ref="N343:P343"/>
    <mergeCell ref="Q343:R343"/>
    <mergeCell ref="S343:U343"/>
    <mergeCell ref="V343:X343"/>
    <mergeCell ref="Y343:Z343"/>
    <mergeCell ref="AA343:AB343"/>
    <mergeCell ref="AC343:AE343"/>
    <mergeCell ref="C345:N345"/>
    <mergeCell ref="O345:W345"/>
    <mergeCell ref="X345:Z345"/>
    <mergeCell ref="AA345:AC345"/>
    <mergeCell ref="AD345:AE345"/>
    <mergeCell ref="C346:N346"/>
    <mergeCell ref="O346:W346"/>
    <mergeCell ref="X346:Z346"/>
    <mergeCell ref="AA346:AC346"/>
    <mergeCell ref="AD346:AE346"/>
    <mergeCell ref="C347:N347"/>
    <mergeCell ref="O347:W347"/>
    <mergeCell ref="X347:Z347"/>
    <mergeCell ref="AA347:AC347"/>
    <mergeCell ref="AD347:AE347"/>
    <mergeCell ref="X361:AA361"/>
    <mergeCell ref="AB361:AE361"/>
    <mergeCell ref="C362:G362"/>
    <mergeCell ref="H362:W362"/>
    <mergeCell ref="X362:AA362"/>
    <mergeCell ref="AB362:AE362"/>
    <mergeCell ref="C363:G363"/>
    <mergeCell ref="H363:W363"/>
    <mergeCell ref="X363:AA363"/>
    <mergeCell ref="AB363:AE363"/>
    <mergeCell ref="C364:G364"/>
    <mergeCell ref="H364:W364"/>
    <mergeCell ref="X364:AA364"/>
    <mergeCell ref="AB364:AE364"/>
    <mergeCell ref="C365:G365"/>
    <mergeCell ref="H365:W365"/>
    <mergeCell ref="X365:AA365"/>
    <mergeCell ref="AB365:AE365"/>
    <mergeCell ref="C386:AE386"/>
    <mergeCell ref="C388:AE388"/>
    <mergeCell ref="C389:AE389"/>
    <mergeCell ref="C390:AE390"/>
    <mergeCell ref="C407:AE407"/>
    <mergeCell ref="X433:AA433"/>
    <mergeCell ref="AB433:AE433"/>
    <mergeCell ref="C434:G434"/>
    <mergeCell ref="H434:W434"/>
    <mergeCell ref="X434:AA434"/>
    <mergeCell ref="AB434:AE434"/>
    <mergeCell ref="C435:G435"/>
    <mergeCell ref="H435:W435"/>
    <mergeCell ref="X435:AA435"/>
    <mergeCell ref="AB435:AE435"/>
    <mergeCell ref="C436:G436"/>
    <mergeCell ref="H436:W436"/>
    <mergeCell ref="X436:AA436"/>
    <mergeCell ref="AB436:AE436"/>
    <mergeCell ref="C437:G437"/>
    <mergeCell ref="H437:W437"/>
    <mergeCell ref="X437:AA437"/>
    <mergeCell ref="AB437:AE437"/>
    <mergeCell ref="C439:AE439"/>
    <mergeCell ref="C440:D440"/>
    <mergeCell ref="E440:G440"/>
    <mergeCell ref="H440:J440"/>
    <mergeCell ref="K440:M440"/>
    <mergeCell ref="N440:P440"/>
    <mergeCell ref="Q440:S440"/>
    <mergeCell ref="T440:U440"/>
    <mergeCell ref="V440:W440"/>
    <mergeCell ref="X440:Y440"/>
    <mergeCell ref="Z440:AB440"/>
    <mergeCell ref="AC440:AE440"/>
    <mergeCell ref="C441:D441"/>
    <mergeCell ref="E441:G441"/>
    <mergeCell ref="H441:J441"/>
    <mergeCell ref="K441:M441"/>
    <mergeCell ref="N441:P441"/>
    <mergeCell ref="Q441:S441"/>
    <mergeCell ref="T441:U441"/>
    <mergeCell ref="V441:W441"/>
    <mergeCell ref="X441:Y441"/>
    <mergeCell ref="Z441:AB441"/>
    <mergeCell ref="AC441:AE441"/>
    <mergeCell ref="C442:D442"/>
    <mergeCell ref="E442:G442"/>
    <mergeCell ref="H442:J442"/>
    <mergeCell ref="K442:M442"/>
    <mergeCell ref="N442:P442"/>
    <mergeCell ref="Q442:S442"/>
    <mergeCell ref="T442:U442"/>
    <mergeCell ref="V442:W442"/>
    <mergeCell ref="X442:Y442"/>
    <mergeCell ref="Z442:AB442"/>
    <mergeCell ref="AC442:AE442"/>
    <mergeCell ref="C443:D443"/>
    <mergeCell ref="E443:G443"/>
    <mergeCell ref="H443:J443"/>
    <mergeCell ref="K443:M443"/>
    <mergeCell ref="N443:P443"/>
    <mergeCell ref="Q443:S443"/>
    <mergeCell ref="T443:U443"/>
    <mergeCell ref="V443:W443"/>
    <mergeCell ref="X443:Y443"/>
    <mergeCell ref="Z443:AB443"/>
    <mergeCell ref="AC443:AE443"/>
    <mergeCell ref="C444:D444"/>
    <mergeCell ref="E444:G444"/>
    <mergeCell ref="H444:J444"/>
    <mergeCell ref="K444:M444"/>
    <mergeCell ref="N444:P444"/>
    <mergeCell ref="Q444:S444"/>
    <mergeCell ref="T444:U444"/>
    <mergeCell ref="V444:W444"/>
    <mergeCell ref="X444:Y444"/>
    <mergeCell ref="Z444:AB444"/>
    <mergeCell ref="AC444:AE444"/>
    <mergeCell ref="C445:D445"/>
    <mergeCell ref="E445:G445"/>
    <mergeCell ref="H445:J445"/>
    <mergeCell ref="K445:M445"/>
    <mergeCell ref="N445:P445"/>
    <mergeCell ref="Q445:S445"/>
    <mergeCell ref="T445:U445"/>
    <mergeCell ref="V445:W445"/>
    <mergeCell ref="X445:Y445"/>
    <mergeCell ref="Z445:AB445"/>
    <mergeCell ref="AC445:AE445"/>
    <mergeCell ref="C446:D446"/>
    <mergeCell ref="E446:G446"/>
    <mergeCell ref="H446:J446"/>
    <mergeCell ref="K446:M446"/>
    <mergeCell ref="N446:P446"/>
    <mergeCell ref="Q446:S446"/>
    <mergeCell ref="T446:U446"/>
    <mergeCell ref="V446:W446"/>
    <mergeCell ref="X446:Y446"/>
    <mergeCell ref="Z446:AB446"/>
    <mergeCell ref="AC446:AE446"/>
    <mergeCell ref="C447:D447"/>
    <mergeCell ref="E447:G447"/>
    <mergeCell ref="H447:J447"/>
    <mergeCell ref="K447:M447"/>
    <mergeCell ref="N447:P447"/>
    <mergeCell ref="Q447:S447"/>
    <mergeCell ref="T447:U447"/>
    <mergeCell ref="V447:W447"/>
    <mergeCell ref="X447:Y447"/>
    <mergeCell ref="Z447:AB447"/>
    <mergeCell ref="AC447:AE447"/>
    <mergeCell ref="C448:D448"/>
    <mergeCell ref="E448:G448"/>
    <mergeCell ref="H448:J448"/>
    <mergeCell ref="K448:M448"/>
    <mergeCell ref="N448:P448"/>
    <mergeCell ref="Q448:S448"/>
    <mergeCell ref="T448:U448"/>
    <mergeCell ref="V448:W448"/>
    <mergeCell ref="X448:Y448"/>
    <mergeCell ref="Z448:AB448"/>
    <mergeCell ref="AC448:AE448"/>
    <mergeCell ref="C449:D449"/>
    <mergeCell ref="E449:G449"/>
    <mergeCell ref="H449:J449"/>
    <mergeCell ref="K449:M449"/>
    <mergeCell ref="N449:P449"/>
    <mergeCell ref="Q449:S449"/>
    <mergeCell ref="T449:U449"/>
    <mergeCell ref="V449:W449"/>
    <mergeCell ref="X449:Y449"/>
    <mergeCell ref="Z449:AB449"/>
    <mergeCell ref="AC449:AE449"/>
    <mergeCell ref="C450:D450"/>
    <mergeCell ref="E450:G450"/>
    <mergeCell ref="H450:J450"/>
    <mergeCell ref="K450:M450"/>
    <mergeCell ref="N450:P450"/>
    <mergeCell ref="Q450:S450"/>
    <mergeCell ref="T450:U450"/>
    <mergeCell ref="V450:W450"/>
    <mergeCell ref="X450:Y450"/>
    <mergeCell ref="Z450:AB450"/>
    <mergeCell ref="AC450:AE450"/>
    <mergeCell ref="C451:D451"/>
    <mergeCell ref="E451:G451"/>
    <mergeCell ref="H451:J451"/>
    <mergeCell ref="K451:M451"/>
    <mergeCell ref="N451:P451"/>
    <mergeCell ref="Q451:S451"/>
    <mergeCell ref="T451:U451"/>
    <mergeCell ref="V451:W451"/>
    <mergeCell ref="X451:Y451"/>
    <mergeCell ref="Z451:AB451"/>
    <mergeCell ref="AC451:AE451"/>
    <mergeCell ref="C452:D452"/>
    <mergeCell ref="E452:G452"/>
    <mergeCell ref="H452:J452"/>
    <mergeCell ref="K452:M452"/>
    <mergeCell ref="N452:P452"/>
    <mergeCell ref="Q452:S452"/>
    <mergeCell ref="T452:U452"/>
    <mergeCell ref="V452:W452"/>
    <mergeCell ref="X452:Y452"/>
    <mergeCell ref="Z452:AB452"/>
    <mergeCell ref="AC452:AE452"/>
    <mergeCell ref="C453:D453"/>
    <mergeCell ref="E453:G453"/>
    <mergeCell ref="H453:J453"/>
    <mergeCell ref="K453:M453"/>
    <mergeCell ref="N453:P453"/>
    <mergeCell ref="Q453:S453"/>
    <mergeCell ref="T453:U453"/>
    <mergeCell ref="V453:W453"/>
    <mergeCell ref="X453:Y453"/>
    <mergeCell ref="Z453:AB453"/>
    <mergeCell ref="AC453:AE453"/>
    <mergeCell ref="C454:D454"/>
    <mergeCell ref="E454:G454"/>
    <mergeCell ref="H454:J454"/>
    <mergeCell ref="K454:M454"/>
    <mergeCell ref="N454:P454"/>
    <mergeCell ref="Q454:S454"/>
    <mergeCell ref="T454:U454"/>
    <mergeCell ref="V454:W454"/>
    <mergeCell ref="X454:Y454"/>
    <mergeCell ref="Z454:AB454"/>
    <mergeCell ref="AC454:AE454"/>
    <mergeCell ref="C455:D455"/>
    <mergeCell ref="E455:G455"/>
    <mergeCell ref="H455:J455"/>
    <mergeCell ref="K455:M455"/>
    <mergeCell ref="N455:P455"/>
    <mergeCell ref="Q455:S455"/>
    <mergeCell ref="T455:U455"/>
    <mergeCell ref="V455:W455"/>
    <mergeCell ref="X455:Y455"/>
    <mergeCell ref="Z455:AB455"/>
    <mergeCell ref="AC455:AE455"/>
    <mergeCell ref="C456:D456"/>
    <mergeCell ref="E456:G456"/>
    <mergeCell ref="H456:J456"/>
    <mergeCell ref="K456:M456"/>
    <mergeCell ref="N456:P456"/>
    <mergeCell ref="Q456:S456"/>
    <mergeCell ref="T456:U456"/>
    <mergeCell ref="V456:W456"/>
    <mergeCell ref="X456:Y456"/>
    <mergeCell ref="Z456:AB456"/>
    <mergeCell ref="AC456:AE456"/>
    <mergeCell ref="C457:D457"/>
    <mergeCell ref="E457:G457"/>
    <mergeCell ref="H457:J457"/>
    <mergeCell ref="K457:M457"/>
    <mergeCell ref="N457:P457"/>
    <mergeCell ref="Q457:S457"/>
    <mergeCell ref="T457:U457"/>
    <mergeCell ref="V457:W457"/>
    <mergeCell ref="X457:Y457"/>
    <mergeCell ref="Z457:AB457"/>
    <mergeCell ref="AC457:AE457"/>
    <mergeCell ref="C458:D458"/>
    <mergeCell ref="E458:G458"/>
    <mergeCell ref="H458:J458"/>
    <mergeCell ref="K458:M458"/>
    <mergeCell ref="N458:P458"/>
    <mergeCell ref="Q458:S458"/>
    <mergeCell ref="T458:U458"/>
    <mergeCell ref="V458:W458"/>
    <mergeCell ref="X458:Y458"/>
    <mergeCell ref="Z458:AB458"/>
    <mergeCell ref="AC458:AE458"/>
    <mergeCell ref="C459:D459"/>
    <mergeCell ref="E459:G459"/>
    <mergeCell ref="H459:J459"/>
    <mergeCell ref="K459:M459"/>
    <mergeCell ref="N459:P459"/>
    <mergeCell ref="Q459:S459"/>
    <mergeCell ref="T459:U459"/>
    <mergeCell ref="V459:W459"/>
    <mergeCell ref="X459:Y459"/>
    <mergeCell ref="Z459:AB459"/>
    <mergeCell ref="AC459:AE459"/>
    <mergeCell ref="C460:D460"/>
    <mergeCell ref="E460:G460"/>
    <mergeCell ref="H460:J460"/>
    <mergeCell ref="K460:M460"/>
    <mergeCell ref="N460:P460"/>
    <mergeCell ref="Q460:S460"/>
    <mergeCell ref="T460:U460"/>
    <mergeCell ref="V460:W460"/>
    <mergeCell ref="X460:Y460"/>
    <mergeCell ref="Z460:AB460"/>
    <mergeCell ref="AC460:AE460"/>
    <mergeCell ref="C461:D461"/>
    <mergeCell ref="E461:G461"/>
    <mergeCell ref="H461:J461"/>
    <mergeCell ref="K461:M461"/>
    <mergeCell ref="N461:P461"/>
    <mergeCell ref="Q461:S461"/>
    <mergeCell ref="T461:U461"/>
    <mergeCell ref="V461:W461"/>
    <mergeCell ref="X461:Y461"/>
    <mergeCell ref="Z461:AB461"/>
    <mergeCell ref="AC461:AE461"/>
    <mergeCell ref="C462:D462"/>
    <mergeCell ref="E462:G462"/>
    <mergeCell ref="H462:J462"/>
    <mergeCell ref="K462:M462"/>
    <mergeCell ref="N462:P462"/>
    <mergeCell ref="Q462:S462"/>
    <mergeCell ref="T462:U462"/>
    <mergeCell ref="V462:W462"/>
    <mergeCell ref="X462:Y462"/>
    <mergeCell ref="Z462:AB462"/>
    <mergeCell ref="AC462:AE462"/>
    <mergeCell ref="C463:D463"/>
    <mergeCell ref="E463:G463"/>
    <mergeCell ref="H463:J463"/>
    <mergeCell ref="K463:M463"/>
    <mergeCell ref="N463:P463"/>
    <mergeCell ref="Q463:S463"/>
    <mergeCell ref="T463:U463"/>
    <mergeCell ref="V463:W463"/>
    <mergeCell ref="X463:Y463"/>
    <mergeCell ref="Z463:AB463"/>
    <mergeCell ref="AC463:AE463"/>
    <mergeCell ref="C464:D464"/>
    <mergeCell ref="E464:G464"/>
    <mergeCell ref="H464:J464"/>
    <mergeCell ref="K464:M464"/>
    <mergeCell ref="N464:P464"/>
    <mergeCell ref="Q464:S464"/>
    <mergeCell ref="T464:U464"/>
    <mergeCell ref="V464:W464"/>
    <mergeCell ref="X464:Y464"/>
    <mergeCell ref="Z464:AB464"/>
    <mergeCell ref="AC464:AE464"/>
    <mergeCell ref="C465:D465"/>
    <mergeCell ref="E465:G465"/>
    <mergeCell ref="H465:J465"/>
    <mergeCell ref="K465:M465"/>
    <mergeCell ref="N465:P465"/>
    <mergeCell ref="Q465:S465"/>
    <mergeCell ref="T465:U465"/>
    <mergeCell ref="V465:W465"/>
    <mergeCell ref="X465:Y465"/>
    <mergeCell ref="Z465:AB465"/>
    <mergeCell ref="AC465:AE465"/>
    <mergeCell ref="C466:D466"/>
    <mergeCell ref="E466:G466"/>
    <mergeCell ref="H466:J466"/>
    <mergeCell ref="K466:M466"/>
    <mergeCell ref="N466:P466"/>
    <mergeCell ref="Q466:S466"/>
    <mergeCell ref="T466:U466"/>
    <mergeCell ref="V466:W466"/>
    <mergeCell ref="X466:Y466"/>
    <mergeCell ref="Z466:AB466"/>
    <mergeCell ref="AC466:AE466"/>
    <mergeCell ref="C467:D467"/>
    <mergeCell ref="E467:G467"/>
    <mergeCell ref="H467:J467"/>
    <mergeCell ref="K467:M467"/>
    <mergeCell ref="N467:P467"/>
    <mergeCell ref="Q467:S467"/>
    <mergeCell ref="T467:U467"/>
    <mergeCell ref="V467:W467"/>
    <mergeCell ref="X467:Y467"/>
    <mergeCell ref="Z467:AB467"/>
    <mergeCell ref="AC467:AE467"/>
    <mergeCell ref="C468:D468"/>
    <mergeCell ref="E468:G468"/>
    <mergeCell ref="H468:J468"/>
    <mergeCell ref="K468:M468"/>
    <mergeCell ref="N468:P468"/>
    <mergeCell ref="Q468:S468"/>
    <mergeCell ref="T468:U468"/>
    <mergeCell ref="V468:W468"/>
    <mergeCell ref="X468:Y468"/>
    <mergeCell ref="Z468:AB468"/>
    <mergeCell ref="AC468:AE468"/>
    <mergeCell ref="C469:D469"/>
    <mergeCell ref="E469:G469"/>
    <mergeCell ref="H469:J469"/>
    <mergeCell ref="K469:M469"/>
    <mergeCell ref="N469:P469"/>
    <mergeCell ref="Q469:S469"/>
    <mergeCell ref="T469:U469"/>
    <mergeCell ref="V469:W469"/>
    <mergeCell ref="X469:Y469"/>
    <mergeCell ref="Z469:AB469"/>
    <mergeCell ref="AC469:AE469"/>
    <mergeCell ref="C470:D470"/>
    <mergeCell ref="E470:G470"/>
    <mergeCell ref="H470:J470"/>
    <mergeCell ref="K470:M470"/>
    <mergeCell ref="N470:P470"/>
    <mergeCell ref="Q470:S470"/>
    <mergeCell ref="T470:U470"/>
    <mergeCell ref="V470:W470"/>
    <mergeCell ref="X470:Y470"/>
    <mergeCell ref="Z470:AB470"/>
    <mergeCell ref="AC470:AE470"/>
    <mergeCell ref="C471:D471"/>
    <mergeCell ref="E471:G471"/>
    <mergeCell ref="H471:J471"/>
    <mergeCell ref="K471:M471"/>
    <mergeCell ref="N471:P471"/>
    <mergeCell ref="Q471:S471"/>
    <mergeCell ref="T471:U471"/>
    <mergeCell ref="V471:W471"/>
    <mergeCell ref="X471:Y471"/>
    <mergeCell ref="Z471:AB471"/>
    <mergeCell ref="AC471:AE471"/>
    <mergeCell ref="C472:D472"/>
    <mergeCell ref="E472:G472"/>
    <mergeCell ref="H472:J472"/>
    <mergeCell ref="K472:M472"/>
    <mergeCell ref="N472:P472"/>
    <mergeCell ref="Q472:S472"/>
    <mergeCell ref="T472:U472"/>
    <mergeCell ref="V472:W472"/>
    <mergeCell ref="X472:Y472"/>
    <mergeCell ref="Z472:AB472"/>
    <mergeCell ref="AC472:AE472"/>
    <mergeCell ref="C473:D473"/>
    <mergeCell ref="E473:G473"/>
    <mergeCell ref="H473:J473"/>
    <mergeCell ref="K473:M473"/>
    <mergeCell ref="N473:P473"/>
    <mergeCell ref="Q473:S473"/>
    <mergeCell ref="T473:U473"/>
    <mergeCell ref="V473:W473"/>
    <mergeCell ref="X473:Y473"/>
    <mergeCell ref="Z473:AB473"/>
    <mergeCell ref="AC473:AE473"/>
    <mergeCell ref="C474:D474"/>
    <mergeCell ref="E474:G474"/>
    <mergeCell ref="H474:J474"/>
    <mergeCell ref="K474:M474"/>
    <mergeCell ref="N474:P474"/>
    <mergeCell ref="Q474:S474"/>
    <mergeCell ref="T474:U474"/>
    <mergeCell ref="V474:W474"/>
    <mergeCell ref="X474:Y474"/>
    <mergeCell ref="Z474:AB474"/>
    <mergeCell ref="AC474:AE474"/>
    <mergeCell ref="C475:D475"/>
    <mergeCell ref="E475:G475"/>
    <mergeCell ref="H475:J475"/>
    <mergeCell ref="K475:M475"/>
    <mergeCell ref="N475:P475"/>
    <mergeCell ref="Q475:S475"/>
    <mergeCell ref="T475:U475"/>
    <mergeCell ref="V475:W475"/>
    <mergeCell ref="X475:Y475"/>
    <mergeCell ref="Z475:AB475"/>
    <mergeCell ref="AC475:AE475"/>
    <mergeCell ref="C476:D476"/>
    <mergeCell ref="E476:G476"/>
    <mergeCell ref="H476:J476"/>
    <mergeCell ref="K476:M476"/>
    <mergeCell ref="N476:P476"/>
    <mergeCell ref="Q476:S476"/>
    <mergeCell ref="T476:U476"/>
    <mergeCell ref="V476:W476"/>
    <mergeCell ref="X476:Y476"/>
    <mergeCell ref="Z476:AB476"/>
    <mergeCell ref="AC476:AE476"/>
    <mergeCell ref="C477:D477"/>
    <mergeCell ref="E477:G477"/>
    <mergeCell ref="H477:J477"/>
    <mergeCell ref="K477:M477"/>
    <mergeCell ref="N477:P477"/>
    <mergeCell ref="Q477:S477"/>
    <mergeCell ref="T477:U477"/>
    <mergeCell ref="V477:W477"/>
    <mergeCell ref="X477:Y477"/>
    <mergeCell ref="Z477:AB477"/>
    <mergeCell ref="AC477:AE477"/>
    <mergeCell ref="C478:D478"/>
    <mergeCell ref="E478:G478"/>
    <mergeCell ref="H478:J478"/>
    <mergeCell ref="K478:M478"/>
    <mergeCell ref="N478:P478"/>
    <mergeCell ref="Q478:S478"/>
    <mergeCell ref="T478:U478"/>
    <mergeCell ref="V478:W478"/>
    <mergeCell ref="X478:Y478"/>
    <mergeCell ref="Z478:AB478"/>
    <mergeCell ref="AC478:AE478"/>
    <mergeCell ref="C479:D479"/>
    <mergeCell ref="E479:G479"/>
    <mergeCell ref="H479:J479"/>
    <mergeCell ref="K479:M479"/>
    <mergeCell ref="N479:P479"/>
    <mergeCell ref="Q479:S479"/>
    <mergeCell ref="T479:U479"/>
    <mergeCell ref="V479:W479"/>
    <mergeCell ref="X479:Y479"/>
    <mergeCell ref="Z479:AB479"/>
    <mergeCell ref="AC479:AE479"/>
    <mergeCell ref="C480:D480"/>
    <mergeCell ref="E480:G480"/>
    <mergeCell ref="H480:J480"/>
    <mergeCell ref="K480:M480"/>
    <mergeCell ref="N480:P480"/>
    <mergeCell ref="Q480:S480"/>
    <mergeCell ref="T480:U480"/>
    <mergeCell ref="V480:W480"/>
    <mergeCell ref="X480:Y480"/>
    <mergeCell ref="Z480:AB480"/>
    <mergeCell ref="AC480:AE480"/>
    <mergeCell ref="C481:D481"/>
    <mergeCell ref="E481:G481"/>
    <mergeCell ref="H481:J481"/>
    <mergeCell ref="K481:M481"/>
    <mergeCell ref="N481:P481"/>
    <mergeCell ref="Q481:S481"/>
    <mergeCell ref="T481:U481"/>
    <mergeCell ref="V481:W481"/>
    <mergeCell ref="X481:Y481"/>
    <mergeCell ref="Z481:AB481"/>
    <mergeCell ref="AC481:AE481"/>
    <mergeCell ref="C482:D482"/>
    <mergeCell ref="E482:G482"/>
    <mergeCell ref="H482:J482"/>
    <mergeCell ref="K482:M482"/>
    <mergeCell ref="N482:P482"/>
    <mergeCell ref="Q482:S482"/>
    <mergeCell ref="T482:U482"/>
    <mergeCell ref="V482:W482"/>
    <mergeCell ref="X482:Y482"/>
    <mergeCell ref="Z482:AB482"/>
    <mergeCell ref="AC482:AE482"/>
    <mergeCell ref="C484:N484"/>
    <mergeCell ref="O484:W484"/>
    <mergeCell ref="X484:Z484"/>
    <mergeCell ref="AA484:AC484"/>
    <mergeCell ref="AD484:AE484"/>
    <mergeCell ref="C485:N485"/>
    <mergeCell ref="O485:W485"/>
    <mergeCell ref="X485:Z485"/>
    <mergeCell ref="AA485:AC485"/>
    <mergeCell ref="AD485:AE485"/>
    <mergeCell ref="X505:AA505"/>
    <mergeCell ref="AB505:AE505"/>
    <mergeCell ref="C506:G506"/>
    <mergeCell ref="H506:W506"/>
    <mergeCell ref="X506:AA506"/>
    <mergeCell ref="AB506:AE506"/>
    <mergeCell ref="C507:G507"/>
    <mergeCell ref="H507:W507"/>
    <mergeCell ref="X507:AA507"/>
    <mergeCell ref="AB507:AE507"/>
    <mergeCell ref="C508:G508"/>
    <mergeCell ref="H508:W508"/>
    <mergeCell ref="X508:AA508"/>
    <mergeCell ref="AB508:AE508"/>
    <mergeCell ref="C509:G509"/>
    <mergeCell ref="H509:W509"/>
    <mergeCell ref="X509:AA509"/>
    <mergeCell ref="AB509:AE509"/>
    <mergeCell ref="C511:AE511"/>
    <mergeCell ref="C513:N513"/>
    <mergeCell ref="O513:W513"/>
    <mergeCell ref="X513:Z513"/>
    <mergeCell ref="AA513:AC513"/>
    <mergeCell ref="AD513:AE513"/>
    <mergeCell ref="C514:N514"/>
    <mergeCell ref="X514:AE514"/>
    <mergeCell ref="C515:N515"/>
    <mergeCell ref="O515:W515"/>
    <mergeCell ref="X515:Z515"/>
    <mergeCell ref="AA515:AC515"/>
    <mergeCell ref="AD515:AE515"/>
    <mergeCell ref="C516:N516"/>
    <mergeCell ref="X516:AE516"/>
    <mergeCell ref="C517:N517"/>
    <mergeCell ref="O517:W517"/>
    <mergeCell ref="X517:Z517"/>
    <mergeCell ref="AA517:AC517"/>
    <mergeCell ref="AD517:AE517"/>
    <mergeCell ref="C518:N518"/>
    <mergeCell ref="X518:AE518"/>
    <mergeCell ref="C519:N519"/>
    <mergeCell ref="O519:W519"/>
    <mergeCell ref="X519:Z519"/>
    <mergeCell ref="AA519:AC519"/>
    <mergeCell ref="AD519:AE519"/>
    <mergeCell ref="C520:N520"/>
    <mergeCell ref="O520:W520"/>
    <mergeCell ref="X520:Z520"/>
    <mergeCell ref="AA520:AC520"/>
    <mergeCell ref="AD520:AE520"/>
    <mergeCell ref="C521:N521"/>
    <mergeCell ref="O521:W521"/>
    <mergeCell ref="X521:Z521"/>
    <mergeCell ref="AA521:AC521"/>
    <mergeCell ref="AD521:AE521"/>
    <mergeCell ref="C522:N522"/>
    <mergeCell ref="O522:W522"/>
    <mergeCell ref="X522:Z522"/>
    <mergeCell ref="AA522:AC522"/>
    <mergeCell ref="AD522:AE522"/>
    <mergeCell ref="C523:N523"/>
    <mergeCell ref="X523:AE523"/>
    <mergeCell ref="C525:AE525"/>
    <mergeCell ref="C526:AE526"/>
    <mergeCell ref="C528:AE528"/>
    <mergeCell ref="X577:AA577"/>
    <mergeCell ref="AB577:AE577"/>
  </mergeCells>
  <printOptions headings="false" gridLines="false" gridLinesSet="true" horizontalCentered="true" verticalCentered="false"/>
  <pageMargins left="0.5" right="0.5" top="0.6" bottom="0.6" header="0.511811023622047" footer="0.511811023622047"/>
  <pageSetup paperSize="9" scale="66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rowBreaks count="7" manualBreakCount="7">
    <brk id="73" man="true" max="16383" min="0"/>
    <brk id="145" man="true" max="16383" min="0"/>
    <brk id="217" man="true" max="16383" min="0"/>
    <brk id="289" man="true" max="16383" min="0"/>
    <brk id="361" man="true" max="16383" min="0"/>
    <brk id="433" man="true" max="16383" min="0"/>
    <brk id="505" man="true" max="16383" min="0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2026-10-06T14:14:11Z</dcterms:created>
  <dc:creator>openpyxl</dc:creator>
  <dc:description/>
  <dc:language>en-US</dc:language>
  <cp:lastModifiedBy/>
  <dcterms:modified xsi:type="dcterms:W3CDTF">2026-10-06T16:53:30Z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