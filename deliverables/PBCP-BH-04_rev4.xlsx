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15. GEOTEKNIK\Proyek Borupuru Geothermal Palu\03. Analisis\02. Analisis DDT\"/>
    </mc:Choice>
  </mc:AlternateContent>
  <xr:revisionPtr revIDLastSave="0" documentId="13_ncr:1_{FC525F6B-B5E7-4433-BF75-E8E6B7A3E6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put" sheetId="1" r:id="rId1"/>
    <sheet name="Data Tanah" sheetId="2" r:id="rId2"/>
    <sheet name="Kap. Statis" sheetId="4" r:id="rId3"/>
    <sheet name="Kap. Likuefaksi" sheetId="5" r:id="rId4"/>
    <sheet name="Downdrag" sheetId="6" r:id="rId5"/>
    <sheet name="Ringkasan" sheetId="3" r:id="rId6"/>
  </sheets>
  <definedNames>
    <definedName name="_xlnm.Print_Area" localSheetId="1">'Data Tanah'!$A$1:$Q$50</definedName>
    <definedName name="_xlnm.Print_Area" localSheetId="4">Downdrag!$A$1:$M$127</definedName>
    <definedName name="_xlnm.Print_Area" localSheetId="0">Input!$A$1:$E$53</definedName>
    <definedName name="_xlnm.Print_Area" localSheetId="3">'Kap. Likuefaksi'!$A$1:$N$127</definedName>
    <definedName name="_xlnm.Print_Area" localSheetId="2">'Kap. Statis'!$A$1:$N$127</definedName>
    <definedName name="_xlnm.Print_Area" localSheetId="5">Ringkasan!$A$1:$N$46</definedName>
    <definedName name="_xlnm.Print_Titles" localSheetId="1">'Data Tanah'!$5:$6</definedName>
    <definedName name="_xlnm.Print_Titles" localSheetId="4">Downdrag!$10:$11</definedName>
    <definedName name="_xlnm.Print_Titles" localSheetId="3">'Kap. Likuefaksi'!$10:$11</definedName>
    <definedName name="_xlnm.Print_Titles" localSheetId="2">'Kap. Statis'!$10:$11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<sst xmlns="http://schemas.openxmlformats.org/spreadsheetml/2006/main" count="361" uniqueCount="172">
  <si>
    <t>RINGKASAN HASIL &amp; GRAFIK</t>
  </si>
  <si>
    <t>Geotechnical Investigation &amp; DED Geothermal Wellpad - PSPE Bora Pulu</t>
  </si>
  <si>
    <t>HASIL PENENTUAN PANJANG TIANG</t>
  </si>
  <si>
    <t>Bantu grafik (garis beban)</t>
  </si>
  <si>
    <t>Kondisi</t>
  </si>
  <si>
    <t>Beban (kN)</t>
  </si>
  <si>
    <t>SF</t>
  </si>
  <si>
    <t>Ujung tiang min. (m)</t>
  </si>
  <si>
    <t>L efektif (m)</t>
  </si>
  <si>
    <t>P</t>
  </si>
  <si>
    <t>Statis (tanpa likuefaksi)</t>
  </si>
  <si>
    <t>Likuefaksi - EE-I Compression</t>
  </si>
  <si>
    <t>Downdrag - EE-I Downdrag</t>
  </si>
  <si>
    <t>Q_EQ</t>
  </si>
  <si>
    <t>MENENTUKAN (maks. ketiga kondisi)</t>
  </si>
  <si>
    <t>← kondisi yang menentukan</t>
  </si>
  <si>
    <t xml:space="preserve">DD_max = </t>
  </si>
  <si>
    <t>kN</t>
  </si>
  <si>
    <t>Q_perm</t>
  </si>
  <si>
    <t>PERHITUNGAN DAYA DUKUNG AKSIAL BORED PILE</t>
  </si>
  <si>
    <t>A. DATA TIANG</t>
  </si>
  <si>
    <t>Jenis tiang</t>
  </si>
  <si>
    <t>Bored pile</t>
  </si>
  <si>
    <t>Diameter tiang</t>
  </si>
  <si>
    <t>D</t>
  </si>
  <si>
    <t>m</t>
  </si>
  <si>
    <t>Keliling</t>
  </si>
  <si>
    <t>p</t>
  </si>
  <si>
    <t>Luas penampang</t>
  </si>
  <si>
    <t>Ap</t>
  </si>
  <si>
    <t>m²</t>
  </si>
  <si>
    <t>Berat isi beton</t>
  </si>
  <si>
    <t>γc</t>
  </si>
  <si>
    <t>t/m³</t>
  </si>
  <si>
    <t>Kedalaman cut-off (kepala tiang)</t>
  </si>
  <si>
    <t>zc</t>
  </si>
  <si>
    <t>dari muka tanah</t>
  </si>
  <si>
    <t>B. DATA TANAH &amp; LIKUEFAKSI</t>
  </si>
  <si>
    <t>Muka air tanah desain</t>
  </si>
  <si>
    <t>GWL</t>
  </si>
  <si>
    <t>Report BP-00-GEO-RPT-003, Tabel 3.2</t>
  </si>
  <si>
    <t>Dasar zona likuefaksi = garis A-A'</t>
  </si>
  <si>
    <t>zL</t>
  </si>
  <si>
    <t>Report Tabel 5.3 / sheet asli</t>
  </si>
  <si>
    <t>Berat isi tanah di atas GWL</t>
  </si>
  <si>
    <t>γ1</t>
  </si>
  <si>
    <t>kN/m³</t>
  </si>
  <si>
    <t>Report Tabel 5.1</t>
  </si>
  <si>
    <t>Berat isi tanah di bawah GWL</t>
  </si>
  <si>
    <t>γ2</t>
  </si>
  <si>
    <t>φ tanah terlikuifaksi (resettled), butir kasar</t>
  </si>
  <si>
    <t>φL</t>
  </si>
  <si>
    <t>°</t>
  </si>
  <si>
    <t>Caltrans GM Step 4-6 (SW, SP, SM)</t>
  </si>
  <si>
    <t>φ tanah terlikuifaksi (resettled), butir halus</t>
  </si>
  <si>
    <t>Caltrans GM Step 4-6 (ML)</t>
  </si>
  <si>
    <t>Settlement tanah akibat likuefaksi</t>
  </si>
  <si>
    <t>δg</t>
  </si>
  <si>
    <t>mm</t>
  </si>
  <si>
    <t>Report Tabel 5.4</t>
  </si>
  <si>
    <t>Relative settlement mobilisasi friksi (1% D)</t>
  </si>
  <si>
    <t>zmax</t>
  </si>
  <si>
    <t>Caltrans GM Tabel 1 (drilled shaft, pasir)</t>
  </si>
  <si>
    <t>Cek lokasi A-A'</t>
  </si>
  <si>
    <t>δg &gt; 3·zmax (Caltrans Step 4-5: δg jauh &gt; δo + zmax)</t>
  </si>
  <si>
    <t>Manifestasi permukaan (1 = ya, 0 = tidak)</t>
  </si>
  <si>
    <t>-</t>
  </si>
  <si>
    <t>Caltrans Step 3-2; 1 = friksi di atas dasar likuefaksi diabaikan</t>
  </si>
  <si>
    <t>C. PARAMETER TAHANAN</t>
  </si>
  <si>
    <t>Awal friksi - kondisi statis</t>
  </si>
  <si>
    <t>sesuai perhitungan sebelumnya</t>
  </si>
  <si>
    <t>Awal friksi - kondisi likuefaksi</t>
  </si>
  <si>
    <t>Friksi diabaikan di atas ujung tiang</t>
  </si>
  <si>
    <t>× D</t>
  </si>
  <si>
    <t>O'Neill &amp; Reese (1999)</t>
  </si>
  <si>
    <t>Friksi pasir: fs = k·N</t>
  </si>
  <si>
    <t>k</t>
  </si>
  <si>
    <t>t/m²/N</t>
  </si>
  <si>
    <t>≈ 3N kPa</t>
  </si>
  <si>
    <t>Batas friksi</t>
  </si>
  <si>
    <t>fs,max</t>
  </si>
  <si>
    <t>t/m²</t>
  </si>
  <si>
    <t>≈ 150 kPa</t>
  </si>
  <si>
    <t>Faktor adhesi lempung</t>
  </si>
  <si>
    <t>α</t>
  </si>
  <si>
    <t>Reese &amp; O'Neill</t>
  </si>
  <si>
    <t>Kuat geser undrained lempung: cu = k·N</t>
  </si>
  <si>
    <t>Tahanan ujung pasir: qb = k·N</t>
  </si>
  <si>
    <t>kPa/N</t>
  </si>
  <si>
    <t>Batas tahanan ujung pasir</t>
  </si>
  <si>
    <t>kPa</t>
  </si>
  <si>
    <t>Faktor daya dukung lempung</t>
  </si>
  <si>
    <t>Nc</t>
  </si>
  <si>
    <t>qb = Nc·cu</t>
  </si>
  <si>
    <t>Jendela rata-rata qb: di atas ujung</t>
  </si>
  <si>
    <t>Jendela rata-rata qb: di bawah ujung</t>
  </si>
  <si>
    <t>Tahanan tarik ultimit: Tult = k·Qs</t>
  </si>
  <si>
    <t>D. FAKTOR KEAMANAN</t>
  </si>
  <si>
    <t>SF friksi - statis</t>
  </si>
  <si>
    <t>SF ujung - statis</t>
  </si>
  <si>
    <t>SF tarik - statis</t>
  </si>
  <si>
    <t>SF kondisi likuefaksi (tekan &amp; tarik)</t>
  </si>
  <si>
    <t>SF kondisi downdrag</t>
  </si>
  <si>
    <t>E. BEBAN PER TIANG  (SEMENTARA - beban rig belum dikonfirmasi)</t>
  </si>
  <si>
    <t>Beban tekan statis / layan</t>
  </si>
  <si>
    <t>Beban tekan kondisi gempa / likuefaksi</t>
  </si>
  <si>
    <t>Beban permanen (kondisi downdrag)</t>
  </si>
  <si>
    <t>Beban tarik</t>
  </si>
  <si>
    <t>T</t>
  </si>
  <si>
    <t>Sel kuning = input. Semua sheet lain dihitung otomatis dari sheet ini dan sheet "Data Tanah".</t>
  </si>
  <si>
    <t>DATA TANAH &amp; PARAMETER LAPISAN</t>
  </si>
  <si>
    <t>No</t>
  </si>
  <si>
    <t>Atas</t>
  </si>
  <si>
    <t>Bawah</t>
  </si>
  <si>
    <t>Tebal</t>
  </si>
  <si>
    <t>Tengah</t>
  </si>
  <si>
    <t>Jenis</t>
  </si>
  <si>
    <t>N-SPT</t>
  </si>
  <si>
    <t>Likuefaksi</t>
  </si>
  <si>
    <t>cu</t>
  </si>
  <si>
    <t>σ'v tengah</t>
  </si>
  <si>
    <t>fs statis</t>
  </si>
  <si>
    <t>fs likuefaksi</t>
  </si>
  <si>
    <t>fs downdrag</t>
  </si>
  <si>
    <t>qb</t>
  </si>
  <si>
    <t>Keterangan</t>
  </si>
  <si>
    <t>L / NL</t>
  </si>
  <si>
    <t>Sand</t>
  </si>
  <si>
    <t>NL</t>
  </si>
  <si>
    <t>L</t>
  </si>
  <si>
    <t>Clay</t>
  </si>
  <si>
    <t>Catatan: fs downdrag lapisan L = (1 - sin φL)·tan(2φL/3)·σ'v (Caltrans: φL = 30° kasar / 25° halus); lapisan NL pasir = metode β (FHWA), dibatasi fs statis.</t>
  </si>
  <si>
    <t>qb pasir = k·N (kPa) ≤ batas, dikonversi ke t/m²; qb lempung = Nc·cu. Kolom kuning = data input borehole.</t>
  </si>
  <si>
    <t>KAPASITAS AKSIAL - KONDISI STATIS (TANPA LIKUEFAKSI)</t>
  </si>
  <si>
    <t>Ujung tiang minimum (kondisi statis)</t>
  </si>
  <si>
    <t>Panjang efektif dari cut-off</t>
  </si>
  <si>
    <t>Qa = Qs/SF + Qb/SF - W'p ;  Ta = 0,7·Qs/SF + W'p</t>
  </si>
  <si>
    <t>SF fs / qb</t>
  </si>
  <si>
    <t>Ujung tiang</t>
  </si>
  <si>
    <t>Elevasi</t>
  </si>
  <si>
    <t>L efektif</t>
  </si>
  <si>
    <t>Qs</t>
  </si>
  <si>
    <t>qb rata-rata</t>
  </si>
  <si>
    <t>Qb</t>
  </si>
  <si>
    <t>Qult</t>
  </si>
  <si>
    <t>W'p</t>
  </si>
  <si>
    <t>Qa tekan</t>
  </si>
  <si>
    <t>Beban P</t>
  </si>
  <si>
    <t>OK*</t>
  </si>
  <si>
    <t>Ta tarik</t>
  </si>
  <si>
    <t>ton</t>
  </si>
  <si>
    <t>* OK = kriteria terpenuhi pada kedalaman ini dan semua kedalaman di bawahnya.</t>
  </si>
  <si>
    <t>KAPASITAS AKSIAL - KONDISI LIKUEFAKSI (EXTREME EVENT I - COMPRESSION)</t>
  </si>
  <si>
    <t>Ujung tiang minimum (kondisi likuefaksi)</t>
  </si>
  <si>
    <t>Qa = R_N/SF - W'p</t>
  </si>
  <si>
    <t>Qs (di bawah zona likuefaksi)</t>
  </si>
  <si>
    <t>Lap. L dalam 1,5D ujung?</t>
  </si>
  <si>
    <t>R_N</t>
  </si>
  <si>
    <t>Beban Q_EQ</t>
  </si>
  <si>
    <t>KAPASITAS AKSIAL - KONDISI DOWNDRAG PASCA LIKUEFAKSI (EXTREME EVENT I - DOWNDRAG)</t>
  </si>
  <si>
    <t>Ujung tiang minimum (kondisi downdrag)</t>
  </si>
  <si>
    <t>DD_max (cut-off s/d A-A')</t>
  </si>
  <si>
    <t>Qa = R_N(bawah A-A')/SF - W'p - DD_max</t>
  </si>
  <si>
    <t>Ujung tiang / kedalaman</t>
  </si>
  <si>
    <t>Downdrag kumulatif (cut-off s/d z)</t>
  </si>
  <si>
    <t>R_N di bawah A-A'</t>
  </si>
  <si>
    <t>DD_max</t>
  </si>
  <si>
    <t>Qa neto</t>
  </si>
  <si>
    <t>Beban Q_perm</t>
  </si>
  <si>
    <t>fs negatif pada z</t>
  </si>
  <si>
    <t>Downdrag kumulatif</t>
  </si>
  <si>
    <t>Lokasi: Wellpad D  |  Titik bor: BH-04  |  Fondasi: Bored pile 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</si>
</sst>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i/>
      <sz val="10"/>
      <name val="Calibri"/>
    </font>
    <font>
      <sz val="9"/>
      <color rgb="FF595959"/>
      <name val="Calibri"/>
    </font>
    <font>
      <b/>
      <sz val="9"/>
      <color rgb="FFFFFFFF"/>
      <name val="Calibri"/>
    </font>
    <font>
      <b/>
      <sz val="10"/>
      <color rgb="FFC00000"/>
      <name val="Calibri"/>
    </font>
    <font>
      <b/>
      <sz val="10"/>
      <name val="Calibri"/>
    </font>
    <font>
      <b/>
      <sz val="11"/>
      <color rgb="FFC00000"/>
      <name val="Calibri"/>
    </font>
    <font>
      <i/>
      <sz val="9"/>
      <color rgb="FF595959"/>
      <name val="Calibri"/>
    </font>
    <font>
      <sz val="8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49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2" fontId="4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center"/>
    </xf>
    <xf numFmtId="0" fontId="12" fillId="0" borderId="0" xfId="0" applyFont="1"/>
    <xf numFmtId="2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2" fontId="10" fillId="6" borderId="1" xfId="0" applyNumberFormat="1" applyFont="1" applyFill="1" applyBorder="1" applyAlignment="1">
      <alignment horizontal="left"/>
    </xf>
    <xf numFmtId="2" fontId="10" fillId="6" borderId="1" xfId="0" applyNumberFormat="1" applyFont="1" applyFill="1" applyBorder="1" applyAlignment="1">
      <alignment horizontal="center"/>
    </xf>
    <xf numFmtId="0" fontId="11" fillId="0" borderId="0" xfId="0" applyFont="1"/>
    <xf numFmtId="3" fontId="0" fillId="0" borderId="0" xfId="0" applyNumberFormat="1"/>
    <xf numFmtId="165" fontId="4" fillId="0" borderId="1" xfId="0" applyNumberFormat="1" applyFon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3" fontId="10" fillId="6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712148148148147"/>
          <c:w val="0.77116967592592589"/>
          <c:h val="0.84676703703703726"/>
        </c:manualLayout>
      </c:layout>
      <c:scatterChart>
        <c:scatterStyle val="lineMarker"/>
        <c:varyColors val="1"/>
        <c:ser>
          <c:idx val="0"/>
          <c:order val="0"/>
          <c:tx>
            <c:v>Qa statis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Statis'!$J$12:$J$127</c:f>
              <c:numCache>
                <c:formatCode>#,##0</c:formatCode>
                <c:ptCount val="116"/>
                <c:pt idx="0">
                  <c:v>39.294255512937738</c:v>
                </c:pt>
                <c:pt idx="1">
                  <c:v>369.9656009594911</c:v>
                </c:pt>
                <c:pt idx="2">
                  <c:v>360.71989377997636</c:v>
                </c:pt>
                <c:pt idx="3">
                  <c:v>699.86647080775163</c:v>
                </c:pt>
                <c:pt idx="4">
                  <c:v>661.46233321333102</c:v>
                </c:pt>
                <c:pt idx="5">
                  <c:v>742.82455639306102</c:v>
                </c:pt>
                <c:pt idx="6">
                  <c:v>741.39272318130975</c:v>
                </c:pt>
                <c:pt idx="7">
                  <c:v>762.54108716723522</c:v>
                </c:pt>
                <c:pt idx="8">
                  <c:v>843.90331034696521</c:v>
                </c:pt>
                <c:pt idx="9">
                  <c:v>793.53942622630109</c:v>
                </c:pt>
                <c:pt idx="10">
                  <c:v>747.10576178174051</c:v>
                </c:pt>
                <c:pt idx="11">
                  <c:v>793.3342976793142</c:v>
                </c:pt>
                <c:pt idx="12">
                  <c:v>683.1036654464823</c:v>
                </c:pt>
                <c:pt idx="13">
                  <c:v>729.33220134405622</c:v>
                </c:pt>
                <c:pt idx="14">
                  <c:v>743.81714259196258</c:v>
                </c:pt>
                <c:pt idx="15">
                  <c:v>816.73570719663928</c:v>
                </c:pt>
                <c:pt idx="16">
                  <c:v>835.0730264360102</c:v>
                </c:pt>
                <c:pt idx="17">
                  <c:v>850.02025304289248</c:v>
                </c:pt>
                <c:pt idx="18">
                  <c:v>945.86741747052872</c:v>
                </c:pt>
                <c:pt idx="19">
                  <c:v>960.81464407741089</c:v>
                </c:pt>
                <c:pt idx="20">
                  <c:v>988.7058607356139</c:v>
                </c:pt>
                <c:pt idx="21">
                  <c:v>967.79439901570765</c:v>
                </c:pt>
                <c:pt idx="22">
                  <c:v>995.68561567391055</c:v>
                </c:pt>
                <c:pt idx="23">
                  <c:v>1034.3634907082139</c:v>
                </c:pt>
                <c:pt idx="24">
                  <c:v>1009.4771288833534</c:v>
                </c:pt>
                <c:pt idx="25">
                  <c:v>1048.1550039176568</c:v>
                </c:pt>
                <c:pt idx="26">
                  <c:v>1068.1873694732722</c:v>
                </c:pt>
                <c:pt idx="27">
                  <c:v>1122.8911369520677</c:v>
                </c:pt>
                <c:pt idx="28">
                  <c:v>1142.923502507683</c:v>
                </c:pt>
                <c:pt idx="29">
                  <c:v>1162.9558680632983</c:v>
                </c:pt>
                <c:pt idx="30">
                  <c:v>1231.7909119970227</c:v>
                </c:pt>
                <c:pt idx="31">
                  <c:v>1251.8232775526378</c:v>
                </c:pt>
                <c:pt idx="32">
                  <c:v>1282.0259210057195</c:v>
                </c:pt>
                <c:pt idx="33">
                  <c:v>1427.7999042027354</c:v>
                </c:pt>
                <c:pt idx="34">
                  <c:v>1458.0025476558174</c:v>
                </c:pt>
                <c:pt idx="35">
                  <c:v>1485.8937643140202</c:v>
                </c:pt>
                <c:pt idx="36">
                  <c:v>1649.2661641582829</c:v>
                </c:pt>
                <c:pt idx="37">
                  <c:v>1677.1573808164858</c:v>
                </c:pt>
                <c:pt idx="38">
                  <c:v>1741.2609505944547</c:v>
                </c:pt>
                <c:pt idx="39">
                  <c:v>1770.6931184492432</c:v>
                </c:pt>
                <c:pt idx="40">
                  <c:v>1834.7966882272121</c:v>
                </c:pt>
                <c:pt idx="41">
                  <c:v>1895.9724507316682</c:v>
                </c:pt>
                <c:pt idx="42">
                  <c:v>1824.8714545567261</c:v>
                </c:pt>
                <c:pt idx="43">
                  <c:v>1886.0472170611818</c:v>
                </c:pt>
                <c:pt idx="44">
                  <c:v>1939.9805089416843</c:v>
                </c:pt>
                <c:pt idx="45">
                  <c:v>1913.0138630014333</c:v>
                </c:pt>
                <c:pt idx="46">
                  <c:v>1966.9471548819361</c:v>
                </c:pt>
                <c:pt idx="47">
                  <c:v>2002.2349372837507</c:v>
                </c:pt>
                <c:pt idx="48">
                  <c:v>2056.8984923765806</c:v>
                </c:pt>
                <c:pt idx="49">
                  <c:v>2092.1862747783948</c:v>
                </c:pt>
                <c:pt idx="50">
                  <c:v>2122.3889182314765</c:v>
                </c:pt>
                <c:pt idx="51">
                  <c:v>2308.6128703388699</c:v>
                </c:pt>
                <c:pt idx="52">
                  <c:v>2338.8155137919512</c:v>
                </c:pt>
                <c:pt idx="53">
                  <c:v>2372.254154757863</c:v>
                </c:pt>
                <c:pt idx="54">
                  <c:v>2536.5597646998744</c:v>
                </c:pt>
                <c:pt idx="55">
                  <c:v>2569.9984056657863</c:v>
                </c:pt>
                <c:pt idx="56">
                  <c:v>2645.9672996574659</c:v>
                </c:pt>
                <c:pt idx="57">
                  <c:v>2733.4933276235383</c:v>
                </c:pt>
                <c:pt idx="58">
                  <c:v>2809.4622216152184</c:v>
                </c:pt>
                <c:pt idx="59">
                  <c:v>2888.8212082393866</c:v>
                </c:pt>
                <c:pt idx="60">
                  <c:v>2968.1801948635552</c:v>
                </c:pt>
                <c:pt idx="61">
                  <c:v>3047.5391814877239</c:v>
                </c:pt>
                <c:pt idx="62">
                  <c:v>3126.8981681118917</c:v>
                </c:pt>
                <c:pt idx="63">
                  <c:v>3206.2571547360603</c:v>
                </c:pt>
                <c:pt idx="64">
                  <c:v>3285.6161413602285</c:v>
                </c:pt>
                <c:pt idx="65">
                  <c:v>3364.9751279843967</c:v>
                </c:pt>
                <c:pt idx="66">
                  <c:v>3531.0878867405086</c:v>
                </c:pt>
                <c:pt idx="67">
                  <c:v>3610.4468733646763</c:v>
                </c:pt>
                <c:pt idx="68">
                  <c:v>3689.805859988845</c:v>
                </c:pt>
                <c:pt idx="69">
                  <c:v>3769.1648466130132</c:v>
                </c:pt>
                <c:pt idx="70">
                  <c:v>3848.5238332371814</c:v>
                </c:pt>
                <c:pt idx="71">
                  <c:v>3935.5875758442799</c:v>
                </c:pt>
                <c:pt idx="72">
                  <c:v>3935.8975463194338</c:v>
                </c:pt>
                <c:pt idx="73">
                  <c:v>4022.9612889265309</c:v>
                </c:pt>
                <c:pt idx="74">
                  <c:v>4102.3202755506991</c:v>
                </c:pt>
                <c:pt idx="75">
                  <c:v>4181.6792621748673</c:v>
                </c:pt>
                <c:pt idx="76">
                  <c:v>4261.0382487990364</c:v>
                </c:pt>
                <c:pt idx="77">
                  <c:v>4340.3972354232037</c:v>
                </c:pt>
                <c:pt idx="78">
                  <c:v>4419.7562220473728</c:v>
                </c:pt>
                <c:pt idx="79">
                  <c:v>4499.115208671542</c:v>
                </c:pt>
                <c:pt idx="80">
                  <c:v>4578.4741952957102</c:v>
                </c:pt>
                <c:pt idx="81">
                  <c:v>4657.8331819198784</c:v>
                </c:pt>
                <c:pt idx="82">
                  <c:v>4737.1921685440466</c:v>
                </c:pt>
                <c:pt idx="83">
                  <c:v>4816.5511551682148</c:v>
                </c:pt>
                <c:pt idx="84">
                  <c:v>4797.6745030100392</c:v>
                </c:pt>
                <c:pt idx="85">
                  <c:v>4877.0334896342074</c:v>
                </c:pt>
                <c:pt idx="86">
                  <c:v>4956.3924762583756</c:v>
                </c:pt>
                <c:pt idx="87">
                  <c:v>4954.8515250617902</c:v>
                </c:pt>
                <c:pt idx="88">
                  <c:v>5034.2105116859593</c:v>
                </c:pt>
                <c:pt idx="89">
                  <c:v>5084.7537109339719</c:v>
                </c:pt>
                <c:pt idx="90">
                  <c:v>5123.7397762075934</c:v>
                </c:pt>
                <c:pt idx="91">
                  <c:v>5174.2829754556069</c:v>
                </c:pt>
                <c:pt idx="92">
                  <c:v>5229.9113136523547</c:v>
                </c:pt>
                <c:pt idx="93">
                  <c:v>5303.3132122867855</c:v>
                </c:pt>
                <c:pt idx="94">
                  <c:v>5358.9415504835324</c:v>
                </c:pt>
                <c:pt idx="95">
                  <c:v>5406.0946570990591</c:v>
                </c:pt>
                <c:pt idx="96">
                  <c:v>5530.0210886851528</c:v>
                </c:pt>
                <c:pt idx="97">
                  <c:v>5577.1741953006785</c:v>
                </c:pt>
                <c:pt idx="98">
                  <c:v>5627.2551091897176</c:v>
                </c:pt>
                <c:pt idx="99">
                  <c:v>5630.6696277050878</c:v>
                </c:pt>
                <c:pt idx="100">
                  <c:v>5680.7505415941259</c:v>
                </c:pt>
                <c:pt idx="101">
                  <c:v>5738.2280212267769</c:v>
                </c:pt>
                <c:pt idx="102">
                  <c:v>5758.0718388632986</c:v>
                </c:pt>
                <c:pt idx="103">
                  <c:v>5815.5493184959487</c:v>
                </c:pt>
                <c:pt idx="104">
                  <c:v>5862.7024251114744</c:v>
                </c:pt>
                <c:pt idx="105">
                  <c:v>5918.8882651045396</c:v>
                </c:pt>
                <c:pt idx="106">
                  <c:v>5966.0413717200654</c:v>
                </c:pt>
                <c:pt idx="107">
                  <c:v>6014.2731441731994</c:v>
                </c:pt>
                <c:pt idx="108">
                  <c:v>6107.6653110216894</c:v>
                </c:pt>
                <c:pt idx="109">
                  <c:v>6155.8970834748234</c:v>
                </c:pt>
                <c:pt idx="110">
                  <c:v>6256.94614937815</c:v>
                </c:pt>
                <c:pt idx="111">
                  <c:v>6365.5219476807051</c:v>
                </c:pt>
                <c:pt idx="112">
                  <c:v>6443.9908163863565</c:v>
                </c:pt>
                <c:pt idx="113">
                  <c:v>6503.3174374549089</c:v>
                </c:pt>
                <c:pt idx="114">
                  <c:v>6607.8044529188155</c:v>
                </c:pt>
                <c:pt idx="115">
                  <c:v>6667.1310739873688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9-430C-9409-05B828B39FA1}"/>
            </c:ext>
          </c:extLst>
        </c:ser>
        <c:ser>
          <c:idx val="1"/>
          <c:order val="1"/>
          <c:tx>
            <c:v>Beban P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9-430C-9409-05B828B3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4086365740740742"/>
          <c:y val="0.12947333333333333"/>
          <c:w val="0.78586875"/>
          <c:h val="0.84441518518518521"/>
        </c:manualLayout>
      </c:layout>
      <c:scatterChart>
        <c:scatterStyle val="lineMarker"/>
        <c:varyColors val="1"/>
        <c:ser>
          <c:idx val="0"/>
          <c:order val="0"/>
          <c:tx>
            <c:v>Qa likuefaksi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Likuefaksi'!$J$12:$J$127</c:f>
              <c:numCache>
                <c:formatCode>#,##0</c:formatCode>
                <c:ptCount val="116"/>
                <c:pt idx="0">
                  <c:v>-18.491414359029523</c:v>
                </c:pt>
                <c:pt idx="1">
                  <c:v>-27.73712153854428</c:v>
                </c:pt>
                <c:pt idx="2">
                  <c:v>-36.982828718059046</c:v>
                </c:pt>
                <c:pt idx="3">
                  <c:v>-46.228535897573806</c:v>
                </c:pt>
                <c:pt idx="4">
                  <c:v>-55.474243077088559</c:v>
                </c:pt>
                <c:pt idx="5">
                  <c:v>-64.719950256603326</c:v>
                </c:pt>
                <c:pt idx="6">
                  <c:v>-73.965657436118093</c:v>
                </c:pt>
                <c:pt idx="7">
                  <c:v>-83.21136461563286</c:v>
                </c:pt>
                <c:pt idx="8">
                  <c:v>-92.457071795147613</c:v>
                </c:pt>
                <c:pt idx="9">
                  <c:v>-101.70277897466238</c:v>
                </c:pt>
                <c:pt idx="10">
                  <c:v>-110.94848615417712</c:v>
                </c:pt>
                <c:pt idx="11">
                  <c:v>-120.1941933336919</c:v>
                </c:pt>
                <c:pt idx="12">
                  <c:v>-129.43990051320665</c:v>
                </c:pt>
                <c:pt idx="13">
                  <c:v>-138.68560769272142</c:v>
                </c:pt>
                <c:pt idx="14">
                  <c:v>-147.93131487223619</c:v>
                </c:pt>
                <c:pt idx="15">
                  <c:v>-153.32464406028646</c:v>
                </c:pt>
                <c:pt idx="16">
                  <c:v>-158.71797324833673</c:v>
                </c:pt>
                <c:pt idx="17">
                  <c:v>-164.11130243638701</c:v>
                </c:pt>
                <c:pt idx="18">
                  <c:v>-169.50463162443728</c:v>
                </c:pt>
                <c:pt idx="19">
                  <c:v>-174.89796081248755</c:v>
                </c:pt>
                <c:pt idx="20">
                  <c:v>-180.29129000053783</c:v>
                </c:pt>
                <c:pt idx="21">
                  <c:v>-185.6846191885881</c:v>
                </c:pt>
                <c:pt idx="22">
                  <c:v>-191.07794837663837</c:v>
                </c:pt>
                <c:pt idx="23">
                  <c:v>-196.47127756468868</c:v>
                </c:pt>
                <c:pt idx="24">
                  <c:v>-201.86460675273895</c:v>
                </c:pt>
                <c:pt idx="25">
                  <c:v>-207.25793594078922</c:v>
                </c:pt>
                <c:pt idx="26">
                  <c:v>-212.6512651288395</c:v>
                </c:pt>
                <c:pt idx="27">
                  <c:v>-218.04459431688977</c:v>
                </c:pt>
                <c:pt idx="28">
                  <c:v>-223.43792350494007</c:v>
                </c:pt>
                <c:pt idx="29">
                  <c:v>-228.83125269299035</c:v>
                </c:pt>
                <c:pt idx="30">
                  <c:v>-234.22458188104062</c:v>
                </c:pt>
                <c:pt idx="31">
                  <c:v>-239.61791106909089</c:v>
                </c:pt>
                <c:pt idx="32">
                  <c:v>-245.01124025714117</c:v>
                </c:pt>
                <c:pt idx="33">
                  <c:v>-250.40456944519144</c:v>
                </c:pt>
                <c:pt idx="34">
                  <c:v>-255.79789863324174</c:v>
                </c:pt>
                <c:pt idx="35">
                  <c:v>-261.19122782129199</c:v>
                </c:pt>
                <c:pt idx="36">
                  <c:v>-266.58455700934223</c:v>
                </c:pt>
                <c:pt idx="37">
                  <c:v>704.72136927796384</c:v>
                </c:pt>
                <c:pt idx="38">
                  <c:v>699.32804008991354</c:v>
                </c:pt>
                <c:pt idx="39">
                  <c:v>738.63217349513729</c:v>
                </c:pt>
                <c:pt idx="40">
                  <c:v>844.61207982955364</c:v>
                </c:pt>
                <c:pt idx="41">
                  <c:v>945.89998732821232</c:v>
                </c:pt>
                <c:pt idx="42">
                  <c:v>792.80951275110488</c:v>
                </c:pt>
                <c:pt idx="43">
                  <c:v>894.09742024976322</c:v>
                </c:pt>
                <c:pt idx="44">
                  <c:v>983.77880431259939</c:v>
                </c:pt>
                <c:pt idx="45">
                  <c:v>917.88338487398516</c:v>
                </c:pt>
                <c:pt idx="46">
                  <c:v>1007.5647689368213</c:v>
                </c:pt>
                <c:pt idx="47">
                  <c:v>1067.3655288350931</c:v>
                </c:pt>
                <c:pt idx="48">
                  <c:v>1164.42739006224</c:v>
                </c:pt>
                <c:pt idx="49">
                  <c:v>1224.2281499605115</c:v>
                </c:pt>
                <c:pt idx="50">
                  <c:v>1275.8796487229929</c:v>
                </c:pt>
                <c:pt idx="51">
                  <c:v>1627.572125666843</c:v>
                </c:pt>
                <c:pt idx="52">
                  <c:v>1679.2236244293247</c:v>
                </c:pt>
                <c:pt idx="53">
                  <c:v>1736.0610166418542</c:v>
                </c:pt>
                <c:pt idx="54">
                  <c:v>2044.5656568853456</c:v>
                </c:pt>
                <c:pt idx="55">
                  <c:v>2101.4030490978753</c:v>
                </c:pt>
                <c:pt idx="56">
                  <c:v>2226.3978980824691</c:v>
                </c:pt>
                <c:pt idx="57">
                  <c:v>2373.6180047101275</c:v>
                </c:pt>
                <c:pt idx="58">
                  <c:v>2498.6128536947208</c:v>
                </c:pt>
                <c:pt idx="59">
                  <c:v>2629.0405434365084</c:v>
                </c:pt>
                <c:pt idx="60">
                  <c:v>2759.4682331782956</c:v>
                </c:pt>
                <c:pt idx="61">
                  <c:v>2889.8959229200832</c:v>
                </c:pt>
                <c:pt idx="62">
                  <c:v>3020.3236126618699</c:v>
                </c:pt>
                <c:pt idx="63">
                  <c:v>3150.7513024036575</c:v>
                </c:pt>
                <c:pt idx="64">
                  <c:v>3281.1789921454447</c:v>
                </c:pt>
                <c:pt idx="65">
                  <c:v>3411.6066818872318</c:v>
                </c:pt>
                <c:pt idx="66">
                  <c:v>3708.8685488058327</c:v>
                </c:pt>
                <c:pt idx="67">
                  <c:v>3839.2962385476203</c:v>
                </c:pt>
                <c:pt idx="68">
                  <c:v>3969.7239282894075</c:v>
                </c:pt>
                <c:pt idx="69">
                  <c:v>4100.1516180311946</c:v>
                </c:pt>
                <c:pt idx="70">
                  <c:v>4230.5793077729832</c:v>
                </c:pt>
                <c:pt idx="71">
                  <c:v>4373.3543628720281</c:v>
                </c:pt>
                <c:pt idx="72">
                  <c:v>4349.2952407942585</c:v>
                </c:pt>
                <c:pt idx="73">
                  <c:v>4492.0702958933034</c:v>
                </c:pt>
                <c:pt idx="74">
                  <c:v>4622.4979856350901</c:v>
                </c:pt>
                <c:pt idx="75">
                  <c:v>4752.9256753768777</c:v>
                </c:pt>
                <c:pt idx="76">
                  <c:v>4883.3533651186663</c:v>
                </c:pt>
                <c:pt idx="77">
                  <c:v>5013.781054860453</c:v>
                </c:pt>
                <c:pt idx="78">
                  <c:v>5144.2087446022406</c:v>
                </c:pt>
                <c:pt idx="79">
                  <c:v>5274.6364343440273</c:v>
                </c:pt>
                <c:pt idx="80">
                  <c:v>5405.064124085814</c:v>
                </c:pt>
                <c:pt idx="81">
                  <c:v>5535.4918138276007</c:v>
                </c:pt>
                <c:pt idx="82">
                  <c:v>5665.9195035693911</c:v>
                </c:pt>
                <c:pt idx="83">
                  <c:v>5796.3471933111778</c:v>
                </c:pt>
                <c:pt idx="84">
                  <c:v>5737.8601930869181</c:v>
                </c:pt>
                <c:pt idx="85">
                  <c:v>5868.2878828287057</c:v>
                </c:pt>
                <c:pt idx="86">
                  <c:v>5998.7155725704924</c:v>
                </c:pt>
                <c:pt idx="87">
                  <c:v>5973.5664588108293</c:v>
                </c:pt>
                <c:pt idx="88">
                  <c:v>6103.9941485526169</c:v>
                </c:pt>
                <c:pt idx="89">
                  <c:v>6188.2426918582605</c:v>
                </c:pt>
                <c:pt idx="90">
                  <c:v>6250.2659775208385</c:v>
                </c:pt>
                <c:pt idx="91">
                  <c:v>6334.5145208264812</c:v>
                </c:pt>
                <c:pt idx="92">
                  <c:v>6426.9123252679128</c:v>
                </c:pt>
                <c:pt idx="93">
                  <c:v>6553.4900536279692</c:v>
                </c:pt>
                <c:pt idx="94">
                  <c:v>6645.8878580694018</c:v>
                </c:pt>
                <c:pt idx="95">
                  <c:v>6724.7035606178515</c:v>
                </c:pt>
                <c:pt idx="96">
                  <c:v>6951.1602727250893</c:v>
                </c:pt>
                <c:pt idx="97">
                  <c:v>7029.9759752735399</c:v>
                </c:pt>
                <c:pt idx="98">
                  <c:v>7113.4836766577464</c:v>
                </c:pt>
                <c:pt idx="99">
                  <c:v>7107.2483100156678</c:v>
                </c:pt>
                <c:pt idx="100">
                  <c:v>7190.7560113998761</c:v>
                </c:pt>
                <c:pt idx="101">
                  <c:v>7286.1171835270507</c:v>
                </c:pt>
                <c:pt idx="102">
                  <c:v>7309.1059287385933</c:v>
                </c:pt>
                <c:pt idx="103">
                  <c:v>7404.4671008657679</c:v>
                </c:pt>
                <c:pt idx="104">
                  <c:v>7483.2828034142185</c:v>
                </c:pt>
                <c:pt idx="105">
                  <c:v>7579.4691470733233</c:v>
                </c:pt>
                <c:pt idx="106">
                  <c:v>7658.2848496217712</c:v>
                </c:pt>
                <c:pt idx="107">
                  <c:v>7738.8291833202375</c:v>
                </c:pt>
                <c:pt idx="108">
                  <c:v>7906.2204293174573</c:v>
                </c:pt>
                <c:pt idx="109">
                  <c:v>7986.7647630159236</c:v>
                </c:pt>
                <c:pt idx="110">
                  <c:v>8171.2515090364286</c:v>
                </c:pt>
                <c:pt idx="111">
                  <c:v>8370.2127404400617</c:v>
                </c:pt>
                <c:pt idx="112">
                  <c:v>8511.2760303111882</c:v>
                </c:pt>
                <c:pt idx="113">
                  <c:v>8609.6005701241047</c:v>
                </c:pt>
                <c:pt idx="114">
                  <c:v>8794.7720222357802</c:v>
                </c:pt>
                <c:pt idx="115">
                  <c:v>8893.096562048695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4-4749-A77E-E1EF6A187B36}"/>
            </c:ext>
          </c:extLst>
        </c:ser>
        <c:ser>
          <c:idx val="1"/>
          <c:order val="1"/>
          <c:tx>
            <c:v>Beban Q_EQ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4-4749-A77E-E1EF6A18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476962962962963"/>
          <c:w val="0.77862222222222222"/>
          <c:h val="0.84911888888888887"/>
        </c:manualLayout>
      </c:layout>
      <c:scatterChart>
        <c:scatterStyle val="lineMarker"/>
        <c:varyColors val="1"/>
        <c:ser>
          <c:idx val="0"/>
          <c:order val="0"/>
          <c:tx>
            <c:v>Qa downdrag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Downdrag!$I$12:$I$127</c:f>
              <c:numCache>
                <c:formatCode>#,##0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-2265.2495766435295</c:v>
                </c:pt>
                <c:pt idx="38">
                  <c:v>-2270.6429058315798</c:v>
                </c:pt>
                <c:pt idx="39">
                  <c:v>-2231.3387724263562</c:v>
                </c:pt>
                <c:pt idx="40">
                  <c:v>-2125.3588660919395</c:v>
                </c:pt>
                <c:pt idx="41">
                  <c:v>-2024.0709585932809</c:v>
                </c:pt>
                <c:pt idx="42">
                  <c:v>-2177.1614331703886</c:v>
                </c:pt>
                <c:pt idx="43">
                  <c:v>-2075.87352567173</c:v>
                </c:pt>
                <c:pt idx="44">
                  <c:v>-1986.192141608894</c:v>
                </c:pt>
                <c:pt idx="45">
                  <c:v>-2052.0875610475082</c:v>
                </c:pt>
                <c:pt idx="46">
                  <c:v>-1962.4061769846721</c:v>
                </c:pt>
                <c:pt idx="47">
                  <c:v>-1902.6054170864004</c:v>
                </c:pt>
                <c:pt idx="48">
                  <c:v>-1805.5435558592535</c:v>
                </c:pt>
                <c:pt idx="49">
                  <c:v>-1745.742795960982</c:v>
                </c:pt>
                <c:pt idx="50">
                  <c:v>-1694.0912971985003</c:v>
                </c:pt>
                <c:pt idx="51">
                  <c:v>-1342.3988202546502</c:v>
                </c:pt>
                <c:pt idx="52">
                  <c:v>-1290.7473214921688</c:v>
                </c:pt>
                <c:pt idx="53">
                  <c:v>-1233.9099292796391</c:v>
                </c:pt>
                <c:pt idx="54">
                  <c:v>-925.40528903614779</c:v>
                </c:pt>
                <c:pt idx="55">
                  <c:v>-868.56789682361796</c:v>
                </c:pt>
                <c:pt idx="56">
                  <c:v>-743.57304783902441</c:v>
                </c:pt>
                <c:pt idx="57">
                  <c:v>-596.35294121136599</c:v>
                </c:pt>
                <c:pt idx="58">
                  <c:v>-471.35809222677273</c:v>
                </c:pt>
                <c:pt idx="59">
                  <c:v>-340.93040248498511</c:v>
                </c:pt>
                <c:pt idx="60">
                  <c:v>-210.50271274319775</c:v>
                </c:pt>
                <c:pt idx="61">
                  <c:v>-80.075023001410401</c:v>
                </c:pt>
                <c:pt idx="62">
                  <c:v>50.352666740376399</c:v>
                </c:pt>
                <c:pt idx="63">
                  <c:v>180.78035648216431</c:v>
                </c:pt>
                <c:pt idx="64">
                  <c:v>311.2080462239511</c:v>
                </c:pt>
                <c:pt idx="65">
                  <c:v>441.63573596573849</c:v>
                </c:pt>
                <c:pt idx="66">
                  <c:v>738.89760288433945</c:v>
                </c:pt>
                <c:pt idx="67">
                  <c:v>869.32529262612684</c:v>
                </c:pt>
                <c:pt idx="68">
                  <c:v>999.75298236791411</c:v>
                </c:pt>
                <c:pt idx="69">
                  <c:v>1130.1806721097014</c:v>
                </c:pt>
                <c:pt idx="70">
                  <c:v>1260.6083618514895</c:v>
                </c:pt>
                <c:pt idx="71">
                  <c:v>1403.3834169505344</c:v>
                </c:pt>
                <c:pt idx="72">
                  <c:v>1379.324294872765</c:v>
                </c:pt>
                <c:pt idx="73">
                  <c:v>1522.0993499718099</c:v>
                </c:pt>
                <c:pt idx="74">
                  <c:v>1652.5270397135969</c:v>
                </c:pt>
                <c:pt idx="75">
                  <c:v>1782.954729455384</c:v>
                </c:pt>
                <c:pt idx="76">
                  <c:v>1913.3824191971726</c:v>
                </c:pt>
                <c:pt idx="77">
                  <c:v>2043.8101089389595</c:v>
                </c:pt>
                <c:pt idx="78">
                  <c:v>2174.2377986807473</c:v>
                </c:pt>
                <c:pt idx="79">
                  <c:v>2304.6654884225341</c:v>
                </c:pt>
                <c:pt idx="80">
                  <c:v>2435.0931781643208</c:v>
                </c:pt>
                <c:pt idx="81">
                  <c:v>2565.5208679061079</c:v>
                </c:pt>
                <c:pt idx="82">
                  <c:v>2695.9485576478978</c:v>
                </c:pt>
                <c:pt idx="83">
                  <c:v>2826.3762473896845</c:v>
                </c:pt>
                <c:pt idx="84">
                  <c:v>2767.8892471654244</c:v>
                </c:pt>
                <c:pt idx="85">
                  <c:v>2898.3169369072125</c:v>
                </c:pt>
                <c:pt idx="86">
                  <c:v>3028.7446266489992</c:v>
                </c:pt>
                <c:pt idx="87">
                  <c:v>3003.5955128893361</c:v>
                </c:pt>
                <c:pt idx="88">
                  <c:v>3134.0232026311237</c:v>
                </c:pt>
                <c:pt idx="89">
                  <c:v>3218.2717459367668</c:v>
                </c:pt>
                <c:pt idx="90">
                  <c:v>3280.2950315993448</c:v>
                </c:pt>
                <c:pt idx="91">
                  <c:v>3364.543574904988</c:v>
                </c:pt>
                <c:pt idx="92">
                  <c:v>3456.9413793464196</c:v>
                </c:pt>
                <c:pt idx="93">
                  <c:v>3583.519107706476</c:v>
                </c:pt>
                <c:pt idx="94">
                  <c:v>3675.9169121479085</c:v>
                </c:pt>
                <c:pt idx="95">
                  <c:v>3754.7326146963583</c:v>
                </c:pt>
                <c:pt idx="96">
                  <c:v>3981.1893268035956</c:v>
                </c:pt>
                <c:pt idx="97">
                  <c:v>4060.0050293520462</c:v>
                </c:pt>
                <c:pt idx="98">
                  <c:v>4143.5127307362527</c:v>
                </c:pt>
                <c:pt idx="99">
                  <c:v>4137.2773640941741</c:v>
                </c:pt>
                <c:pt idx="100">
                  <c:v>4220.7850654783824</c:v>
                </c:pt>
                <c:pt idx="101">
                  <c:v>4316.1462376055579</c:v>
                </c:pt>
                <c:pt idx="102">
                  <c:v>4339.1349828171005</c:v>
                </c:pt>
                <c:pt idx="103">
                  <c:v>4434.4961549442742</c:v>
                </c:pt>
                <c:pt idx="104">
                  <c:v>4513.3118574927248</c:v>
                </c:pt>
                <c:pt idx="105">
                  <c:v>4609.4982011518296</c:v>
                </c:pt>
                <c:pt idx="106">
                  <c:v>4688.3139037002784</c:v>
                </c:pt>
                <c:pt idx="107">
                  <c:v>4768.8582373987447</c:v>
                </c:pt>
                <c:pt idx="108">
                  <c:v>4936.2494833959645</c:v>
                </c:pt>
                <c:pt idx="109">
                  <c:v>5016.7938170944299</c:v>
                </c:pt>
                <c:pt idx="110">
                  <c:v>5201.2805631149349</c:v>
                </c:pt>
                <c:pt idx="111">
                  <c:v>5400.241794518568</c:v>
                </c:pt>
                <c:pt idx="112">
                  <c:v>5541.3050843896945</c:v>
                </c:pt>
                <c:pt idx="113">
                  <c:v>5639.629624202611</c:v>
                </c:pt>
                <c:pt idx="114">
                  <c:v>5824.8010763142865</c:v>
                </c:pt>
                <c:pt idx="115">
                  <c:v>5923.1256161272004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0-4037-9927-0CA7A80DA555}"/>
            </c:ext>
          </c:extLst>
        </c:ser>
        <c:ser>
          <c:idx val="1"/>
          <c:order val="1"/>
          <c:tx>
            <c:v>Beban Q_perm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0-4037-9927-0CA7A80DA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neto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055-9B32-A0B182D5727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49</c:v>
                </c:pt>
                <c:pt idx="3">
                  <c:v>44</c:v>
                </c:pt>
                <c:pt idx="4">
                  <c:v>30</c:v>
                </c:pt>
                <c:pt idx="5">
                  <c:v>14</c:v>
                </c:pt>
                <c:pt idx="6">
                  <c:v>12</c:v>
                </c:pt>
                <c:pt idx="7">
                  <c:v>18</c:v>
                </c:pt>
                <c:pt idx="8">
                  <c:v>26</c:v>
                </c:pt>
                <c:pt idx="9">
                  <c:v>15</c:v>
                </c:pt>
                <c:pt idx="10">
                  <c:v>15</c:v>
                </c:pt>
                <c:pt idx="11">
                  <c:v>21</c:v>
                </c:pt>
                <c:pt idx="12">
                  <c:v>18</c:v>
                </c:pt>
                <c:pt idx="13">
                  <c:v>41</c:v>
                </c:pt>
                <c:pt idx="14">
                  <c:v>36</c:v>
                </c:pt>
                <c:pt idx="15">
                  <c:v>35</c:v>
                </c:pt>
                <c:pt idx="16">
                  <c:v>24</c:v>
                </c:pt>
                <c:pt idx="17">
                  <c:v>21</c:v>
                </c:pt>
                <c:pt idx="18">
                  <c:v>21</c:v>
                </c:pt>
                <c:pt idx="19">
                  <c:v>48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33</c:v>
                </c:pt>
                <c:pt idx="31">
                  <c:v>36</c:v>
                </c:pt>
                <c:pt idx="32">
                  <c:v>31</c:v>
                </c:pt>
                <c:pt idx="33">
                  <c:v>30</c:v>
                </c:pt>
                <c:pt idx="34">
                  <c:v>34</c:v>
                </c:pt>
                <c:pt idx="35">
                  <c:v>31</c:v>
                </c:pt>
                <c:pt idx="36">
                  <c:v>29</c:v>
                </c:pt>
                <c:pt idx="37">
                  <c:v>25</c:v>
                </c:pt>
                <c:pt idx="38">
                  <c:v>35</c:v>
                </c:pt>
                <c:pt idx="39">
                  <c:v>42</c:v>
                </c:pt>
                <c:pt idx="40">
                  <c:v>46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9-4055-9B32-A0B182D572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4.0055306333269867</c:v>
                </c:pt>
                <c:pt idx="1">
                  <c:v>37.713109170182577</c:v>
                </c:pt>
                <c:pt idx="2">
                  <c:v>36.770631374105641</c:v>
                </c:pt>
                <c:pt idx="3">
                  <c:v>71.342147890698428</c:v>
                </c:pt>
                <c:pt idx="4">
                  <c:v>67.427353028881853</c:v>
                </c:pt>
                <c:pt idx="5">
                  <c:v>75.721157634358917</c:v>
                </c:pt>
                <c:pt idx="6">
                  <c:v>75.575201139786927</c:v>
                </c:pt>
                <c:pt idx="7">
                  <c:v>77.730997672501033</c:v>
                </c:pt>
                <c:pt idx="8">
                  <c:v>86.024802277978097</c:v>
                </c:pt>
                <c:pt idx="9">
                  <c:v>80.890869136218257</c:v>
                </c:pt>
                <c:pt idx="10">
                  <c:v>76.157570008332357</c:v>
                </c:pt>
                <c:pt idx="11">
                  <c:v>80.869958988717045</c:v>
                </c:pt>
                <c:pt idx="12">
                  <c:v>69.633401166817762</c:v>
                </c:pt>
                <c:pt idx="13">
                  <c:v>74.345790147202464</c:v>
                </c:pt>
                <c:pt idx="14">
                  <c:v>75.822338694389657</c:v>
                </c:pt>
                <c:pt idx="15">
                  <c:v>83.255423771318988</c:v>
                </c:pt>
                <c:pt idx="16">
                  <c:v>85.124671400204903</c:v>
                </c:pt>
                <c:pt idx="17">
                  <c:v>86.648343837195966</c:v>
                </c:pt>
                <c:pt idx="18">
                  <c:v>96.418696989860209</c:v>
                </c:pt>
                <c:pt idx="19">
                  <c:v>97.942369426851258</c:v>
                </c:pt>
                <c:pt idx="20">
                  <c:v>100.78551077835003</c:v>
                </c:pt>
                <c:pt idx="21">
                  <c:v>98.653863304353479</c:v>
                </c:pt>
                <c:pt idx="22">
                  <c:v>101.49700465585224</c:v>
                </c:pt>
                <c:pt idx="23">
                  <c:v>105.43970343610742</c:v>
                </c:pt>
                <c:pt idx="24">
                  <c:v>102.90286736833367</c:v>
                </c:pt>
                <c:pt idx="25">
                  <c:v>106.84556614858886</c:v>
                </c:pt>
                <c:pt idx="26">
                  <c:v>108.88760137342223</c:v>
                </c:pt>
                <c:pt idx="27">
                  <c:v>114.46392833354409</c:v>
                </c:pt>
                <c:pt idx="28">
                  <c:v>116.50596355837746</c:v>
                </c:pt>
                <c:pt idx="29">
                  <c:v>118.54799878321084</c:v>
                </c:pt>
                <c:pt idx="30">
                  <c:v>125.56482283353952</c:v>
                </c:pt>
                <c:pt idx="31">
                  <c:v>127.60685805837286</c:v>
                </c:pt>
                <c:pt idx="32">
                  <c:v>130.68561885889088</c:v>
                </c:pt>
                <c:pt idx="33">
                  <c:v>145.54535211037057</c:v>
                </c:pt>
                <c:pt idx="34">
                  <c:v>148.62411291088861</c:v>
                </c:pt>
                <c:pt idx="35">
                  <c:v>151.46725426238737</c:v>
                </c:pt>
                <c:pt idx="36">
                  <c:v>168.12091377760274</c:v>
                </c:pt>
                <c:pt idx="37">
                  <c:v>170.9640551291015</c:v>
                </c:pt>
                <c:pt idx="38">
                  <c:v>177.49856784856826</c:v>
                </c:pt>
                <c:pt idx="39">
                  <c:v>180.4987888327465</c:v>
                </c:pt>
                <c:pt idx="40">
                  <c:v>187.03330155221326</c:v>
                </c:pt>
                <c:pt idx="41">
                  <c:v>193.269362969589</c:v>
                </c:pt>
                <c:pt idx="42">
                  <c:v>186.02155500068562</c:v>
                </c:pt>
                <c:pt idx="43">
                  <c:v>192.25761641806133</c:v>
                </c:pt>
                <c:pt idx="44">
                  <c:v>197.75540356184345</c:v>
                </c:pt>
                <c:pt idx="45">
                  <c:v>195.00650998995241</c:v>
                </c:pt>
                <c:pt idx="46">
                  <c:v>200.50429713373455</c:v>
                </c:pt>
                <c:pt idx="47">
                  <c:v>204.10142072209487</c:v>
                </c:pt>
                <c:pt idx="48">
                  <c:v>209.6736485603038</c:v>
                </c:pt>
                <c:pt idx="49">
                  <c:v>213.27077214866409</c:v>
                </c:pt>
                <c:pt idx="50">
                  <c:v>216.34953294918211</c:v>
                </c:pt>
                <c:pt idx="51">
                  <c:v>235.33260655849844</c:v>
                </c:pt>
                <c:pt idx="52">
                  <c:v>238.41136735901642</c:v>
                </c:pt>
                <c:pt idx="53">
                  <c:v>241.81999538816135</c:v>
                </c:pt>
                <c:pt idx="54">
                  <c:v>258.56878335370789</c:v>
                </c:pt>
                <c:pt idx="55">
                  <c:v>261.97741138285284</c:v>
                </c:pt>
                <c:pt idx="56">
                  <c:v>269.72143727395166</c:v>
                </c:pt>
                <c:pt idx="57">
                  <c:v>278.64356041014662</c:v>
                </c:pt>
                <c:pt idx="58">
                  <c:v>286.38758630124551</c:v>
                </c:pt>
                <c:pt idx="59">
                  <c:v>294.47718738423919</c:v>
                </c:pt>
                <c:pt idx="60">
                  <c:v>302.56678846723293</c:v>
                </c:pt>
                <c:pt idx="61">
                  <c:v>310.65638955022666</c:v>
                </c:pt>
                <c:pt idx="62">
                  <c:v>318.74599063322034</c:v>
                </c:pt>
                <c:pt idx="63">
                  <c:v>326.83559171621408</c:v>
                </c:pt>
                <c:pt idx="64">
                  <c:v>334.92519279920776</c:v>
                </c:pt>
                <c:pt idx="65">
                  <c:v>343.0147938822015</c:v>
                </c:pt>
                <c:pt idx="66">
                  <c:v>359.94779681350747</c:v>
                </c:pt>
                <c:pt idx="67">
                  <c:v>368.03739789650115</c:v>
                </c:pt>
                <c:pt idx="68">
                  <c:v>376.12699897949489</c:v>
                </c:pt>
                <c:pt idx="69">
                  <c:v>384.21660006248857</c:v>
                </c:pt>
                <c:pt idx="70">
                  <c:v>392.30620114548231</c:v>
                </c:pt>
                <c:pt idx="71">
                  <c:v>401.18120039187357</c:v>
                </c:pt>
                <c:pt idx="72">
                  <c:v>401.21279778995245</c:v>
                </c:pt>
                <c:pt idx="73">
                  <c:v>410.0877970363436</c:v>
                </c:pt>
                <c:pt idx="74">
                  <c:v>418.17739811933734</c:v>
                </c:pt>
                <c:pt idx="75">
                  <c:v>426.26699920233102</c:v>
                </c:pt>
                <c:pt idx="76">
                  <c:v>434.35660028532476</c:v>
                </c:pt>
                <c:pt idx="77">
                  <c:v>442.44620136831844</c:v>
                </c:pt>
                <c:pt idx="78">
                  <c:v>450.53580245131218</c:v>
                </c:pt>
                <c:pt idx="79">
                  <c:v>458.62540353430597</c:v>
                </c:pt>
                <c:pt idx="80">
                  <c:v>466.71500461729966</c:v>
                </c:pt>
                <c:pt idx="81">
                  <c:v>474.80460570029339</c:v>
                </c:pt>
                <c:pt idx="82">
                  <c:v>482.89420678328713</c:v>
                </c:pt>
                <c:pt idx="83">
                  <c:v>490.98380786628081</c:v>
                </c:pt>
                <c:pt idx="84">
                  <c:v>489.05958236595706</c:v>
                </c:pt>
                <c:pt idx="85">
                  <c:v>497.14918344895079</c:v>
                </c:pt>
                <c:pt idx="86">
                  <c:v>505.23878453194448</c:v>
                </c:pt>
                <c:pt idx="87">
                  <c:v>505.08170489926505</c:v>
                </c:pt>
                <c:pt idx="88">
                  <c:v>513.17130598225879</c:v>
                </c:pt>
                <c:pt idx="89">
                  <c:v>518.32351793414591</c:v>
                </c:pt>
                <c:pt idx="90">
                  <c:v>522.29763264093708</c:v>
                </c:pt>
                <c:pt idx="91">
                  <c:v>527.44984459282432</c:v>
                </c:pt>
                <c:pt idx="92">
                  <c:v>533.12041933255398</c:v>
                </c:pt>
                <c:pt idx="93">
                  <c:v>540.60277393341335</c:v>
                </c:pt>
                <c:pt idx="94">
                  <c:v>546.27334867314289</c:v>
                </c:pt>
                <c:pt idx="95">
                  <c:v>551.07998543313545</c:v>
                </c:pt>
                <c:pt idx="96">
                  <c:v>563.71264920337944</c:v>
                </c:pt>
                <c:pt idx="97">
                  <c:v>568.51928596337189</c:v>
                </c:pt>
                <c:pt idx="98">
                  <c:v>573.62437402545538</c:v>
                </c:pt>
                <c:pt idx="99">
                  <c:v>573.97243911366843</c:v>
                </c:pt>
                <c:pt idx="100">
                  <c:v>579.07752717575181</c:v>
                </c:pt>
                <c:pt idx="101">
                  <c:v>584.9365974746969</c:v>
                </c:pt>
                <c:pt idx="102">
                  <c:v>586.95941272816492</c:v>
                </c:pt>
                <c:pt idx="103">
                  <c:v>592.81848302710989</c:v>
                </c:pt>
                <c:pt idx="104">
                  <c:v>597.62511978710234</c:v>
                </c:pt>
                <c:pt idx="105">
                  <c:v>603.35252447548817</c:v>
                </c:pt>
                <c:pt idx="106">
                  <c:v>608.15916123548061</c:v>
                </c:pt>
                <c:pt idx="107">
                  <c:v>613.07575373834857</c:v>
                </c:pt>
                <c:pt idx="108">
                  <c:v>622.59585229578886</c:v>
                </c:pt>
                <c:pt idx="109">
                  <c:v>627.51244479865682</c:v>
                </c:pt>
                <c:pt idx="110">
                  <c:v>637.81306313742607</c:v>
                </c:pt>
                <c:pt idx="111">
                  <c:v>648.88093248529105</c:v>
                </c:pt>
                <c:pt idx="112">
                  <c:v>656.87979779677437</c:v>
                </c:pt>
                <c:pt idx="113">
                  <c:v>662.92736365493465</c:v>
                </c:pt>
                <c:pt idx="114">
                  <c:v>673.57843556766716</c:v>
                </c:pt>
                <c:pt idx="115">
                  <c:v>679.62600142582755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6-44F0-BBAB-A678E06C7839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-12.252211349000193</c:v>
                </c:pt>
                <c:pt idx="12">
                  <c:v>-13.194689145077131</c:v>
                </c:pt>
                <c:pt idx="13">
                  <c:v>-14.137166941154069</c:v>
                </c:pt>
                <c:pt idx="14">
                  <c:v>-15.079644737231007</c:v>
                </c:pt>
                <c:pt idx="15">
                  <c:v>-15.62942345160922</c:v>
                </c:pt>
                <c:pt idx="16">
                  <c:v>-16.179202165987434</c:v>
                </c:pt>
                <c:pt idx="17">
                  <c:v>-16.728980880365647</c:v>
                </c:pt>
                <c:pt idx="18">
                  <c:v>-17.27875959474386</c:v>
                </c:pt>
                <c:pt idx="19">
                  <c:v>-17.828538309122074</c:v>
                </c:pt>
                <c:pt idx="20">
                  <c:v>-18.378317023500287</c:v>
                </c:pt>
                <c:pt idx="21">
                  <c:v>-18.9280957378785</c:v>
                </c:pt>
                <c:pt idx="22">
                  <c:v>-19.477874452256714</c:v>
                </c:pt>
                <c:pt idx="23">
                  <c:v>-20.027653166634931</c:v>
                </c:pt>
                <c:pt idx="24">
                  <c:v>-20.577431881013144</c:v>
                </c:pt>
                <c:pt idx="25">
                  <c:v>-21.127210595391357</c:v>
                </c:pt>
                <c:pt idx="26">
                  <c:v>-21.676989309769571</c:v>
                </c:pt>
                <c:pt idx="27">
                  <c:v>-22.226768024147784</c:v>
                </c:pt>
                <c:pt idx="28">
                  <c:v>-22.776546738526001</c:v>
                </c:pt>
                <c:pt idx="29">
                  <c:v>-23.326325452904214</c:v>
                </c:pt>
                <c:pt idx="30">
                  <c:v>-23.876104167282428</c:v>
                </c:pt>
                <c:pt idx="31">
                  <c:v>-24.425882881660641</c:v>
                </c:pt>
                <c:pt idx="32">
                  <c:v>-24.975661596038854</c:v>
                </c:pt>
                <c:pt idx="33">
                  <c:v>-25.525440310417068</c:v>
                </c:pt>
                <c:pt idx="34">
                  <c:v>-26.075219024795285</c:v>
                </c:pt>
                <c:pt idx="35">
                  <c:v>-26.624997739173494</c:v>
                </c:pt>
                <c:pt idx="36">
                  <c:v>-27.174776453551704</c:v>
                </c:pt>
                <c:pt idx="37">
                  <c:v>71.837040701117616</c:v>
                </c:pt>
                <c:pt idx="38">
                  <c:v>71.287261986739395</c:v>
                </c:pt>
                <c:pt idx="39">
                  <c:v>75.293799540788712</c:v>
                </c:pt>
                <c:pt idx="40">
                  <c:v>86.097051970392826</c:v>
                </c:pt>
                <c:pt idx="41">
                  <c:v>96.422017056902376</c:v>
                </c:pt>
                <c:pt idx="42">
                  <c:v>80.816464092875108</c:v>
                </c:pt>
                <c:pt idx="43">
                  <c:v>91.14142917938463</c:v>
                </c:pt>
                <c:pt idx="44">
                  <c:v>100.28326241718648</c:v>
                </c:pt>
                <c:pt idx="45">
                  <c:v>93.566094278693697</c:v>
                </c:pt>
                <c:pt idx="46">
                  <c:v>102.70792751649554</c:v>
                </c:pt>
                <c:pt idx="47">
                  <c:v>108.80382556932651</c:v>
                </c:pt>
                <c:pt idx="48">
                  <c:v>118.69800102571253</c:v>
                </c:pt>
                <c:pt idx="49">
                  <c:v>124.79389907854346</c:v>
                </c:pt>
                <c:pt idx="50">
                  <c:v>130.05908753547328</c:v>
                </c:pt>
                <c:pt idx="51">
                  <c:v>165.9094929323999</c:v>
                </c:pt>
                <c:pt idx="52">
                  <c:v>171.17468138932972</c:v>
                </c:pt>
                <c:pt idx="53">
                  <c:v>176.96850322546933</c:v>
                </c:pt>
                <c:pt idx="54">
                  <c:v>208.41647878545825</c:v>
                </c:pt>
                <c:pt idx="55">
                  <c:v>214.2103006215979</c:v>
                </c:pt>
                <c:pt idx="56">
                  <c:v>226.95187544163801</c:v>
                </c:pt>
                <c:pt idx="57">
                  <c:v>241.95902188686313</c:v>
                </c:pt>
                <c:pt idx="58">
                  <c:v>254.70059670690321</c:v>
                </c:pt>
                <c:pt idx="59">
                  <c:v>267.99597792421082</c:v>
                </c:pt>
                <c:pt idx="60">
                  <c:v>281.2913591415184</c:v>
                </c:pt>
                <c:pt idx="61">
                  <c:v>294.58674035882598</c:v>
                </c:pt>
                <c:pt idx="62">
                  <c:v>307.8821215761335</c:v>
                </c:pt>
                <c:pt idx="63">
                  <c:v>321.17750279344114</c:v>
                </c:pt>
                <c:pt idx="64">
                  <c:v>334.47288401074866</c:v>
                </c:pt>
                <c:pt idx="65">
                  <c:v>347.76826522805624</c:v>
                </c:pt>
                <c:pt idx="66">
                  <c:v>378.07018846134889</c:v>
                </c:pt>
                <c:pt idx="67">
                  <c:v>391.36556967865647</c:v>
                </c:pt>
                <c:pt idx="68">
                  <c:v>404.66095089596405</c:v>
                </c:pt>
                <c:pt idx="69">
                  <c:v>417.95633211327163</c:v>
                </c:pt>
                <c:pt idx="70">
                  <c:v>431.25171333057926</c:v>
                </c:pt>
                <c:pt idx="71">
                  <c:v>445.80574545076735</c:v>
                </c:pt>
                <c:pt idx="72">
                  <c:v>443.35323555497024</c:v>
                </c:pt>
                <c:pt idx="73">
                  <c:v>457.90726767515832</c:v>
                </c:pt>
                <c:pt idx="74">
                  <c:v>471.20264889246585</c:v>
                </c:pt>
                <c:pt idx="75">
                  <c:v>484.49803010977342</c:v>
                </c:pt>
                <c:pt idx="76">
                  <c:v>497.79341132708112</c:v>
                </c:pt>
                <c:pt idx="77">
                  <c:v>511.08879254438864</c:v>
                </c:pt>
                <c:pt idx="78">
                  <c:v>524.38417376169627</c:v>
                </c:pt>
                <c:pt idx="79">
                  <c:v>537.6795549790038</c:v>
                </c:pt>
                <c:pt idx="80">
                  <c:v>550.97493619631132</c:v>
                </c:pt>
                <c:pt idx="81">
                  <c:v>564.27031741361884</c:v>
                </c:pt>
                <c:pt idx="82">
                  <c:v>577.5656986309267</c:v>
                </c:pt>
                <c:pt idx="83">
                  <c:v>590.86107984823423</c:v>
                </c:pt>
                <c:pt idx="84">
                  <c:v>584.89910225146969</c:v>
                </c:pt>
                <c:pt idx="85">
                  <c:v>598.19448346877732</c:v>
                </c:pt>
                <c:pt idx="86">
                  <c:v>611.48986468608484</c:v>
                </c:pt>
                <c:pt idx="87">
                  <c:v>608.92624452709777</c:v>
                </c:pt>
                <c:pt idx="88">
                  <c:v>622.2216257444054</c:v>
                </c:pt>
                <c:pt idx="89">
                  <c:v>630.80965258493984</c:v>
                </c:pt>
                <c:pt idx="90">
                  <c:v>637.1321078002893</c:v>
                </c:pt>
                <c:pt idx="91">
                  <c:v>645.72013464082374</c:v>
                </c:pt>
                <c:pt idx="92">
                  <c:v>655.13887107725918</c:v>
                </c:pt>
                <c:pt idx="93">
                  <c:v>668.04179955432915</c:v>
                </c:pt>
                <c:pt idx="94">
                  <c:v>677.4605359907647</c:v>
                </c:pt>
                <c:pt idx="95">
                  <c:v>685.49475643403173</c:v>
                </c:pt>
                <c:pt idx="96">
                  <c:v>708.57902882009057</c:v>
                </c:pt>
                <c:pt idx="97">
                  <c:v>716.61324926335772</c:v>
                </c:pt>
                <c:pt idx="98">
                  <c:v>725.12575704971925</c:v>
                </c:pt>
                <c:pt idx="99">
                  <c:v>724.49014373248394</c:v>
                </c:pt>
                <c:pt idx="100">
                  <c:v>733.0026515188456</c:v>
                </c:pt>
                <c:pt idx="101">
                  <c:v>742.72346417197252</c:v>
                </c:pt>
                <c:pt idx="102">
                  <c:v>745.06686327610532</c:v>
                </c:pt>
                <c:pt idx="103">
                  <c:v>754.78767592923214</c:v>
                </c:pt>
                <c:pt idx="104">
                  <c:v>762.82189637249928</c:v>
                </c:pt>
                <c:pt idx="105">
                  <c:v>772.62682437036926</c:v>
                </c:pt>
                <c:pt idx="106">
                  <c:v>780.66104481363618</c:v>
                </c:pt>
                <c:pt idx="107">
                  <c:v>788.87147638330657</c:v>
                </c:pt>
                <c:pt idx="108">
                  <c:v>805.93480421176935</c:v>
                </c:pt>
                <c:pt idx="109">
                  <c:v>814.14523578143962</c:v>
                </c:pt>
                <c:pt idx="110">
                  <c:v>832.95122416273477</c:v>
                </c:pt>
                <c:pt idx="111">
                  <c:v>853.23269525382887</c:v>
                </c:pt>
                <c:pt idx="112">
                  <c:v>867.61223550572754</c:v>
                </c:pt>
                <c:pt idx="113">
                  <c:v>877.63512437554584</c:v>
                </c:pt>
                <c:pt idx="114">
                  <c:v>896.51090950415687</c:v>
                </c:pt>
                <c:pt idx="115">
                  <c:v>906.53379837397495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6-44F0-BBAB-A678E06C7839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-230.9122911970978</c:v>
                </c:pt>
                <c:pt idx="38">
                  <c:v>-231.46206991147602</c:v>
                </c:pt>
                <c:pt idx="39">
                  <c:v>-227.4555323574267</c:v>
                </c:pt>
                <c:pt idx="40">
                  <c:v>-216.65227992782258</c:v>
                </c:pt>
                <c:pt idx="41">
                  <c:v>-206.32731484131304</c:v>
                </c:pt>
                <c:pt idx="42">
                  <c:v>-221.93286780534032</c:v>
                </c:pt>
                <c:pt idx="43">
                  <c:v>-211.60790271883079</c:v>
                </c:pt>
                <c:pt idx="44">
                  <c:v>-202.46606948102894</c:v>
                </c:pt>
                <c:pt idx="45">
                  <c:v>-209.18323761952172</c:v>
                </c:pt>
                <c:pt idx="46">
                  <c:v>-200.04140438171987</c:v>
                </c:pt>
                <c:pt idx="47">
                  <c:v>-193.94550632888891</c:v>
                </c:pt>
                <c:pt idx="48">
                  <c:v>-184.05133087250289</c:v>
                </c:pt>
                <c:pt idx="49">
                  <c:v>-177.95543281967196</c:v>
                </c:pt>
                <c:pt idx="50">
                  <c:v>-172.69024436274213</c:v>
                </c:pt>
                <c:pt idx="51">
                  <c:v>-136.83983896581552</c:v>
                </c:pt>
                <c:pt idx="52">
                  <c:v>-131.5746505088857</c:v>
                </c:pt>
                <c:pt idx="53">
                  <c:v>-125.78082867274608</c:v>
                </c:pt>
                <c:pt idx="54">
                  <c:v>-94.332853112757164</c:v>
                </c:pt>
                <c:pt idx="55">
                  <c:v>-88.539031276617521</c:v>
                </c:pt>
                <c:pt idx="56">
                  <c:v>-75.797456456577407</c:v>
                </c:pt>
                <c:pt idx="57">
                  <c:v>-60.79031001135229</c:v>
                </c:pt>
                <c:pt idx="58">
                  <c:v>-48.048735191312204</c:v>
                </c:pt>
                <c:pt idx="59">
                  <c:v>-34.753353974004597</c:v>
                </c:pt>
                <c:pt idx="60">
                  <c:v>-21.457972756697018</c:v>
                </c:pt>
                <c:pt idx="61">
                  <c:v>-8.1625915393894388</c:v>
                </c:pt>
                <c:pt idx="62">
                  <c:v>5.1327896779180833</c:v>
                </c:pt>
                <c:pt idx="63">
                  <c:v>18.428170895225719</c:v>
                </c:pt>
                <c:pt idx="64">
                  <c:v>31.723552112533241</c:v>
                </c:pt>
                <c:pt idx="65">
                  <c:v>45.01893332984082</c:v>
                </c:pt>
                <c:pt idx="66">
                  <c:v>75.320856563133475</c:v>
                </c:pt>
                <c:pt idx="67">
                  <c:v>88.616237780441054</c:v>
                </c:pt>
                <c:pt idx="68">
                  <c:v>101.91161899774863</c:v>
                </c:pt>
                <c:pt idx="69">
                  <c:v>115.20700021505621</c:v>
                </c:pt>
                <c:pt idx="70">
                  <c:v>128.50238143236385</c:v>
                </c:pt>
                <c:pt idx="71">
                  <c:v>143.05641355255193</c:v>
                </c:pt>
                <c:pt idx="72">
                  <c:v>140.60390365675482</c:v>
                </c:pt>
                <c:pt idx="73">
                  <c:v>155.15793577694291</c:v>
                </c:pt>
                <c:pt idx="74">
                  <c:v>168.45331699425043</c:v>
                </c:pt>
                <c:pt idx="75">
                  <c:v>181.74869821155801</c:v>
                </c:pt>
                <c:pt idx="76">
                  <c:v>195.0440794288657</c:v>
                </c:pt>
                <c:pt idx="77">
                  <c:v>208.33946064617322</c:v>
                </c:pt>
                <c:pt idx="78">
                  <c:v>221.63484186348086</c:v>
                </c:pt>
                <c:pt idx="79">
                  <c:v>234.93022308078838</c:v>
                </c:pt>
                <c:pt idx="80">
                  <c:v>248.2256042980959</c:v>
                </c:pt>
                <c:pt idx="81">
                  <c:v>261.52098551540342</c:v>
                </c:pt>
                <c:pt idx="82">
                  <c:v>274.81636673271129</c:v>
                </c:pt>
                <c:pt idx="83">
                  <c:v>288.11174795001881</c:v>
                </c:pt>
                <c:pt idx="84">
                  <c:v>282.14977035325427</c:v>
                </c:pt>
                <c:pt idx="85">
                  <c:v>295.4451515705619</c:v>
                </c:pt>
                <c:pt idx="86">
                  <c:v>308.74053278786943</c:v>
                </c:pt>
                <c:pt idx="87">
                  <c:v>306.17691262888235</c:v>
                </c:pt>
                <c:pt idx="88">
                  <c:v>319.47229384618998</c:v>
                </c:pt>
                <c:pt idx="89">
                  <c:v>328.06032068672442</c:v>
                </c:pt>
                <c:pt idx="90">
                  <c:v>334.38277590207389</c:v>
                </c:pt>
                <c:pt idx="91">
                  <c:v>342.97080274260833</c:v>
                </c:pt>
                <c:pt idx="92">
                  <c:v>352.38953917904377</c:v>
                </c:pt>
                <c:pt idx="93">
                  <c:v>365.29246765611373</c:v>
                </c:pt>
                <c:pt idx="94">
                  <c:v>374.71120409254928</c:v>
                </c:pt>
                <c:pt idx="95">
                  <c:v>382.74542453581631</c:v>
                </c:pt>
                <c:pt idx="96">
                  <c:v>405.82969692187515</c:v>
                </c:pt>
                <c:pt idx="97">
                  <c:v>413.8639173651423</c:v>
                </c:pt>
                <c:pt idx="98">
                  <c:v>422.37642515150384</c:v>
                </c:pt>
                <c:pt idx="99">
                  <c:v>421.74081183426853</c:v>
                </c:pt>
                <c:pt idx="100">
                  <c:v>430.25331962063018</c:v>
                </c:pt>
                <c:pt idx="101">
                  <c:v>439.97413227375711</c:v>
                </c:pt>
                <c:pt idx="102">
                  <c:v>442.31753137788991</c:v>
                </c:pt>
                <c:pt idx="103">
                  <c:v>452.03834403101672</c:v>
                </c:pt>
                <c:pt idx="104">
                  <c:v>460.07256447428387</c:v>
                </c:pt>
                <c:pt idx="105">
                  <c:v>469.87749247215385</c:v>
                </c:pt>
                <c:pt idx="106">
                  <c:v>477.91171291542076</c:v>
                </c:pt>
                <c:pt idx="107">
                  <c:v>486.12214448509116</c:v>
                </c:pt>
                <c:pt idx="108">
                  <c:v>503.18547231355393</c:v>
                </c:pt>
                <c:pt idx="109">
                  <c:v>511.39590388322421</c:v>
                </c:pt>
                <c:pt idx="110">
                  <c:v>530.2018922645193</c:v>
                </c:pt>
                <c:pt idx="111">
                  <c:v>550.48336335561339</c:v>
                </c:pt>
                <c:pt idx="112">
                  <c:v>564.86290360751218</c:v>
                </c:pt>
                <c:pt idx="113">
                  <c:v>574.88579247733037</c:v>
                </c:pt>
                <c:pt idx="114">
                  <c:v>593.76157760594151</c:v>
                </c:pt>
                <c:pt idx="115">
                  <c:v>603.78446647575947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6-44F0-BBAB-A678E06C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7381722222222225"/>
          <c:y val="0.11394277777777778"/>
          <c:w val="0.53317694444444441"/>
          <c:h val="0.10759425925925926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6D-4D80-BA48-F93C357664C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49</c:v>
                </c:pt>
                <c:pt idx="3">
                  <c:v>44</c:v>
                </c:pt>
                <c:pt idx="4">
                  <c:v>30</c:v>
                </c:pt>
                <c:pt idx="5">
                  <c:v>14</c:v>
                </c:pt>
                <c:pt idx="6">
                  <c:v>12</c:v>
                </c:pt>
                <c:pt idx="7">
                  <c:v>18</c:v>
                </c:pt>
                <c:pt idx="8">
                  <c:v>26</c:v>
                </c:pt>
                <c:pt idx="9">
                  <c:v>15</c:v>
                </c:pt>
                <c:pt idx="10">
                  <c:v>15</c:v>
                </c:pt>
                <c:pt idx="11">
                  <c:v>21</c:v>
                </c:pt>
                <c:pt idx="12">
                  <c:v>18</c:v>
                </c:pt>
                <c:pt idx="13">
                  <c:v>41</c:v>
                </c:pt>
                <c:pt idx="14">
                  <c:v>36</c:v>
                </c:pt>
                <c:pt idx="15">
                  <c:v>35</c:v>
                </c:pt>
                <c:pt idx="16">
                  <c:v>24</c:v>
                </c:pt>
                <c:pt idx="17">
                  <c:v>21</c:v>
                </c:pt>
                <c:pt idx="18">
                  <c:v>21</c:v>
                </c:pt>
                <c:pt idx="19">
                  <c:v>48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33</c:v>
                </c:pt>
                <c:pt idx="31">
                  <c:v>36</c:v>
                </c:pt>
                <c:pt idx="32">
                  <c:v>31</c:v>
                </c:pt>
                <c:pt idx="33">
                  <c:v>30</c:v>
                </c:pt>
                <c:pt idx="34">
                  <c:v>34</c:v>
                </c:pt>
                <c:pt idx="35">
                  <c:v>31</c:v>
                </c:pt>
                <c:pt idx="36">
                  <c:v>29</c:v>
                </c:pt>
                <c:pt idx="37">
                  <c:v>25</c:v>
                </c:pt>
                <c:pt idx="38">
                  <c:v>35</c:v>
                </c:pt>
                <c:pt idx="39">
                  <c:v>42</c:v>
                </c:pt>
                <c:pt idx="40">
                  <c:v>46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D-4D80-BA48-F93C357664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4.0055306333269867</c:v>
                </c:pt>
                <c:pt idx="1">
                  <c:v>37.713109170182577</c:v>
                </c:pt>
                <c:pt idx="2">
                  <c:v>36.770631374105641</c:v>
                </c:pt>
                <c:pt idx="3">
                  <c:v>71.342147890698428</c:v>
                </c:pt>
                <c:pt idx="4">
                  <c:v>67.427353028881853</c:v>
                </c:pt>
                <c:pt idx="5">
                  <c:v>75.721157634358917</c:v>
                </c:pt>
                <c:pt idx="6">
                  <c:v>75.575201139786927</c:v>
                </c:pt>
                <c:pt idx="7">
                  <c:v>77.730997672501033</c:v>
                </c:pt>
                <c:pt idx="8">
                  <c:v>86.024802277978097</c:v>
                </c:pt>
                <c:pt idx="9">
                  <c:v>80.890869136218257</c:v>
                </c:pt>
                <c:pt idx="10">
                  <c:v>76.157570008332357</c:v>
                </c:pt>
                <c:pt idx="11">
                  <c:v>80.869958988717045</c:v>
                </c:pt>
                <c:pt idx="12">
                  <c:v>69.633401166817762</c:v>
                </c:pt>
                <c:pt idx="13">
                  <c:v>74.345790147202464</c:v>
                </c:pt>
                <c:pt idx="14">
                  <c:v>75.822338694389657</c:v>
                </c:pt>
                <c:pt idx="15">
                  <c:v>83.255423771318988</c:v>
                </c:pt>
                <c:pt idx="16">
                  <c:v>85.124671400204903</c:v>
                </c:pt>
                <c:pt idx="17">
                  <c:v>86.648343837195966</c:v>
                </c:pt>
                <c:pt idx="18">
                  <c:v>96.418696989860209</c:v>
                </c:pt>
                <c:pt idx="19">
                  <c:v>97.942369426851258</c:v>
                </c:pt>
                <c:pt idx="20">
                  <c:v>100.78551077835003</c:v>
                </c:pt>
                <c:pt idx="21">
                  <c:v>98.653863304353479</c:v>
                </c:pt>
                <c:pt idx="22">
                  <c:v>101.49700465585224</c:v>
                </c:pt>
                <c:pt idx="23">
                  <c:v>105.43970343610742</c:v>
                </c:pt>
                <c:pt idx="24">
                  <c:v>102.90286736833367</c:v>
                </c:pt>
                <c:pt idx="25">
                  <c:v>106.84556614858886</c:v>
                </c:pt>
                <c:pt idx="26">
                  <c:v>108.88760137342223</c:v>
                </c:pt>
                <c:pt idx="27">
                  <c:v>114.46392833354409</c:v>
                </c:pt>
                <c:pt idx="28">
                  <c:v>116.50596355837746</c:v>
                </c:pt>
                <c:pt idx="29">
                  <c:v>118.54799878321084</c:v>
                </c:pt>
                <c:pt idx="30">
                  <c:v>125.56482283353952</c:v>
                </c:pt>
                <c:pt idx="31">
                  <c:v>127.60685805837286</c:v>
                </c:pt>
                <c:pt idx="32">
                  <c:v>130.68561885889088</c:v>
                </c:pt>
                <c:pt idx="33">
                  <c:v>145.54535211037057</c:v>
                </c:pt>
                <c:pt idx="34">
                  <c:v>148.62411291088861</c:v>
                </c:pt>
                <c:pt idx="35">
                  <c:v>151.46725426238737</c:v>
                </c:pt>
                <c:pt idx="36">
                  <c:v>168.12091377760274</c:v>
                </c:pt>
                <c:pt idx="37">
                  <c:v>170.9640551291015</c:v>
                </c:pt>
                <c:pt idx="38">
                  <c:v>177.49856784856826</c:v>
                </c:pt>
                <c:pt idx="39">
                  <c:v>180.4987888327465</c:v>
                </c:pt>
                <c:pt idx="40">
                  <c:v>187.03330155221326</c:v>
                </c:pt>
                <c:pt idx="41">
                  <c:v>193.269362969589</c:v>
                </c:pt>
                <c:pt idx="42">
                  <c:v>186.02155500068562</c:v>
                </c:pt>
                <c:pt idx="43">
                  <c:v>192.25761641806133</c:v>
                </c:pt>
                <c:pt idx="44">
                  <c:v>197.75540356184345</c:v>
                </c:pt>
                <c:pt idx="45">
                  <c:v>195.00650998995241</c:v>
                </c:pt>
                <c:pt idx="46">
                  <c:v>200.50429713373455</c:v>
                </c:pt>
                <c:pt idx="47">
                  <c:v>204.10142072209487</c:v>
                </c:pt>
                <c:pt idx="48">
                  <c:v>209.6736485603038</c:v>
                </c:pt>
                <c:pt idx="49">
                  <c:v>213.27077214866409</c:v>
                </c:pt>
                <c:pt idx="50">
                  <c:v>216.34953294918211</c:v>
                </c:pt>
                <c:pt idx="51">
                  <c:v>235.33260655849844</c:v>
                </c:pt>
                <c:pt idx="52">
                  <c:v>238.41136735901642</c:v>
                </c:pt>
                <c:pt idx="53">
                  <c:v>241.81999538816135</c:v>
                </c:pt>
                <c:pt idx="54">
                  <c:v>258.56878335370789</c:v>
                </c:pt>
                <c:pt idx="55">
                  <c:v>261.97741138285284</c:v>
                </c:pt>
                <c:pt idx="56">
                  <c:v>269.72143727395166</c:v>
                </c:pt>
                <c:pt idx="57">
                  <c:v>278.64356041014662</c:v>
                </c:pt>
                <c:pt idx="58">
                  <c:v>286.38758630124551</c:v>
                </c:pt>
                <c:pt idx="59">
                  <c:v>294.47718738423919</c:v>
                </c:pt>
                <c:pt idx="60">
                  <c:v>302.56678846723293</c:v>
                </c:pt>
                <c:pt idx="61">
                  <c:v>310.65638955022666</c:v>
                </c:pt>
                <c:pt idx="62">
                  <c:v>318.74599063322034</c:v>
                </c:pt>
                <c:pt idx="63">
                  <c:v>326.83559171621408</c:v>
                </c:pt>
                <c:pt idx="64">
                  <c:v>334.92519279920776</c:v>
                </c:pt>
                <c:pt idx="65">
                  <c:v>343.0147938822015</c:v>
                </c:pt>
                <c:pt idx="66">
                  <c:v>359.94779681350747</c:v>
                </c:pt>
                <c:pt idx="67">
                  <c:v>368.03739789650115</c:v>
                </c:pt>
                <c:pt idx="68">
                  <c:v>376.12699897949489</c:v>
                </c:pt>
                <c:pt idx="69">
                  <c:v>384.21660006248857</c:v>
                </c:pt>
                <c:pt idx="70">
                  <c:v>392.30620114548231</c:v>
                </c:pt>
                <c:pt idx="71">
                  <c:v>401.18120039187357</c:v>
                </c:pt>
                <c:pt idx="72">
                  <c:v>401.21279778995245</c:v>
                </c:pt>
                <c:pt idx="73">
                  <c:v>410.0877970363436</c:v>
                </c:pt>
                <c:pt idx="74">
                  <c:v>418.17739811933734</c:v>
                </c:pt>
                <c:pt idx="75">
                  <c:v>426.26699920233102</c:v>
                </c:pt>
                <c:pt idx="76">
                  <c:v>434.35660028532476</c:v>
                </c:pt>
                <c:pt idx="77">
                  <c:v>442.44620136831844</c:v>
                </c:pt>
                <c:pt idx="78">
                  <c:v>450.53580245131218</c:v>
                </c:pt>
                <c:pt idx="79">
                  <c:v>458.62540353430597</c:v>
                </c:pt>
                <c:pt idx="80">
                  <c:v>466.71500461729966</c:v>
                </c:pt>
                <c:pt idx="81">
                  <c:v>474.80460570029339</c:v>
                </c:pt>
                <c:pt idx="82">
                  <c:v>482.89420678328713</c:v>
                </c:pt>
                <c:pt idx="83">
                  <c:v>490.98380786628081</c:v>
                </c:pt>
                <c:pt idx="84">
                  <c:v>489.05958236595706</c:v>
                </c:pt>
                <c:pt idx="85">
                  <c:v>497.14918344895079</c:v>
                </c:pt>
                <c:pt idx="86">
                  <c:v>505.23878453194448</c:v>
                </c:pt>
                <c:pt idx="87">
                  <c:v>505.08170489926505</c:v>
                </c:pt>
                <c:pt idx="88">
                  <c:v>513.17130598225879</c:v>
                </c:pt>
                <c:pt idx="89">
                  <c:v>518.32351793414591</c:v>
                </c:pt>
                <c:pt idx="90">
                  <c:v>522.29763264093708</c:v>
                </c:pt>
                <c:pt idx="91">
                  <c:v>527.44984459282432</c:v>
                </c:pt>
                <c:pt idx="92">
                  <c:v>533.12041933255398</c:v>
                </c:pt>
                <c:pt idx="93">
                  <c:v>540.60277393341335</c:v>
                </c:pt>
                <c:pt idx="94">
                  <c:v>546.27334867314289</c:v>
                </c:pt>
                <c:pt idx="95">
                  <c:v>551.07998543313545</c:v>
                </c:pt>
                <c:pt idx="96">
                  <c:v>563.71264920337944</c:v>
                </c:pt>
                <c:pt idx="97">
                  <c:v>568.51928596337189</c:v>
                </c:pt>
                <c:pt idx="98">
                  <c:v>573.62437402545538</c:v>
                </c:pt>
                <c:pt idx="99">
                  <c:v>573.97243911366843</c:v>
                </c:pt>
                <c:pt idx="100">
                  <c:v>579.07752717575181</c:v>
                </c:pt>
                <c:pt idx="101">
                  <c:v>584.9365974746969</c:v>
                </c:pt>
                <c:pt idx="102">
                  <c:v>586.95941272816492</c:v>
                </c:pt>
                <c:pt idx="103">
                  <c:v>592.81848302710989</c:v>
                </c:pt>
                <c:pt idx="104">
                  <c:v>597.62511978710234</c:v>
                </c:pt>
                <c:pt idx="105">
                  <c:v>603.35252447548817</c:v>
                </c:pt>
                <c:pt idx="106">
                  <c:v>608.15916123548061</c:v>
                </c:pt>
                <c:pt idx="107">
                  <c:v>613.07575373834857</c:v>
                </c:pt>
                <c:pt idx="108">
                  <c:v>622.59585229578886</c:v>
                </c:pt>
                <c:pt idx="109">
                  <c:v>627.51244479865682</c:v>
                </c:pt>
                <c:pt idx="110">
                  <c:v>637.81306313742607</c:v>
                </c:pt>
                <c:pt idx="111">
                  <c:v>648.88093248529105</c:v>
                </c:pt>
                <c:pt idx="112">
                  <c:v>656.87979779677437</c:v>
                </c:pt>
                <c:pt idx="113">
                  <c:v>662.92736365493465</c:v>
                </c:pt>
                <c:pt idx="114">
                  <c:v>673.57843556766716</c:v>
                </c:pt>
                <c:pt idx="115">
                  <c:v>679.62600142582755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62B-9035-D3EBF8C7222A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-12.252211349000193</c:v>
                </c:pt>
                <c:pt idx="12">
                  <c:v>-13.194689145077131</c:v>
                </c:pt>
                <c:pt idx="13">
                  <c:v>-14.137166941154069</c:v>
                </c:pt>
                <c:pt idx="14">
                  <c:v>-15.079644737231007</c:v>
                </c:pt>
                <c:pt idx="15">
                  <c:v>-15.62942345160922</c:v>
                </c:pt>
                <c:pt idx="16">
                  <c:v>-16.179202165987434</c:v>
                </c:pt>
                <c:pt idx="17">
                  <c:v>-16.728980880365647</c:v>
                </c:pt>
                <c:pt idx="18">
                  <c:v>-17.27875959474386</c:v>
                </c:pt>
                <c:pt idx="19">
                  <c:v>-17.828538309122074</c:v>
                </c:pt>
                <c:pt idx="20">
                  <c:v>-18.378317023500287</c:v>
                </c:pt>
                <c:pt idx="21">
                  <c:v>-18.9280957378785</c:v>
                </c:pt>
                <c:pt idx="22">
                  <c:v>-19.477874452256714</c:v>
                </c:pt>
                <c:pt idx="23">
                  <c:v>-20.027653166634931</c:v>
                </c:pt>
                <c:pt idx="24">
                  <c:v>-20.577431881013144</c:v>
                </c:pt>
                <c:pt idx="25">
                  <c:v>-21.127210595391357</c:v>
                </c:pt>
                <c:pt idx="26">
                  <c:v>-21.676989309769571</c:v>
                </c:pt>
                <c:pt idx="27">
                  <c:v>-22.226768024147784</c:v>
                </c:pt>
                <c:pt idx="28">
                  <c:v>-22.776546738526001</c:v>
                </c:pt>
                <c:pt idx="29">
                  <c:v>-23.326325452904214</c:v>
                </c:pt>
                <c:pt idx="30">
                  <c:v>-23.876104167282428</c:v>
                </c:pt>
                <c:pt idx="31">
                  <c:v>-24.425882881660641</c:v>
                </c:pt>
                <c:pt idx="32">
                  <c:v>-24.975661596038854</c:v>
                </c:pt>
                <c:pt idx="33">
                  <c:v>-25.525440310417068</c:v>
                </c:pt>
                <c:pt idx="34">
                  <c:v>-26.075219024795285</c:v>
                </c:pt>
                <c:pt idx="35">
                  <c:v>-26.624997739173494</c:v>
                </c:pt>
                <c:pt idx="36">
                  <c:v>-27.174776453551704</c:v>
                </c:pt>
                <c:pt idx="37">
                  <c:v>71.837040701117616</c:v>
                </c:pt>
                <c:pt idx="38">
                  <c:v>71.287261986739395</c:v>
                </c:pt>
                <c:pt idx="39">
                  <c:v>75.293799540788712</c:v>
                </c:pt>
                <c:pt idx="40">
                  <c:v>86.097051970392826</c:v>
                </c:pt>
                <c:pt idx="41">
                  <c:v>96.422017056902376</c:v>
                </c:pt>
                <c:pt idx="42">
                  <c:v>80.816464092875108</c:v>
                </c:pt>
                <c:pt idx="43">
                  <c:v>91.14142917938463</c:v>
                </c:pt>
                <c:pt idx="44">
                  <c:v>100.28326241718648</c:v>
                </c:pt>
                <c:pt idx="45">
                  <c:v>93.566094278693697</c:v>
                </c:pt>
                <c:pt idx="46">
                  <c:v>102.70792751649554</c:v>
                </c:pt>
                <c:pt idx="47">
                  <c:v>108.80382556932651</c:v>
                </c:pt>
                <c:pt idx="48">
                  <c:v>118.69800102571253</c:v>
                </c:pt>
                <c:pt idx="49">
                  <c:v>124.79389907854346</c:v>
                </c:pt>
                <c:pt idx="50">
                  <c:v>130.05908753547328</c:v>
                </c:pt>
                <c:pt idx="51">
                  <c:v>165.9094929323999</c:v>
                </c:pt>
                <c:pt idx="52">
                  <c:v>171.17468138932972</c:v>
                </c:pt>
                <c:pt idx="53">
                  <c:v>176.96850322546933</c:v>
                </c:pt>
                <c:pt idx="54">
                  <c:v>208.41647878545825</c:v>
                </c:pt>
                <c:pt idx="55">
                  <c:v>214.2103006215979</c:v>
                </c:pt>
                <c:pt idx="56">
                  <c:v>226.95187544163801</c:v>
                </c:pt>
                <c:pt idx="57">
                  <c:v>241.95902188686313</c:v>
                </c:pt>
                <c:pt idx="58">
                  <c:v>254.70059670690321</c:v>
                </c:pt>
                <c:pt idx="59">
                  <c:v>267.99597792421082</c:v>
                </c:pt>
                <c:pt idx="60">
                  <c:v>281.2913591415184</c:v>
                </c:pt>
                <c:pt idx="61">
                  <c:v>294.58674035882598</c:v>
                </c:pt>
                <c:pt idx="62">
                  <c:v>307.8821215761335</c:v>
                </c:pt>
                <c:pt idx="63">
                  <c:v>321.17750279344114</c:v>
                </c:pt>
                <c:pt idx="64">
                  <c:v>334.47288401074866</c:v>
                </c:pt>
                <c:pt idx="65">
                  <c:v>347.76826522805624</c:v>
                </c:pt>
                <c:pt idx="66">
                  <c:v>378.07018846134889</c:v>
                </c:pt>
                <c:pt idx="67">
                  <c:v>391.36556967865647</c:v>
                </c:pt>
                <c:pt idx="68">
                  <c:v>404.66095089596405</c:v>
                </c:pt>
                <c:pt idx="69">
                  <c:v>417.95633211327163</c:v>
                </c:pt>
                <c:pt idx="70">
                  <c:v>431.25171333057926</c:v>
                </c:pt>
                <c:pt idx="71">
                  <c:v>445.80574545076735</c:v>
                </c:pt>
                <c:pt idx="72">
                  <c:v>443.35323555497024</c:v>
                </c:pt>
                <c:pt idx="73">
                  <c:v>457.90726767515832</c:v>
                </c:pt>
                <c:pt idx="74">
                  <c:v>471.20264889246585</c:v>
                </c:pt>
                <c:pt idx="75">
                  <c:v>484.49803010977342</c:v>
                </c:pt>
                <c:pt idx="76">
                  <c:v>497.79341132708112</c:v>
                </c:pt>
                <c:pt idx="77">
                  <c:v>511.08879254438864</c:v>
                </c:pt>
                <c:pt idx="78">
                  <c:v>524.38417376169627</c:v>
                </c:pt>
                <c:pt idx="79">
                  <c:v>537.6795549790038</c:v>
                </c:pt>
                <c:pt idx="80">
                  <c:v>550.97493619631132</c:v>
                </c:pt>
                <c:pt idx="81">
                  <c:v>564.27031741361884</c:v>
                </c:pt>
                <c:pt idx="82">
                  <c:v>577.5656986309267</c:v>
                </c:pt>
                <c:pt idx="83">
                  <c:v>590.86107984823423</c:v>
                </c:pt>
                <c:pt idx="84">
                  <c:v>584.89910225146969</c:v>
                </c:pt>
                <c:pt idx="85">
                  <c:v>598.19448346877732</c:v>
                </c:pt>
                <c:pt idx="86">
                  <c:v>611.48986468608484</c:v>
                </c:pt>
                <c:pt idx="87">
                  <c:v>608.92624452709777</c:v>
                </c:pt>
                <c:pt idx="88">
                  <c:v>622.2216257444054</c:v>
                </c:pt>
                <c:pt idx="89">
                  <c:v>630.80965258493984</c:v>
                </c:pt>
                <c:pt idx="90">
                  <c:v>637.1321078002893</c:v>
                </c:pt>
                <c:pt idx="91">
                  <c:v>645.72013464082374</c:v>
                </c:pt>
                <c:pt idx="92">
                  <c:v>655.13887107725918</c:v>
                </c:pt>
                <c:pt idx="93">
                  <c:v>668.04179955432915</c:v>
                </c:pt>
                <c:pt idx="94">
                  <c:v>677.4605359907647</c:v>
                </c:pt>
                <c:pt idx="95">
                  <c:v>685.49475643403173</c:v>
                </c:pt>
                <c:pt idx="96">
                  <c:v>708.57902882009057</c:v>
                </c:pt>
                <c:pt idx="97">
                  <c:v>716.61324926335772</c:v>
                </c:pt>
                <c:pt idx="98">
                  <c:v>725.12575704971925</c:v>
                </c:pt>
                <c:pt idx="99">
                  <c:v>724.49014373248394</c:v>
                </c:pt>
                <c:pt idx="100">
                  <c:v>733.0026515188456</c:v>
                </c:pt>
                <c:pt idx="101">
                  <c:v>742.72346417197252</c:v>
                </c:pt>
                <c:pt idx="102">
                  <c:v>745.06686327610532</c:v>
                </c:pt>
                <c:pt idx="103">
                  <c:v>754.78767592923214</c:v>
                </c:pt>
                <c:pt idx="104">
                  <c:v>762.82189637249928</c:v>
                </c:pt>
                <c:pt idx="105">
                  <c:v>772.62682437036926</c:v>
                </c:pt>
                <c:pt idx="106">
                  <c:v>780.66104481363618</c:v>
                </c:pt>
                <c:pt idx="107">
                  <c:v>788.87147638330657</c:v>
                </c:pt>
                <c:pt idx="108">
                  <c:v>805.93480421176935</c:v>
                </c:pt>
                <c:pt idx="109">
                  <c:v>814.14523578143962</c:v>
                </c:pt>
                <c:pt idx="110">
                  <c:v>832.95122416273477</c:v>
                </c:pt>
                <c:pt idx="111">
                  <c:v>853.23269525382887</c:v>
                </c:pt>
                <c:pt idx="112">
                  <c:v>867.61223550572754</c:v>
                </c:pt>
                <c:pt idx="113">
                  <c:v>877.63512437554584</c:v>
                </c:pt>
                <c:pt idx="114">
                  <c:v>896.51090950415687</c:v>
                </c:pt>
                <c:pt idx="115">
                  <c:v>906.53379837397495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62B-9035-D3EBF8C7222A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-230.9122911970978</c:v>
                </c:pt>
                <c:pt idx="38">
                  <c:v>-231.46206991147602</c:v>
                </c:pt>
                <c:pt idx="39">
                  <c:v>-227.4555323574267</c:v>
                </c:pt>
                <c:pt idx="40">
                  <c:v>-216.65227992782258</c:v>
                </c:pt>
                <c:pt idx="41">
                  <c:v>-206.32731484131304</c:v>
                </c:pt>
                <c:pt idx="42">
                  <c:v>-221.93286780534032</c:v>
                </c:pt>
                <c:pt idx="43">
                  <c:v>-211.60790271883079</c:v>
                </c:pt>
                <c:pt idx="44">
                  <c:v>-202.46606948102894</c:v>
                </c:pt>
                <c:pt idx="45">
                  <c:v>-209.18323761952172</c:v>
                </c:pt>
                <c:pt idx="46">
                  <c:v>-200.04140438171987</c:v>
                </c:pt>
                <c:pt idx="47">
                  <c:v>-193.94550632888891</c:v>
                </c:pt>
                <c:pt idx="48">
                  <c:v>-184.05133087250289</c:v>
                </c:pt>
                <c:pt idx="49">
                  <c:v>-177.95543281967196</c:v>
                </c:pt>
                <c:pt idx="50">
                  <c:v>-172.69024436274213</c:v>
                </c:pt>
                <c:pt idx="51">
                  <c:v>-136.83983896581552</c:v>
                </c:pt>
                <c:pt idx="52">
                  <c:v>-131.5746505088857</c:v>
                </c:pt>
                <c:pt idx="53">
                  <c:v>-125.78082867274608</c:v>
                </c:pt>
                <c:pt idx="54">
                  <c:v>-94.332853112757164</c:v>
                </c:pt>
                <c:pt idx="55">
                  <c:v>-88.539031276617521</c:v>
                </c:pt>
                <c:pt idx="56">
                  <c:v>-75.797456456577407</c:v>
                </c:pt>
                <c:pt idx="57">
                  <c:v>-60.79031001135229</c:v>
                </c:pt>
                <c:pt idx="58">
                  <c:v>-48.048735191312204</c:v>
                </c:pt>
                <c:pt idx="59">
                  <c:v>-34.753353974004597</c:v>
                </c:pt>
                <c:pt idx="60">
                  <c:v>-21.457972756697018</c:v>
                </c:pt>
                <c:pt idx="61">
                  <c:v>-8.1625915393894388</c:v>
                </c:pt>
                <c:pt idx="62">
                  <c:v>5.1327896779180833</c:v>
                </c:pt>
                <c:pt idx="63">
                  <c:v>18.428170895225719</c:v>
                </c:pt>
                <c:pt idx="64">
                  <c:v>31.723552112533241</c:v>
                </c:pt>
                <c:pt idx="65">
                  <c:v>45.01893332984082</c:v>
                </c:pt>
                <c:pt idx="66">
                  <c:v>75.320856563133475</c:v>
                </c:pt>
                <c:pt idx="67">
                  <c:v>88.616237780441054</c:v>
                </c:pt>
                <c:pt idx="68">
                  <c:v>101.91161899774863</c:v>
                </c:pt>
                <c:pt idx="69">
                  <c:v>115.20700021505621</c:v>
                </c:pt>
                <c:pt idx="70">
                  <c:v>128.50238143236385</c:v>
                </c:pt>
                <c:pt idx="71">
                  <c:v>143.05641355255193</c:v>
                </c:pt>
                <c:pt idx="72">
                  <c:v>140.60390365675482</c:v>
                </c:pt>
                <c:pt idx="73">
                  <c:v>155.15793577694291</c:v>
                </c:pt>
                <c:pt idx="74">
                  <c:v>168.45331699425043</c:v>
                </c:pt>
                <c:pt idx="75">
                  <c:v>181.74869821155801</c:v>
                </c:pt>
                <c:pt idx="76">
                  <c:v>195.0440794288657</c:v>
                </c:pt>
                <c:pt idx="77">
                  <c:v>208.33946064617322</c:v>
                </c:pt>
                <c:pt idx="78">
                  <c:v>221.63484186348086</c:v>
                </c:pt>
                <c:pt idx="79">
                  <c:v>234.93022308078838</c:v>
                </c:pt>
                <c:pt idx="80">
                  <c:v>248.2256042980959</c:v>
                </c:pt>
                <c:pt idx="81">
                  <c:v>261.52098551540342</c:v>
                </c:pt>
                <c:pt idx="82">
                  <c:v>274.81636673271129</c:v>
                </c:pt>
                <c:pt idx="83">
                  <c:v>288.11174795001881</c:v>
                </c:pt>
                <c:pt idx="84">
                  <c:v>282.14977035325427</c:v>
                </c:pt>
                <c:pt idx="85">
                  <c:v>295.4451515705619</c:v>
                </c:pt>
                <c:pt idx="86">
                  <c:v>308.74053278786943</c:v>
                </c:pt>
                <c:pt idx="87">
                  <c:v>306.17691262888235</c:v>
                </c:pt>
                <c:pt idx="88">
                  <c:v>319.47229384618998</c:v>
                </c:pt>
                <c:pt idx="89">
                  <c:v>328.06032068672442</c:v>
                </c:pt>
                <c:pt idx="90">
                  <c:v>334.38277590207389</c:v>
                </c:pt>
                <c:pt idx="91">
                  <c:v>342.97080274260833</c:v>
                </c:pt>
                <c:pt idx="92">
                  <c:v>352.38953917904377</c:v>
                </c:pt>
                <c:pt idx="93">
                  <c:v>365.29246765611373</c:v>
                </c:pt>
                <c:pt idx="94">
                  <c:v>374.71120409254928</c:v>
                </c:pt>
                <c:pt idx="95">
                  <c:v>382.74542453581631</c:v>
                </c:pt>
                <c:pt idx="96">
                  <c:v>405.82969692187515</c:v>
                </c:pt>
                <c:pt idx="97">
                  <c:v>413.8639173651423</c:v>
                </c:pt>
                <c:pt idx="98">
                  <c:v>422.37642515150384</c:v>
                </c:pt>
                <c:pt idx="99">
                  <c:v>421.74081183426853</c:v>
                </c:pt>
                <c:pt idx="100">
                  <c:v>430.25331962063018</c:v>
                </c:pt>
                <c:pt idx="101">
                  <c:v>439.97413227375711</c:v>
                </c:pt>
                <c:pt idx="102">
                  <c:v>442.31753137788991</c:v>
                </c:pt>
                <c:pt idx="103">
                  <c:v>452.03834403101672</c:v>
                </c:pt>
                <c:pt idx="104">
                  <c:v>460.07256447428387</c:v>
                </c:pt>
                <c:pt idx="105">
                  <c:v>469.87749247215385</c:v>
                </c:pt>
                <c:pt idx="106">
                  <c:v>477.91171291542076</c:v>
                </c:pt>
                <c:pt idx="107">
                  <c:v>486.12214448509116</c:v>
                </c:pt>
                <c:pt idx="108">
                  <c:v>503.18547231355393</c:v>
                </c:pt>
                <c:pt idx="109">
                  <c:v>511.39590388322421</c:v>
                </c:pt>
                <c:pt idx="110">
                  <c:v>530.2018922645193</c:v>
                </c:pt>
                <c:pt idx="111">
                  <c:v>550.48336335561339</c:v>
                </c:pt>
                <c:pt idx="112">
                  <c:v>564.86290360751218</c:v>
                </c:pt>
                <c:pt idx="113">
                  <c:v>574.88579247733037</c:v>
                </c:pt>
                <c:pt idx="114">
                  <c:v>593.76157760594151</c:v>
                </c:pt>
                <c:pt idx="115">
                  <c:v>603.78446647575947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62B-9035-D3EBF8C7222A}"/>
            </c:ext>
          </c:extLst>
        </c:ser>
        <c:ser>
          <c:idx val="3"/>
          <c:order val="3"/>
          <c:tx>
            <c:v>Load Static Condt</c:v>
          </c:tx>
          <c:spPr>
            <a:ln w="15875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D2-462B-9035-D3EBF8C7222A}"/>
            </c:ext>
          </c:extLst>
        </c:ser>
        <c:ser>
          <c:idx val="4"/>
          <c:order val="4"/>
          <c:tx>
            <c:v>Load Q_EQ Condt</c:v>
          </c:tx>
          <c:spPr>
            <a:ln w="15875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D2-462B-9035-D3EBF8C7222A}"/>
            </c:ext>
          </c:extLst>
        </c:ser>
        <c:ser>
          <c:idx val="5"/>
          <c:order val="5"/>
          <c:tx>
            <c:v>Load Permanent</c:v>
          </c:tx>
          <c:spPr>
            <a:ln w="15875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D2-462B-9035-D3EBF8C72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4559500000000004"/>
          <c:y val="0.11394277777777778"/>
          <c:w val="0.56139916666666667"/>
          <c:h val="0.16639055555555557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5.2163528018980525</c:v>
                </c:pt>
                <c:pt idx="4">
                  <c:v>6.6627944194883515</c:v>
                </c:pt>
                <c:pt idx="5">
                  <c:v>12.993103616471785</c:v>
                </c:pt>
                <c:pt idx="6">
                  <c:v>19.323412813455221</c:v>
                </c:pt>
                <c:pt idx="7">
                  <c:v>25.653722010438649</c:v>
                </c:pt>
                <c:pt idx="8">
                  <c:v>31.984031207422081</c:v>
                </c:pt>
                <c:pt idx="9">
                  <c:v>38.314340404405513</c:v>
                </c:pt>
                <c:pt idx="10">
                  <c:v>44.094870887010742</c:v>
                </c:pt>
                <c:pt idx="11">
                  <c:v>48.336020969356959</c:v>
                </c:pt>
                <c:pt idx="12">
                  <c:v>52.577171051703175</c:v>
                </c:pt>
                <c:pt idx="13">
                  <c:v>56.818321134049398</c:v>
                </c:pt>
                <c:pt idx="14">
                  <c:v>59.171897630363752</c:v>
                </c:pt>
                <c:pt idx="15">
                  <c:v>61.132775044979383</c:v>
                </c:pt>
                <c:pt idx="16">
                  <c:v>63.093652459595013</c:v>
                </c:pt>
                <c:pt idx="17">
                  <c:v>64.852944345605295</c:v>
                </c:pt>
                <c:pt idx="18">
                  <c:v>66.612236231615583</c:v>
                </c:pt>
                <c:pt idx="19">
                  <c:v>68.371528117625871</c:v>
                </c:pt>
                <c:pt idx="20">
                  <c:v>70.900510203765648</c:v>
                </c:pt>
                <c:pt idx="21">
                  <c:v>73.429492289905426</c:v>
                </c:pt>
                <c:pt idx="22">
                  <c:v>75.958474376045217</c:v>
                </c:pt>
                <c:pt idx="23">
                  <c:v>79.128864962292909</c:v>
                </c:pt>
                <c:pt idx="24">
                  <c:v>82.299255548540614</c:v>
                </c:pt>
                <c:pt idx="25">
                  <c:v>85.46964613478832</c:v>
                </c:pt>
                <c:pt idx="26">
                  <c:v>87.531316313706597</c:v>
                </c:pt>
                <c:pt idx="27">
                  <c:v>89.592986492624917</c:v>
                </c:pt>
                <c:pt idx="28">
                  <c:v>91.654656671543222</c:v>
                </c:pt>
                <c:pt idx="29">
                  <c:v>93.716326850461513</c:v>
                </c:pt>
                <c:pt idx="30">
                  <c:v>95.777997029379833</c:v>
                </c:pt>
                <c:pt idx="31">
                  <c:v>97.83966720829811</c:v>
                </c:pt>
                <c:pt idx="32">
                  <c:v>100.50609397303245</c:v>
                </c:pt>
                <c:pt idx="33">
                  <c:v>103.1725207377668</c:v>
                </c:pt>
                <c:pt idx="34">
                  <c:v>105.83894750250114</c:v>
                </c:pt>
                <c:pt idx="35">
                  <c:v>108.36792958864092</c:v>
                </c:pt>
                <c:pt idx="36">
                  <c:v>110.8969116747807</c:v>
                </c:pt>
                <c:pt idx="37">
                  <c:v>113.42589376092047</c:v>
                </c:pt>
                <c:pt idx="38">
                  <c:v>118.10817581170826</c:v>
                </c:pt>
                <c:pt idx="39">
                  <c:v>122.79045786249605</c:v>
                </c:pt>
                <c:pt idx="40">
                  <c:v>127.47273991328383</c:v>
                </c:pt>
                <c:pt idx="41">
                  <c:v>131.98092537118518</c:v>
                </c:pt>
                <c:pt idx="42">
                  <c:v>136.48911082908654</c:v>
                </c:pt>
                <c:pt idx="43">
                  <c:v>140.9972962869879</c:v>
                </c:pt>
                <c:pt idx="44">
                  <c:v>145.07482175195963</c:v>
                </c:pt>
                <c:pt idx="45">
                  <c:v>149.15234721693139</c:v>
                </c:pt>
                <c:pt idx="46">
                  <c:v>153.22987268190312</c:v>
                </c:pt>
                <c:pt idx="47">
                  <c:v>156.1986777395455</c:v>
                </c:pt>
                <c:pt idx="48">
                  <c:v>159.16748279718786</c:v>
                </c:pt>
                <c:pt idx="49">
                  <c:v>162.13628785483019</c:v>
                </c:pt>
                <c:pt idx="50">
                  <c:v>164.80271461956454</c:v>
                </c:pt>
                <c:pt idx="51">
                  <c:v>167.46914138429889</c:v>
                </c:pt>
                <c:pt idx="52">
                  <c:v>170.13556814903322</c:v>
                </c:pt>
                <c:pt idx="53">
                  <c:v>172.99441746379995</c:v>
                </c:pt>
                <c:pt idx="54">
                  <c:v>175.85326677856665</c:v>
                </c:pt>
                <c:pt idx="55">
                  <c:v>178.71211609333332</c:v>
                </c:pt>
                <c:pt idx="56">
                  <c:v>184.09994749423981</c:v>
                </c:pt>
                <c:pt idx="57">
                  <c:v>189.48777889514631</c:v>
                </c:pt>
                <c:pt idx="58">
                  <c:v>194.87561029605286</c:v>
                </c:pt>
                <c:pt idx="59">
                  <c:v>200.46502722556465</c:v>
                </c:pt>
                <c:pt idx="60">
                  <c:v>206.05444415507651</c:v>
                </c:pt>
                <c:pt idx="61">
                  <c:v>211.64386108458834</c:v>
                </c:pt>
                <c:pt idx="62">
                  <c:v>217.23327801410019</c:v>
                </c:pt>
                <c:pt idx="63">
                  <c:v>222.82269494361202</c:v>
                </c:pt>
                <c:pt idx="64">
                  <c:v>228.41211187312385</c:v>
                </c:pt>
                <c:pt idx="65">
                  <c:v>234.0015288026357</c:v>
                </c:pt>
                <c:pt idx="66">
                  <c:v>239.59094573214753</c:v>
                </c:pt>
                <c:pt idx="67">
                  <c:v>245.18036266165939</c:v>
                </c:pt>
                <c:pt idx="68">
                  <c:v>250.76977959117121</c:v>
                </c:pt>
                <c:pt idx="69">
                  <c:v>256.35919652068304</c:v>
                </c:pt>
                <c:pt idx="70">
                  <c:v>261.9486134501949</c:v>
                </c:pt>
                <c:pt idx="71">
                  <c:v>267.99617930835524</c:v>
                </c:pt>
                <c:pt idx="72">
                  <c:v>274.04374516651563</c:v>
                </c:pt>
                <c:pt idx="73">
                  <c:v>280.09131102467597</c:v>
                </c:pt>
                <c:pt idx="74">
                  <c:v>285.68072795418783</c:v>
                </c:pt>
                <c:pt idx="75">
                  <c:v>291.27014488369963</c:v>
                </c:pt>
                <c:pt idx="76">
                  <c:v>296.85956181321149</c:v>
                </c:pt>
                <c:pt idx="77">
                  <c:v>302.44897874272328</c:v>
                </c:pt>
                <c:pt idx="78">
                  <c:v>308.03839567223514</c:v>
                </c:pt>
                <c:pt idx="79">
                  <c:v>313.627812601747</c:v>
                </c:pt>
                <c:pt idx="80">
                  <c:v>319.21722953125885</c:v>
                </c:pt>
                <c:pt idx="81">
                  <c:v>324.80664646077071</c:v>
                </c:pt>
                <c:pt idx="82">
                  <c:v>330.39606339028251</c:v>
                </c:pt>
                <c:pt idx="83">
                  <c:v>335.98548031979436</c:v>
                </c:pt>
                <c:pt idx="84">
                  <c:v>341.57489724930622</c:v>
                </c:pt>
                <c:pt idx="85">
                  <c:v>347.16431417881802</c:v>
                </c:pt>
                <c:pt idx="86">
                  <c:v>352.75373110832987</c:v>
                </c:pt>
                <c:pt idx="87">
                  <c:v>358.34314803784173</c:v>
                </c:pt>
                <c:pt idx="88">
                  <c:v>363.93256496735358</c:v>
                </c:pt>
                <c:pt idx="89">
                  <c:v>367.80850490372001</c:v>
                </c:pt>
                <c:pt idx="90">
                  <c:v>371.68444484008637</c:v>
                </c:pt>
                <c:pt idx="91">
                  <c:v>375.56038477645279</c:v>
                </c:pt>
                <c:pt idx="92">
                  <c:v>379.73870300572719</c:v>
                </c:pt>
                <c:pt idx="93">
                  <c:v>383.91702123500164</c:v>
                </c:pt>
                <c:pt idx="94">
                  <c:v>388.09533946427609</c:v>
                </c:pt>
                <c:pt idx="95">
                  <c:v>391.76969387203712</c:v>
                </c:pt>
                <c:pt idx="96">
                  <c:v>395.44404827979821</c:v>
                </c:pt>
                <c:pt idx="97">
                  <c:v>399.11840268755924</c:v>
                </c:pt>
                <c:pt idx="98">
                  <c:v>402.96685368820681</c:v>
                </c:pt>
                <c:pt idx="99">
                  <c:v>406.81530468885427</c:v>
                </c:pt>
                <c:pt idx="100">
                  <c:v>410.66375568950173</c:v>
                </c:pt>
                <c:pt idx="101">
                  <c:v>414.95202966165186</c:v>
                </c:pt>
                <c:pt idx="102">
                  <c:v>419.24030363380189</c:v>
                </c:pt>
                <c:pt idx="103">
                  <c:v>423.52857760595191</c:v>
                </c:pt>
                <c:pt idx="104">
                  <c:v>427.20293201371305</c:v>
                </c:pt>
                <c:pt idx="105">
                  <c:v>430.87728642147408</c:v>
                </c:pt>
                <c:pt idx="106">
                  <c:v>434.55164082923523</c:v>
                </c:pt>
                <c:pt idx="107">
                  <c:v>438.29013608700706</c:v>
                </c:pt>
                <c:pt idx="108">
                  <c:v>442.02863134477889</c:v>
                </c:pt>
                <c:pt idx="109">
                  <c:v>445.76712660255072</c:v>
                </c:pt>
                <c:pt idx="110">
                  <c:v>449.06579888881993</c:v>
                </c:pt>
                <c:pt idx="111">
                  <c:v>452.36447117508931</c:v>
                </c:pt>
                <c:pt idx="112">
                  <c:v>455.66314346135857</c:v>
                </c:pt>
                <c:pt idx="113">
                  <c:v>460.06137317638422</c:v>
                </c:pt>
                <c:pt idx="114">
                  <c:v>464.45960289140999</c:v>
                </c:pt>
                <c:pt idx="115">
                  <c:v>468.85783260643569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1-4EAD-A67A-8BAEC8B3A3EF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4.7123889803846897</c:v>
                </c:pt>
                <c:pt idx="4">
                  <c:v>5.6548667764616267</c:v>
                </c:pt>
                <c:pt idx="5">
                  <c:v>6.5973445725385655</c:v>
                </c:pt>
                <c:pt idx="6">
                  <c:v>7.5398223686155035</c:v>
                </c:pt>
                <c:pt idx="7">
                  <c:v>8.4823001646924414</c:v>
                </c:pt>
                <c:pt idx="8">
                  <c:v>9.4247779607693793</c:v>
                </c:pt>
                <c:pt idx="9">
                  <c:v>10.367255756846317</c:v>
                </c:pt>
                <c:pt idx="10">
                  <c:v>11.309733552923253</c:v>
                </c:pt>
                <c:pt idx="11">
                  <c:v>12.252211349000193</c:v>
                </c:pt>
                <c:pt idx="12">
                  <c:v>13.194689145077131</c:v>
                </c:pt>
                <c:pt idx="13">
                  <c:v>14.137166941154069</c:v>
                </c:pt>
                <c:pt idx="14">
                  <c:v>15.079644737231007</c:v>
                </c:pt>
                <c:pt idx="15">
                  <c:v>15.62942345160922</c:v>
                </c:pt>
                <c:pt idx="16">
                  <c:v>16.179202165987434</c:v>
                </c:pt>
                <c:pt idx="17">
                  <c:v>16.728980880365647</c:v>
                </c:pt>
                <c:pt idx="18">
                  <c:v>17.27875959474386</c:v>
                </c:pt>
                <c:pt idx="19">
                  <c:v>17.828538309122074</c:v>
                </c:pt>
                <c:pt idx="20">
                  <c:v>18.378317023500287</c:v>
                </c:pt>
                <c:pt idx="21">
                  <c:v>18.9280957378785</c:v>
                </c:pt>
                <c:pt idx="22">
                  <c:v>19.477874452256714</c:v>
                </c:pt>
                <c:pt idx="23">
                  <c:v>20.027653166634931</c:v>
                </c:pt>
                <c:pt idx="24">
                  <c:v>20.577431881013144</c:v>
                </c:pt>
                <c:pt idx="25">
                  <c:v>21.127210595391357</c:v>
                </c:pt>
                <c:pt idx="26">
                  <c:v>21.676989309769571</c:v>
                </c:pt>
                <c:pt idx="27">
                  <c:v>22.226768024147784</c:v>
                </c:pt>
                <c:pt idx="28">
                  <c:v>22.776546738526001</c:v>
                </c:pt>
                <c:pt idx="29">
                  <c:v>23.326325452904214</c:v>
                </c:pt>
                <c:pt idx="30">
                  <c:v>23.876104167282428</c:v>
                </c:pt>
                <c:pt idx="31">
                  <c:v>24.425882881660641</c:v>
                </c:pt>
                <c:pt idx="32">
                  <c:v>24.975661596038854</c:v>
                </c:pt>
                <c:pt idx="33">
                  <c:v>25.525440310417068</c:v>
                </c:pt>
                <c:pt idx="34">
                  <c:v>26.075219024795285</c:v>
                </c:pt>
                <c:pt idx="35">
                  <c:v>26.624997739173494</c:v>
                </c:pt>
                <c:pt idx="36">
                  <c:v>27.174776453551704</c:v>
                </c:pt>
                <c:pt idx="37">
                  <c:v>27.724555167929921</c:v>
                </c:pt>
                <c:pt idx="38">
                  <c:v>28.274333882308138</c:v>
                </c:pt>
                <c:pt idx="39">
                  <c:v>36.771234397473997</c:v>
                </c:pt>
                <c:pt idx="40">
                  <c:v>45.268134912639844</c:v>
                </c:pt>
                <c:pt idx="41">
                  <c:v>53.430234287639479</c:v>
                </c:pt>
                <c:pt idx="42">
                  <c:v>61.592333662639113</c:v>
                </c:pt>
                <c:pt idx="43">
                  <c:v>69.754433037638762</c:v>
                </c:pt>
                <c:pt idx="44">
                  <c:v>77.088340118543002</c:v>
                </c:pt>
                <c:pt idx="45">
                  <c:v>84.422247199447256</c:v>
                </c:pt>
                <c:pt idx="46">
                  <c:v>91.756154280351495</c:v>
                </c:pt>
                <c:pt idx="47">
                  <c:v>96.957906731776134</c:v>
                </c:pt>
                <c:pt idx="48">
                  <c:v>102.15965918320079</c:v>
                </c:pt>
                <c:pt idx="49">
                  <c:v>107.36141163462541</c:v>
                </c:pt>
                <c:pt idx="50">
                  <c:v>111.98166736891926</c:v>
                </c:pt>
                <c:pt idx="51">
                  <c:v>116.6019231032131</c:v>
                </c:pt>
                <c:pt idx="52">
                  <c:v>121.22217883750692</c:v>
                </c:pt>
                <c:pt idx="53">
                  <c:v>126.2124779372476</c:v>
                </c:pt>
                <c:pt idx="54">
                  <c:v>131.20277703698835</c:v>
                </c:pt>
                <c:pt idx="55">
                  <c:v>136.19307613672905</c:v>
                </c:pt>
                <c:pt idx="56">
                  <c:v>146.0468023252001</c:v>
                </c:pt>
                <c:pt idx="57">
                  <c:v>155.90052851367116</c:v>
                </c:pt>
                <c:pt idx="58">
                  <c:v>165.75425470214222</c:v>
                </c:pt>
                <c:pt idx="59">
                  <c:v>175.99564536870048</c:v>
                </c:pt>
                <c:pt idx="60">
                  <c:v>186.23703603525874</c:v>
                </c:pt>
                <c:pt idx="61">
                  <c:v>196.47842670181703</c:v>
                </c:pt>
                <c:pt idx="62">
                  <c:v>206.71981736837529</c:v>
                </c:pt>
                <c:pt idx="63">
                  <c:v>216.96120803493352</c:v>
                </c:pt>
                <c:pt idx="64">
                  <c:v>227.20259870149181</c:v>
                </c:pt>
                <c:pt idx="65">
                  <c:v>237.44398936805007</c:v>
                </c:pt>
                <c:pt idx="66">
                  <c:v>247.68538003460833</c:v>
                </c:pt>
                <c:pt idx="67">
                  <c:v>257.92677070116662</c:v>
                </c:pt>
                <c:pt idx="68">
                  <c:v>268.16816136772485</c:v>
                </c:pt>
                <c:pt idx="69">
                  <c:v>278.40955203428314</c:v>
                </c:pt>
                <c:pt idx="70">
                  <c:v>288.65094270084137</c:v>
                </c:pt>
                <c:pt idx="71">
                  <c:v>299.77338899941606</c:v>
                </c:pt>
                <c:pt idx="72">
                  <c:v>310.89583529799069</c:v>
                </c:pt>
                <c:pt idx="73">
                  <c:v>322.01828159656526</c:v>
                </c:pt>
                <c:pt idx="74">
                  <c:v>332.25967226312355</c:v>
                </c:pt>
                <c:pt idx="75">
                  <c:v>342.50106292968178</c:v>
                </c:pt>
                <c:pt idx="76">
                  <c:v>352.74245359624007</c:v>
                </c:pt>
                <c:pt idx="77">
                  <c:v>362.98384426279836</c:v>
                </c:pt>
                <c:pt idx="78">
                  <c:v>373.22523492935659</c:v>
                </c:pt>
                <c:pt idx="79">
                  <c:v>383.46662559591482</c:v>
                </c:pt>
                <c:pt idx="80">
                  <c:v>393.70801626247311</c:v>
                </c:pt>
                <c:pt idx="81">
                  <c:v>403.94940692903134</c:v>
                </c:pt>
                <c:pt idx="82">
                  <c:v>414.19079759558974</c:v>
                </c:pt>
                <c:pt idx="83">
                  <c:v>424.43218826214797</c:v>
                </c:pt>
                <c:pt idx="84">
                  <c:v>434.67357892870621</c:v>
                </c:pt>
                <c:pt idx="85">
                  <c:v>444.91496959526444</c:v>
                </c:pt>
                <c:pt idx="86">
                  <c:v>455.15636026182278</c:v>
                </c:pt>
                <c:pt idx="87">
                  <c:v>465.39775092838102</c:v>
                </c:pt>
                <c:pt idx="88">
                  <c:v>475.6391415949393</c:v>
                </c:pt>
                <c:pt idx="89">
                  <c:v>482.58538419775635</c:v>
                </c:pt>
                <c:pt idx="90">
                  <c:v>489.53162680057335</c:v>
                </c:pt>
                <c:pt idx="91">
                  <c:v>496.4778694033904</c:v>
                </c:pt>
                <c:pt idx="92">
                  <c:v>504.00560872333824</c:v>
                </c:pt>
                <c:pt idx="93">
                  <c:v>511.53334804328614</c:v>
                </c:pt>
                <c:pt idx="94">
                  <c:v>519.06108736323404</c:v>
                </c:pt>
                <c:pt idx="95">
                  <c:v>525.61966548796386</c:v>
                </c:pt>
                <c:pt idx="96">
                  <c:v>532.17824361269368</c:v>
                </c:pt>
                <c:pt idx="97">
                  <c:v>538.73682173742372</c:v>
                </c:pt>
                <c:pt idx="98">
                  <c:v>545.63020100231961</c:v>
                </c:pt>
                <c:pt idx="99">
                  <c:v>552.52358026721561</c:v>
                </c:pt>
                <c:pt idx="100">
                  <c:v>559.41695953211172</c:v>
                </c:pt>
                <c:pt idx="101">
                  <c:v>567.15615220374355</c:v>
                </c:pt>
                <c:pt idx="102">
                  <c:v>574.89534487537537</c:v>
                </c:pt>
                <c:pt idx="103">
                  <c:v>582.63453754700708</c:v>
                </c:pt>
                <c:pt idx="104">
                  <c:v>589.1931156717369</c:v>
                </c:pt>
                <c:pt idx="105">
                  <c:v>595.75169379646684</c:v>
                </c:pt>
                <c:pt idx="106">
                  <c:v>602.31027192119677</c:v>
                </c:pt>
                <c:pt idx="107">
                  <c:v>608.9921978344089</c:v>
                </c:pt>
                <c:pt idx="108">
                  <c:v>615.67412374762091</c:v>
                </c:pt>
                <c:pt idx="109">
                  <c:v>622.35604966083315</c:v>
                </c:pt>
                <c:pt idx="110">
                  <c:v>628.19216216730956</c:v>
                </c:pt>
                <c:pt idx="111">
                  <c:v>634.02827467378597</c:v>
                </c:pt>
                <c:pt idx="112">
                  <c:v>639.86438718026238</c:v>
                </c:pt>
                <c:pt idx="113">
                  <c:v>647.8150332035782</c:v>
                </c:pt>
                <c:pt idx="114">
                  <c:v>655.76567922689378</c:v>
                </c:pt>
                <c:pt idx="115">
                  <c:v>663.71632525020948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1-4EAD-A67A-8BAEC8B3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44296166666666664"/>
          <c:y val="0.11394277777777778"/>
          <c:w val="0.46403250000000007"/>
          <c:h val="6.9964629629629627E-2"/>
        </c:manualLayout>
      </c:layout>
      <c:overlay val="1"/>
      <c:spPr>
        <a:ln>
          <a:solidFill>
            <a:schemeClr val="tx1"/>
          </a:solidFill>
        </a:ln>
      </c:sp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5915032679739"/>
          <c:y val="9.6547407407407401E-2"/>
          <c:w val="0.79952549019607844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Downdrag kumulatif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Downdrag!$N$12:$N$127</c:f>
              <c:numCache>
                <c:formatCode>General</c:formatCode>
                <c:ptCount val="116"/>
                <c:pt idx="0">
                  <c:v>2.1605827630753902</c:v>
                </c:pt>
                <c:pt idx="1">
                  <c:v>4.3211655261507804</c:v>
                </c:pt>
                <c:pt idx="2">
                  <c:v>6.4817482892261715</c:v>
                </c:pt>
                <c:pt idx="3">
                  <c:v>19.011654765625636</c:v>
                </c:pt>
                <c:pt idx="4">
                  <c:v>31.5415612420251</c:v>
                </c:pt>
                <c:pt idx="5">
                  <c:v>44.071467718424572</c:v>
                </c:pt>
                <c:pt idx="6">
                  <c:v>56.601374194824039</c:v>
                </c:pt>
                <c:pt idx="7">
                  <c:v>69.131280671223521</c:v>
                </c:pt>
                <c:pt idx="8">
                  <c:v>84.679358678157413</c:v>
                </c:pt>
                <c:pt idx="9">
                  <c:v>98.82135494555996</c:v>
                </c:pt>
                <c:pt idx="10">
                  <c:v>112.96335121296254</c:v>
                </c:pt>
                <c:pt idx="11">
                  <c:v>127.10534748036508</c:v>
                </c:pt>
                <c:pt idx="12">
                  <c:v>133.15497921697616</c:v>
                </c:pt>
                <c:pt idx="13">
                  <c:v>139.20461095358729</c:v>
                </c:pt>
                <c:pt idx="14">
                  <c:v>145.25424269019837</c:v>
                </c:pt>
                <c:pt idx="15">
                  <c:v>150.43964132157927</c:v>
                </c:pt>
                <c:pt idx="16">
                  <c:v>155.62503995296024</c:v>
                </c:pt>
                <c:pt idx="17">
                  <c:v>160.81043858434117</c:v>
                </c:pt>
                <c:pt idx="18">
                  <c:v>166.2272667406059</c:v>
                </c:pt>
                <c:pt idx="19">
                  <c:v>171.64409489687066</c:v>
                </c:pt>
                <c:pt idx="20">
                  <c:v>177.06092305313538</c:v>
                </c:pt>
                <c:pt idx="21">
                  <c:v>182.56279806237677</c:v>
                </c:pt>
                <c:pt idx="22">
                  <c:v>188.06467307161816</c:v>
                </c:pt>
                <c:pt idx="23">
                  <c:v>193.56654808085955</c:v>
                </c:pt>
                <c:pt idx="24">
                  <c:v>200.04829637008572</c:v>
                </c:pt>
                <c:pt idx="25">
                  <c:v>206.5300446593119</c:v>
                </c:pt>
                <c:pt idx="26">
                  <c:v>213.01179294853807</c:v>
                </c:pt>
                <c:pt idx="27">
                  <c:v>219.49354123776425</c:v>
                </c:pt>
                <c:pt idx="28">
                  <c:v>225.97528952699039</c:v>
                </c:pt>
                <c:pt idx="29">
                  <c:v>232.45703781621657</c:v>
                </c:pt>
                <c:pt idx="30">
                  <c:v>241.53148542113325</c:v>
                </c:pt>
                <c:pt idx="31">
                  <c:v>250.60593302604988</c:v>
                </c:pt>
                <c:pt idx="32">
                  <c:v>259.68038063096651</c:v>
                </c:pt>
                <c:pt idx="33">
                  <c:v>268.16557839140808</c:v>
                </c:pt>
                <c:pt idx="34">
                  <c:v>276.65077615184958</c:v>
                </c:pt>
                <c:pt idx="35">
                  <c:v>285.13597391229109</c:v>
                </c:pt>
                <c:pt idx="36">
                  <c:v>302.85275256950928</c:v>
                </c:pt>
                <c:pt idx="37">
                  <c:v>302.85275256950928</c:v>
                </c:pt>
                <c:pt idx="38">
                  <c:v>302.85275256950928</c:v>
                </c:pt>
                <c:pt idx="39">
                  <c:v>302.85275256950928</c:v>
                </c:pt>
                <c:pt idx="40">
                  <c:v>302.85275256950928</c:v>
                </c:pt>
                <c:pt idx="41">
                  <c:v>302.85275256950928</c:v>
                </c:pt>
                <c:pt idx="42">
                  <c:v>302.85275256950928</c:v>
                </c:pt>
                <c:pt idx="43">
                  <c:v>302.85275256950928</c:v>
                </c:pt>
                <c:pt idx="44">
                  <c:v>302.85275256950928</c:v>
                </c:pt>
                <c:pt idx="45">
                  <c:v>302.85275256950928</c:v>
                </c:pt>
                <c:pt idx="46">
                  <c:v>302.85275256950928</c:v>
                </c:pt>
                <c:pt idx="47">
                  <c:v>302.85275256950928</c:v>
                </c:pt>
                <c:pt idx="48">
                  <c:v>302.85275256950928</c:v>
                </c:pt>
                <c:pt idx="49">
                  <c:v>302.85275256950928</c:v>
                </c:pt>
                <c:pt idx="50">
                  <c:v>302.85275256950928</c:v>
                </c:pt>
                <c:pt idx="51">
                  <c:v>302.85275256950928</c:v>
                </c:pt>
                <c:pt idx="52">
                  <c:v>302.85275256950928</c:v>
                </c:pt>
                <c:pt idx="53">
                  <c:v>302.85275256950928</c:v>
                </c:pt>
                <c:pt idx="54">
                  <c:v>302.85275256950928</c:v>
                </c:pt>
                <c:pt idx="55">
                  <c:v>302.85275256950928</c:v>
                </c:pt>
                <c:pt idx="56">
                  <c:v>302.85275256950928</c:v>
                </c:pt>
                <c:pt idx="57">
                  <c:v>302.85275256950928</c:v>
                </c:pt>
                <c:pt idx="58">
                  <c:v>302.85275256950928</c:v>
                </c:pt>
                <c:pt idx="59">
                  <c:v>302.85275256950928</c:v>
                </c:pt>
                <c:pt idx="60">
                  <c:v>302.85275256950928</c:v>
                </c:pt>
                <c:pt idx="61">
                  <c:v>302.85275256950928</c:v>
                </c:pt>
                <c:pt idx="62">
                  <c:v>302.85275256950928</c:v>
                </c:pt>
                <c:pt idx="63">
                  <c:v>302.85275256950928</c:v>
                </c:pt>
                <c:pt idx="64">
                  <c:v>302.85275256950928</c:v>
                </c:pt>
                <c:pt idx="65">
                  <c:v>302.85275256950928</c:v>
                </c:pt>
                <c:pt idx="66">
                  <c:v>302.85275256950928</c:v>
                </c:pt>
                <c:pt idx="67">
                  <c:v>302.85275256950928</c:v>
                </c:pt>
                <c:pt idx="68">
                  <c:v>302.85275256950928</c:v>
                </c:pt>
                <c:pt idx="69">
                  <c:v>302.85275256950928</c:v>
                </c:pt>
                <c:pt idx="70">
                  <c:v>302.85275256950928</c:v>
                </c:pt>
                <c:pt idx="71">
                  <c:v>302.85275256950928</c:v>
                </c:pt>
                <c:pt idx="72">
                  <c:v>302.85275256950928</c:v>
                </c:pt>
                <c:pt idx="73">
                  <c:v>302.85275256950928</c:v>
                </c:pt>
                <c:pt idx="74">
                  <c:v>302.85275256950928</c:v>
                </c:pt>
                <c:pt idx="75">
                  <c:v>302.85275256950928</c:v>
                </c:pt>
                <c:pt idx="76">
                  <c:v>302.85275256950928</c:v>
                </c:pt>
                <c:pt idx="77">
                  <c:v>302.85275256950928</c:v>
                </c:pt>
                <c:pt idx="78">
                  <c:v>302.85275256950928</c:v>
                </c:pt>
                <c:pt idx="79">
                  <c:v>302.85275256950928</c:v>
                </c:pt>
                <c:pt idx="80">
                  <c:v>302.85275256950928</c:v>
                </c:pt>
                <c:pt idx="81">
                  <c:v>302.85275256950928</c:v>
                </c:pt>
                <c:pt idx="82">
                  <c:v>302.85275256950928</c:v>
                </c:pt>
                <c:pt idx="83">
                  <c:v>302.85275256950928</c:v>
                </c:pt>
                <c:pt idx="84">
                  <c:v>302.85275256950928</c:v>
                </c:pt>
                <c:pt idx="85">
                  <c:v>302.85275256950928</c:v>
                </c:pt>
                <c:pt idx="86">
                  <c:v>302.85275256950928</c:v>
                </c:pt>
                <c:pt idx="87">
                  <c:v>302.85275256950928</c:v>
                </c:pt>
                <c:pt idx="88">
                  <c:v>302.85275256950928</c:v>
                </c:pt>
                <c:pt idx="89">
                  <c:v>302.85275256950928</c:v>
                </c:pt>
                <c:pt idx="90">
                  <c:v>302.85275256950928</c:v>
                </c:pt>
                <c:pt idx="91">
                  <c:v>302.85275256950928</c:v>
                </c:pt>
                <c:pt idx="92">
                  <c:v>302.85275256950928</c:v>
                </c:pt>
                <c:pt idx="93">
                  <c:v>302.85275256950928</c:v>
                </c:pt>
                <c:pt idx="94">
                  <c:v>302.85275256950928</c:v>
                </c:pt>
                <c:pt idx="95">
                  <c:v>302.85275256950928</c:v>
                </c:pt>
                <c:pt idx="96">
                  <c:v>302.85275256950928</c:v>
                </c:pt>
                <c:pt idx="97">
                  <c:v>302.85275256950928</c:v>
                </c:pt>
                <c:pt idx="98">
                  <c:v>302.85275256950928</c:v>
                </c:pt>
                <c:pt idx="99">
                  <c:v>302.85275256950928</c:v>
                </c:pt>
                <c:pt idx="100">
                  <c:v>302.85275256950928</c:v>
                </c:pt>
                <c:pt idx="101">
                  <c:v>302.85275256950928</c:v>
                </c:pt>
                <c:pt idx="102">
                  <c:v>302.85275256950928</c:v>
                </c:pt>
                <c:pt idx="103">
                  <c:v>302.85275256950928</c:v>
                </c:pt>
                <c:pt idx="104">
                  <c:v>302.85275256950928</c:v>
                </c:pt>
                <c:pt idx="105">
                  <c:v>302.85275256950928</c:v>
                </c:pt>
                <c:pt idx="106">
                  <c:v>302.85275256950928</c:v>
                </c:pt>
                <c:pt idx="107">
                  <c:v>302.85275256950928</c:v>
                </c:pt>
                <c:pt idx="108">
                  <c:v>302.85275256950928</c:v>
                </c:pt>
                <c:pt idx="109">
                  <c:v>302.85275256950928</c:v>
                </c:pt>
                <c:pt idx="110">
                  <c:v>302.85275256950928</c:v>
                </c:pt>
                <c:pt idx="111">
                  <c:v>302.85275256950928</c:v>
                </c:pt>
                <c:pt idx="112">
                  <c:v>302.85275256950928</c:v>
                </c:pt>
                <c:pt idx="113">
                  <c:v>302.85275256950928</c:v>
                </c:pt>
                <c:pt idx="114">
                  <c:v>302.85275256950928</c:v>
                </c:pt>
                <c:pt idx="115">
                  <c:v>302.85275256950928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3-4BE2-BF3A-4F455B5C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Downdrag Load 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105832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0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14</xdr:row>
      <xdr:rowOff>0</xdr:rowOff>
    </xdr:from>
    <xdr:ext cx="36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306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A57A2C-5125-4BAB-81F2-556A55A7A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0</xdr:colOff>
      <xdr:row>43</xdr:row>
      <xdr:rowOff>0</xdr:rowOff>
    </xdr:from>
    <xdr:ext cx="360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436C23-D5DC-46FA-A589-0CB965180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272140</xdr:colOff>
      <xdr:row>14</xdr:row>
      <xdr:rowOff>0</xdr:rowOff>
    </xdr:from>
    <xdr:ext cx="360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F14472-B05C-4E16-8400-8EA2DB83C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272141</xdr:colOff>
      <xdr:row>43</xdr:row>
      <xdr:rowOff>0</xdr:rowOff>
    </xdr:from>
    <xdr:ext cx="306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F72F4C-41BB-4EAA-8DAD-837E8EFD8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showGridLines="0" tabSelected="1" topLeftCell="A4" zoomScale="115" zoomScaleNormal="115" workbookViewId="0">
      <selection activeCell="C15" sqref="C15"/>
    </sheetView>
  </sheetViews>
  <sheetFormatPr defaultRowHeight="15" x14ac:dyDescent="0.25"/>
  <cols>
    <col min="1" max="1" width="44" customWidth="1"/>
    <col min="2" max="2" width="9" customWidth="1"/>
    <col min="3" max="3" width="12" customWidth="1"/>
    <col min="4" max="4" width="10" customWidth="1"/>
    <col min="5" max="5" width="62" customWidth="1"/>
  </cols>
  <sheetData>
    <row r="1" spans="1:5" ht="18.75" x14ac:dyDescent="0.3">
      <c r="A1" s="35" t="s">
        <v>19</v>
      </c>
      <c r="B1" s="36"/>
      <c r="C1" s="36"/>
      <c r="D1" s="36"/>
      <c r="E1" s="36"/>
    </row>
    <row r="2" spans="1:5" x14ac:dyDescent="0.25">
      <c r="A2" s="1" t="s">
        <v>1</v>
      </c>
    </row>
    <row r="3" spans="1:5" x14ac:dyDescent="0.25">
      <c r="A3" s="1" t="s">
        <v>171</v>
      </c>
    </row>
    <row r="5" spans="1:5" ht="18" customHeight="1" x14ac:dyDescent="0.25">
      <c r="A5" s="2" t="s">
        <v>20</v>
      </c>
      <c r="B5" s="3"/>
      <c r="C5" s="3"/>
      <c r="D5" s="3"/>
      <c r="E5" s="3"/>
    </row>
    <row r="6" spans="1:5" x14ac:dyDescent="0.25">
      <c r="A6" s="4" t="s">
        <v>21</v>
      </c>
      <c r="B6" s="5"/>
      <c r="C6" s="6" t="s">
        <v>22</v>
      </c>
      <c r="D6" s="4"/>
      <c r="E6" s="7"/>
    </row>
    <row r="7" spans="1:5" x14ac:dyDescent="0.25">
      <c r="A7" s="4" t="s">
        <v>23</v>
      </c>
      <c r="B7" s="5" t="s">
        <v>24</v>
      </c>
      <c r="C7" s="8">
        <v>1</v>
      </c>
      <c r="D7" s="4" t="s">
        <v>25</v>
      </c>
      <c r="E7" s="7"/>
    </row>
    <row r="8" spans="1:5" x14ac:dyDescent="0.25">
      <c r="A8" s="4" t="s">
        <v>26</v>
      </c>
      <c r="B8" s="5" t="s">
        <v>27</v>
      </c>
      <c r="C8" s="9">
        <f>PI()*C7</f>
      </c>
      <c r="D8" s="4" t="s">
        <v>25</v>
      </c>
      <c r="E8" s="7"/>
    </row>
    <row r="9" spans="1:5" x14ac:dyDescent="0.25">
      <c r="A9" s="4" t="s">
        <v>28</v>
      </c>
      <c r="B9" s="5" t="s">
        <v>29</v>
      </c>
      <c r="C9" s="10">
        <f>PI()*C7^2/4</f>
      </c>
      <c r="D9" s="4" t="s">
        <v>30</v>
      </c>
      <c r="E9" s="7"/>
    </row>
    <row r="10" spans="1:5" x14ac:dyDescent="0.25">
      <c r="A10" s="4" t="s">
        <v>31</v>
      </c>
      <c r="B10" s="5" t="s">
        <v>32</v>
      </c>
      <c r="C10" s="8">
        <v>2.4</v>
      </c>
      <c r="D10" s="4" t="s">
        <v>33</v>
      </c>
      <c r="E10" s="7"/>
    </row>
    <row r="11" spans="1:5" x14ac:dyDescent="0.25">
      <c r="A11" s="4" t="s">
        <v>34</v>
      </c>
      <c r="B11" s="5" t="s">
        <v>35</v>
      </c>
      <c r="C11" s="8">
        <v>1</v>
      </c>
      <c r="D11" s="4" t="s">
        <v>25</v>
      </c>
      <c r="E11" s="7" t="s">
        <v>36</v>
      </c>
    </row>
    <row r="13" spans="1:5" ht="18" customHeight="1" x14ac:dyDescent="0.25">
      <c r="A13" s="2" t="s">
        <v>37</v>
      </c>
      <c r="B13" s="3"/>
      <c r="C13" s="3"/>
      <c r="D13" s="3"/>
      <c r="E13" s="3"/>
    </row>
    <row r="14" spans="1:5" x14ac:dyDescent="0.25">
      <c r="A14" s="4" t="s">
        <v>38</v>
      </c>
      <c r="B14" s="5" t="s">
        <v>39</v>
      </c>
      <c r="C14" s="8">
        <v>9</v>
      </c>
      <c r="D14" s="4" t="s">
        <v>25</v>
      </c>
      <c r="E14" s="7" t="s">
        <v>40</v>
      </c>
    </row>
    <row r="15" spans="1:5" x14ac:dyDescent="0.25">
      <c r="A15" s="4" t="inlineStr">
        <is>
          <t xml:space="preserve">Dasar zona likuefaksi (lapisan L terdalam)</t>
        </is>
      </c>
      <c r="B15" s="5" t="s">
        <v>42</v>
      </c>
      <c r="C15" s="8">
        <f>_xlfn.MAXIFS('Data Tanah'!$C$7:$C$47,'Data Tanah'!$H$7:$H$47,"L")</f>
      </c>
      <c r="D15" s="4" t="s">
        <v>25</v>
      </c>
      <c r="E15" s="7" t="inlineStr">
        <is>
          <t xml:space="preserve">otomatis dari kolom Likuefaksi (L/NL) di sheet Data Tanah; 0 = tidak ada likuefaksi</t>
        </is>
      </c>
    </row>
    <row r="16" spans="1:5" x14ac:dyDescent="0.25">
      <c r="A16" s="4" t="s">
        <v>44</v>
      </c>
      <c r="B16" s="5" t="s">
        <v>45</v>
      </c>
      <c r="C16" s="8">
        <v>18.5</v>
      </c>
      <c r="D16" s="4" t="s">
        <v>46</v>
      </c>
      <c r="E16" s="7" t="s">
        <v>47</v>
      </c>
    </row>
    <row r="17" spans="1:5" x14ac:dyDescent="0.25">
      <c r="A17" s="4" t="s">
        <v>48</v>
      </c>
      <c r="B17" s="5" t="s">
        <v>49</v>
      </c>
      <c r="C17" s="8">
        <v>18.399999999999999</v>
      </c>
      <c r="D17" s="4" t="s">
        <v>46</v>
      </c>
      <c r="E17" s="7" t="s">
        <v>47</v>
      </c>
    </row>
    <row r="18" spans="1:5" x14ac:dyDescent="0.25">
      <c r="A18" s="4" t="s">
        <v>50</v>
      </c>
      <c r="B18" s="5" t="s">
        <v>51</v>
      </c>
      <c r="C18" s="11">
        <v>30</v>
      </c>
      <c r="D18" s="4" t="s">
        <v>52</v>
      </c>
      <c r="E18" s="7" t="s">
        <v>53</v>
      </c>
    </row>
    <row r="19" spans="1:5" x14ac:dyDescent="0.25">
      <c r="A19" s="4" t="s">
        <v>54</v>
      </c>
      <c r="B19" s="5" t="s">
        <v>51</v>
      </c>
      <c r="C19" s="11">
        <v>25</v>
      </c>
      <c r="D19" s="4" t="s">
        <v>52</v>
      </c>
      <c r="E19" s="7" t="s">
        <v>55</v>
      </c>
    </row>
    <row r="20" spans="1:5" x14ac:dyDescent="0.25">
      <c r="A20" s="4" t="inlineStr">
        <is>
          <t xml:space="preserve">Penurunan tanah di permukaan akibat likuefaksi</t>
        </is>
      </c>
      <c r="B20" s="5" t="s">
        <v>57</v>
      </c>
      <c r="C20" s="11">
        <f>MAX('Data Tanah'!$Q$7:$Q$47)</f>
      </c>
      <c r="D20" s="4" t="s">
        <v>58</v>
      </c>
      <c r="E20" s="7" t="inlineStr">
        <is>
          <t xml:space="preserve">otomatis = Σ εv·tebal lapisan L (Data Tanah kolom P-Q)</t>
        </is>
      </c>
    </row>
    <row r="21" spans="1:5" x14ac:dyDescent="0.25">
      <c r="A21" s="4" t="s">
        <v>60</v>
      </c>
      <c r="B21" s="5" t="s">
        <v>61</v>
      </c>
      <c r="C21" s="12">
        <f>0.01*C7*1000</f>
      </c>
      <c r="D21" s="4" t="s">
        <v>58</v>
      </c>
      <c r="E21" s="7" t="s">
        <v>62</v>
      </c>
    </row>
    <row r="22" spans="1:5" x14ac:dyDescent="0.25">
      <c r="A22" s="4" t="inlineStr">
        <is>
          <t xml:space="preserve">Garis A-A' (batas bawah zona downdrag)</t>
        </is>
      </c>
      <c r="B22" s="5" t="inlineStr">
        <is>
          <t xml:space="preserve">zA-A'</t>
        </is>
      </c>
      <c r="C22" s="12">
        <f>_xlfn.MAXIFS('Data Tanah'!$C$7:$C$47,'Data Tanah'!$Q$7:$Q$47,"&gt;"&amp;Input!$C$21)</f>
      </c>
      <c r="D22" s="4" t="inlineStr">
        <is>
          <t xml:space="preserve">m</t>
        </is>
      </c>
      <c r="E22" s="7" t="inlineStr">
        <is>
          <t xml:space="preserve">otomatis: dasar lapisan terdalam yang penurunan tanahnya &gt; zmax (Caltrans Step 4-5, δpile diabaikan); 0 = tanpa downdrag</t>
        </is>
      </c>
    </row>
    <row r="23" spans="1:5" x14ac:dyDescent="0.25">
      <c r="A23" s="4" t="s">
        <v>65</v>
      </c>
      <c r="B23" s="5"/>
      <c r="C23" s="11">
        <v>1</v>
      </c>
      <c r="D23" s="4" t="s">
        <v>66</v>
      </c>
      <c r="E23" s="7" t="s">
        <v>67</v>
      </c>
    </row>
    <row r="24">
      <c r="A24" s="4" t="inlineStr">
        <is>
          <t xml:space="preserve">εv default lapisan L tanpa data</t>
        </is>
      </c>
      <c r="C24" s="11">
        <v>3.0</v>
      </c>
      <c r="D24" s="4" t="inlineStr">
        <is>
          <t xml:space="preserve">%</t>
        </is>
      </c>
      <c r="E24" s="7" t="inlineStr">
        <is>
          <t xml:space="preserve">dipakai bila kolom εv (Data Tanah) kosong pada lapisan L</t>
        </is>
      </c>
    </row>
    <row r="25" spans="1:5" ht="18" customHeight="1" x14ac:dyDescent="0.25">
      <c r="A25" s="2" t="s">
        <v>68</v>
      </c>
      <c r="B25" s="3"/>
      <c r="C25" s="3"/>
      <c r="D25" s="3"/>
      <c r="E25" s="3"/>
    </row>
    <row r="26" spans="1:5" x14ac:dyDescent="0.25">
      <c r="A26" s="4" t="s">
        <v>69</v>
      </c>
      <c r="B26" s="5"/>
      <c r="C26" s="8">
        <v>2</v>
      </c>
      <c r="D26" s="4" t="s">
        <v>25</v>
      </c>
      <c r="E26" s="7" t="s">
        <v>70</v>
      </c>
    </row>
    <row r="27" spans="1:5" x14ac:dyDescent="0.25">
      <c r="A27" s="4" t="s">
        <v>71</v>
      </c>
      <c r="B27" s="5"/>
      <c r="C27" s="8">
        <v>2.5</v>
      </c>
      <c r="D27" s="4" t="s">
        <v>25</v>
      </c>
      <c r="E27" s="7" t="s">
        <v>70</v>
      </c>
    </row>
    <row r="28" spans="1:5" x14ac:dyDescent="0.25">
      <c r="A28" s="4" t="s">
        <v>72</v>
      </c>
      <c r="B28" s="5"/>
      <c r="C28" s="8">
        <v>1</v>
      </c>
      <c r="D28" s="4" t="s">
        <v>73</v>
      </c>
      <c r="E28" s="7" t="s">
        <v>74</v>
      </c>
    </row>
    <row r="29" spans="1:5" x14ac:dyDescent="0.25">
      <c r="A29" s="4" t="s">
        <v>75</v>
      </c>
      <c r="B29" s="5" t="s">
        <v>76</v>
      </c>
      <c r="C29" s="8">
        <v>0.3</v>
      </c>
      <c r="D29" s="4" t="s">
        <v>77</v>
      </c>
      <c r="E29" s="7" t="s">
        <v>78</v>
      </c>
    </row>
    <row r="30" spans="1:5" x14ac:dyDescent="0.25">
      <c r="A30" s="4" t="s">
        <v>79</v>
      </c>
      <c r="B30" s="5" t="s">
        <v>80</v>
      </c>
      <c r="C30" s="8">
        <v>15</v>
      </c>
      <c r="D30" s="4" t="s">
        <v>81</v>
      </c>
      <c r="E30" s="7" t="s">
        <v>82</v>
      </c>
    </row>
    <row r="31" spans="1:5" x14ac:dyDescent="0.25">
      <c r="A31" s="4" t="s">
        <v>83</v>
      </c>
      <c r="B31" s="5" t="s">
        <v>84</v>
      </c>
      <c r="C31" s="8">
        <v>0.55000000000000004</v>
      </c>
      <c r="D31" s="4" t="s">
        <v>66</v>
      </c>
      <c r="E31" s="7" t="s">
        <v>85</v>
      </c>
    </row>
    <row r="32" spans="1:5" x14ac:dyDescent="0.25">
      <c r="A32" s="4" t="s">
        <v>86</v>
      </c>
      <c r="B32" s="5"/>
      <c r="C32" s="8">
        <v>0.5</v>
      </c>
      <c r="D32" s="4" t="s">
        <v>77</v>
      </c>
      <c r="E32" s="7"/>
    </row>
    <row r="33" spans="1:5" x14ac:dyDescent="0.25">
      <c r="A33" s="4" t="s">
        <v>87</v>
      </c>
      <c r="B33" s="5"/>
      <c r="C33" s="8">
        <v>57.5</v>
      </c>
      <c r="D33" s="4" t="s">
        <v>88</v>
      </c>
      <c r="E33" s="7" t="s">
        <v>74</v>
      </c>
    </row>
    <row r="34" spans="1:5" x14ac:dyDescent="0.25">
      <c r="A34" s="4" t="s">
        <v>89</v>
      </c>
      <c r="B34" s="5"/>
      <c r="C34" s="11">
        <v>2870</v>
      </c>
      <c r="D34" s="4" t="s">
        <v>90</v>
      </c>
      <c r="E34" s="7" t="s">
        <v>74</v>
      </c>
    </row>
    <row r="35" spans="1:5" x14ac:dyDescent="0.25">
      <c r="A35" s="4" t="s">
        <v>91</v>
      </c>
      <c r="B35" s="5" t="s">
        <v>92</v>
      </c>
      <c r="C35" s="11">
        <v>9</v>
      </c>
      <c r="D35" s="4" t="s">
        <v>66</v>
      </c>
      <c r="E35" s="7" t="s">
        <v>93</v>
      </c>
    </row>
    <row r="36" spans="1:5" x14ac:dyDescent="0.25">
      <c r="A36" s="4" t="s">
        <v>94</v>
      </c>
      <c r="B36" s="5"/>
      <c r="C36" s="8">
        <v>1</v>
      </c>
      <c r="D36" s="4" t="s">
        <v>73</v>
      </c>
      <c r="E36" s="7"/>
    </row>
    <row r="37" spans="1:5" x14ac:dyDescent="0.25">
      <c r="A37" s="4" t="s">
        <v>95</v>
      </c>
      <c r="B37" s="5"/>
      <c r="C37" s="8">
        <v>2</v>
      </c>
      <c r="D37" s="4" t="s">
        <v>73</v>
      </c>
      <c r="E37" s="7"/>
    </row>
    <row r="38" spans="1:5" x14ac:dyDescent="0.25">
      <c r="A38" s="4" t="s">
        <v>96</v>
      </c>
      <c r="B38" s="5"/>
      <c r="C38" s="8">
        <v>0.7</v>
      </c>
      <c r="D38" s="4" t="s">
        <v>66</v>
      </c>
      <c r="E38" s="7"/>
    </row>
    <row r="40" spans="1:5" ht="18" customHeight="1" x14ac:dyDescent="0.25">
      <c r="A40" s="2" t="s">
        <v>97</v>
      </c>
      <c r="B40" s="3"/>
      <c r="C40" s="3"/>
      <c r="D40" s="3"/>
      <c r="E40" s="3"/>
    </row>
    <row r="41" spans="1:5" x14ac:dyDescent="0.25">
      <c r="A41" s="4" t="s">
        <v>98</v>
      </c>
      <c r="B41" s="5"/>
      <c r="C41" s="8">
        <v>2.5</v>
      </c>
      <c r="D41" s="4" t="s">
        <v>66</v>
      </c>
      <c r="E41" s="7"/>
    </row>
    <row r="42" spans="1:5" x14ac:dyDescent="0.25">
      <c r="A42" s="4" t="s">
        <v>99</v>
      </c>
      <c r="B42" s="5"/>
      <c r="C42" s="8">
        <v>3</v>
      </c>
      <c r="D42" s="4" t="s">
        <v>66</v>
      </c>
      <c r="E42" s="7"/>
    </row>
    <row r="43" spans="1:5" x14ac:dyDescent="0.25">
      <c r="A43" s="4" t="s">
        <v>100</v>
      </c>
      <c r="B43" s="5"/>
      <c r="C43" s="8">
        <v>3</v>
      </c>
      <c r="D43" s="4" t="s">
        <v>66</v>
      </c>
      <c r="E43" s="7"/>
    </row>
    <row r="44" spans="1:5" x14ac:dyDescent="0.25">
      <c r="A44" s="4" t="s">
        <v>101</v>
      </c>
      <c r="B44" s="5"/>
      <c r="C44" s="8">
        <v>1.56</v>
      </c>
      <c r="D44" s="4" t="s">
        <v>66</v>
      </c>
      <c r="E44" s="7"/>
    </row>
    <row r="45" spans="1:5" x14ac:dyDescent="0.25">
      <c r="A45" s="4" t="s">
        <v>102</v>
      </c>
      <c r="B45" s="5"/>
      <c r="C45" s="8">
        <v>1.56</v>
      </c>
      <c r="D45" s="4" t="s">
        <v>66</v>
      </c>
      <c r="E45" s="7"/>
    </row>
    <row r="47" spans="1:5" ht="18" customHeight="1" x14ac:dyDescent="0.25">
      <c r="A47" s="2" t="s">
        <v>103</v>
      </c>
      <c r="B47" s="3"/>
      <c r="C47" s="3"/>
      <c r="D47" s="3"/>
      <c r="E47" s="3"/>
    </row>
    <row r="48" spans="1:5" x14ac:dyDescent="0.25">
      <c r="A48" s="4" t="s">
        <v>104</v>
      </c>
      <c r="B48" s="5" t="s">
        <v>9</v>
      </c>
      <c r="C48" s="14">
        <v>3000</v>
      </c>
      <c r="D48" s="4" t="s">
        <v>17</v>
      </c>
      <c r="E48" s="7"/>
    </row>
    <row r="49" spans="1:5" x14ac:dyDescent="0.25">
      <c r="A49" s="4" t="s">
        <v>105</v>
      </c>
      <c r="B49" s="5" t="s">
        <v>13</v>
      </c>
      <c r="C49" s="14">
        <v>600</v>
      </c>
      <c r="D49" s="4" t="s">
        <v>17</v>
      </c>
      <c r="E49" s="7"/>
    </row>
    <row r="50" spans="1:5" x14ac:dyDescent="0.25">
      <c r="A50" s="4" t="s">
        <v>106</v>
      </c>
      <c r="B50" s="5" t="s">
        <v>18</v>
      </c>
      <c r="C50" s="14">
        <v>500</v>
      </c>
      <c r="D50" s="4" t="s">
        <v>17</v>
      </c>
      <c r="E50" s="7"/>
    </row>
    <row r="51" spans="1:5" x14ac:dyDescent="0.25">
      <c r="A51" s="4" t="s">
        <v>107</v>
      </c>
      <c r="B51" s="5" t="s">
        <v>108</v>
      </c>
      <c r="C51" s="14">
        <v>0</v>
      </c>
      <c r="D51" s="4" t="s">
        <v>17</v>
      </c>
      <c r="E51" s="7"/>
    </row>
    <row r="53" spans="1:5" x14ac:dyDescent="0.25">
      <c r="A53" s="1" t="s">
        <v>109</v>
      </c>
    </row>
  </sheetData>
  <mergeCells count="1">
    <mergeCell ref="A1:E1"/>
  </mergeCells>
  <printOptions horizontalCentered="1"/>
  <pageMargins left="0.5" right="0.5" top="0.75" bottom="0.6" header="0.3" footer="0.3"/>
  <pageSetup paperSize="9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0"/>
  <sheetViews>
    <sheetView showGridLines="0" zoomScale="90" workbookViewId="0">
      <pane ySplit="6" topLeftCell="A7" activePane="bottomLeft" state="frozen"/>
      <selection activeCell="A4" sqref="A4"/>
      <selection pane="bottomLeft" activeCell="P8" sqref="P8"/>
    </sheetView>
  </sheetViews>
  <sheetFormatPr defaultRowHeight="15" x14ac:dyDescent="0.25"/>
  <cols>
    <col min="1" max="1" width="5" customWidth="1"/>
    <col min="2" max="5" width="7" customWidth="1"/>
    <col min="6" max="6" width="8" customWidth="1"/>
    <col min="7" max="7" width="7" customWidth="1"/>
    <col min="8" max="8" width="9" customWidth="1"/>
    <col min="9" max="9" width="7" customWidth="1"/>
    <col min="10" max="11" width="8" customWidth="1"/>
    <col min="12" max="13" width="9" customWidth="1"/>
    <col min="14" max="14" width="8" customWidth="1"/>
    <col min="15" max="15" width="30" customWidth="1"/>
    <col min="16" max="16" width="11" customWidth="1"/>
    <col min="17" max="17" width="11" customWidth="1"/>
  </cols>
  <sheetData>
    <row r="1" spans="1:15" ht="18.75" x14ac:dyDescent="0.3">
      <c r="A1" s="35" t="s">
        <v>110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25">
      <c r="A2" s="1" t="s">
        <v>1</v>
      </c>
    </row>
    <row r="3" spans="1:15" x14ac:dyDescent="0.25">
      <c r="A3" s="1">
        <f>Input!A3</f>
      </c>
    </row>
    <row r="5" spans="1:15" ht="42" customHeight="1" x14ac:dyDescent="0.25">
      <c r="A5" s="15" t="s">
        <v>111</v>
      </c>
      <c r="B5" s="15" t="s">
        <v>112</v>
      </c>
      <c r="C5" s="15" t="s">
        <v>113</v>
      </c>
      <c r="D5" s="15" t="s">
        <v>114</v>
      </c>
      <c r="E5" s="15" t="s">
        <v>115</v>
      </c>
      <c r="F5" s="15" t="s">
        <v>116</v>
      </c>
      <c r="G5" s="15" t="s">
        <v>117</v>
      </c>
      <c r="H5" s="15" t="s">
        <v>118</v>
      </c>
      <c r="I5" s="15" t="s">
        <v>119</v>
      </c>
      <c r="J5" s="15" t="s">
        <v>120</v>
      </c>
      <c r="K5" s="15" t="s">
        <v>121</v>
      </c>
      <c r="L5" s="15" t="s">
        <v>122</v>
      </c>
      <c r="M5" s="15" t="s">
        <v>123</v>
      </c>
      <c r="N5" s="15" t="s">
        <v>124</v>
      </c>
      <c r="O5" s="15" t="s">
        <v>125</v>
      </c>
      <c r="P5" t="inlineStr" s="15">
        <is>
          <t xml:space="preserve">εv</t>
        </is>
      </c>
      <c r="Q5" t="inlineStr" s="15">
        <is>
          <t xml:space="preserve">Penurunan tanah di puncak lapisan</t>
        </is>
      </c>
    </row>
    <row r="6" spans="1:15" x14ac:dyDescent="0.25">
      <c r="A6" s="15"/>
      <c r="B6" s="15" t="s">
        <v>25</v>
      </c>
      <c r="C6" s="15" t="s">
        <v>25</v>
      </c>
      <c r="D6" s="15" t="s">
        <v>25</v>
      </c>
      <c r="E6" s="15" t="s">
        <v>25</v>
      </c>
      <c r="F6" s="15"/>
      <c r="G6" s="15"/>
      <c r="H6" s="15" t="s">
        <v>126</v>
      </c>
      <c r="I6" s="15" t="s">
        <v>81</v>
      </c>
      <c r="J6" s="15" t="s">
        <v>81</v>
      </c>
      <c r="K6" s="15" t="s">
        <v>81</v>
      </c>
      <c r="L6" s="15" t="s">
        <v>81</v>
      </c>
      <c r="M6" s="15" t="s">
        <v>81</v>
      </c>
      <c r="N6" s="15" t="s">
        <v>81</v>
      </c>
      <c r="O6" s="15"/>
      <c r="P6" t="inlineStr" s="15">
        <is>
          <t xml:space="preserve">%</t>
        </is>
      </c>
      <c r="Q6" t="inlineStr" s="15">
        <is>
          <t xml:space="preserve">mm</t>
        </is>
      </c>
    </row>
    <row r="7" spans="1:15" x14ac:dyDescent="0.25">
      <c r="A7" s="12">
        <v>1</v>
      </c>
      <c r="B7" s="8">
        <v>0</v>
      </c>
      <c r="C7" s="9">
        <f t="shared" ref="C7:C47" si="0">B7+D7</f>
      </c>
      <c r="D7" s="8">
        <v>1.5</v>
      </c>
      <c r="E7" s="9">
        <f t="shared" ref="E7:E47" si="1">B7+D7/2</f>
      </c>
      <c r="F7" s="6" t="s">
        <v>130</v>
      </c>
      <c r="G7" s="11">
        <v>0</v>
      </c>
      <c r="H7" s="6" t="s">
        <v>128</v>
      </c>
      <c r="I7" s="16">
        <f>IF(F7="Clay",Input!$C$32*G7,0)</f>
      </c>
      <c r="J7" s="9">
        <f>Input!$C$16/9.81*MIN(E7,Input!$C$14)+(Input!$C$17/9.81-1)*MAX(E7-Input!$C$14,0)</f>
      </c>
      <c r="K7" s="9">
        <f>IF(F7="Clay",MIN(Input!$C$31*I7,Input!$C$30),MIN(Input!$C$29*G7,Input!$C$30))</f>
      </c>
      <c r="L7" s="9">
        <f t="shared" ref="L7:L47" si="2">IF(H7="L",0,K7)</f>
      </c>
      <c r="M7" s="9">
        <f>IF(H7="L",MIN((1-SIN(RADIANS(IF(F7="Clay",Input!$C$19,Input!$C$18))))*TAN(RADIANS(2/3*IF(F7="Clay",Input!$C$19,Input!$C$18)))*J7,Input!$C$30),IF(F7="Clay",K7,MIN(K7,MIN(MAX(1.5-0.245*SQRT(E7),0.25),1.2)*MIN(G7/15,1)*J7,Input!$C$30)))</f>
      </c>
      <c r="N7" s="16">
        <f>IF(F7="Clay",Input!$C$35*I7,MIN(Input!$C$33*G7,Input!$C$34)/9.81)</f>
      </c>
      <c r="O7" s="17"/>
      <c r="P7" s="11"/>
      <c r="Q7" s="16">
        <f>10*SUMPRODUCT(--($B$7:$B$47&gt;=B7),--($H$7:$H$47="L"),$D$7:$D$47,$P$7:$P$47+($P$7:$P$47="")*Input!$C$24)</f>
      </c>
    </row>
    <row r="8" spans="1:15" x14ac:dyDescent="0.25">
      <c r="A8" s="18">
        <v>2</v>
      </c>
      <c r="B8" s="8">
        <v>1.5</v>
      </c>
      <c r="C8" s="19">
        <f t="shared" si="0"/>
      </c>
      <c r="D8" s="8">
        <v>1.5</v>
      </c>
      <c r="E8" s="19">
        <f t="shared" si="1"/>
      </c>
      <c r="F8" s="6" t="s">
        <v>130</v>
      </c>
      <c r="G8" s="11">
        <v>5</v>
      </c>
      <c r="H8" s="6" t="s">
        <v>128</v>
      </c>
      <c r="I8" s="20">
        <f>IF(F8="Clay",Input!$C$32*G8,0)</f>
      </c>
      <c r="J8" s="19">
        <f>Input!$C$16/9.81*MIN(E8,Input!$C$14)+(Input!$C$17/9.81-1)*MAX(E8-Input!$C$14,0)</f>
      </c>
      <c r="K8" s="19">
        <f>IF(F8="Clay",MIN(Input!$C$31*I8,Input!$C$30),MIN(Input!$C$29*G8,Input!$C$30))</f>
      </c>
      <c r="L8" s="19">
        <f t="shared" si="2"/>
      </c>
      <c r="M8" s="19">
        <f>IF(H8="L",MIN((1-SIN(RADIANS(IF(F8="Clay",Input!$C$19,Input!$C$18))))*TAN(RADIANS(2/3*IF(F8="Clay",Input!$C$19,Input!$C$18)))*J8,Input!$C$30),IF(F8="Clay",K8,MIN(K8,MIN(MAX(1.5-0.245*SQRT(E8),0.25),1.2)*MIN(G8/15,1)*J8,Input!$C$30)))</f>
      </c>
      <c r="N8" s="20">
        <f>IF(F8="Clay",Input!$C$35*I8,MIN(Input!$C$33*G8,Input!$C$34)/9.81)</f>
      </c>
      <c r="O8" s="21"/>
      <c r="P8" s="11">
        <v>0.56</v>
      </c>
      <c r="Q8" s="20">
        <f>10*SUMPRODUCT(--($B$7:$B$47&gt;=B8),--($H$7:$H$47="L"),$D$7:$D$47,$P$7:$P$47+($P$7:$P$47="")*Input!$C$24)</f>
      </c>
    </row>
    <row r="9" spans="1:15" x14ac:dyDescent="0.25">
      <c r="A9" s="12">
        <v>3</v>
      </c>
      <c r="B9" s="8">
        <v>3</v>
      </c>
      <c r="C9" s="9">
        <f t="shared" si="0"/>
      </c>
      <c r="D9" s="8">
        <v>2.5</v>
      </c>
      <c r="E9" s="9">
        <f t="shared" si="1"/>
      </c>
      <c r="F9" s="6" t="s">
        <v>127</v>
      </c>
      <c r="G9" s="11">
        <v>49</v>
      </c>
      <c r="H9" s="6" t="s">
        <v>128</v>
      </c>
      <c r="I9" s="16">
        <f>IF(F9="Clay",Input!$C$32*G9,0)</f>
      </c>
      <c r="J9" s="9">
        <f>Input!$C$16/9.81*MIN(E9,Input!$C$14)+(Input!$C$17/9.81-1)*MAX(E9-Input!$C$14,0)</f>
      </c>
      <c r="K9" s="9">
        <f>IF(F9="Clay",MIN(Input!$C$31*I9,Input!$C$30),MIN(Input!$C$29*G9,Input!$C$30))</f>
      </c>
      <c r="L9" s="9">
        <f t="shared" si="2"/>
      </c>
      <c r="M9" s="9">
        <f>IF(H9="L",MIN((1-SIN(RADIANS(IF(F9="Clay",Input!$C$19,Input!$C$18))))*TAN(RADIANS(2/3*IF(F9="Clay",Input!$C$19,Input!$C$18)))*J9,Input!$C$30),IF(F9="Clay",K9,MIN(K9,MIN(MAX(1.5-0.245*SQRT(E9),0.25),1.2)*MIN(G9/15,1)*J9,Input!$C$30)))</f>
      </c>
      <c r="N9" s="16">
        <f>IF(F9="Clay",Input!$C$35*I9,MIN(Input!$C$33*G9,Input!$C$34)/9.81)</f>
      </c>
      <c r="O9" s="17"/>
      <c r="P9" s="11">
        <v>1.27</v>
      </c>
      <c r="Q9" s="16">
        <f>10*SUMPRODUCT(--($B$7:$B$47&gt;=B9),--($H$7:$H$47="L"),$D$7:$D$47,$P$7:$P$47+($P$7:$P$47="")*Input!$C$24)</f>
      </c>
    </row>
    <row r="10" spans="1:15" x14ac:dyDescent="0.25">
      <c r="A10" s="18">
        <v>4</v>
      </c>
      <c r="B10" s="8">
        <v>5.5</v>
      </c>
      <c r="C10" s="19">
        <f t="shared" si="0"/>
      </c>
      <c r="D10" s="8">
        <v>0.5</v>
      </c>
      <c r="E10" s="19">
        <f t="shared" si="1"/>
      </c>
      <c r="F10" s="6" t="s">
        <v>127</v>
      </c>
      <c r="G10" s="11">
        <v>44</v>
      </c>
      <c r="H10" s="6" t="s">
        <v>128</v>
      </c>
      <c r="I10" s="20">
        <f>IF(F10="Clay",Input!$C$32*G10,0)</f>
      </c>
      <c r="J10" s="19">
        <f>Input!$C$16/9.81*MIN(E10,Input!$C$14)+(Input!$C$17/9.81-1)*MAX(E10-Input!$C$14,0)</f>
      </c>
      <c r="K10" s="19">
        <f>IF(F10="Clay",MIN(Input!$C$31*I10,Input!$C$30),MIN(Input!$C$29*G10,Input!$C$30))</f>
      </c>
      <c r="L10" s="19">
        <f t="shared" si="2"/>
      </c>
      <c r="M10" s="19">
        <f>IF(H10="L",MIN((1-SIN(RADIANS(IF(F10="Clay",Input!$C$19,Input!$C$18))))*TAN(RADIANS(2/3*IF(F10="Clay",Input!$C$19,Input!$C$18)))*J10,Input!$C$30),IF(F10="Clay",K10,MIN(K10,MIN(MAX(1.5-0.245*SQRT(E10),0.25),1.2)*MIN(G10/15,1)*J10,Input!$C$30)))</f>
      </c>
      <c r="N10" s="20">
        <f>IF(F10="Clay",Input!$C$35*I10,MIN(Input!$C$33*G10,Input!$C$34)/9.81)</f>
      </c>
      <c r="O10" s="21"/>
      <c r="P10" s="11"/>
      <c r="Q10" s="20">
        <f>10*SUMPRODUCT(--($B$7:$B$47&gt;=B10),--($H$7:$H$47="L"),$D$7:$D$47,$P$7:$P$47+($P$7:$P$47="")*Input!$C$24)</f>
      </c>
    </row>
    <row r="11" spans="1:15" x14ac:dyDescent="0.25">
      <c r="A11" s="12">
        <v>5</v>
      </c>
      <c r="B11" s="8">
        <v>6</v>
      </c>
      <c r="C11" s="9">
        <f t="shared" si="0"/>
      </c>
      <c r="D11" s="8">
        <v>1.5</v>
      </c>
      <c r="E11" s="9">
        <f t="shared" si="1"/>
      </c>
      <c r="F11" s="6" t="s">
        <v>127</v>
      </c>
      <c r="G11" s="11">
        <v>30</v>
      </c>
      <c r="H11" s="6" t="s">
        <v>128</v>
      </c>
      <c r="I11" s="16">
        <f>IF(F11="Clay",Input!$C$32*G11,0)</f>
      </c>
      <c r="J11" s="9">
        <f>Input!$C$16/9.81*MIN(E11,Input!$C$14)+(Input!$C$17/9.81-1)*MAX(E11-Input!$C$14,0)</f>
      </c>
      <c r="K11" s="9">
        <f>IF(F11="Clay",MIN(Input!$C$31*I11,Input!$C$30),MIN(Input!$C$29*G11,Input!$C$30))</f>
      </c>
      <c r="L11" s="9">
        <f t="shared" si="2"/>
      </c>
      <c r="M11" s="9">
        <f>IF(H11="L",MIN((1-SIN(RADIANS(IF(F11="Clay",Input!$C$19,Input!$C$18))))*TAN(RADIANS(2/3*IF(F11="Clay",Input!$C$19,Input!$C$18)))*J11,Input!$C$30),IF(F11="Clay",K11,MIN(K11,MIN(MAX(1.5-0.245*SQRT(E11),0.25),1.2)*MIN(G11/15,1)*J11,Input!$C$30)))</f>
      </c>
      <c r="N11" s="16">
        <f>IF(F11="Clay",Input!$C$35*I11,MIN(Input!$C$33*G11,Input!$C$34)/9.81)</f>
      </c>
      <c r="O11" s="17"/>
      <c r="P11" s="11">
        <v>0.26</v>
      </c>
      <c r="Q11" s="16">
        <f>10*SUMPRODUCT(--($B$7:$B$47&gt;=B11),--($H$7:$H$47="L"),$D$7:$D$47,$P$7:$P$47+($P$7:$P$47="")*Input!$C$24)</f>
      </c>
    </row>
    <row r="12" spans="1:15" x14ac:dyDescent="0.25">
      <c r="A12" s="18">
        <v>6</v>
      </c>
      <c r="B12" s="8">
        <v>7.5</v>
      </c>
      <c r="C12" s="19">
        <f t="shared" si="0"/>
      </c>
      <c r="D12" s="8">
        <v>1.5</v>
      </c>
      <c r="E12" s="19">
        <f t="shared" si="1"/>
      </c>
      <c r="F12" s="6" t="s">
        <v>130</v>
      </c>
      <c r="G12" s="11">
        <v>14</v>
      </c>
      <c r="H12" s="22" t="s">
        <v>128</v>
      </c>
      <c r="I12" s="20">
        <f>IF(F12="Clay",Input!$C$32*G12,0)</f>
      </c>
      <c r="J12" s="19">
        <f>Input!$C$16/9.81*MIN(E12,Input!$C$14)+(Input!$C$17/9.81-1)*MAX(E12-Input!$C$14,0)</f>
      </c>
      <c r="K12" s="19">
        <f>IF(F12="Clay",MIN(Input!$C$31*I12,Input!$C$30),MIN(Input!$C$29*G12,Input!$C$30))</f>
      </c>
      <c r="L12" s="19">
        <f t="shared" si="2"/>
      </c>
      <c r="M12" s="19">
        <f>IF(H12="L",MIN((1-SIN(RADIANS(IF(F12="Clay",Input!$C$19,Input!$C$18))))*TAN(RADIANS(2/3*IF(F12="Clay",Input!$C$19,Input!$C$18)))*J12,Input!$C$30),IF(F12="Clay",K12,MIN(K12,MIN(MAX(1.5-0.245*SQRT(E12),0.25),1.2)*MIN(G12/15,1)*J12,Input!$C$30)))</f>
      </c>
      <c r="N12" s="20">
        <f>IF(F12="Clay",Input!$C$35*I12,MIN(Input!$C$33*G12,Input!$C$34)/9.81)</f>
      </c>
      <c r="O12" s="21"/>
      <c r="P12" s="11">
        <v>0.56</v>
      </c>
      <c r="Q12" s="20">
        <f>10*SUMPRODUCT(--($B$7:$B$47&gt;=B12),--($H$7:$H$47="L"),$D$7:$D$47,$P$7:$P$47+($P$7:$P$47="")*Input!$C$24)</f>
      </c>
    </row>
    <row r="13" spans="1:15" x14ac:dyDescent="0.25">
      <c r="A13" s="12">
        <v>7</v>
      </c>
      <c r="B13" s="8">
        <v>9</v>
      </c>
      <c r="C13" s="9">
        <f t="shared" si="0"/>
      </c>
      <c r="D13" s="8">
        <v>1.5</v>
      </c>
      <c r="E13" s="9">
        <f t="shared" si="1"/>
      </c>
      <c r="F13" s="6" t="s">
        <v>130</v>
      </c>
      <c r="G13" s="11">
        <v>12</v>
      </c>
      <c r="H13" s="22" t="s">
        <v>128</v>
      </c>
      <c r="I13" s="16">
        <f>IF(F13="Clay",Input!$C$32*G13,0)</f>
      </c>
      <c r="J13" s="9">
        <f>Input!$C$16/9.81*MIN(E13,Input!$C$14)+(Input!$C$17/9.81-1)*MAX(E13-Input!$C$14,0)</f>
      </c>
      <c r="K13" s="9">
        <f>IF(F13="Clay",MIN(Input!$C$31*I13,Input!$C$30),MIN(Input!$C$29*G13,Input!$C$30))</f>
      </c>
      <c r="L13" s="9">
        <f t="shared" si="2"/>
      </c>
      <c r="M13" s="9">
        <f>IF(H13="L",MIN((1-SIN(RADIANS(IF(F13="Clay",Input!$C$19,Input!$C$18))))*TAN(RADIANS(2/3*IF(F13="Clay",Input!$C$19,Input!$C$18)))*J13,Input!$C$30),IF(F13="Clay",K13,MIN(K13,MIN(MAX(1.5-0.245*SQRT(E13),0.25),1.2)*MIN(G13/15,1)*J13,Input!$C$30)))</f>
      </c>
      <c r="N13" s="16">
        <f>IF(F13="Clay",Input!$C$35*I13,MIN(Input!$C$33*G13,Input!$C$34)/9.81)</f>
      </c>
      <c r="O13" s="17"/>
      <c r="P13" s="11">
        <v>0.56</v>
      </c>
      <c r="Q13" s="16">
        <f>10*SUMPRODUCT(--($B$7:$B$47&gt;=B13),--($H$7:$H$47="L"),$D$7:$D$47,$P$7:$P$47+($P$7:$P$47="")*Input!$C$24)</f>
      </c>
    </row>
    <row r="14" spans="1:15" x14ac:dyDescent="0.25">
      <c r="A14" s="18">
        <v>8</v>
      </c>
      <c r="B14" s="8">
        <v>10.5</v>
      </c>
      <c r="C14" s="19">
        <f t="shared" si="0"/>
      </c>
      <c r="D14" s="8">
        <v>1.5</v>
      </c>
      <c r="E14" s="19">
        <f t="shared" si="1"/>
      </c>
      <c r="F14" s="6" t="s">
        <v>127</v>
      </c>
      <c r="G14" s="11">
        <v>18</v>
      </c>
      <c r="H14" s="22" t="s">
        <v>129</v>
      </c>
      <c r="I14" s="20">
        <f>IF(F14="Clay",Input!$C$32*G14,0)</f>
      </c>
      <c r="J14" s="19">
        <f>Input!$C$16/9.81*MIN(E14,Input!$C$14)+(Input!$C$17/9.81-1)*MAX(E14-Input!$C$14,0)</f>
      </c>
      <c r="K14" s="19">
        <f>IF(F14="Clay",MIN(Input!$C$31*I14,Input!$C$30),MIN(Input!$C$29*G14,Input!$C$30))</f>
      </c>
      <c r="L14" s="19">
        <f t="shared" si="2"/>
      </c>
      <c r="M14" s="19">
        <f>IF(H14="L",MIN((1-SIN(RADIANS(IF(F14="Clay",Input!$C$19,Input!$C$18))))*TAN(RADIANS(2/3*IF(F14="Clay",Input!$C$19,Input!$C$18)))*J14,Input!$C$30),IF(F14="Clay",K14,MIN(K14,MIN(MAX(1.5-0.245*SQRT(E14),0.25),1.2)*MIN(G14/15,1)*J14,Input!$C$30)))</f>
      </c>
      <c r="N14" s="20">
        <f>IF(F14="Clay",Input!$C$35*I14,MIN(Input!$C$33*G14,Input!$C$34)/9.81)</f>
      </c>
      <c r="O14" s="21"/>
      <c r="P14" s="11">
        <v>3.45</v>
      </c>
      <c r="Q14" s="20">
        <f>10*SUMPRODUCT(--($B$7:$B$47&gt;=B14),--($H$7:$H$47="L"),$D$7:$D$47,$P$7:$P$47+($P$7:$P$47="")*Input!$C$24)</f>
      </c>
    </row>
    <row r="15" spans="1:15" x14ac:dyDescent="0.25">
      <c r="A15" s="12">
        <v>9</v>
      </c>
      <c r="B15" s="8">
        <v>12</v>
      </c>
      <c r="C15" s="9">
        <f t="shared" si="0"/>
      </c>
      <c r="D15" s="8">
        <v>1.5</v>
      </c>
      <c r="E15" s="9">
        <f t="shared" si="1"/>
      </c>
      <c r="F15" s="6" t="s">
        <v>130</v>
      </c>
      <c r="G15" s="11">
        <v>26</v>
      </c>
      <c r="H15" s="22" t="s">
        <v>129</v>
      </c>
      <c r="I15" s="16">
        <f>IF(F15="Clay",Input!$C$32*G15,0)</f>
      </c>
      <c r="J15" s="9">
        <f>Input!$C$16/9.81*MIN(E15,Input!$C$14)+(Input!$C$17/9.81-1)*MAX(E15-Input!$C$14,0)</f>
      </c>
      <c r="K15" s="9">
        <f>IF(F15="Clay",MIN(Input!$C$31*I15,Input!$C$30),MIN(Input!$C$29*G15,Input!$C$30))</f>
      </c>
      <c r="L15" s="9">
        <f t="shared" si="2"/>
      </c>
      <c r="M15" s="9">
        <f>IF(H15="L",MIN((1-SIN(RADIANS(IF(F15="Clay",Input!$C$19,Input!$C$18))))*TAN(RADIANS(2/3*IF(F15="Clay",Input!$C$19,Input!$C$18)))*J15,Input!$C$30),IF(F15="Clay",K15,MIN(K15,MIN(MAX(1.5-0.245*SQRT(E15),0.25),1.2)*MIN(G15/15,1)*J15,Input!$C$30)))</f>
      </c>
      <c r="N15" s="16">
        <f>IF(F15="Clay",Input!$C$35*I15,MIN(Input!$C$33*G15,Input!$C$34)/9.81)</f>
      </c>
      <c r="O15" s="17"/>
      <c r="P15" s="11">
        <v>2.68</v>
      </c>
      <c r="Q15" s="16">
        <f>10*SUMPRODUCT(--($B$7:$B$47&gt;=B15),--($H$7:$H$47="L"),$D$7:$D$47,$P$7:$P$47+($P$7:$P$47="")*Input!$C$24)</f>
      </c>
    </row>
    <row r="16" spans="1:15" x14ac:dyDescent="0.25">
      <c r="A16" s="18">
        <v>10</v>
      </c>
      <c r="B16" s="8">
        <v>13.5</v>
      </c>
      <c r="C16" s="19">
        <f t="shared" si="0"/>
      </c>
      <c r="D16" s="8">
        <v>1.5</v>
      </c>
      <c r="E16" s="19">
        <f t="shared" si="1"/>
      </c>
      <c r="F16" s="6" t="s">
        <v>130</v>
      </c>
      <c r="G16" s="11">
        <v>15</v>
      </c>
      <c r="H16" s="22" t="s">
        <v>128</v>
      </c>
      <c r="I16" s="20">
        <f>IF(F16="Clay",Input!$C$32*G16,0)</f>
      </c>
      <c r="J16" s="19">
        <f>Input!$C$16/9.81*MIN(E16,Input!$C$14)+(Input!$C$17/9.81-1)*MAX(E16-Input!$C$14,0)</f>
      </c>
      <c r="K16" s="19">
        <f>IF(F16="Clay",MIN(Input!$C$31*I16,Input!$C$30),MIN(Input!$C$29*G16,Input!$C$30))</f>
      </c>
      <c r="L16" s="19">
        <f t="shared" si="2"/>
      </c>
      <c r="M16" s="19">
        <f>IF(H16="L",MIN((1-SIN(RADIANS(IF(F16="Clay",Input!$C$19,Input!$C$18))))*TAN(RADIANS(2/3*IF(F16="Clay",Input!$C$19,Input!$C$18)))*J16,Input!$C$30),IF(F16="Clay",K16,MIN(K16,MIN(MAX(1.5-0.245*SQRT(E16),0.25),1.2)*MIN(G16/15,1)*J16,Input!$C$30)))</f>
      </c>
      <c r="N16" s="20">
        <f>IF(F16="Clay",Input!$C$35*I16,MIN(Input!$C$33*G16,Input!$C$34)/9.81)</f>
      </c>
      <c r="O16" s="21"/>
      <c r="P16" s="11">
        <v>0.56</v>
      </c>
      <c r="Q16" s="20">
        <f>10*SUMPRODUCT(--($B$7:$B$47&gt;=B16),--($H$7:$H$47="L"),$D$7:$D$47,$P$7:$P$47+($P$7:$P$47="")*Input!$C$24)</f>
      </c>
    </row>
    <row r="17" spans="1:15" x14ac:dyDescent="0.25">
      <c r="A17" s="12">
        <v>11</v>
      </c>
      <c r="B17" s="8">
        <v>15</v>
      </c>
      <c r="C17" s="9">
        <f t="shared" si="0"/>
      </c>
      <c r="D17" s="8">
        <v>1.5</v>
      </c>
      <c r="E17" s="9">
        <f t="shared" si="1"/>
      </c>
      <c r="F17" s="6" t="s">
        <v>130</v>
      </c>
      <c r="G17" s="11">
        <v>15</v>
      </c>
      <c r="H17" s="22" t="s">
        <v>128</v>
      </c>
      <c r="I17" s="16">
        <f>IF(F17="Clay",Input!$C$32*G17,0)</f>
      </c>
      <c r="J17" s="9">
        <f>Input!$C$16/9.81*MIN(E17,Input!$C$14)+(Input!$C$17/9.81-1)*MAX(E17-Input!$C$14,0)</f>
      </c>
      <c r="K17" s="9">
        <f>IF(F17="Clay",MIN(Input!$C$31*I17,Input!$C$30),MIN(Input!$C$29*G17,Input!$C$30))</f>
      </c>
      <c r="L17" s="9">
        <f t="shared" si="2"/>
      </c>
      <c r="M17" s="9">
        <f>IF(H17="L",MIN((1-SIN(RADIANS(IF(F17="Clay",Input!$C$19,Input!$C$18))))*TAN(RADIANS(2/3*IF(F17="Clay",Input!$C$19,Input!$C$18)))*J17,Input!$C$30),IF(F17="Clay",K17,MIN(K17,MIN(MAX(1.5-0.245*SQRT(E17),0.25),1.2)*MIN(G17/15,1)*J17,Input!$C$30)))</f>
      </c>
      <c r="N17" s="16">
        <f>IF(F17="Clay",Input!$C$35*I17,MIN(Input!$C$33*G17,Input!$C$34)/9.81)</f>
      </c>
      <c r="O17" s="17"/>
      <c r="P17" s="11">
        <v>0.56</v>
      </c>
      <c r="Q17" s="16">
        <f>10*SUMPRODUCT(--($B$7:$B$47&gt;=B17),--($H$7:$H$47="L"),$D$7:$D$47,$P$7:$P$47+($P$7:$P$47="")*Input!$C$24)</f>
      </c>
    </row>
    <row r="18" spans="1:15" x14ac:dyDescent="0.25">
      <c r="A18" s="18">
        <v>12</v>
      </c>
      <c r="B18" s="8">
        <v>16.5</v>
      </c>
      <c r="C18" s="19">
        <f t="shared" si="0"/>
      </c>
      <c r="D18" s="8">
        <v>1.5</v>
      </c>
      <c r="E18" s="19">
        <f t="shared" si="1"/>
      </c>
      <c r="F18" s="6" t="s">
        <v>130</v>
      </c>
      <c r="G18" s="11">
        <v>21</v>
      </c>
      <c r="H18" s="22" t="s">
        <v>128</v>
      </c>
      <c r="I18" s="20">
        <f>IF(F18="Clay",Input!$C$32*G18,0)</f>
      </c>
      <c r="J18" s="19">
        <f>Input!$C$16/9.81*MIN(E18,Input!$C$14)+(Input!$C$17/9.81-1)*MAX(E18-Input!$C$14,0)</f>
      </c>
      <c r="K18" s="19">
        <f>IF(F18="Clay",MIN(Input!$C$31*I18,Input!$C$30),MIN(Input!$C$29*G18,Input!$C$30))</f>
      </c>
      <c r="L18" s="19">
        <f t="shared" si="2"/>
      </c>
      <c r="M18" s="19">
        <f>IF(H18="L",MIN((1-SIN(RADIANS(IF(F18="Clay",Input!$C$19,Input!$C$18))))*TAN(RADIANS(2/3*IF(F18="Clay",Input!$C$19,Input!$C$18)))*J18,Input!$C$30),IF(F18="Clay",K18,MIN(K18,MIN(MAX(1.5-0.245*SQRT(E18),0.25),1.2)*MIN(G18/15,1)*J18,Input!$C$30)))</f>
      </c>
      <c r="N18" s="20">
        <f>IF(F18="Clay",Input!$C$35*I18,MIN(Input!$C$33*G18,Input!$C$34)/9.81)</f>
      </c>
      <c r="O18" s="21"/>
      <c r="P18" s="11">
        <v>0.43</v>
      </c>
      <c r="Q18" s="20">
        <f>10*SUMPRODUCT(--($B$7:$B$47&gt;=B18),--($H$7:$H$47="L"),$D$7:$D$47,$P$7:$P$47+($P$7:$P$47="")*Input!$C$24)</f>
      </c>
    </row>
    <row r="19" spans="1:15" x14ac:dyDescent="0.25">
      <c r="A19" s="12">
        <v>13</v>
      </c>
      <c r="B19" s="8">
        <v>18</v>
      </c>
      <c r="C19" s="9">
        <f t="shared" si="0"/>
      </c>
      <c r="D19" s="8">
        <v>1.5</v>
      </c>
      <c r="E19" s="9">
        <f t="shared" si="1"/>
      </c>
      <c r="F19" s="6" t="s">
        <v>127</v>
      </c>
      <c r="G19" s="11">
        <v>18</v>
      </c>
      <c r="H19" s="22" t="s">
        <v>128</v>
      </c>
      <c r="I19" s="16">
        <f>IF(F19="Clay",Input!$C$32*G19,0)</f>
      </c>
      <c r="J19" s="9">
        <f>Input!$C$16/9.81*MIN(E19,Input!$C$14)+(Input!$C$17/9.81-1)*MAX(E19-Input!$C$14,0)</f>
      </c>
      <c r="K19" s="9">
        <f>IF(F19="Clay",MIN(Input!$C$31*I19,Input!$C$30),MIN(Input!$C$29*G19,Input!$C$30))</f>
      </c>
      <c r="L19" s="9">
        <f t="shared" si="2"/>
      </c>
      <c r="M19" s="9">
        <f>IF(H19="L",MIN((1-SIN(RADIANS(IF(F19="Clay",Input!$C$19,Input!$C$18))))*TAN(RADIANS(2/3*IF(F19="Clay",Input!$C$19,Input!$C$18)))*J19,Input!$C$30),IF(F19="Clay",K19,MIN(K19,MIN(MAX(1.5-0.245*SQRT(E19),0.25),1.2)*MIN(G19/15,1)*J19,Input!$C$30)))</f>
      </c>
      <c r="N19" s="16">
        <f>IF(F19="Clay",Input!$C$35*I19,MIN(Input!$C$33*G19,Input!$C$34)/9.81)</f>
      </c>
      <c r="O19" s="17"/>
      <c r="P19" s="11">
        <v>4.44</v>
      </c>
      <c r="Q19" s="16">
        <f>10*SUMPRODUCT(--($B$7:$B$47&gt;=B19),--($H$7:$H$47="L"),$D$7:$D$47,$P$7:$P$47+($P$7:$P$47="")*Input!$C$24)</f>
      </c>
    </row>
    <row r="20" spans="1:15" x14ac:dyDescent="0.25">
      <c r="A20" s="18">
        <v>14</v>
      </c>
      <c r="B20" s="8">
        <v>19.5</v>
      </c>
      <c r="C20" s="19">
        <f t="shared" si="0"/>
      </c>
      <c r="D20" s="8">
        <v>1.5</v>
      </c>
      <c r="E20" s="19">
        <f t="shared" si="1"/>
      </c>
      <c r="F20" s="6" t="s">
        <v>130</v>
      </c>
      <c r="G20" s="11">
        <v>41</v>
      </c>
      <c r="H20" s="22" t="s">
        <v>128</v>
      </c>
      <c r="I20" s="20">
        <f>IF(F20="Clay",Input!$C$32*G20,0)</f>
      </c>
      <c r="J20" s="19">
        <f>Input!$C$16/9.81*MIN(E20,Input!$C$14)+(Input!$C$17/9.81-1)*MAX(E20-Input!$C$14,0)</f>
      </c>
      <c r="K20" s="19">
        <f>IF(F20="Clay",MIN(Input!$C$31*I20,Input!$C$30),MIN(Input!$C$29*G20,Input!$C$30))</f>
      </c>
      <c r="L20" s="19">
        <f t="shared" si="2"/>
      </c>
      <c r="M20" s="19">
        <f>IF(H20="L",MIN((1-SIN(RADIANS(IF(F20="Clay",Input!$C$19,Input!$C$18))))*TAN(RADIANS(2/3*IF(F20="Clay",Input!$C$19,Input!$C$18)))*J20,Input!$C$30),IF(F20="Clay",K20,MIN(K20,MIN(MAX(1.5-0.245*SQRT(E20),0.25),1.2)*MIN(G20/15,1)*J20,Input!$C$30)))</f>
      </c>
      <c r="N20" s="20">
        <f>IF(F20="Clay",Input!$C$35*I20,MIN(Input!$C$33*G20,Input!$C$34)/9.81)</f>
      </c>
      <c r="O20" s="21"/>
      <c r="P20" s="11">
        <v>0.26</v>
      </c>
      <c r="Q20" s="20">
        <f>10*SUMPRODUCT(--($B$7:$B$47&gt;=B20),--($H$7:$H$47="L"),$D$7:$D$47,$P$7:$P$47+($P$7:$P$47="")*Input!$C$24)</f>
      </c>
    </row>
    <row r="21" spans="1:15" x14ac:dyDescent="0.25">
      <c r="A21" s="12">
        <v>15</v>
      </c>
      <c r="B21" s="8">
        <v>21</v>
      </c>
      <c r="C21" s="9">
        <f t="shared" si="0"/>
      </c>
      <c r="D21" s="8">
        <v>1.5</v>
      </c>
      <c r="E21" s="9">
        <f t="shared" si="1"/>
      </c>
      <c r="F21" s="6" t="s">
        <v>127</v>
      </c>
      <c r="G21" s="11">
        <v>36</v>
      </c>
      <c r="H21" s="6" t="s">
        <v>128</v>
      </c>
      <c r="I21" s="16">
        <f>IF(F21="Clay",Input!$C$32*G21,0)</f>
      </c>
      <c r="J21" s="9">
        <f>Input!$C$16/9.81*MIN(E21,Input!$C$14)+(Input!$C$17/9.81-1)*MAX(E21-Input!$C$14,0)</f>
      </c>
      <c r="K21" s="9">
        <f>IF(F21="Clay",MIN(Input!$C$31*I21,Input!$C$30),MIN(Input!$C$29*G21,Input!$C$30))</f>
      </c>
      <c r="L21" s="9">
        <f t="shared" si="2"/>
      </c>
      <c r="M21" s="9">
        <f>IF(H21="L",MIN((1-SIN(RADIANS(IF(F21="Clay",Input!$C$19,Input!$C$18))))*TAN(RADIANS(2/3*IF(F21="Clay",Input!$C$19,Input!$C$18)))*J21,Input!$C$30),IF(F21="Clay",K21,MIN(K21,MIN(MAX(1.5-0.245*SQRT(E21),0.25),1.2)*MIN(G21/15,1)*J21,Input!$C$30)))</f>
      </c>
      <c r="N21" s="16">
        <f>IF(F21="Clay",Input!$C$35*I21,MIN(Input!$C$33*G21,Input!$C$34)/9.81)</f>
      </c>
      <c r="O21" s="17"/>
      <c r="P21" s="11">
        <v>1.05</v>
      </c>
      <c r="Q21" s="16">
        <f>10*SUMPRODUCT(--($B$7:$B$47&gt;=B21),--($H$7:$H$47="L"),$D$7:$D$47,$P$7:$P$47+($P$7:$P$47="")*Input!$C$24)</f>
      </c>
    </row>
    <row r="22" spans="1:15" x14ac:dyDescent="0.25">
      <c r="A22" s="18">
        <v>16</v>
      </c>
      <c r="B22" s="8">
        <v>22.5</v>
      </c>
      <c r="C22" s="19">
        <f t="shared" si="0"/>
      </c>
      <c r="D22" s="8">
        <v>1.5</v>
      </c>
      <c r="E22" s="19">
        <f t="shared" si="1"/>
      </c>
      <c r="F22" s="6" t="s">
        <v>130</v>
      </c>
      <c r="G22" s="11">
        <v>35</v>
      </c>
      <c r="H22" s="6" t="s">
        <v>128</v>
      </c>
      <c r="I22" s="20">
        <f>IF(F22="Clay",Input!$C$32*G22,0)</f>
      </c>
      <c r="J22" s="19">
        <f>Input!$C$16/9.81*MIN(E22,Input!$C$14)+(Input!$C$17/9.81-1)*MAX(E22-Input!$C$14,0)</f>
      </c>
      <c r="K22" s="19">
        <f>IF(F22="Clay",MIN(Input!$C$31*I22,Input!$C$30),MIN(Input!$C$29*G22,Input!$C$30))</f>
      </c>
      <c r="L22" s="19">
        <f t="shared" si="2"/>
      </c>
      <c r="M22" s="19">
        <f>IF(H22="L",MIN((1-SIN(RADIANS(IF(F22="Clay",Input!$C$19,Input!$C$18))))*TAN(RADIANS(2/3*IF(F22="Clay",Input!$C$19,Input!$C$18)))*J22,Input!$C$30),IF(F22="Clay",K22,MIN(K22,MIN(MAX(1.5-0.245*SQRT(E22),0.25),1.2)*MIN(G22/15,1)*J22,Input!$C$30)))</f>
      </c>
      <c r="N22" s="20">
        <f>IF(F22="Clay",Input!$C$35*I22,MIN(Input!$C$33*G22,Input!$C$34)/9.81)</f>
      </c>
      <c r="O22" s="21"/>
      <c r="P22" s="11"/>
      <c r="Q22" s="20">
        <f>10*SUMPRODUCT(--($B$7:$B$47&gt;=B22),--($H$7:$H$47="L"),$D$7:$D$47,$P$7:$P$47+($P$7:$P$47="")*Input!$C$24)</f>
      </c>
    </row>
    <row r="23" spans="1:15" x14ac:dyDescent="0.25">
      <c r="A23" s="12">
        <v>17</v>
      </c>
      <c r="B23" s="8">
        <v>24</v>
      </c>
      <c r="C23" s="9">
        <f t="shared" si="0"/>
      </c>
      <c r="D23" s="8">
        <v>1.5</v>
      </c>
      <c r="E23" s="9">
        <f t="shared" si="1"/>
      </c>
      <c r="F23" s="6" t="s">
        <v>130</v>
      </c>
      <c r="G23" s="11">
        <v>24</v>
      </c>
      <c r="H23" s="6" t="s">
        <v>128</v>
      </c>
      <c r="I23" s="16">
        <f>IF(F23="Clay",Input!$C$32*G23,0)</f>
      </c>
      <c r="J23" s="9">
        <f>Input!$C$16/9.81*MIN(E23,Input!$C$14)+(Input!$C$17/9.81-1)*MAX(E23-Input!$C$14,0)</f>
      </c>
      <c r="K23" s="9">
        <f>IF(F23="Clay",MIN(Input!$C$31*I23,Input!$C$30),MIN(Input!$C$29*G23,Input!$C$30))</f>
      </c>
      <c r="L23" s="9">
        <f t="shared" si="2"/>
      </c>
      <c r="M23" s="9">
        <f>IF(H23="L",MIN((1-SIN(RADIANS(IF(F23="Clay",Input!$C$19,Input!$C$18))))*TAN(RADIANS(2/3*IF(F23="Clay",Input!$C$19,Input!$C$18)))*J23,Input!$C$30),IF(F23="Clay",K23,MIN(K23,MIN(MAX(1.5-0.245*SQRT(E23),0.25),1.2)*MIN(G23/15,1)*J23,Input!$C$30)))</f>
      </c>
      <c r="N23" s="16">
        <f>IF(F23="Clay",Input!$C$35*I23,MIN(Input!$C$33*G23,Input!$C$34)/9.81)</f>
      </c>
      <c r="O23" s="17"/>
      <c r="P23" s="11"/>
      <c r="Q23" s="16">
        <f>10*SUMPRODUCT(--($B$7:$B$47&gt;=B23),--($H$7:$H$47="L"),$D$7:$D$47,$P$7:$P$47+($P$7:$P$47="")*Input!$C$24)</f>
      </c>
    </row>
    <row r="24" spans="1:15" x14ac:dyDescent="0.25">
      <c r="A24" s="18">
        <v>18</v>
      </c>
      <c r="B24" s="8">
        <v>25.5</v>
      </c>
      <c r="C24" s="19">
        <f t="shared" si="0"/>
      </c>
      <c r="D24" s="8">
        <v>1.5</v>
      </c>
      <c r="E24" s="19">
        <f t="shared" si="1"/>
      </c>
      <c r="F24" s="6" t="s">
        <v>130</v>
      </c>
      <c r="G24" s="11">
        <v>21</v>
      </c>
      <c r="H24" s="6" t="s">
        <v>128</v>
      </c>
      <c r="I24" s="20">
        <f>IF(F24="Clay",Input!$C$32*G24,0)</f>
      </c>
      <c r="J24" s="19">
        <f>Input!$C$16/9.81*MIN(E24,Input!$C$14)+(Input!$C$17/9.81-1)*MAX(E24-Input!$C$14,0)</f>
      </c>
      <c r="K24" s="19">
        <f>IF(F24="Clay",MIN(Input!$C$31*I24,Input!$C$30),MIN(Input!$C$29*G24,Input!$C$30))</f>
      </c>
      <c r="L24" s="19">
        <f t="shared" si="2"/>
      </c>
      <c r="M24" s="19">
        <f>IF(H24="L",MIN((1-SIN(RADIANS(IF(F24="Clay",Input!$C$19,Input!$C$18))))*TAN(RADIANS(2/3*IF(F24="Clay",Input!$C$19,Input!$C$18)))*J24,Input!$C$30),IF(F24="Clay",K24,MIN(K24,MIN(MAX(1.5-0.245*SQRT(E24),0.25),1.2)*MIN(G24/15,1)*J24,Input!$C$30)))</f>
      </c>
      <c r="N24" s="20">
        <f>IF(F24="Clay",Input!$C$35*I24,MIN(Input!$C$33*G24,Input!$C$34)/9.81)</f>
      </c>
      <c r="O24" s="21"/>
      <c r="P24" s="11"/>
      <c r="Q24" s="20">
        <f>10*SUMPRODUCT(--($B$7:$B$47&gt;=B24),--($H$7:$H$47="L"),$D$7:$D$47,$P$7:$P$47+($P$7:$P$47="")*Input!$C$24)</f>
      </c>
    </row>
    <row r="25" spans="1:15" x14ac:dyDescent="0.25">
      <c r="A25" s="12">
        <v>19</v>
      </c>
      <c r="B25" s="8">
        <v>27</v>
      </c>
      <c r="C25" s="9">
        <f t="shared" si="0"/>
      </c>
      <c r="D25" s="8">
        <v>1.5</v>
      </c>
      <c r="E25" s="9">
        <f t="shared" si="1"/>
      </c>
      <c r="F25" s="6" t="s">
        <v>127</v>
      </c>
      <c r="G25" s="11">
        <v>21</v>
      </c>
      <c r="H25" s="6" t="s">
        <v>128</v>
      </c>
      <c r="I25" s="16">
        <f>IF(F25="Clay",Input!$C$32*G25,0)</f>
      </c>
      <c r="J25" s="9">
        <f>Input!$C$16/9.81*MIN(E25,Input!$C$14)+(Input!$C$17/9.81-1)*MAX(E25-Input!$C$14,0)</f>
      </c>
      <c r="K25" s="9">
        <f>IF(F25="Clay",MIN(Input!$C$31*I25,Input!$C$30),MIN(Input!$C$29*G25,Input!$C$30))</f>
      </c>
      <c r="L25" s="9">
        <f t="shared" si="2"/>
      </c>
      <c r="M25" s="9">
        <f>IF(H25="L",MIN((1-SIN(RADIANS(IF(F25="Clay",Input!$C$19,Input!$C$18))))*TAN(RADIANS(2/3*IF(F25="Clay",Input!$C$19,Input!$C$18)))*J25,Input!$C$30),IF(F25="Clay",K25,MIN(K25,MIN(MAX(1.5-0.245*SQRT(E25),0.25),1.2)*MIN(G25/15,1)*J25,Input!$C$30)))</f>
      </c>
      <c r="N25" s="16">
        <f>IF(F25="Clay",Input!$C$35*I25,MIN(Input!$C$33*G25,Input!$C$34)/9.81)</f>
      </c>
      <c r="O25" s="17"/>
      <c r="P25" s="11"/>
      <c r="Q25" s="16">
        <f>10*SUMPRODUCT(--($B$7:$B$47&gt;=B25),--($H$7:$H$47="L"),$D$7:$D$47,$P$7:$P$47+($P$7:$P$47="")*Input!$C$24)</f>
      </c>
    </row>
    <row r="26" spans="1:15" x14ac:dyDescent="0.25">
      <c r="A26" s="18">
        <v>20</v>
      </c>
      <c r="B26" s="8">
        <v>28.5</v>
      </c>
      <c r="C26" s="19">
        <f t="shared" si="0"/>
      </c>
      <c r="D26" s="8">
        <v>1.5</v>
      </c>
      <c r="E26" s="19">
        <f t="shared" si="1"/>
      </c>
      <c r="F26" s="6" t="s">
        <v>130</v>
      </c>
      <c r="G26" s="11">
        <v>48</v>
      </c>
      <c r="H26" s="6" t="s">
        <v>128</v>
      </c>
      <c r="I26" s="20">
        <f>IF(F26="Clay",Input!$C$32*G26,0)</f>
      </c>
      <c r="J26" s="19">
        <f>Input!$C$16/9.81*MIN(E26,Input!$C$14)+(Input!$C$17/9.81-1)*MAX(E26-Input!$C$14,0)</f>
      </c>
      <c r="K26" s="19">
        <f>IF(F26="Clay",MIN(Input!$C$31*I26,Input!$C$30),MIN(Input!$C$29*G26,Input!$C$30))</f>
      </c>
      <c r="L26" s="19">
        <f t="shared" si="2"/>
      </c>
      <c r="M26" s="19">
        <f>IF(H26="L",MIN((1-SIN(RADIANS(IF(F26="Clay",Input!$C$19,Input!$C$18))))*TAN(RADIANS(2/3*IF(F26="Clay",Input!$C$19,Input!$C$18)))*J26,Input!$C$30),IF(F26="Clay",K26,MIN(K26,MIN(MAX(1.5-0.245*SQRT(E26),0.25),1.2)*MIN(G26/15,1)*J26,Input!$C$30)))</f>
      </c>
      <c r="N26" s="20">
        <f>IF(F26="Clay",Input!$C$35*I26,MIN(Input!$C$33*G26,Input!$C$34)/9.81)</f>
      </c>
      <c r="O26" s="21"/>
      <c r="P26" s="11"/>
      <c r="Q26" s="20">
        <f>10*SUMPRODUCT(--($B$7:$B$47&gt;=B26),--($H$7:$H$47="L"),$D$7:$D$47,$P$7:$P$47+($P$7:$P$47="")*Input!$C$24)</f>
      </c>
    </row>
    <row r="27" spans="1:15" x14ac:dyDescent="0.25">
      <c r="A27" s="12">
        <v>21</v>
      </c>
      <c r="B27" s="8">
        <v>30</v>
      </c>
      <c r="C27" s="9">
        <f t="shared" si="0"/>
      </c>
      <c r="D27" s="8">
        <v>1.5</v>
      </c>
      <c r="E27" s="9">
        <f t="shared" si="1"/>
      </c>
      <c r="F27" s="6" t="s">
        <v>130</v>
      </c>
      <c r="G27" s="11">
        <v>50</v>
      </c>
      <c r="H27" s="6" t="s">
        <v>128</v>
      </c>
      <c r="I27" s="16">
        <f>IF(F27="Clay",Input!$C$32*G27,0)</f>
      </c>
      <c r="J27" s="9">
        <f>Input!$C$16/9.81*MIN(E27,Input!$C$14)+(Input!$C$17/9.81-1)*MAX(E27-Input!$C$14,0)</f>
      </c>
      <c r="K27" s="9">
        <f>IF(F27="Clay",MIN(Input!$C$31*I27,Input!$C$30),MIN(Input!$C$29*G27,Input!$C$30))</f>
      </c>
      <c r="L27" s="9">
        <f t="shared" si="2"/>
      </c>
      <c r="M27" s="9">
        <f>IF(H27="L",MIN((1-SIN(RADIANS(IF(F27="Clay",Input!$C$19,Input!$C$18))))*TAN(RADIANS(2/3*IF(F27="Clay",Input!$C$19,Input!$C$18)))*J27,Input!$C$30),IF(F27="Clay",K27,MIN(K27,MIN(MAX(1.5-0.245*SQRT(E27),0.25),1.2)*MIN(G27/15,1)*J27,Input!$C$30)))</f>
      </c>
      <c r="N27" s="16">
        <f>IF(F27="Clay",Input!$C$35*I27,MIN(Input!$C$33*G27,Input!$C$34)/9.81)</f>
      </c>
      <c r="O27" s="17"/>
      <c r="P27" s="11"/>
      <c r="Q27" s="16">
        <f>10*SUMPRODUCT(--($B$7:$B$47&gt;=B27),--($H$7:$H$47="L"),$D$7:$D$47,$P$7:$P$47+($P$7:$P$47="")*Input!$C$24)</f>
      </c>
    </row>
    <row r="28" spans="1:15" x14ac:dyDescent="0.25">
      <c r="A28" s="18">
        <v>22</v>
      </c>
      <c r="B28" s="8">
        <v>31.5</v>
      </c>
      <c r="C28" s="19">
        <f t="shared" si="0"/>
      </c>
      <c r="D28" s="8">
        <v>1.5</v>
      </c>
      <c r="E28" s="19">
        <f t="shared" si="1"/>
      </c>
      <c r="F28" s="6" t="s">
        <v>130</v>
      </c>
      <c r="G28" s="11">
        <v>50</v>
      </c>
      <c r="H28" s="6" t="s">
        <v>128</v>
      </c>
      <c r="I28" s="20">
        <f>IF(F28="Clay",Input!$C$32*G28,0)</f>
      </c>
      <c r="J28" s="19">
        <f>Input!$C$16/9.81*MIN(E28,Input!$C$14)+(Input!$C$17/9.81-1)*MAX(E28-Input!$C$14,0)</f>
      </c>
      <c r="K28" s="19">
        <f>IF(F28="Clay",MIN(Input!$C$31*I28,Input!$C$30),MIN(Input!$C$29*G28,Input!$C$30))</f>
      </c>
      <c r="L28" s="19">
        <f t="shared" si="2"/>
      </c>
      <c r="M28" s="19">
        <f>IF(H28="L",MIN((1-SIN(RADIANS(IF(F28="Clay",Input!$C$19,Input!$C$18))))*TAN(RADIANS(2/3*IF(F28="Clay",Input!$C$19,Input!$C$18)))*J28,Input!$C$30),IF(F28="Clay",K28,MIN(K28,MIN(MAX(1.5-0.245*SQRT(E28),0.25),1.2)*MIN(G28/15,1)*J28,Input!$C$30)))</f>
      </c>
      <c r="N28" s="20">
        <f>IF(F28="Clay",Input!$C$35*I28,MIN(Input!$C$33*G28,Input!$C$34)/9.81)</f>
      </c>
      <c r="O28" s="21"/>
      <c r="P28" s="11"/>
      <c r="Q28" s="20">
        <f>10*SUMPRODUCT(--($B$7:$B$47&gt;=B28),--($H$7:$H$47="L"),$D$7:$D$47,$P$7:$P$47+($P$7:$P$47="")*Input!$C$24)</f>
      </c>
    </row>
    <row r="29" spans="1:15" x14ac:dyDescent="0.25">
      <c r="A29" s="12">
        <v>23</v>
      </c>
      <c r="B29" s="8">
        <v>33</v>
      </c>
      <c r="C29" s="9">
        <f t="shared" si="0"/>
      </c>
      <c r="D29" s="8">
        <v>1.5</v>
      </c>
      <c r="E29" s="9">
        <f t="shared" si="1"/>
      </c>
      <c r="F29" s="6" t="s">
        <v>130</v>
      </c>
      <c r="G29" s="11">
        <v>50</v>
      </c>
      <c r="H29" s="6" t="s">
        <v>128</v>
      </c>
      <c r="I29" s="16">
        <f>IF(F29="Clay",Input!$C$32*G29,0)</f>
      </c>
      <c r="J29" s="9">
        <f>Input!$C$16/9.81*MIN(E29,Input!$C$14)+(Input!$C$17/9.81-1)*MAX(E29-Input!$C$14,0)</f>
      </c>
      <c r="K29" s="9">
        <f>IF(F29="Clay",MIN(Input!$C$31*I29,Input!$C$30),MIN(Input!$C$29*G29,Input!$C$30))</f>
      </c>
      <c r="L29" s="9">
        <f t="shared" si="2"/>
      </c>
      <c r="M29" s="9">
        <f>IF(H29="L",MIN((1-SIN(RADIANS(IF(F29="Clay",Input!$C$19,Input!$C$18))))*TAN(RADIANS(2/3*IF(F29="Clay",Input!$C$19,Input!$C$18)))*J29,Input!$C$30),IF(F29="Clay",K29,MIN(K29,MIN(MAX(1.5-0.245*SQRT(E29),0.25),1.2)*MIN(G29/15,1)*J29,Input!$C$30)))</f>
      </c>
      <c r="N29" s="16">
        <f>IF(F29="Clay",Input!$C$35*I29,MIN(Input!$C$33*G29,Input!$C$34)/9.81)</f>
      </c>
      <c r="O29" s="17"/>
      <c r="P29" s="11"/>
      <c r="Q29" s="16">
        <f>10*SUMPRODUCT(--($B$7:$B$47&gt;=B29),--($H$7:$H$47="L"),$D$7:$D$47,$P$7:$P$47+($P$7:$P$47="")*Input!$C$24)</f>
      </c>
    </row>
    <row r="30" spans="1:15" x14ac:dyDescent="0.25">
      <c r="A30" s="18">
        <v>24</v>
      </c>
      <c r="B30" s="8">
        <v>34.5</v>
      </c>
      <c r="C30" s="19">
        <f t="shared" si="0"/>
      </c>
      <c r="D30" s="8">
        <v>1.5</v>
      </c>
      <c r="E30" s="19">
        <f t="shared" si="1"/>
      </c>
      <c r="F30" s="6" t="s">
        <v>130</v>
      </c>
      <c r="G30" s="11">
        <v>50</v>
      </c>
      <c r="H30" s="6" t="s">
        <v>128</v>
      </c>
      <c r="I30" s="20">
        <f>IF(F30="Clay",Input!$C$32*G30,0)</f>
      </c>
      <c r="J30" s="19">
        <f>Input!$C$16/9.81*MIN(E30,Input!$C$14)+(Input!$C$17/9.81-1)*MAX(E30-Input!$C$14,0)</f>
      </c>
      <c r="K30" s="19">
        <f>IF(F30="Clay",MIN(Input!$C$31*I30,Input!$C$30),MIN(Input!$C$29*G30,Input!$C$30))</f>
      </c>
      <c r="L30" s="19">
        <f t="shared" si="2"/>
      </c>
      <c r="M30" s="19">
        <f>IF(H30="L",MIN((1-SIN(RADIANS(IF(F30="Clay",Input!$C$19,Input!$C$18))))*TAN(RADIANS(2/3*IF(F30="Clay",Input!$C$19,Input!$C$18)))*J30,Input!$C$30),IF(F30="Clay",K30,MIN(K30,MIN(MAX(1.5-0.245*SQRT(E30),0.25),1.2)*MIN(G30/15,1)*J30,Input!$C$30)))</f>
      </c>
      <c r="N30" s="20">
        <f>IF(F30="Clay",Input!$C$35*I30,MIN(Input!$C$33*G30,Input!$C$34)/9.81)</f>
      </c>
      <c r="O30" s="21"/>
      <c r="P30" s="11"/>
      <c r="Q30" s="20">
        <f>10*SUMPRODUCT(--($B$7:$B$47&gt;=B30),--($H$7:$H$47="L"),$D$7:$D$47,$P$7:$P$47+($P$7:$P$47="")*Input!$C$24)</f>
      </c>
    </row>
    <row r="31" spans="1:15" x14ac:dyDescent="0.25">
      <c r="A31" s="12">
        <v>25</v>
      </c>
      <c r="B31" s="8">
        <v>36</v>
      </c>
      <c r="C31" s="9">
        <f t="shared" si="0"/>
      </c>
      <c r="D31" s="8">
        <v>1.5</v>
      </c>
      <c r="E31" s="9">
        <f t="shared" si="1"/>
      </c>
      <c r="F31" s="6" t="s">
        <v>127</v>
      </c>
      <c r="G31" s="11">
        <v>50</v>
      </c>
      <c r="H31" s="6" t="s">
        <v>128</v>
      </c>
      <c r="I31" s="16">
        <f>IF(F31="Clay",Input!$C$32*G31,0)</f>
      </c>
      <c r="J31" s="9">
        <f>Input!$C$16/9.81*MIN(E31,Input!$C$14)+(Input!$C$17/9.81-1)*MAX(E31-Input!$C$14,0)</f>
      </c>
      <c r="K31" s="9">
        <f>IF(F31="Clay",MIN(Input!$C$31*I31,Input!$C$30),MIN(Input!$C$29*G31,Input!$C$30))</f>
      </c>
      <c r="L31" s="9">
        <f t="shared" si="2"/>
      </c>
      <c r="M31" s="9">
        <f>IF(H31="L",MIN((1-SIN(RADIANS(IF(F31="Clay",Input!$C$19,Input!$C$18))))*TAN(RADIANS(2/3*IF(F31="Clay",Input!$C$19,Input!$C$18)))*J31,Input!$C$30),IF(F31="Clay",K31,MIN(K31,MIN(MAX(1.5-0.245*SQRT(E31),0.25),1.2)*MIN(G31/15,1)*J31,Input!$C$30)))</f>
      </c>
      <c r="N31" s="16">
        <f>IF(F31="Clay",Input!$C$35*I31,MIN(Input!$C$33*G31,Input!$C$34)/9.81)</f>
      </c>
      <c r="O31" s="17"/>
      <c r="P31" s="11"/>
      <c r="Q31" s="16">
        <f>10*SUMPRODUCT(--($B$7:$B$47&gt;=B31),--($H$7:$H$47="L"),$D$7:$D$47,$P$7:$P$47+($P$7:$P$47="")*Input!$C$24)</f>
      </c>
    </row>
    <row r="32" spans="1:15" x14ac:dyDescent="0.25">
      <c r="A32" s="18">
        <v>26</v>
      </c>
      <c r="B32" s="8">
        <v>37.5</v>
      </c>
      <c r="C32" s="19">
        <f t="shared" si="0"/>
      </c>
      <c r="D32" s="8">
        <v>1.5</v>
      </c>
      <c r="E32" s="19">
        <f t="shared" si="1"/>
      </c>
      <c r="F32" s="6" t="s">
        <v>130</v>
      </c>
      <c r="G32" s="11">
        <v>50</v>
      </c>
      <c r="H32" s="6" t="s">
        <v>128</v>
      </c>
      <c r="I32" s="20">
        <f>IF(F32="Clay",Input!$C$32*G32,0)</f>
      </c>
      <c r="J32" s="19">
        <f>Input!$C$16/9.81*MIN(E32,Input!$C$14)+(Input!$C$17/9.81-1)*MAX(E32-Input!$C$14,0)</f>
      </c>
      <c r="K32" s="19">
        <f>IF(F32="Clay",MIN(Input!$C$31*I32,Input!$C$30),MIN(Input!$C$29*G32,Input!$C$30))</f>
      </c>
      <c r="L32" s="19">
        <f t="shared" si="2"/>
      </c>
      <c r="M32" s="19">
        <f>IF(H32="L",MIN((1-SIN(RADIANS(IF(F32="Clay",Input!$C$19,Input!$C$18))))*TAN(RADIANS(2/3*IF(F32="Clay",Input!$C$19,Input!$C$18)))*J32,Input!$C$30),IF(F32="Clay",K32,MIN(K32,MIN(MAX(1.5-0.245*SQRT(E32),0.25),1.2)*MIN(G32/15,1)*J32,Input!$C$30)))</f>
      </c>
      <c r="N32" s="20">
        <f>IF(F32="Clay",Input!$C$35*I32,MIN(Input!$C$33*G32,Input!$C$34)/9.81)</f>
      </c>
      <c r="O32" s="21"/>
      <c r="P32" s="11"/>
      <c r="Q32" s="20">
        <f>10*SUMPRODUCT(--($B$7:$B$47&gt;=B32),--($H$7:$H$47="L"),$D$7:$D$47,$P$7:$P$47+($P$7:$P$47="")*Input!$C$24)</f>
      </c>
    </row>
    <row r="33" spans="1:15" x14ac:dyDescent="0.25">
      <c r="A33" s="12">
        <v>27</v>
      </c>
      <c r="B33" s="8">
        <v>39</v>
      </c>
      <c r="C33" s="9">
        <f t="shared" si="0"/>
      </c>
      <c r="D33" s="8">
        <v>1.5</v>
      </c>
      <c r="E33" s="9">
        <f t="shared" si="1"/>
      </c>
      <c r="F33" s="6" t="s">
        <v>130</v>
      </c>
      <c r="G33" s="11">
        <v>50</v>
      </c>
      <c r="H33" s="6" t="s">
        <v>128</v>
      </c>
      <c r="I33" s="16">
        <f>IF(F33="Clay",Input!$C$32*G33,0)</f>
      </c>
      <c r="J33" s="9">
        <f>Input!$C$16/9.81*MIN(E33,Input!$C$14)+(Input!$C$17/9.81-1)*MAX(E33-Input!$C$14,0)</f>
      </c>
      <c r="K33" s="9">
        <f>IF(F33="Clay",MIN(Input!$C$31*I33,Input!$C$30),MIN(Input!$C$29*G33,Input!$C$30))</f>
      </c>
      <c r="L33" s="9">
        <f t="shared" si="2"/>
      </c>
      <c r="M33" s="9">
        <f>IF(H33="L",MIN((1-SIN(RADIANS(IF(F33="Clay",Input!$C$19,Input!$C$18))))*TAN(RADIANS(2/3*IF(F33="Clay",Input!$C$19,Input!$C$18)))*J33,Input!$C$30),IF(F33="Clay",K33,MIN(K33,MIN(MAX(1.5-0.245*SQRT(E33),0.25),1.2)*MIN(G33/15,1)*J33,Input!$C$30)))</f>
      </c>
      <c r="N33" s="16">
        <f>IF(F33="Clay",Input!$C$35*I33,MIN(Input!$C$33*G33,Input!$C$34)/9.81)</f>
      </c>
      <c r="O33" s="17"/>
      <c r="P33" s="11"/>
      <c r="Q33" s="16">
        <f>10*SUMPRODUCT(--($B$7:$B$47&gt;=B33),--($H$7:$H$47="L"),$D$7:$D$47,$P$7:$P$47+($P$7:$P$47="")*Input!$C$24)</f>
      </c>
    </row>
    <row r="34" spans="1:15" x14ac:dyDescent="0.25">
      <c r="A34" s="18">
        <v>28</v>
      </c>
      <c r="B34" s="8">
        <v>40.5</v>
      </c>
      <c r="C34" s="19">
        <f t="shared" si="0"/>
      </c>
      <c r="D34" s="8">
        <v>1.5</v>
      </c>
      <c r="E34" s="19">
        <f t="shared" si="1"/>
      </c>
      <c r="F34" s="6" t="s">
        <v>130</v>
      </c>
      <c r="G34" s="11">
        <v>50</v>
      </c>
      <c r="H34" s="6" t="s">
        <v>128</v>
      </c>
      <c r="I34" s="20">
        <f>IF(F34="Clay",Input!$C$32*G34,0)</f>
      </c>
      <c r="J34" s="19">
        <f>Input!$C$16/9.81*MIN(E34,Input!$C$14)+(Input!$C$17/9.81-1)*MAX(E34-Input!$C$14,0)</f>
      </c>
      <c r="K34" s="19">
        <f>IF(F34="Clay",MIN(Input!$C$31*I34,Input!$C$30),MIN(Input!$C$29*G34,Input!$C$30))</f>
      </c>
      <c r="L34" s="19">
        <f t="shared" si="2"/>
      </c>
      <c r="M34" s="19">
        <f>IF(H34="L",MIN((1-SIN(RADIANS(IF(F34="Clay",Input!$C$19,Input!$C$18))))*TAN(RADIANS(2/3*IF(F34="Clay",Input!$C$19,Input!$C$18)))*J34,Input!$C$30),IF(F34="Clay",K34,MIN(K34,MIN(MAX(1.5-0.245*SQRT(E34),0.25),1.2)*MIN(G34/15,1)*J34,Input!$C$30)))</f>
      </c>
      <c r="N34" s="20">
        <f>IF(F34="Clay",Input!$C$35*I34,MIN(Input!$C$33*G34,Input!$C$34)/9.81)</f>
      </c>
      <c r="O34" s="21"/>
      <c r="P34" s="11"/>
      <c r="Q34" s="20">
        <f>10*SUMPRODUCT(--($B$7:$B$47&gt;=B34),--($H$7:$H$47="L"),$D$7:$D$47,$P$7:$P$47+($P$7:$P$47="")*Input!$C$24)</f>
      </c>
    </row>
    <row r="35" spans="1:15" x14ac:dyDescent="0.25">
      <c r="A35" s="12">
        <v>29</v>
      </c>
      <c r="B35" s="8">
        <v>42</v>
      </c>
      <c r="C35" s="9">
        <f t="shared" si="0"/>
      </c>
      <c r="D35" s="8">
        <v>1.5</v>
      </c>
      <c r="E35" s="9">
        <f t="shared" si="1"/>
      </c>
      <c r="F35" s="6" t="s">
        <v>130</v>
      </c>
      <c r="G35" s="11">
        <v>50</v>
      </c>
      <c r="H35" s="6" t="s">
        <v>128</v>
      </c>
      <c r="I35" s="16">
        <f>IF(F35="Clay",Input!$C$32*G35,0)</f>
      </c>
      <c r="J35" s="9">
        <f>Input!$C$16/9.81*MIN(E35,Input!$C$14)+(Input!$C$17/9.81-1)*MAX(E35-Input!$C$14,0)</f>
      </c>
      <c r="K35" s="9">
        <f>IF(F35="Clay",MIN(Input!$C$31*I35,Input!$C$30),MIN(Input!$C$29*G35,Input!$C$30))</f>
      </c>
      <c r="L35" s="9">
        <f t="shared" si="2"/>
      </c>
      <c r="M35" s="9">
        <f>IF(H35="L",MIN((1-SIN(RADIANS(IF(F35="Clay",Input!$C$19,Input!$C$18))))*TAN(RADIANS(2/3*IF(F35="Clay",Input!$C$19,Input!$C$18)))*J35,Input!$C$30),IF(F35="Clay",K35,MIN(K35,MIN(MAX(1.5-0.245*SQRT(E35),0.25),1.2)*MIN(G35/15,1)*J35,Input!$C$30)))</f>
      </c>
      <c r="N35" s="16">
        <f>IF(F35="Clay",Input!$C$35*I35,MIN(Input!$C$33*G35,Input!$C$34)/9.81)</f>
      </c>
      <c r="O35" s="17"/>
      <c r="P35" s="11"/>
      <c r="Q35" s="16">
        <f>10*SUMPRODUCT(--($B$7:$B$47&gt;=B35),--($H$7:$H$47="L"),$D$7:$D$47,$P$7:$P$47+($P$7:$P$47="")*Input!$C$24)</f>
      </c>
    </row>
    <row r="36" spans="1:15" x14ac:dyDescent="0.25">
      <c r="A36" s="18">
        <v>30</v>
      </c>
      <c r="B36" s="8">
        <v>43.5</v>
      </c>
      <c r="C36" s="19">
        <f t="shared" si="0"/>
      </c>
      <c r="D36" s="8">
        <v>1.5</v>
      </c>
      <c r="E36" s="19">
        <f t="shared" si="1"/>
      </c>
      <c r="F36" s="6" t="s">
        <v>130</v>
      </c>
      <c r="G36" s="11">
        <v>50</v>
      </c>
      <c r="H36" s="6" t="s">
        <v>128</v>
      </c>
      <c r="I36" s="20">
        <f>IF(F36="Clay",Input!$C$32*G36,0)</f>
      </c>
      <c r="J36" s="19">
        <f>Input!$C$16/9.81*MIN(E36,Input!$C$14)+(Input!$C$17/9.81-1)*MAX(E36-Input!$C$14,0)</f>
      </c>
      <c r="K36" s="19">
        <f>IF(F36="Clay",MIN(Input!$C$31*I36,Input!$C$30),MIN(Input!$C$29*G36,Input!$C$30))</f>
      </c>
      <c r="L36" s="19">
        <f t="shared" si="2"/>
      </c>
      <c r="M36" s="19">
        <f>IF(H36="L",MIN((1-SIN(RADIANS(IF(F36="Clay",Input!$C$19,Input!$C$18))))*TAN(RADIANS(2/3*IF(F36="Clay",Input!$C$19,Input!$C$18)))*J36,Input!$C$30),IF(F36="Clay",K36,MIN(K36,MIN(MAX(1.5-0.245*SQRT(E36),0.25),1.2)*MIN(G36/15,1)*J36,Input!$C$30)))</f>
      </c>
      <c r="N36" s="20">
        <f>IF(F36="Clay",Input!$C$35*I36,MIN(Input!$C$33*G36,Input!$C$34)/9.81)</f>
      </c>
      <c r="O36" s="21"/>
      <c r="P36" s="11"/>
      <c r="Q36" s="20">
        <f>10*SUMPRODUCT(--($B$7:$B$47&gt;=B36),--($H$7:$H$47="L"),$D$7:$D$47,$P$7:$P$47+($P$7:$P$47="")*Input!$C$24)</f>
      </c>
    </row>
    <row r="37" spans="1:15" x14ac:dyDescent="0.25">
      <c r="A37" s="12">
        <v>31</v>
      </c>
      <c r="B37" s="8">
        <v>45</v>
      </c>
      <c r="C37" s="9">
        <f t="shared" si="0"/>
      </c>
      <c r="D37" s="8">
        <v>1.5</v>
      </c>
      <c r="E37" s="9">
        <f t="shared" si="1"/>
      </c>
      <c r="F37" s="6" t="s">
        <v>130</v>
      </c>
      <c r="G37" s="11">
        <v>33</v>
      </c>
      <c r="H37" s="6" t="s">
        <v>128</v>
      </c>
      <c r="I37" s="16">
        <f>IF(F37="Clay",Input!$C$32*G37,0)</f>
      </c>
      <c r="J37" s="9">
        <f>Input!$C$16/9.81*MIN(E37,Input!$C$14)+(Input!$C$17/9.81-1)*MAX(E37-Input!$C$14,0)</f>
      </c>
      <c r="K37" s="9">
        <f>IF(F37="Clay",MIN(Input!$C$31*I37,Input!$C$30),MIN(Input!$C$29*G37,Input!$C$30))</f>
      </c>
      <c r="L37" s="9">
        <f t="shared" si="2"/>
      </c>
      <c r="M37" s="9">
        <f>IF(H37="L",MIN((1-SIN(RADIANS(IF(F37="Clay",Input!$C$19,Input!$C$18))))*TAN(RADIANS(2/3*IF(F37="Clay",Input!$C$19,Input!$C$18)))*J37,Input!$C$30),IF(F37="Clay",K37,MIN(K37,MIN(MAX(1.5-0.245*SQRT(E37),0.25),1.2)*MIN(G37/15,1)*J37,Input!$C$30)))</f>
      </c>
      <c r="N37" s="16">
        <f>IF(F37="Clay",Input!$C$35*I37,MIN(Input!$C$33*G37,Input!$C$34)/9.81)</f>
      </c>
      <c r="O37" s="17"/>
      <c r="P37" s="11"/>
      <c r="Q37" s="16">
        <f>10*SUMPRODUCT(--($B$7:$B$47&gt;=B37),--($H$7:$H$47="L"),$D$7:$D$47,$P$7:$P$47+($P$7:$P$47="")*Input!$C$24)</f>
      </c>
    </row>
    <row r="38" spans="1:15" x14ac:dyDescent="0.25">
      <c r="A38" s="18">
        <v>32</v>
      </c>
      <c r="B38" s="8">
        <v>46.5</v>
      </c>
      <c r="C38" s="19">
        <f t="shared" si="0"/>
      </c>
      <c r="D38" s="8">
        <v>1.5</v>
      </c>
      <c r="E38" s="19">
        <f t="shared" si="1"/>
      </c>
      <c r="F38" s="6" t="s">
        <v>130</v>
      </c>
      <c r="G38" s="11">
        <v>36</v>
      </c>
      <c r="H38" s="6" t="s">
        <v>128</v>
      </c>
      <c r="I38" s="20">
        <f>IF(F38="Clay",Input!$C$32*G38,0)</f>
      </c>
      <c r="J38" s="19">
        <f>Input!$C$16/9.81*MIN(E38,Input!$C$14)+(Input!$C$17/9.81-1)*MAX(E38-Input!$C$14,0)</f>
      </c>
      <c r="K38" s="19">
        <f>IF(F38="Clay",MIN(Input!$C$31*I38,Input!$C$30),MIN(Input!$C$29*G38,Input!$C$30))</f>
      </c>
      <c r="L38" s="19">
        <f t="shared" si="2"/>
      </c>
      <c r="M38" s="19">
        <f>IF(H38="L",MIN((1-SIN(RADIANS(IF(F38="Clay",Input!$C$19,Input!$C$18))))*TAN(RADIANS(2/3*IF(F38="Clay",Input!$C$19,Input!$C$18)))*J38,Input!$C$30),IF(F38="Clay",K38,MIN(K38,MIN(MAX(1.5-0.245*SQRT(E38),0.25),1.2)*MIN(G38/15,1)*J38,Input!$C$30)))</f>
      </c>
      <c r="N38" s="20">
        <f>IF(F38="Clay",Input!$C$35*I38,MIN(Input!$C$33*G38,Input!$C$34)/9.81)</f>
      </c>
      <c r="O38" s="21"/>
      <c r="P38" s="11"/>
      <c r="Q38" s="20">
        <f>10*SUMPRODUCT(--($B$7:$B$47&gt;=B38),--($H$7:$H$47="L"),$D$7:$D$47,$P$7:$P$47+($P$7:$P$47="")*Input!$C$24)</f>
      </c>
    </row>
    <row r="39" spans="1:15" x14ac:dyDescent="0.25">
      <c r="A39" s="12">
        <v>33</v>
      </c>
      <c r="B39" s="8">
        <v>48</v>
      </c>
      <c r="C39" s="9">
        <f t="shared" si="0"/>
      </c>
      <c r="D39" s="8">
        <v>1.5</v>
      </c>
      <c r="E39" s="9">
        <f t="shared" si="1"/>
      </c>
      <c r="F39" s="6" t="s">
        <v>130</v>
      </c>
      <c r="G39" s="11">
        <v>31</v>
      </c>
      <c r="H39" s="6" t="s">
        <v>128</v>
      </c>
      <c r="I39" s="16">
        <f>IF(F39="Clay",Input!$C$32*G39,0)</f>
      </c>
      <c r="J39" s="9">
        <f>Input!$C$16/9.81*MIN(E39,Input!$C$14)+(Input!$C$17/9.81-1)*MAX(E39-Input!$C$14,0)</f>
      </c>
      <c r="K39" s="9">
        <f>IF(F39="Clay",MIN(Input!$C$31*I39,Input!$C$30),MIN(Input!$C$29*G39,Input!$C$30))</f>
      </c>
      <c r="L39" s="9">
        <f t="shared" si="2"/>
      </c>
      <c r="M39" s="9">
        <f>IF(H39="L",MIN((1-SIN(RADIANS(IF(F39="Clay",Input!$C$19,Input!$C$18))))*TAN(RADIANS(2/3*IF(F39="Clay",Input!$C$19,Input!$C$18)))*J39,Input!$C$30),IF(F39="Clay",K39,MIN(K39,MIN(MAX(1.5-0.245*SQRT(E39),0.25),1.2)*MIN(G39/15,1)*J39,Input!$C$30)))</f>
      </c>
      <c r="N39" s="16">
        <f>IF(F39="Clay",Input!$C$35*I39,MIN(Input!$C$33*G39,Input!$C$34)/9.81)</f>
      </c>
      <c r="O39" s="17"/>
      <c r="P39" s="11"/>
      <c r="Q39" s="16">
        <f>10*SUMPRODUCT(--($B$7:$B$47&gt;=B39),--($H$7:$H$47="L"),$D$7:$D$47,$P$7:$P$47+($P$7:$P$47="")*Input!$C$24)</f>
      </c>
    </row>
    <row r="40" spans="1:15" x14ac:dyDescent="0.25">
      <c r="A40" s="18">
        <v>34</v>
      </c>
      <c r="B40" s="8">
        <v>49.5</v>
      </c>
      <c r="C40" s="19">
        <f t="shared" si="0"/>
      </c>
      <c r="D40" s="8">
        <v>1.5</v>
      </c>
      <c r="E40" s="19">
        <f t="shared" si="1"/>
      </c>
      <c r="F40" s="6" t="s">
        <v>127</v>
      </c>
      <c r="G40" s="11">
        <v>30</v>
      </c>
      <c r="H40" s="6" t="s">
        <v>128</v>
      </c>
      <c r="I40" s="20">
        <f>IF(F40="Clay",Input!$C$32*G40,0)</f>
      </c>
      <c r="J40" s="19">
        <f>Input!$C$16/9.81*MIN(E40,Input!$C$14)+(Input!$C$17/9.81-1)*MAX(E40-Input!$C$14,0)</f>
      </c>
      <c r="K40" s="19">
        <f>IF(F40="Clay",MIN(Input!$C$31*I40,Input!$C$30),MIN(Input!$C$29*G40,Input!$C$30))</f>
      </c>
      <c r="L40" s="19">
        <f t="shared" si="2"/>
      </c>
      <c r="M40" s="19">
        <f>IF(H40="L",MIN((1-SIN(RADIANS(IF(F40="Clay",Input!$C$19,Input!$C$18))))*TAN(RADIANS(2/3*IF(F40="Clay",Input!$C$19,Input!$C$18)))*J40,Input!$C$30),IF(F40="Clay",K40,MIN(K40,MIN(MAX(1.5-0.245*SQRT(E40),0.25),1.2)*MIN(G40/15,1)*J40,Input!$C$30)))</f>
      </c>
      <c r="N40" s="20">
        <f>IF(F40="Clay",Input!$C$35*I40,MIN(Input!$C$33*G40,Input!$C$34)/9.81)</f>
      </c>
      <c r="O40" s="21"/>
      <c r="P40" s="11"/>
      <c r="Q40" s="20">
        <f>10*SUMPRODUCT(--($B$7:$B$47&gt;=B40),--($H$7:$H$47="L"),$D$7:$D$47,$P$7:$P$47+($P$7:$P$47="")*Input!$C$24)</f>
      </c>
    </row>
    <row r="41" spans="1:15" x14ac:dyDescent="0.25">
      <c r="A41" s="12">
        <v>35</v>
      </c>
      <c r="B41" s="8">
        <v>51</v>
      </c>
      <c r="C41" s="9">
        <f t="shared" si="0"/>
      </c>
      <c r="D41" s="8">
        <v>1.5</v>
      </c>
      <c r="E41" s="9">
        <f t="shared" si="1"/>
      </c>
      <c r="F41" s="6" t="s">
        <v>127</v>
      </c>
      <c r="G41" s="11">
        <v>34</v>
      </c>
      <c r="H41" s="6" t="s">
        <v>128</v>
      </c>
      <c r="I41" s="16">
        <f>IF(F41="Clay",Input!$C$32*G41,0)</f>
      </c>
      <c r="J41" s="9">
        <f>Input!$C$16/9.81*MIN(E41,Input!$C$14)+(Input!$C$17/9.81-1)*MAX(E41-Input!$C$14,0)</f>
      </c>
      <c r="K41" s="9">
        <f>IF(F41="Clay",MIN(Input!$C$31*I41,Input!$C$30),MIN(Input!$C$29*G41,Input!$C$30))</f>
      </c>
      <c r="L41" s="9">
        <f t="shared" si="2"/>
      </c>
      <c r="M41" s="9">
        <f>IF(H41="L",MIN((1-SIN(RADIANS(IF(F41="Clay",Input!$C$19,Input!$C$18))))*TAN(RADIANS(2/3*IF(F41="Clay",Input!$C$19,Input!$C$18)))*J41,Input!$C$30),IF(F41="Clay",K41,MIN(K41,MIN(MAX(1.5-0.245*SQRT(E41),0.25),1.2)*MIN(G41/15,1)*J41,Input!$C$30)))</f>
      </c>
      <c r="N41" s="16">
        <f>IF(F41="Clay",Input!$C$35*I41,MIN(Input!$C$33*G41,Input!$C$34)/9.81)</f>
      </c>
      <c r="O41" s="17"/>
      <c r="P41" s="11"/>
      <c r="Q41" s="16">
        <f>10*SUMPRODUCT(--($B$7:$B$47&gt;=B41),--($H$7:$H$47="L"),$D$7:$D$47,$P$7:$P$47+($P$7:$P$47="")*Input!$C$24)</f>
      </c>
    </row>
    <row r="42" spans="1:15" x14ac:dyDescent="0.25">
      <c r="A42" s="18">
        <v>36</v>
      </c>
      <c r="B42" s="8">
        <v>52.5</v>
      </c>
      <c r="C42" s="19">
        <f t="shared" si="0"/>
      </c>
      <c r="D42" s="8">
        <v>1.5</v>
      </c>
      <c r="E42" s="19">
        <f t="shared" si="1"/>
      </c>
      <c r="F42" s="6" t="s">
        <v>130</v>
      </c>
      <c r="G42" s="11">
        <v>31</v>
      </c>
      <c r="H42" s="6" t="s">
        <v>128</v>
      </c>
      <c r="I42" s="20">
        <f>IF(F42="Clay",Input!$C$32*G42,0)</f>
      </c>
      <c r="J42" s="19">
        <f>Input!$C$16/9.81*MIN(E42,Input!$C$14)+(Input!$C$17/9.81-1)*MAX(E42-Input!$C$14,0)</f>
      </c>
      <c r="K42" s="19">
        <f>IF(F42="Clay",MIN(Input!$C$31*I42,Input!$C$30),MIN(Input!$C$29*G42,Input!$C$30))</f>
      </c>
      <c r="L42" s="19">
        <f t="shared" si="2"/>
      </c>
      <c r="M42" s="19">
        <f>IF(H42="L",MIN((1-SIN(RADIANS(IF(F42="Clay",Input!$C$19,Input!$C$18))))*TAN(RADIANS(2/3*IF(F42="Clay",Input!$C$19,Input!$C$18)))*J42,Input!$C$30),IF(F42="Clay",K42,MIN(K42,MIN(MAX(1.5-0.245*SQRT(E42),0.25),1.2)*MIN(G42/15,1)*J42,Input!$C$30)))</f>
      </c>
      <c r="N42" s="20">
        <f>IF(F42="Clay",Input!$C$35*I42,MIN(Input!$C$33*G42,Input!$C$34)/9.81)</f>
      </c>
      <c r="O42" s="21"/>
      <c r="P42" s="11"/>
      <c r="Q42" s="20">
        <f>10*SUMPRODUCT(--($B$7:$B$47&gt;=B42),--($H$7:$H$47="L"),$D$7:$D$47,$P$7:$P$47+($P$7:$P$47="")*Input!$C$24)</f>
      </c>
    </row>
    <row r="43" spans="1:15" x14ac:dyDescent="0.25">
      <c r="A43" s="12">
        <v>37</v>
      </c>
      <c r="B43" s="8">
        <v>54</v>
      </c>
      <c r="C43" s="9">
        <f t="shared" si="0"/>
      </c>
      <c r="D43" s="8">
        <v>1.5</v>
      </c>
      <c r="E43" s="9">
        <f t="shared" si="1"/>
      </c>
      <c r="F43" s="6" t="s">
        <v>127</v>
      </c>
      <c r="G43" s="11">
        <v>29</v>
      </c>
      <c r="H43" s="6" t="s">
        <v>128</v>
      </c>
      <c r="I43" s="16">
        <f>IF(F43="Clay",Input!$C$32*G43,0)</f>
      </c>
      <c r="J43" s="9">
        <f>Input!$C$16/9.81*MIN(E43,Input!$C$14)+(Input!$C$17/9.81-1)*MAX(E43-Input!$C$14,0)</f>
      </c>
      <c r="K43" s="9">
        <f>IF(F43="Clay",MIN(Input!$C$31*I43,Input!$C$30),MIN(Input!$C$29*G43,Input!$C$30))</f>
      </c>
      <c r="L43" s="9">
        <f t="shared" si="2"/>
      </c>
      <c r="M43" s="9">
        <f>IF(H43="L",MIN((1-SIN(RADIANS(IF(F43="Clay",Input!$C$19,Input!$C$18))))*TAN(RADIANS(2/3*IF(F43="Clay",Input!$C$19,Input!$C$18)))*J43,Input!$C$30),IF(F43="Clay",K43,MIN(K43,MIN(MAX(1.5-0.245*SQRT(E43),0.25),1.2)*MIN(G43/15,1)*J43,Input!$C$30)))</f>
      </c>
      <c r="N43" s="16">
        <f>IF(F43="Clay",Input!$C$35*I43,MIN(Input!$C$33*G43,Input!$C$34)/9.81)</f>
      </c>
      <c r="O43" s="17"/>
      <c r="P43" s="11"/>
      <c r="Q43" s="16">
        <f>10*SUMPRODUCT(--($B$7:$B$47&gt;=B43),--($H$7:$H$47="L"),$D$7:$D$47,$P$7:$P$47+($P$7:$P$47="")*Input!$C$24)</f>
      </c>
    </row>
    <row r="44" spans="1:15" x14ac:dyDescent="0.25">
      <c r="A44" s="18">
        <v>38</v>
      </c>
      <c r="B44" s="8">
        <v>55.5</v>
      </c>
      <c r="C44" s="19">
        <f t="shared" si="0"/>
      </c>
      <c r="D44" s="8">
        <v>1.5</v>
      </c>
      <c r="E44" s="19">
        <f t="shared" si="1"/>
      </c>
      <c r="F44" s="6" t="s">
        <v>127</v>
      </c>
      <c r="G44" s="11">
        <v>25</v>
      </c>
      <c r="H44" s="6" t="s">
        <v>128</v>
      </c>
      <c r="I44" s="20">
        <f>IF(F44="Clay",Input!$C$32*G44,0)</f>
      </c>
      <c r="J44" s="19">
        <f>Input!$C$16/9.81*MIN(E44,Input!$C$14)+(Input!$C$17/9.81-1)*MAX(E44-Input!$C$14,0)</f>
      </c>
      <c r="K44" s="19">
        <f>IF(F44="Clay",MIN(Input!$C$31*I44,Input!$C$30),MIN(Input!$C$29*G44,Input!$C$30))</f>
      </c>
      <c r="L44" s="19">
        <f t="shared" si="2"/>
      </c>
      <c r="M44" s="19">
        <f>IF(H44="L",MIN((1-SIN(RADIANS(IF(F44="Clay",Input!$C$19,Input!$C$18))))*TAN(RADIANS(2/3*IF(F44="Clay",Input!$C$19,Input!$C$18)))*J44,Input!$C$30),IF(F44="Clay",K44,MIN(K44,MIN(MAX(1.5-0.245*SQRT(E44),0.25),1.2)*MIN(G44/15,1)*J44,Input!$C$30)))</f>
      </c>
      <c r="N44" s="20">
        <f>IF(F44="Clay",Input!$C$35*I44,MIN(Input!$C$33*G44,Input!$C$34)/9.81)</f>
      </c>
      <c r="O44" s="21"/>
      <c r="P44" s="11"/>
      <c r="Q44" s="20">
        <f>10*SUMPRODUCT(--($B$7:$B$47&gt;=B44),--($H$7:$H$47="L"),$D$7:$D$47,$P$7:$P$47+($P$7:$P$47="")*Input!$C$24)</f>
      </c>
    </row>
    <row r="45" spans="1:15" x14ac:dyDescent="0.25">
      <c r="A45" s="12">
        <v>39</v>
      </c>
      <c r="B45" s="8">
        <v>57</v>
      </c>
      <c r="C45" s="9">
        <f t="shared" si="0"/>
      </c>
      <c r="D45" s="8">
        <v>1.5</v>
      </c>
      <c r="E45" s="9">
        <f t="shared" si="1"/>
      </c>
      <c r="F45" s="6" t="s">
        <v>127</v>
      </c>
      <c r="G45" s="11">
        <v>35</v>
      </c>
      <c r="H45" s="6" t="s">
        <v>128</v>
      </c>
      <c r="I45" s="16">
        <f>IF(F45="Clay",Input!$C$32*G45,0)</f>
      </c>
      <c r="J45" s="9">
        <f>Input!$C$16/9.81*MIN(E45,Input!$C$14)+(Input!$C$17/9.81-1)*MAX(E45-Input!$C$14,0)</f>
      </c>
      <c r="K45" s="9">
        <f>IF(F45="Clay",MIN(Input!$C$31*I45,Input!$C$30),MIN(Input!$C$29*G45,Input!$C$30))</f>
      </c>
      <c r="L45" s="9">
        <f t="shared" si="2"/>
      </c>
      <c r="M45" s="9">
        <f>IF(H45="L",MIN((1-SIN(RADIANS(IF(F45="Clay",Input!$C$19,Input!$C$18))))*TAN(RADIANS(2/3*IF(F45="Clay",Input!$C$19,Input!$C$18)))*J45,Input!$C$30),IF(F45="Clay",K45,MIN(K45,MIN(MAX(1.5-0.245*SQRT(E45),0.25),1.2)*MIN(G45/15,1)*J45,Input!$C$30)))</f>
      </c>
      <c r="N45" s="16">
        <f>IF(F45="Clay",Input!$C$35*I45,MIN(Input!$C$33*G45,Input!$C$34)/9.81)</f>
      </c>
      <c r="O45" s="17"/>
      <c r="P45" s="11"/>
      <c r="Q45" s="16">
        <f>10*SUMPRODUCT(--($B$7:$B$47&gt;=B45),--($H$7:$H$47="L"),$D$7:$D$47,$P$7:$P$47+($P$7:$P$47="")*Input!$C$24)</f>
      </c>
    </row>
    <row r="46" spans="1:15" x14ac:dyDescent="0.25">
      <c r="A46" s="18">
        <v>40</v>
      </c>
      <c r="B46" s="8">
        <v>58.5</v>
      </c>
      <c r="C46" s="19">
        <f t="shared" si="0"/>
      </c>
      <c r="D46" s="8">
        <v>1</v>
      </c>
      <c r="E46" s="19">
        <f t="shared" si="1"/>
      </c>
      <c r="F46" s="6" t="s">
        <v>127</v>
      </c>
      <c r="G46" s="11">
        <v>42</v>
      </c>
      <c r="H46" s="6" t="s">
        <v>128</v>
      </c>
      <c r="I46" s="20">
        <f>IF(F46="Clay",Input!$C$32*G46,0)</f>
      </c>
      <c r="J46" s="19">
        <f>Input!$C$16/9.81*MIN(E46,Input!$C$14)+(Input!$C$17/9.81-1)*MAX(E46-Input!$C$14,0)</f>
      </c>
      <c r="K46" s="19">
        <f>IF(F46="Clay",MIN(Input!$C$31*I46,Input!$C$30),MIN(Input!$C$29*G46,Input!$C$30))</f>
      </c>
      <c r="L46" s="19">
        <f t="shared" si="2"/>
      </c>
      <c r="M46" s="19">
        <f>IF(H46="L",MIN((1-SIN(RADIANS(IF(F46="Clay",Input!$C$19,Input!$C$18))))*TAN(RADIANS(2/3*IF(F46="Clay",Input!$C$19,Input!$C$18)))*J46,Input!$C$30),IF(F46="Clay",K46,MIN(K46,MIN(MAX(1.5-0.245*SQRT(E46),0.25),1.2)*MIN(G46/15,1)*J46,Input!$C$30)))</f>
      </c>
      <c r="N46" s="20">
        <f>IF(F46="Clay",Input!$C$35*I46,MIN(Input!$C$33*G46,Input!$C$34)/9.81)</f>
      </c>
      <c r="O46" s="21"/>
      <c r="P46" s="11"/>
      <c r="Q46" s="20">
        <f>10*SUMPRODUCT(--($B$7:$B$47&gt;=B46),--($H$7:$H$47="L"),$D$7:$D$47,$P$7:$P$47+($P$7:$P$47="")*Input!$C$24)</f>
      </c>
    </row>
    <row r="47" spans="1:15" x14ac:dyDescent="0.25">
      <c r="A47" s="12">
        <v>41</v>
      </c>
      <c r="B47" s="8">
        <v>59.5</v>
      </c>
      <c r="C47" s="9">
        <f t="shared" si="0"/>
      </c>
      <c r="D47" s="8">
        <v>0.5</v>
      </c>
      <c r="E47" s="9">
        <f t="shared" si="1"/>
      </c>
      <c r="F47" s="6" t="s">
        <v>127</v>
      </c>
      <c r="G47" s="11">
        <v>46</v>
      </c>
      <c r="H47" s="6" t="s">
        <v>128</v>
      </c>
      <c r="I47" s="16">
        <f>IF(F47="Clay",Input!$C$32*G47,0)</f>
      </c>
      <c r="J47" s="9">
        <f>Input!$C$16/9.81*MIN(E47,Input!$C$14)+(Input!$C$17/9.81-1)*MAX(E47-Input!$C$14,0)</f>
      </c>
      <c r="K47" s="9">
        <f>IF(F47="Clay",MIN(Input!$C$31*I47,Input!$C$30),MIN(Input!$C$29*G47,Input!$C$30))</f>
      </c>
      <c r="L47" s="9">
        <f t="shared" si="2"/>
      </c>
      <c r="M47" s="9">
        <f>IF(H47="L",MIN((1-SIN(RADIANS(IF(F47="Clay",Input!$C$19,Input!$C$18))))*TAN(RADIANS(2/3*IF(F47="Clay",Input!$C$19,Input!$C$18)))*J47,Input!$C$30),IF(F47="Clay",K47,MIN(K47,MIN(MAX(1.5-0.245*SQRT(E47),0.25),1.2)*MIN(G47/15,1)*J47,Input!$C$30)))</f>
      </c>
      <c r="N47" s="16">
        <f>IF(F47="Clay",Input!$C$35*I47,MIN(Input!$C$33*G47,Input!$C$34)/9.81)</f>
      </c>
      <c r="O47" s="17"/>
      <c r="P47" s="11"/>
      <c r="Q47" s="16">
        <f>10*SUMPRODUCT(--($B$7:$B$47&gt;=B47),--($H$7:$H$47="L"),$D$7:$D$47,$P$7:$P$47+($P$7:$P$47="")*Input!$C$24)</f>
      </c>
    </row>
    <row r="49" spans="1:1" x14ac:dyDescent="0.25">
      <c r="A49" s="1" t="s">
        <v>131</v>
      </c>
    </row>
    <row r="50" spans="1:1" x14ac:dyDescent="0.25">
      <c r="A50" s="1" t="s">
        <v>132</v>
      </c>
    </row>
    <row r="51">
      <c r="A51" s="1" t="inlineStr">
        <is>
          <t xml:space="preserve">εv = regangan volumetrik pasca-likuefaksi (Ishihara &amp; Yoshimine 1992, tabel penurunan laporan likuefaksi). Penurunan tanah di puncak lapisan = Σ εv·tebal lapisan L di bawahnya. Lapisan NL tidak menyumbang penurunan.</t>
        </is>
      </c>
    </row>
  </sheetData>
  <mergeCells count="1">
    <mergeCell ref="A1:O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0" customWidth="1"/>
    <col min="5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133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134</v>
      </c>
      <c r="B5" s="36"/>
      <c r="C5" s="36"/>
      <c r="D5" s="36"/>
      <c r="E5" s="27">
        <f>IFERROR(ROUND(1/(1/_xlfn.SINGLE(_xlfn.MINIFS(A12:A127,L12:L127,TRUE))),2),"&gt; data")</f>
      </c>
      <c r="F5" s="4" t="s">
        <v>25</v>
      </c>
    </row>
    <row r="6" spans="1:14" x14ac:dyDescent="0.25">
      <c r="A6" s="37" t="s">
        <v>135</v>
      </c>
      <c r="B6" s="36"/>
      <c r="C6" s="36"/>
      <c r="D6" s="36"/>
      <c r="E6" s="27">
        <f>IF(ISNUMBER(E5),E5-Input!$C$11,"-")</f>
      </c>
      <c r="F6" s="4" t="s">
        <v>25</v>
      </c>
    </row>
    <row r="7" spans="1:14" x14ac:dyDescent="0.25">
      <c r="A7" s="37" t="s">
        <v>136</v>
      </c>
      <c r="B7" s="36"/>
      <c r="C7" s="36"/>
      <c r="D7" s="36"/>
      <c r="E7" s="27">
        <f>Input!C41&amp;" / "&amp;Input!C42</f>
      </c>
      <c r="F7" s="4" t="s">
        <v>137</v>
      </c>
    </row>
    <row r="10" spans="1:14" ht="42" customHeight="1" x14ac:dyDescent="0.25">
      <c r="A10" s="15" t="s">
        <v>138</v>
      </c>
      <c r="B10" s="15" t="s">
        <v>139</v>
      </c>
      <c r="C10" s="15" t="s">
        <v>140</v>
      </c>
      <c r="D10" s="15" t="s">
        <v>141</v>
      </c>
      <c r="E10" s="15" t="s">
        <v>142</v>
      </c>
      <c r="F10" s="15" t="s">
        <v>143</v>
      </c>
      <c r="G10" s="15" t="s">
        <v>144</v>
      </c>
      <c r="H10" s="15" t="s">
        <v>145</v>
      </c>
      <c r="I10" s="15" t="s">
        <v>146</v>
      </c>
      <c r="J10" s="15" t="s">
        <v>146</v>
      </c>
      <c r="K10" s="15" t="s">
        <v>147</v>
      </c>
      <c r="L10" s="15" t="s">
        <v>148</v>
      </c>
      <c r="M10" s="15" t="s">
        <v>149</v>
      </c>
      <c r="N10" s="15" t="s">
        <v>149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 t="s">
        <v>81</v>
      </c>
      <c r="F11" s="15" t="s">
        <v>150</v>
      </c>
      <c r="G11" s="15" t="s">
        <v>150</v>
      </c>
      <c r="H11" s="15" t="s">
        <v>150</v>
      </c>
      <c r="I11" s="15" t="s">
        <v>150</v>
      </c>
      <c r="J11" s="15" t="s">
        <v>17</v>
      </c>
      <c r="K11" s="15" t="s">
        <v>17</v>
      </c>
      <c r="L11" s="15"/>
      <c r="M11" s="15" t="s">
        <v>150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Tanah'!$K$7:$K$47,((((('Data Tanah'!$C$7:$C$47+A12-Input!$C$28*Input!$C$7)-ABS('Data Tanah'!$C$7:$C$47-(A12-Input!$C$28*Input!$C$7)))/2-(('Data Tanah'!$B$7:$B$47+Input!$C$26)+ABS('Data Tanah'!$B$7:$B$47-(Input!$C$26)))/2)+ABS((('Data Tanah'!$C$7:$C$47+A12-Input!$C$28*Input!$C$7)-ABS('Data Tanah'!$C$7:$C$47-(A12-Input!$C$28*Input!$C$7)))/2-(('Data Tanah'!$B$7:$B$47+Input!$C$26)+ABS('Data Tanah'!$B$7:$B$47-(Input!$C$26)))/2))/2))</f>
      </c>
      <c r="E12" s="16">
        <f>IFERROR(AVERAGEIFS('Data Tanah'!$N$7:$N$47,'Data Tanah'!$E$7:$E$47,"&gt;="&amp;(A12-Input!$C$36*Input!$C$7),'Data Tanah'!$E$7:$E$47,"&lt;="&amp;(A12+Input!$C$37*Input!$C$7)),INDEX('Data Tanah'!$N$7:$N$47,MATCH(A12,'Data Tanah'!$B$7:$B$47,1)))</f>
      </c>
      <c r="F12" s="30">
        <f>E12*Input!$C$9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D12/Input!$C$41+F12/Input!$C$42-H12</f>
      </c>
      <c r="J12" s="25">
        <f t="shared" ref="J12:J43" si="2">I12*9.81</f>
      </c>
      <c r="K12" s="25">
        <f>Input!$C$48</f>
      </c>
      <c r="L12" s="13">
        <f t="shared" ref="L12:L43" si="3">AND(J12&gt;=K12,L13)</f>
      </c>
      <c r="M12" s="30">
        <f>Input!$C$38*D12/Input!$C$43+H12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Tanah'!$K$7:$K$47,((((('Data Tanah'!$C$7:$C$47+A13-Input!$C$28*Input!$C$7)-ABS('Data Tanah'!$C$7:$C$47-(A13-Input!$C$28*Input!$C$7)))/2-(('Data Tanah'!$B$7:$B$47+Input!$C$26)+ABS('Data Tanah'!$B$7:$B$47-(Input!$C$26)))/2)+ABS((('Data Tanah'!$C$7:$C$47+A13-Input!$C$28*Input!$C$7)-ABS('Data Tanah'!$C$7:$C$47-(A13-Input!$C$28*Input!$C$7)))/2-(('Data Tanah'!$B$7:$B$47+Input!$C$26)+ABS('Data Tanah'!$B$7:$B$47-(Input!$C$26)))/2))/2))</f>
      </c>
      <c r="E13" s="20">
        <f>IFERROR(AVERAGEIFS('Data Tanah'!$N$7:$N$47,'Data Tanah'!$E$7:$E$47,"&gt;="&amp;(A13-Input!$C$36*Input!$C$7),'Data Tanah'!$E$7:$E$47,"&lt;="&amp;(A13+Input!$C$37*Input!$C$7)),INDEX('Data Tanah'!$N$7:$N$47,MATCH(A13,'Data Tanah'!$B$7:$B$47,1)))</f>
      </c>
      <c r="F13" s="31">
        <f>E13*Input!$C$9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D13/Input!$C$41+F13/Input!$C$42-H13</f>
      </c>
      <c r="J13" s="32">
        <f t="shared" si="2"/>
      </c>
      <c r="K13" s="32">
        <f>Input!$C$48</f>
      </c>
      <c r="L13" s="33">
        <f t="shared" si="3"/>
      </c>
      <c r="M13" s="31">
        <f>Input!$C$38*D13/Input!$C$43+H13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Tanah'!$K$7:$K$47,((((('Data Tanah'!$C$7:$C$47+A14-Input!$C$28*Input!$C$7)-ABS('Data Tanah'!$C$7:$C$47-(A14-Input!$C$28*Input!$C$7)))/2-(('Data Tanah'!$B$7:$B$47+Input!$C$26)+ABS('Data Tanah'!$B$7:$B$47-(Input!$C$26)))/2)+ABS((('Data Tanah'!$C$7:$C$47+A14-Input!$C$28*Input!$C$7)-ABS('Data Tanah'!$C$7:$C$47-(A14-Input!$C$28*Input!$C$7)))/2-(('Data Tanah'!$B$7:$B$47+Input!$C$26)+ABS('Data Tanah'!$B$7:$B$47-(Input!$C$26)))/2))/2))</f>
      </c>
      <c r="E14" s="16">
        <f>IFERROR(AVERAGEIFS('Data Tanah'!$N$7:$N$47,'Data Tanah'!$E$7:$E$47,"&gt;="&amp;(A14-Input!$C$36*Input!$C$7),'Data Tanah'!$E$7:$E$47,"&lt;="&amp;(A14+Input!$C$37*Input!$C$7)),INDEX('Data Tanah'!$N$7:$N$47,MATCH(A14,'Data Tanah'!$B$7:$B$47,1)))</f>
      </c>
      <c r="F14" s="30">
        <f>E14*Input!$C$9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D14/Input!$C$41+F14/Input!$C$42-H14</f>
      </c>
      <c r="J14" s="25">
        <f t="shared" si="2"/>
      </c>
      <c r="K14" s="25">
        <f>Input!$C$48</f>
      </c>
      <c r="L14" s="13">
        <f t="shared" si="3"/>
      </c>
      <c r="M14" s="30">
        <f>Input!$C$38*D14/Input!$C$43+H14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Tanah'!$K$7:$K$47,((((('Data Tanah'!$C$7:$C$47+A15-Input!$C$28*Input!$C$7)-ABS('Data Tanah'!$C$7:$C$47-(A15-Input!$C$28*Input!$C$7)))/2-(('Data Tanah'!$B$7:$B$47+Input!$C$26)+ABS('Data Tanah'!$B$7:$B$47-(Input!$C$26)))/2)+ABS((('Data Tanah'!$C$7:$C$47+A15-Input!$C$28*Input!$C$7)-ABS('Data Tanah'!$C$7:$C$47-(A15-Input!$C$28*Input!$C$7)))/2-(('Data Tanah'!$B$7:$B$47+Input!$C$26)+ABS('Data Tanah'!$B$7:$B$47-(Input!$C$26)))/2))/2))</f>
      </c>
      <c r="E15" s="20">
        <f>IFERROR(AVERAGEIFS('Data Tanah'!$N$7:$N$47,'Data Tanah'!$E$7:$E$47,"&gt;="&amp;(A15-Input!$C$36*Input!$C$7),'Data Tanah'!$E$7:$E$47,"&lt;="&amp;(A15+Input!$C$37*Input!$C$7)),INDEX('Data Tanah'!$N$7:$N$47,MATCH(A15,'Data Tanah'!$B$7:$B$47,1)))</f>
      </c>
      <c r="F15" s="31">
        <f>E15*Input!$C$9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D15/Input!$C$41+F15/Input!$C$42-H15</f>
      </c>
      <c r="J15" s="32">
        <f t="shared" si="2"/>
      </c>
      <c r="K15" s="32">
        <f>Input!$C$48</f>
      </c>
      <c r="L15" s="33">
        <f t="shared" si="3"/>
      </c>
      <c r="M15" s="31">
        <f>Input!$C$38*D15/Input!$C$43+H15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Tanah'!$K$7:$K$47,((((('Data Tanah'!$C$7:$C$47+A16-Input!$C$28*Input!$C$7)-ABS('Data Tanah'!$C$7:$C$47-(A16-Input!$C$28*Input!$C$7)))/2-(('Data Tanah'!$B$7:$B$47+Input!$C$26)+ABS('Data Tanah'!$B$7:$B$47-(Input!$C$26)))/2)+ABS((('Data Tanah'!$C$7:$C$47+A16-Input!$C$28*Input!$C$7)-ABS('Data Tanah'!$C$7:$C$47-(A16-Input!$C$28*Input!$C$7)))/2-(('Data Tanah'!$B$7:$B$47+Input!$C$26)+ABS('Data Tanah'!$B$7:$B$47-(Input!$C$26)))/2))/2))</f>
      </c>
      <c r="E16" s="16">
        <f>IFERROR(AVERAGEIFS('Data Tanah'!$N$7:$N$47,'Data Tanah'!$E$7:$E$47,"&gt;="&amp;(A16-Input!$C$36*Input!$C$7),'Data Tanah'!$E$7:$E$47,"&lt;="&amp;(A16+Input!$C$37*Input!$C$7)),INDEX('Data Tanah'!$N$7:$N$47,MATCH(A16,'Data Tanah'!$B$7:$B$47,1)))</f>
      </c>
      <c r="F16" s="30">
        <f>E16*Input!$C$9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D16/Input!$C$41+F16/Input!$C$42-H16</f>
      </c>
      <c r="J16" s="25">
        <f t="shared" si="2"/>
      </c>
      <c r="K16" s="25">
        <f>Input!$C$48</f>
      </c>
      <c r="L16" s="13">
        <f t="shared" si="3"/>
      </c>
      <c r="M16" s="30">
        <f>Input!$C$38*D16/Input!$C$43+H16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Tanah'!$K$7:$K$47,((((('Data Tanah'!$C$7:$C$47+A17-Input!$C$28*Input!$C$7)-ABS('Data Tanah'!$C$7:$C$47-(A17-Input!$C$28*Input!$C$7)))/2-(('Data Tanah'!$B$7:$B$47+Input!$C$26)+ABS('Data Tanah'!$B$7:$B$47-(Input!$C$26)))/2)+ABS((('Data Tanah'!$C$7:$C$47+A17-Input!$C$28*Input!$C$7)-ABS('Data Tanah'!$C$7:$C$47-(A17-Input!$C$28*Input!$C$7)))/2-(('Data Tanah'!$B$7:$B$47+Input!$C$26)+ABS('Data Tanah'!$B$7:$B$47-(Input!$C$26)))/2))/2))</f>
      </c>
      <c r="E17" s="20">
        <f>IFERROR(AVERAGEIFS('Data Tanah'!$N$7:$N$47,'Data Tanah'!$E$7:$E$47,"&gt;="&amp;(A17-Input!$C$36*Input!$C$7),'Data Tanah'!$E$7:$E$47,"&lt;="&amp;(A17+Input!$C$37*Input!$C$7)),INDEX('Data Tanah'!$N$7:$N$47,MATCH(A17,'Data Tanah'!$B$7:$B$47,1)))</f>
      </c>
      <c r="F17" s="31">
        <f>E17*Input!$C$9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D17/Input!$C$41+F17/Input!$C$42-H17</f>
      </c>
      <c r="J17" s="32">
        <f t="shared" si="2"/>
      </c>
      <c r="K17" s="32">
        <f>Input!$C$48</f>
      </c>
      <c r="L17" s="33">
        <f t="shared" si="3"/>
      </c>
      <c r="M17" s="31">
        <f>Input!$C$38*D17/Input!$C$43+H17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Tanah'!$K$7:$K$47,((((('Data Tanah'!$C$7:$C$47+A18-Input!$C$28*Input!$C$7)-ABS('Data Tanah'!$C$7:$C$47-(A18-Input!$C$28*Input!$C$7)))/2-(('Data Tanah'!$B$7:$B$47+Input!$C$26)+ABS('Data Tanah'!$B$7:$B$47-(Input!$C$26)))/2)+ABS((('Data Tanah'!$C$7:$C$47+A18-Input!$C$28*Input!$C$7)-ABS('Data Tanah'!$C$7:$C$47-(A18-Input!$C$28*Input!$C$7)))/2-(('Data Tanah'!$B$7:$B$47+Input!$C$26)+ABS('Data Tanah'!$B$7:$B$47-(Input!$C$26)))/2))/2))</f>
      </c>
      <c r="E18" s="16">
        <f>IFERROR(AVERAGEIFS('Data Tanah'!$N$7:$N$47,'Data Tanah'!$E$7:$E$47,"&gt;="&amp;(A18-Input!$C$36*Input!$C$7),'Data Tanah'!$E$7:$E$47,"&lt;="&amp;(A18+Input!$C$37*Input!$C$7)),INDEX('Data Tanah'!$N$7:$N$47,MATCH(A18,'Data Tanah'!$B$7:$B$47,1)))</f>
      </c>
      <c r="F18" s="30">
        <f>E18*Input!$C$9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D18/Input!$C$41+F18/Input!$C$42-H18</f>
      </c>
      <c r="J18" s="25">
        <f t="shared" si="2"/>
      </c>
      <c r="K18" s="25">
        <f>Input!$C$48</f>
      </c>
      <c r="L18" s="13">
        <f t="shared" si="3"/>
      </c>
      <c r="M18" s="30">
        <f>Input!$C$38*D18/Input!$C$43+H18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Tanah'!$K$7:$K$47,((((('Data Tanah'!$C$7:$C$47+A19-Input!$C$28*Input!$C$7)-ABS('Data Tanah'!$C$7:$C$47-(A19-Input!$C$28*Input!$C$7)))/2-(('Data Tanah'!$B$7:$B$47+Input!$C$26)+ABS('Data Tanah'!$B$7:$B$47-(Input!$C$26)))/2)+ABS((('Data Tanah'!$C$7:$C$47+A19-Input!$C$28*Input!$C$7)-ABS('Data Tanah'!$C$7:$C$47-(A19-Input!$C$28*Input!$C$7)))/2-(('Data Tanah'!$B$7:$B$47+Input!$C$26)+ABS('Data Tanah'!$B$7:$B$47-(Input!$C$26)))/2))/2))</f>
      </c>
      <c r="E19" s="20">
        <f>IFERROR(AVERAGEIFS('Data Tanah'!$N$7:$N$47,'Data Tanah'!$E$7:$E$47,"&gt;="&amp;(A19-Input!$C$36*Input!$C$7),'Data Tanah'!$E$7:$E$47,"&lt;="&amp;(A19+Input!$C$37*Input!$C$7)),INDEX('Data Tanah'!$N$7:$N$47,MATCH(A19,'Data Tanah'!$B$7:$B$47,1)))</f>
      </c>
      <c r="F19" s="31">
        <f>E19*Input!$C$9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D19/Input!$C$41+F19/Input!$C$42-H19</f>
      </c>
      <c r="J19" s="32">
        <f t="shared" si="2"/>
      </c>
      <c r="K19" s="32">
        <f>Input!$C$48</f>
      </c>
      <c r="L19" s="33">
        <f t="shared" si="3"/>
      </c>
      <c r="M19" s="31">
        <f>Input!$C$38*D19/Input!$C$43+H19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Tanah'!$K$7:$K$47,((((('Data Tanah'!$C$7:$C$47+A20-Input!$C$28*Input!$C$7)-ABS('Data Tanah'!$C$7:$C$47-(A20-Input!$C$28*Input!$C$7)))/2-(('Data Tanah'!$B$7:$B$47+Input!$C$26)+ABS('Data Tanah'!$B$7:$B$47-(Input!$C$26)))/2)+ABS((('Data Tanah'!$C$7:$C$47+A20-Input!$C$28*Input!$C$7)-ABS('Data Tanah'!$C$7:$C$47-(A20-Input!$C$28*Input!$C$7)))/2-(('Data Tanah'!$B$7:$B$47+Input!$C$26)+ABS('Data Tanah'!$B$7:$B$47-(Input!$C$26)))/2))/2))</f>
      </c>
      <c r="E20" s="16">
        <f>IFERROR(AVERAGEIFS('Data Tanah'!$N$7:$N$47,'Data Tanah'!$E$7:$E$47,"&gt;="&amp;(A20-Input!$C$36*Input!$C$7),'Data Tanah'!$E$7:$E$47,"&lt;="&amp;(A20+Input!$C$37*Input!$C$7)),INDEX('Data Tanah'!$N$7:$N$47,MATCH(A20,'Data Tanah'!$B$7:$B$47,1)))</f>
      </c>
      <c r="F20" s="30">
        <f>E20*Input!$C$9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D20/Input!$C$41+F20/Input!$C$42-H20</f>
      </c>
      <c r="J20" s="25">
        <f t="shared" si="2"/>
      </c>
      <c r="K20" s="25">
        <f>Input!$C$48</f>
      </c>
      <c r="L20" s="13">
        <f t="shared" si="3"/>
      </c>
      <c r="M20" s="30">
        <f>Input!$C$38*D20/Input!$C$43+H20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Tanah'!$K$7:$K$47,((((('Data Tanah'!$C$7:$C$47+A21-Input!$C$28*Input!$C$7)-ABS('Data Tanah'!$C$7:$C$47-(A21-Input!$C$28*Input!$C$7)))/2-(('Data Tanah'!$B$7:$B$47+Input!$C$26)+ABS('Data Tanah'!$B$7:$B$47-(Input!$C$26)))/2)+ABS((('Data Tanah'!$C$7:$C$47+A21-Input!$C$28*Input!$C$7)-ABS('Data Tanah'!$C$7:$C$47-(A21-Input!$C$28*Input!$C$7)))/2-(('Data Tanah'!$B$7:$B$47+Input!$C$26)+ABS('Data Tanah'!$B$7:$B$47-(Input!$C$26)))/2))/2))</f>
      </c>
      <c r="E21" s="20">
        <f>IFERROR(AVERAGEIFS('Data Tanah'!$N$7:$N$47,'Data Tanah'!$E$7:$E$47,"&gt;="&amp;(A21-Input!$C$36*Input!$C$7),'Data Tanah'!$E$7:$E$47,"&lt;="&amp;(A21+Input!$C$37*Input!$C$7)),INDEX('Data Tanah'!$N$7:$N$47,MATCH(A21,'Data Tanah'!$B$7:$B$47,1)))</f>
      </c>
      <c r="F21" s="31">
        <f>E21*Input!$C$9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D21/Input!$C$41+F21/Input!$C$42-H21</f>
      </c>
      <c r="J21" s="32">
        <f t="shared" si="2"/>
      </c>
      <c r="K21" s="32">
        <f>Input!$C$48</f>
      </c>
      <c r="L21" s="33">
        <f t="shared" si="3"/>
      </c>
      <c r="M21" s="31">
        <f>Input!$C$38*D21/Input!$C$43+H21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Tanah'!$K$7:$K$47,((((('Data Tanah'!$C$7:$C$47+A22-Input!$C$28*Input!$C$7)-ABS('Data Tanah'!$C$7:$C$47-(A22-Input!$C$28*Input!$C$7)))/2-(('Data Tanah'!$B$7:$B$47+Input!$C$26)+ABS('Data Tanah'!$B$7:$B$47-(Input!$C$26)))/2)+ABS((('Data Tanah'!$C$7:$C$47+A22-Input!$C$28*Input!$C$7)-ABS('Data Tanah'!$C$7:$C$47-(A22-Input!$C$28*Input!$C$7)))/2-(('Data Tanah'!$B$7:$B$47+Input!$C$26)+ABS('Data Tanah'!$B$7:$B$47-(Input!$C$26)))/2))/2))</f>
      </c>
      <c r="E22" s="16">
        <f>IFERROR(AVERAGEIFS('Data Tanah'!$N$7:$N$47,'Data Tanah'!$E$7:$E$47,"&gt;="&amp;(A22-Input!$C$36*Input!$C$7),'Data Tanah'!$E$7:$E$47,"&lt;="&amp;(A22+Input!$C$37*Input!$C$7)),INDEX('Data Tanah'!$N$7:$N$47,MATCH(A22,'Data Tanah'!$B$7:$B$47,1)))</f>
      </c>
      <c r="F22" s="30">
        <f>E22*Input!$C$9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D22/Input!$C$41+F22/Input!$C$42-H22</f>
      </c>
      <c r="J22" s="25">
        <f t="shared" si="2"/>
      </c>
      <c r="K22" s="25">
        <f>Input!$C$48</f>
      </c>
      <c r="L22" s="13">
        <f t="shared" si="3"/>
      </c>
      <c r="M22" s="30">
        <f>Input!$C$38*D22/Input!$C$43+H22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Tanah'!$K$7:$K$47,((((('Data Tanah'!$C$7:$C$47+A23-Input!$C$28*Input!$C$7)-ABS('Data Tanah'!$C$7:$C$47-(A23-Input!$C$28*Input!$C$7)))/2-(('Data Tanah'!$B$7:$B$47+Input!$C$26)+ABS('Data Tanah'!$B$7:$B$47-(Input!$C$26)))/2)+ABS((('Data Tanah'!$C$7:$C$47+A23-Input!$C$28*Input!$C$7)-ABS('Data Tanah'!$C$7:$C$47-(A23-Input!$C$28*Input!$C$7)))/2-(('Data Tanah'!$B$7:$B$47+Input!$C$26)+ABS('Data Tanah'!$B$7:$B$47-(Input!$C$26)))/2))/2))</f>
      </c>
      <c r="E23" s="20">
        <f>IFERROR(AVERAGEIFS('Data Tanah'!$N$7:$N$47,'Data Tanah'!$E$7:$E$47,"&gt;="&amp;(A23-Input!$C$36*Input!$C$7),'Data Tanah'!$E$7:$E$47,"&lt;="&amp;(A23+Input!$C$37*Input!$C$7)),INDEX('Data Tanah'!$N$7:$N$47,MATCH(A23,'Data Tanah'!$B$7:$B$47,1)))</f>
      </c>
      <c r="F23" s="31">
        <f>E23*Input!$C$9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D23/Input!$C$41+F23/Input!$C$42-H23</f>
      </c>
      <c r="J23" s="32">
        <f t="shared" si="2"/>
      </c>
      <c r="K23" s="32">
        <f>Input!$C$48</f>
      </c>
      <c r="L23" s="33">
        <f t="shared" si="3"/>
      </c>
      <c r="M23" s="31">
        <f>Input!$C$38*D23/Input!$C$43+H23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Tanah'!$K$7:$K$47,((((('Data Tanah'!$C$7:$C$47+A24-Input!$C$28*Input!$C$7)-ABS('Data Tanah'!$C$7:$C$47-(A24-Input!$C$28*Input!$C$7)))/2-(('Data Tanah'!$B$7:$B$47+Input!$C$26)+ABS('Data Tanah'!$B$7:$B$47-(Input!$C$26)))/2)+ABS((('Data Tanah'!$C$7:$C$47+A24-Input!$C$28*Input!$C$7)-ABS('Data Tanah'!$C$7:$C$47-(A24-Input!$C$28*Input!$C$7)))/2-(('Data Tanah'!$B$7:$B$47+Input!$C$26)+ABS('Data Tanah'!$B$7:$B$47-(Input!$C$26)))/2))/2))</f>
      </c>
      <c r="E24" s="16">
        <f>IFERROR(AVERAGEIFS('Data Tanah'!$N$7:$N$47,'Data Tanah'!$E$7:$E$47,"&gt;="&amp;(A24-Input!$C$36*Input!$C$7),'Data Tanah'!$E$7:$E$47,"&lt;="&amp;(A24+Input!$C$37*Input!$C$7)),INDEX('Data Tanah'!$N$7:$N$47,MATCH(A24,'Data Tanah'!$B$7:$B$47,1)))</f>
      </c>
      <c r="F24" s="30">
        <f>E24*Input!$C$9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D24/Input!$C$41+F24/Input!$C$42-H24</f>
      </c>
      <c r="J24" s="25">
        <f t="shared" si="2"/>
      </c>
      <c r="K24" s="25">
        <f>Input!$C$48</f>
      </c>
      <c r="L24" s="13">
        <f t="shared" si="3"/>
      </c>
      <c r="M24" s="30">
        <f>Input!$C$38*D24/Input!$C$43+H24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Tanah'!$K$7:$K$47,((((('Data Tanah'!$C$7:$C$47+A25-Input!$C$28*Input!$C$7)-ABS('Data Tanah'!$C$7:$C$47-(A25-Input!$C$28*Input!$C$7)))/2-(('Data Tanah'!$B$7:$B$47+Input!$C$26)+ABS('Data Tanah'!$B$7:$B$47-(Input!$C$26)))/2)+ABS((('Data Tanah'!$C$7:$C$47+A25-Input!$C$28*Input!$C$7)-ABS('Data Tanah'!$C$7:$C$47-(A25-Input!$C$28*Input!$C$7)))/2-(('Data Tanah'!$B$7:$B$47+Input!$C$26)+ABS('Data Tanah'!$B$7:$B$47-(Input!$C$26)))/2))/2))</f>
      </c>
      <c r="E25" s="20">
        <f>IFERROR(AVERAGEIFS('Data Tanah'!$N$7:$N$47,'Data Tanah'!$E$7:$E$47,"&gt;="&amp;(A25-Input!$C$36*Input!$C$7),'Data Tanah'!$E$7:$E$47,"&lt;="&amp;(A25+Input!$C$37*Input!$C$7)),INDEX('Data Tanah'!$N$7:$N$47,MATCH(A25,'Data Tanah'!$B$7:$B$47,1)))</f>
      </c>
      <c r="F25" s="31">
        <f>E25*Input!$C$9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D25/Input!$C$41+F25/Input!$C$42-H25</f>
      </c>
      <c r="J25" s="32">
        <f t="shared" si="2"/>
      </c>
      <c r="K25" s="32">
        <f>Input!$C$48</f>
      </c>
      <c r="L25" s="33">
        <f t="shared" si="3"/>
      </c>
      <c r="M25" s="31">
        <f>Input!$C$38*D25/Input!$C$43+H25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Tanah'!$K$7:$K$47,((((('Data Tanah'!$C$7:$C$47+A26-Input!$C$28*Input!$C$7)-ABS('Data Tanah'!$C$7:$C$47-(A26-Input!$C$28*Input!$C$7)))/2-(('Data Tanah'!$B$7:$B$47+Input!$C$26)+ABS('Data Tanah'!$B$7:$B$47-(Input!$C$26)))/2)+ABS((('Data Tanah'!$C$7:$C$47+A26-Input!$C$28*Input!$C$7)-ABS('Data Tanah'!$C$7:$C$47-(A26-Input!$C$28*Input!$C$7)))/2-(('Data Tanah'!$B$7:$B$47+Input!$C$26)+ABS('Data Tanah'!$B$7:$B$47-(Input!$C$26)))/2))/2))</f>
      </c>
      <c r="E26" s="16">
        <f>IFERROR(AVERAGEIFS('Data Tanah'!$N$7:$N$47,'Data Tanah'!$E$7:$E$47,"&gt;="&amp;(A26-Input!$C$36*Input!$C$7),'Data Tanah'!$E$7:$E$47,"&lt;="&amp;(A26+Input!$C$37*Input!$C$7)),INDEX('Data Tanah'!$N$7:$N$47,MATCH(A26,'Data Tanah'!$B$7:$B$47,1)))</f>
      </c>
      <c r="F26" s="30">
        <f>E26*Input!$C$9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D26/Input!$C$41+F26/Input!$C$42-H26</f>
      </c>
      <c r="J26" s="25">
        <f t="shared" si="2"/>
      </c>
      <c r="K26" s="25">
        <f>Input!$C$48</f>
      </c>
      <c r="L26" s="13">
        <f t="shared" si="3"/>
      </c>
      <c r="M26" s="30">
        <f>Input!$C$38*D26/Input!$C$43+H26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Tanah'!$K$7:$K$47,((((('Data Tanah'!$C$7:$C$47+A27-Input!$C$28*Input!$C$7)-ABS('Data Tanah'!$C$7:$C$47-(A27-Input!$C$28*Input!$C$7)))/2-(('Data Tanah'!$B$7:$B$47+Input!$C$26)+ABS('Data Tanah'!$B$7:$B$47-(Input!$C$26)))/2)+ABS((('Data Tanah'!$C$7:$C$47+A27-Input!$C$28*Input!$C$7)-ABS('Data Tanah'!$C$7:$C$47-(A27-Input!$C$28*Input!$C$7)))/2-(('Data Tanah'!$B$7:$B$47+Input!$C$26)+ABS('Data Tanah'!$B$7:$B$47-(Input!$C$26)))/2))/2))</f>
      </c>
      <c r="E27" s="20">
        <f>IFERROR(AVERAGEIFS('Data Tanah'!$N$7:$N$47,'Data Tanah'!$E$7:$E$47,"&gt;="&amp;(A27-Input!$C$36*Input!$C$7),'Data Tanah'!$E$7:$E$47,"&lt;="&amp;(A27+Input!$C$37*Input!$C$7)),INDEX('Data Tanah'!$N$7:$N$47,MATCH(A27,'Data Tanah'!$B$7:$B$47,1)))</f>
      </c>
      <c r="F27" s="31">
        <f>E27*Input!$C$9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D27/Input!$C$41+F27/Input!$C$42-H27</f>
      </c>
      <c r="J27" s="32">
        <f t="shared" si="2"/>
      </c>
      <c r="K27" s="32">
        <f>Input!$C$48</f>
      </c>
      <c r="L27" s="33">
        <f t="shared" si="3"/>
      </c>
      <c r="M27" s="31">
        <f>Input!$C$38*D27/Input!$C$43+H27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Tanah'!$K$7:$K$47,((((('Data Tanah'!$C$7:$C$47+A28-Input!$C$28*Input!$C$7)-ABS('Data Tanah'!$C$7:$C$47-(A28-Input!$C$28*Input!$C$7)))/2-(('Data Tanah'!$B$7:$B$47+Input!$C$26)+ABS('Data Tanah'!$B$7:$B$47-(Input!$C$26)))/2)+ABS((('Data Tanah'!$C$7:$C$47+A28-Input!$C$28*Input!$C$7)-ABS('Data Tanah'!$C$7:$C$47-(A28-Input!$C$28*Input!$C$7)))/2-(('Data Tanah'!$B$7:$B$47+Input!$C$26)+ABS('Data Tanah'!$B$7:$B$47-(Input!$C$26)))/2))/2))</f>
      </c>
      <c r="E28" s="16">
        <f>IFERROR(AVERAGEIFS('Data Tanah'!$N$7:$N$47,'Data Tanah'!$E$7:$E$47,"&gt;="&amp;(A28-Input!$C$36*Input!$C$7),'Data Tanah'!$E$7:$E$47,"&lt;="&amp;(A28+Input!$C$37*Input!$C$7)),INDEX('Data Tanah'!$N$7:$N$47,MATCH(A28,'Data Tanah'!$B$7:$B$47,1)))</f>
      </c>
      <c r="F28" s="30">
        <f>E28*Input!$C$9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D28/Input!$C$41+F28/Input!$C$42-H28</f>
      </c>
      <c r="J28" s="25">
        <f t="shared" si="2"/>
      </c>
      <c r="K28" s="25">
        <f>Input!$C$48</f>
      </c>
      <c r="L28" s="13">
        <f t="shared" si="3"/>
      </c>
      <c r="M28" s="30">
        <f>Input!$C$38*D28/Input!$C$43+H28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Tanah'!$K$7:$K$47,((((('Data Tanah'!$C$7:$C$47+A29-Input!$C$28*Input!$C$7)-ABS('Data Tanah'!$C$7:$C$47-(A29-Input!$C$28*Input!$C$7)))/2-(('Data Tanah'!$B$7:$B$47+Input!$C$26)+ABS('Data Tanah'!$B$7:$B$47-(Input!$C$26)))/2)+ABS((('Data Tanah'!$C$7:$C$47+A29-Input!$C$28*Input!$C$7)-ABS('Data Tanah'!$C$7:$C$47-(A29-Input!$C$28*Input!$C$7)))/2-(('Data Tanah'!$B$7:$B$47+Input!$C$26)+ABS('Data Tanah'!$B$7:$B$47-(Input!$C$26)))/2))/2))</f>
      </c>
      <c r="E29" s="20">
        <f>IFERROR(AVERAGEIFS('Data Tanah'!$N$7:$N$47,'Data Tanah'!$E$7:$E$47,"&gt;="&amp;(A29-Input!$C$36*Input!$C$7),'Data Tanah'!$E$7:$E$47,"&lt;="&amp;(A29+Input!$C$37*Input!$C$7)),INDEX('Data Tanah'!$N$7:$N$47,MATCH(A29,'Data Tanah'!$B$7:$B$47,1)))</f>
      </c>
      <c r="F29" s="31">
        <f>E29*Input!$C$9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D29/Input!$C$41+F29/Input!$C$42-H29</f>
      </c>
      <c r="J29" s="32">
        <f t="shared" si="2"/>
      </c>
      <c r="K29" s="32">
        <f>Input!$C$48</f>
      </c>
      <c r="L29" s="33">
        <f t="shared" si="3"/>
      </c>
      <c r="M29" s="31">
        <f>Input!$C$38*D29/Input!$C$43+H29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Tanah'!$K$7:$K$47,((((('Data Tanah'!$C$7:$C$47+A30-Input!$C$28*Input!$C$7)-ABS('Data Tanah'!$C$7:$C$47-(A30-Input!$C$28*Input!$C$7)))/2-(('Data Tanah'!$B$7:$B$47+Input!$C$26)+ABS('Data Tanah'!$B$7:$B$47-(Input!$C$26)))/2)+ABS((('Data Tanah'!$C$7:$C$47+A30-Input!$C$28*Input!$C$7)-ABS('Data Tanah'!$C$7:$C$47-(A30-Input!$C$28*Input!$C$7)))/2-(('Data Tanah'!$B$7:$B$47+Input!$C$26)+ABS('Data Tanah'!$B$7:$B$47-(Input!$C$26)))/2))/2))</f>
      </c>
      <c r="E30" s="16">
        <f>IFERROR(AVERAGEIFS('Data Tanah'!$N$7:$N$47,'Data Tanah'!$E$7:$E$47,"&gt;="&amp;(A30-Input!$C$36*Input!$C$7),'Data Tanah'!$E$7:$E$47,"&lt;="&amp;(A30+Input!$C$37*Input!$C$7)),INDEX('Data Tanah'!$N$7:$N$47,MATCH(A30,'Data Tanah'!$B$7:$B$47,1)))</f>
      </c>
      <c r="F30" s="30">
        <f>E30*Input!$C$9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D30/Input!$C$41+F30/Input!$C$42-H30</f>
      </c>
      <c r="J30" s="25">
        <f t="shared" si="2"/>
      </c>
      <c r="K30" s="25">
        <f>Input!$C$48</f>
      </c>
      <c r="L30" s="13">
        <f t="shared" si="3"/>
      </c>
      <c r="M30" s="30">
        <f>Input!$C$38*D30/Input!$C$43+H30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Tanah'!$K$7:$K$47,((((('Data Tanah'!$C$7:$C$47+A31-Input!$C$28*Input!$C$7)-ABS('Data Tanah'!$C$7:$C$47-(A31-Input!$C$28*Input!$C$7)))/2-(('Data Tanah'!$B$7:$B$47+Input!$C$26)+ABS('Data Tanah'!$B$7:$B$47-(Input!$C$26)))/2)+ABS((('Data Tanah'!$C$7:$C$47+A31-Input!$C$28*Input!$C$7)-ABS('Data Tanah'!$C$7:$C$47-(A31-Input!$C$28*Input!$C$7)))/2-(('Data Tanah'!$B$7:$B$47+Input!$C$26)+ABS('Data Tanah'!$B$7:$B$47-(Input!$C$26)))/2))/2))</f>
      </c>
      <c r="E31" s="20">
        <f>IFERROR(AVERAGEIFS('Data Tanah'!$N$7:$N$47,'Data Tanah'!$E$7:$E$47,"&gt;="&amp;(A31-Input!$C$36*Input!$C$7),'Data Tanah'!$E$7:$E$47,"&lt;="&amp;(A31+Input!$C$37*Input!$C$7)),INDEX('Data Tanah'!$N$7:$N$47,MATCH(A31,'Data Tanah'!$B$7:$B$47,1)))</f>
      </c>
      <c r="F31" s="31">
        <f>E31*Input!$C$9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D31/Input!$C$41+F31/Input!$C$42-H31</f>
      </c>
      <c r="J31" s="32">
        <f t="shared" si="2"/>
      </c>
      <c r="K31" s="32">
        <f>Input!$C$48</f>
      </c>
      <c r="L31" s="33">
        <f t="shared" si="3"/>
      </c>
      <c r="M31" s="31">
        <f>Input!$C$38*D31/Input!$C$43+H31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Tanah'!$K$7:$K$47,((((('Data Tanah'!$C$7:$C$47+A32-Input!$C$28*Input!$C$7)-ABS('Data Tanah'!$C$7:$C$47-(A32-Input!$C$28*Input!$C$7)))/2-(('Data Tanah'!$B$7:$B$47+Input!$C$26)+ABS('Data Tanah'!$B$7:$B$47-(Input!$C$26)))/2)+ABS((('Data Tanah'!$C$7:$C$47+A32-Input!$C$28*Input!$C$7)-ABS('Data Tanah'!$C$7:$C$47-(A32-Input!$C$28*Input!$C$7)))/2-(('Data Tanah'!$B$7:$B$47+Input!$C$26)+ABS('Data Tanah'!$B$7:$B$47-(Input!$C$26)))/2))/2))</f>
      </c>
      <c r="E32" s="16">
        <f>IFERROR(AVERAGEIFS('Data Tanah'!$N$7:$N$47,'Data Tanah'!$E$7:$E$47,"&gt;="&amp;(A32-Input!$C$36*Input!$C$7),'Data Tanah'!$E$7:$E$47,"&lt;="&amp;(A32+Input!$C$37*Input!$C$7)),INDEX('Data Tanah'!$N$7:$N$47,MATCH(A32,'Data Tanah'!$B$7:$B$47,1)))</f>
      </c>
      <c r="F32" s="30">
        <f>E32*Input!$C$9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D32/Input!$C$41+F32/Input!$C$42-H32</f>
      </c>
      <c r="J32" s="25">
        <f t="shared" si="2"/>
      </c>
      <c r="K32" s="25">
        <f>Input!$C$48</f>
      </c>
      <c r="L32" s="13">
        <f t="shared" si="3"/>
      </c>
      <c r="M32" s="30">
        <f>Input!$C$38*D32/Input!$C$43+H32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Tanah'!$K$7:$K$47,((((('Data Tanah'!$C$7:$C$47+A33-Input!$C$28*Input!$C$7)-ABS('Data Tanah'!$C$7:$C$47-(A33-Input!$C$28*Input!$C$7)))/2-(('Data Tanah'!$B$7:$B$47+Input!$C$26)+ABS('Data Tanah'!$B$7:$B$47-(Input!$C$26)))/2)+ABS((('Data Tanah'!$C$7:$C$47+A33-Input!$C$28*Input!$C$7)-ABS('Data Tanah'!$C$7:$C$47-(A33-Input!$C$28*Input!$C$7)))/2-(('Data Tanah'!$B$7:$B$47+Input!$C$26)+ABS('Data Tanah'!$B$7:$B$47-(Input!$C$26)))/2))/2))</f>
      </c>
      <c r="E33" s="20">
        <f>IFERROR(AVERAGEIFS('Data Tanah'!$N$7:$N$47,'Data Tanah'!$E$7:$E$47,"&gt;="&amp;(A33-Input!$C$36*Input!$C$7),'Data Tanah'!$E$7:$E$47,"&lt;="&amp;(A33+Input!$C$37*Input!$C$7)),INDEX('Data Tanah'!$N$7:$N$47,MATCH(A33,'Data Tanah'!$B$7:$B$47,1)))</f>
      </c>
      <c r="F33" s="31">
        <f>E33*Input!$C$9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D33/Input!$C$41+F33/Input!$C$42-H33</f>
      </c>
      <c r="J33" s="32">
        <f t="shared" si="2"/>
      </c>
      <c r="K33" s="32">
        <f>Input!$C$48</f>
      </c>
      <c r="L33" s="33">
        <f t="shared" si="3"/>
      </c>
      <c r="M33" s="31">
        <f>Input!$C$38*D33/Input!$C$43+H33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Tanah'!$K$7:$K$47,((((('Data Tanah'!$C$7:$C$47+A34-Input!$C$28*Input!$C$7)-ABS('Data Tanah'!$C$7:$C$47-(A34-Input!$C$28*Input!$C$7)))/2-(('Data Tanah'!$B$7:$B$47+Input!$C$26)+ABS('Data Tanah'!$B$7:$B$47-(Input!$C$26)))/2)+ABS((('Data Tanah'!$C$7:$C$47+A34-Input!$C$28*Input!$C$7)-ABS('Data Tanah'!$C$7:$C$47-(A34-Input!$C$28*Input!$C$7)))/2-(('Data Tanah'!$B$7:$B$47+Input!$C$26)+ABS('Data Tanah'!$B$7:$B$47-(Input!$C$26)))/2))/2))</f>
      </c>
      <c r="E34" s="16">
        <f>IFERROR(AVERAGEIFS('Data Tanah'!$N$7:$N$47,'Data Tanah'!$E$7:$E$47,"&gt;="&amp;(A34-Input!$C$36*Input!$C$7),'Data Tanah'!$E$7:$E$47,"&lt;="&amp;(A34+Input!$C$37*Input!$C$7)),INDEX('Data Tanah'!$N$7:$N$47,MATCH(A34,'Data Tanah'!$B$7:$B$47,1)))</f>
      </c>
      <c r="F34" s="30">
        <f>E34*Input!$C$9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D34/Input!$C$41+F34/Input!$C$42-H34</f>
      </c>
      <c r="J34" s="25">
        <f t="shared" si="2"/>
      </c>
      <c r="K34" s="25">
        <f>Input!$C$48</f>
      </c>
      <c r="L34" s="13">
        <f t="shared" si="3"/>
      </c>
      <c r="M34" s="30">
        <f>Input!$C$38*D34/Input!$C$43+H34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Tanah'!$K$7:$K$47,((((('Data Tanah'!$C$7:$C$47+A35-Input!$C$28*Input!$C$7)-ABS('Data Tanah'!$C$7:$C$47-(A35-Input!$C$28*Input!$C$7)))/2-(('Data Tanah'!$B$7:$B$47+Input!$C$26)+ABS('Data Tanah'!$B$7:$B$47-(Input!$C$26)))/2)+ABS((('Data Tanah'!$C$7:$C$47+A35-Input!$C$28*Input!$C$7)-ABS('Data Tanah'!$C$7:$C$47-(A35-Input!$C$28*Input!$C$7)))/2-(('Data Tanah'!$B$7:$B$47+Input!$C$26)+ABS('Data Tanah'!$B$7:$B$47-(Input!$C$26)))/2))/2))</f>
      </c>
      <c r="E35" s="20">
        <f>IFERROR(AVERAGEIFS('Data Tanah'!$N$7:$N$47,'Data Tanah'!$E$7:$E$47,"&gt;="&amp;(A35-Input!$C$36*Input!$C$7),'Data Tanah'!$E$7:$E$47,"&lt;="&amp;(A35+Input!$C$37*Input!$C$7)),INDEX('Data Tanah'!$N$7:$N$47,MATCH(A35,'Data Tanah'!$B$7:$B$47,1)))</f>
      </c>
      <c r="F35" s="31">
        <f>E35*Input!$C$9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D35/Input!$C$41+F35/Input!$C$42-H35</f>
      </c>
      <c r="J35" s="32">
        <f t="shared" si="2"/>
      </c>
      <c r="K35" s="32">
        <f>Input!$C$48</f>
      </c>
      <c r="L35" s="33">
        <f t="shared" si="3"/>
      </c>
      <c r="M35" s="31">
        <f>Input!$C$38*D35/Input!$C$43+H35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Tanah'!$K$7:$K$47,((((('Data Tanah'!$C$7:$C$47+A36-Input!$C$28*Input!$C$7)-ABS('Data Tanah'!$C$7:$C$47-(A36-Input!$C$28*Input!$C$7)))/2-(('Data Tanah'!$B$7:$B$47+Input!$C$26)+ABS('Data Tanah'!$B$7:$B$47-(Input!$C$26)))/2)+ABS((('Data Tanah'!$C$7:$C$47+A36-Input!$C$28*Input!$C$7)-ABS('Data Tanah'!$C$7:$C$47-(A36-Input!$C$28*Input!$C$7)))/2-(('Data Tanah'!$B$7:$B$47+Input!$C$26)+ABS('Data Tanah'!$B$7:$B$47-(Input!$C$26)))/2))/2))</f>
      </c>
      <c r="E36" s="16">
        <f>IFERROR(AVERAGEIFS('Data Tanah'!$N$7:$N$47,'Data Tanah'!$E$7:$E$47,"&gt;="&amp;(A36-Input!$C$36*Input!$C$7),'Data Tanah'!$E$7:$E$47,"&lt;="&amp;(A36+Input!$C$37*Input!$C$7)),INDEX('Data Tanah'!$N$7:$N$47,MATCH(A36,'Data Tanah'!$B$7:$B$47,1)))</f>
      </c>
      <c r="F36" s="30">
        <f>E36*Input!$C$9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D36/Input!$C$41+F36/Input!$C$42-H36</f>
      </c>
      <c r="J36" s="25">
        <f t="shared" si="2"/>
      </c>
      <c r="K36" s="25">
        <f>Input!$C$48</f>
      </c>
      <c r="L36" s="13">
        <f t="shared" si="3"/>
      </c>
      <c r="M36" s="30">
        <f>Input!$C$38*D36/Input!$C$43+H36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Tanah'!$K$7:$K$47,((((('Data Tanah'!$C$7:$C$47+A37-Input!$C$28*Input!$C$7)-ABS('Data Tanah'!$C$7:$C$47-(A37-Input!$C$28*Input!$C$7)))/2-(('Data Tanah'!$B$7:$B$47+Input!$C$26)+ABS('Data Tanah'!$B$7:$B$47-(Input!$C$26)))/2)+ABS((('Data Tanah'!$C$7:$C$47+A37-Input!$C$28*Input!$C$7)-ABS('Data Tanah'!$C$7:$C$47-(A37-Input!$C$28*Input!$C$7)))/2-(('Data Tanah'!$B$7:$B$47+Input!$C$26)+ABS('Data Tanah'!$B$7:$B$47-(Input!$C$26)))/2))/2))</f>
      </c>
      <c r="E37" s="20">
        <f>IFERROR(AVERAGEIFS('Data Tanah'!$N$7:$N$47,'Data Tanah'!$E$7:$E$47,"&gt;="&amp;(A37-Input!$C$36*Input!$C$7),'Data Tanah'!$E$7:$E$47,"&lt;="&amp;(A37+Input!$C$37*Input!$C$7)),INDEX('Data Tanah'!$N$7:$N$47,MATCH(A37,'Data Tanah'!$B$7:$B$47,1)))</f>
      </c>
      <c r="F37" s="31">
        <f>E37*Input!$C$9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D37/Input!$C$41+F37/Input!$C$42-H37</f>
      </c>
      <c r="J37" s="32">
        <f t="shared" si="2"/>
      </c>
      <c r="K37" s="32">
        <f>Input!$C$48</f>
      </c>
      <c r="L37" s="33">
        <f t="shared" si="3"/>
      </c>
      <c r="M37" s="31">
        <f>Input!$C$38*D37/Input!$C$43+H37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Tanah'!$K$7:$K$47,((((('Data Tanah'!$C$7:$C$47+A38-Input!$C$28*Input!$C$7)-ABS('Data Tanah'!$C$7:$C$47-(A38-Input!$C$28*Input!$C$7)))/2-(('Data Tanah'!$B$7:$B$47+Input!$C$26)+ABS('Data Tanah'!$B$7:$B$47-(Input!$C$26)))/2)+ABS((('Data Tanah'!$C$7:$C$47+A38-Input!$C$28*Input!$C$7)-ABS('Data Tanah'!$C$7:$C$47-(A38-Input!$C$28*Input!$C$7)))/2-(('Data Tanah'!$B$7:$B$47+Input!$C$26)+ABS('Data Tanah'!$B$7:$B$47-(Input!$C$26)))/2))/2))</f>
      </c>
      <c r="E38" s="16">
        <f>IFERROR(AVERAGEIFS('Data Tanah'!$N$7:$N$47,'Data Tanah'!$E$7:$E$47,"&gt;="&amp;(A38-Input!$C$36*Input!$C$7),'Data Tanah'!$E$7:$E$47,"&lt;="&amp;(A38+Input!$C$37*Input!$C$7)),INDEX('Data Tanah'!$N$7:$N$47,MATCH(A38,'Data Tanah'!$B$7:$B$47,1)))</f>
      </c>
      <c r="F38" s="30">
        <f>E38*Input!$C$9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D38/Input!$C$41+F38/Input!$C$42-H38</f>
      </c>
      <c r="J38" s="25">
        <f t="shared" si="2"/>
      </c>
      <c r="K38" s="25">
        <f>Input!$C$48</f>
      </c>
      <c r="L38" s="13">
        <f t="shared" si="3"/>
      </c>
      <c r="M38" s="30">
        <f>Input!$C$38*D38/Input!$C$43+H38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Tanah'!$K$7:$K$47,((((('Data Tanah'!$C$7:$C$47+A39-Input!$C$28*Input!$C$7)-ABS('Data Tanah'!$C$7:$C$47-(A39-Input!$C$28*Input!$C$7)))/2-(('Data Tanah'!$B$7:$B$47+Input!$C$26)+ABS('Data Tanah'!$B$7:$B$47-(Input!$C$26)))/2)+ABS((('Data Tanah'!$C$7:$C$47+A39-Input!$C$28*Input!$C$7)-ABS('Data Tanah'!$C$7:$C$47-(A39-Input!$C$28*Input!$C$7)))/2-(('Data Tanah'!$B$7:$B$47+Input!$C$26)+ABS('Data Tanah'!$B$7:$B$47-(Input!$C$26)))/2))/2))</f>
      </c>
      <c r="E39" s="20">
        <f>IFERROR(AVERAGEIFS('Data Tanah'!$N$7:$N$47,'Data Tanah'!$E$7:$E$47,"&gt;="&amp;(A39-Input!$C$36*Input!$C$7),'Data Tanah'!$E$7:$E$47,"&lt;="&amp;(A39+Input!$C$37*Input!$C$7)),INDEX('Data Tanah'!$N$7:$N$47,MATCH(A39,'Data Tanah'!$B$7:$B$47,1)))</f>
      </c>
      <c r="F39" s="31">
        <f>E39*Input!$C$9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D39/Input!$C$41+F39/Input!$C$42-H39</f>
      </c>
      <c r="J39" s="32">
        <f t="shared" si="2"/>
      </c>
      <c r="K39" s="32">
        <f>Input!$C$48</f>
      </c>
      <c r="L39" s="33">
        <f t="shared" si="3"/>
      </c>
      <c r="M39" s="31">
        <f>Input!$C$38*D39/Input!$C$43+H39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Tanah'!$K$7:$K$47,((((('Data Tanah'!$C$7:$C$47+A40-Input!$C$28*Input!$C$7)-ABS('Data Tanah'!$C$7:$C$47-(A40-Input!$C$28*Input!$C$7)))/2-(('Data Tanah'!$B$7:$B$47+Input!$C$26)+ABS('Data Tanah'!$B$7:$B$47-(Input!$C$26)))/2)+ABS((('Data Tanah'!$C$7:$C$47+A40-Input!$C$28*Input!$C$7)-ABS('Data Tanah'!$C$7:$C$47-(A40-Input!$C$28*Input!$C$7)))/2-(('Data Tanah'!$B$7:$B$47+Input!$C$26)+ABS('Data Tanah'!$B$7:$B$47-(Input!$C$26)))/2))/2))</f>
      </c>
      <c r="E40" s="16">
        <f>IFERROR(AVERAGEIFS('Data Tanah'!$N$7:$N$47,'Data Tanah'!$E$7:$E$47,"&gt;="&amp;(A40-Input!$C$36*Input!$C$7),'Data Tanah'!$E$7:$E$47,"&lt;="&amp;(A40+Input!$C$37*Input!$C$7)),INDEX('Data Tanah'!$N$7:$N$47,MATCH(A40,'Data Tanah'!$B$7:$B$47,1)))</f>
      </c>
      <c r="F40" s="30">
        <f>E40*Input!$C$9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D40/Input!$C$41+F40/Input!$C$42-H40</f>
      </c>
      <c r="J40" s="25">
        <f t="shared" si="2"/>
      </c>
      <c r="K40" s="25">
        <f>Input!$C$48</f>
      </c>
      <c r="L40" s="13">
        <f t="shared" si="3"/>
      </c>
      <c r="M40" s="30">
        <f>Input!$C$38*D40/Input!$C$43+H40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Tanah'!$K$7:$K$47,((((('Data Tanah'!$C$7:$C$47+A41-Input!$C$28*Input!$C$7)-ABS('Data Tanah'!$C$7:$C$47-(A41-Input!$C$28*Input!$C$7)))/2-(('Data Tanah'!$B$7:$B$47+Input!$C$26)+ABS('Data Tanah'!$B$7:$B$47-(Input!$C$26)))/2)+ABS((('Data Tanah'!$C$7:$C$47+A41-Input!$C$28*Input!$C$7)-ABS('Data Tanah'!$C$7:$C$47-(A41-Input!$C$28*Input!$C$7)))/2-(('Data Tanah'!$B$7:$B$47+Input!$C$26)+ABS('Data Tanah'!$B$7:$B$47-(Input!$C$26)))/2))/2))</f>
      </c>
      <c r="E41" s="20">
        <f>IFERROR(AVERAGEIFS('Data Tanah'!$N$7:$N$47,'Data Tanah'!$E$7:$E$47,"&gt;="&amp;(A41-Input!$C$36*Input!$C$7),'Data Tanah'!$E$7:$E$47,"&lt;="&amp;(A41+Input!$C$37*Input!$C$7)),INDEX('Data Tanah'!$N$7:$N$47,MATCH(A41,'Data Tanah'!$B$7:$B$47,1)))</f>
      </c>
      <c r="F41" s="31">
        <f>E41*Input!$C$9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D41/Input!$C$41+F41/Input!$C$42-H41</f>
      </c>
      <c r="J41" s="32">
        <f t="shared" si="2"/>
      </c>
      <c r="K41" s="32">
        <f>Input!$C$48</f>
      </c>
      <c r="L41" s="33">
        <f t="shared" si="3"/>
      </c>
      <c r="M41" s="31">
        <f>Input!$C$38*D41/Input!$C$43+H41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Tanah'!$K$7:$K$47,((((('Data Tanah'!$C$7:$C$47+A42-Input!$C$28*Input!$C$7)-ABS('Data Tanah'!$C$7:$C$47-(A42-Input!$C$28*Input!$C$7)))/2-(('Data Tanah'!$B$7:$B$47+Input!$C$26)+ABS('Data Tanah'!$B$7:$B$47-(Input!$C$26)))/2)+ABS((('Data Tanah'!$C$7:$C$47+A42-Input!$C$28*Input!$C$7)-ABS('Data Tanah'!$C$7:$C$47-(A42-Input!$C$28*Input!$C$7)))/2-(('Data Tanah'!$B$7:$B$47+Input!$C$26)+ABS('Data Tanah'!$B$7:$B$47-(Input!$C$26)))/2))/2))</f>
      </c>
      <c r="E42" s="16">
        <f>IFERROR(AVERAGEIFS('Data Tanah'!$N$7:$N$47,'Data Tanah'!$E$7:$E$47,"&gt;="&amp;(A42-Input!$C$36*Input!$C$7),'Data Tanah'!$E$7:$E$47,"&lt;="&amp;(A42+Input!$C$37*Input!$C$7)),INDEX('Data Tanah'!$N$7:$N$47,MATCH(A42,'Data Tanah'!$B$7:$B$47,1)))</f>
      </c>
      <c r="F42" s="30">
        <f>E42*Input!$C$9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D42/Input!$C$41+F42/Input!$C$42-H42</f>
      </c>
      <c r="J42" s="25">
        <f t="shared" si="2"/>
      </c>
      <c r="K42" s="25">
        <f>Input!$C$48</f>
      </c>
      <c r="L42" s="13">
        <f t="shared" si="3"/>
      </c>
      <c r="M42" s="30">
        <f>Input!$C$38*D42/Input!$C$43+H42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Tanah'!$K$7:$K$47,((((('Data Tanah'!$C$7:$C$47+A43-Input!$C$28*Input!$C$7)-ABS('Data Tanah'!$C$7:$C$47-(A43-Input!$C$28*Input!$C$7)))/2-(('Data Tanah'!$B$7:$B$47+Input!$C$26)+ABS('Data Tanah'!$B$7:$B$47-(Input!$C$26)))/2)+ABS((('Data Tanah'!$C$7:$C$47+A43-Input!$C$28*Input!$C$7)-ABS('Data Tanah'!$C$7:$C$47-(A43-Input!$C$28*Input!$C$7)))/2-(('Data Tanah'!$B$7:$B$47+Input!$C$26)+ABS('Data Tanah'!$B$7:$B$47-(Input!$C$26)))/2))/2))</f>
      </c>
      <c r="E43" s="20">
        <f>IFERROR(AVERAGEIFS('Data Tanah'!$N$7:$N$47,'Data Tanah'!$E$7:$E$47,"&gt;="&amp;(A43-Input!$C$36*Input!$C$7),'Data Tanah'!$E$7:$E$47,"&lt;="&amp;(A43+Input!$C$37*Input!$C$7)),INDEX('Data Tanah'!$N$7:$N$47,MATCH(A43,'Data Tanah'!$B$7:$B$47,1)))</f>
      </c>
      <c r="F43" s="31">
        <f>E43*Input!$C$9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D43/Input!$C$41+F43/Input!$C$42-H43</f>
      </c>
      <c r="J43" s="32">
        <f t="shared" si="2"/>
      </c>
      <c r="K43" s="32">
        <f>Input!$C$48</f>
      </c>
      <c r="L43" s="33">
        <f t="shared" si="3"/>
      </c>
      <c r="M43" s="31">
        <f>Input!$C$38*D43/Input!$C$43+H43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Tanah'!$K$7:$K$47,((((('Data Tanah'!$C$7:$C$47+A44-Input!$C$28*Input!$C$7)-ABS('Data Tanah'!$C$7:$C$47-(A44-Input!$C$28*Input!$C$7)))/2-(('Data Tanah'!$B$7:$B$47+Input!$C$26)+ABS('Data Tanah'!$B$7:$B$47-(Input!$C$26)))/2)+ABS((('Data Tanah'!$C$7:$C$47+A44-Input!$C$28*Input!$C$7)-ABS('Data Tanah'!$C$7:$C$47-(A44-Input!$C$28*Input!$C$7)))/2-(('Data Tanah'!$B$7:$B$47+Input!$C$26)+ABS('Data Tanah'!$B$7:$B$47-(Input!$C$26)))/2))/2))</f>
      </c>
      <c r="E44" s="16">
        <f>IFERROR(AVERAGEIFS('Data Tanah'!$N$7:$N$47,'Data Tanah'!$E$7:$E$47,"&gt;="&amp;(A44-Input!$C$36*Input!$C$7),'Data Tanah'!$E$7:$E$47,"&lt;="&amp;(A44+Input!$C$37*Input!$C$7)),INDEX('Data Tanah'!$N$7:$N$47,MATCH(A44,'Data Tanah'!$B$7:$B$47,1)))</f>
      </c>
      <c r="F44" s="30">
        <f>E44*Input!$C$9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D44/Input!$C$41+F44/Input!$C$42-H44</f>
      </c>
      <c r="J44" s="25">
        <f t="shared" ref="J44:J75" si="7">I44*9.81</f>
      </c>
      <c r="K44" s="25">
        <f>Input!$C$48</f>
      </c>
      <c r="L44" s="13">
        <f t="shared" ref="L44:L75" si="8">AND(J44&gt;=K44,L45)</f>
      </c>
      <c r="M44" s="30">
        <f>Input!$C$38*D44/Input!$C$43+H44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Tanah'!$K$7:$K$47,((((('Data Tanah'!$C$7:$C$47+A45-Input!$C$28*Input!$C$7)-ABS('Data Tanah'!$C$7:$C$47-(A45-Input!$C$28*Input!$C$7)))/2-(('Data Tanah'!$B$7:$B$47+Input!$C$26)+ABS('Data Tanah'!$B$7:$B$47-(Input!$C$26)))/2)+ABS((('Data Tanah'!$C$7:$C$47+A45-Input!$C$28*Input!$C$7)-ABS('Data Tanah'!$C$7:$C$47-(A45-Input!$C$28*Input!$C$7)))/2-(('Data Tanah'!$B$7:$B$47+Input!$C$26)+ABS('Data Tanah'!$B$7:$B$47-(Input!$C$26)))/2))/2))</f>
      </c>
      <c r="E45" s="20">
        <f>IFERROR(AVERAGEIFS('Data Tanah'!$N$7:$N$47,'Data Tanah'!$E$7:$E$47,"&gt;="&amp;(A45-Input!$C$36*Input!$C$7),'Data Tanah'!$E$7:$E$47,"&lt;="&amp;(A45+Input!$C$37*Input!$C$7)),INDEX('Data Tanah'!$N$7:$N$47,MATCH(A45,'Data Tanah'!$B$7:$B$47,1)))</f>
      </c>
      <c r="F45" s="31">
        <f>E45*Input!$C$9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D45/Input!$C$41+F45/Input!$C$42-H45</f>
      </c>
      <c r="J45" s="32">
        <f t="shared" si="7"/>
      </c>
      <c r="K45" s="32">
        <f>Input!$C$48</f>
      </c>
      <c r="L45" s="33">
        <f t="shared" si="8"/>
      </c>
      <c r="M45" s="31">
        <f>Input!$C$38*D45/Input!$C$43+H45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Tanah'!$K$7:$K$47,((((('Data Tanah'!$C$7:$C$47+A46-Input!$C$28*Input!$C$7)-ABS('Data Tanah'!$C$7:$C$47-(A46-Input!$C$28*Input!$C$7)))/2-(('Data Tanah'!$B$7:$B$47+Input!$C$26)+ABS('Data Tanah'!$B$7:$B$47-(Input!$C$26)))/2)+ABS((('Data Tanah'!$C$7:$C$47+A46-Input!$C$28*Input!$C$7)-ABS('Data Tanah'!$C$7:$C$47-(A46-Input!$C$28*Input!$C$7)))/2-(('Data Tanah'!$B$7:$B$47+Input!$C$26)+ABS('Data Tanah'!$B$7:$B$47-(Input!$C$26)))/2))/2))</f>
      </c>
      <c r="E46" s="16">
        <f>IFERROR(AVERAGEIFS('Data Tanah'!$N$7:$N$47,'Data Tanah'!$E$7:$E$47,"&gt;="&amp;(A46-Input!$C$36*Input!$C$7),'Data Tanah'!$E$7:$E$47,"&lt;="&amp;(A46+Input!$C$37*Input!$C$7)),INDEX('Data Tanah'!$N$7:$N$47,MATCH(A46,'Data Tanah'!$B$7:$B$47,1)))</f>
      </c>
      <c r="F46" s="30">
        <f>E46*Input!$C$9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D46/Input!$C$41+F46/Input!$C$42-H46</f>
      </c>
      <c r="J46" s="25">
        <f t="shared" si="7"/>
      </c>
      <c r="K46" s="25">
        <f>Input!$C$48</f>
      </c>
      <c r="L46" s="13">
        <f t="shared" si="8"/>
      </c>
      <c r="M46" s="30">
        <f>Input!$C$38*D46/Input!$C$43+H46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Tanah'!$K$7:$K$47,((((('Data Tanah'!$C$7:$C$47+A47-Input!$C$28*Input!$C$7)-ABS('Data Tanah'!$C$7:$C$47-(A47-Input!$C$28*Input!$C$7)))/2-(('Data Tanah'!$B$7:$B$47+Input!$C$26)+ABS('Data Tanah'!$B$7:$B$47-(Input!$C$26)))/2)+ABS((('Data Tanah'!$C$7:$C$47+A47-Input!$C$28*Input!$C$7)-ABS('Data Tanah'!$C$7:$C$47-(A47-Input!$C$28*Input!$C$7)))/2-(('Data Tanah'!$B$7:$B$47+Input!$C$26)+ABS('Data Tanah'!$B$7:$B$47-(Input!$C$26)))/2))/2))</f>
      </c>
      <c r="E47" s="20">
        <f>IFERROR(AVERAGEIFS('Data Tanah'!$N$7:$N$47,'Data Tanah'!$E$7:$E$47,"&gt;="&amp;(A47-Input!$C$36*Input!$C$7),'Data Tanah'!$E$7:$E$47,"&lt;="&amp;(A47+Input!$C$37*Input!$C$7)),INDEX('Data Tanah'!$N$7:$N$47,MATCH(A47,'Data Tanah'!$B$7:$B$47,1)))</f>
      </c>
      <c r="F47" s="31">
        <f>E47*Input!$C$9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D47/Input!$C$41+F47/Input!$C$42-H47</f>
      </c>
      <c r="J47" s="32">
        <f t="shared" si="7"/>
      </c>
      <c r="K47" s="32">
        <f>Input!$C$48</f>
      </c>
      <c r="L47" s="33">
        <f t="shared" si="8"/>
      </c>
      <c r="M47" s="31">
        <f>Input!$C$38*D47/Input!$C$43+H47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Tanah'!$K$7:$K$47,((((('Data Tanah'!$C$7:$C$47+A48-Input!$C$28*Input!$C$7)-ABS('Data Tanah'!$C$7:$C$47-(A48-Input!$C$28*Input!$C$7)))/2-(('Data Tanah'!$B$7:$B$47+Input!$C$26)+ABS('Data Tanah'!$B$7:$B$47-(Input!$C$26)))/2)+ABS((('Data Tanah'!$C$7:$C$47+A48-Input!$C$28*Input!$C$7)-ABS('Data Tanah'!$C$7:$C$47-(A48-Input!$C$28*Input!$C$7)))/2-(('Data Tanah'!$B$7:$B$47+Input!$C$26)+ABS('Data Tanah'!$B$7:$B$47-(Input!$C$26)))/2))/2))</f>
      </c>
      <c r="E48" s="16">
        <f>IFERROR(AVERAGEIFS('Data Tanah'!$N$7:$N$47,'Data Tanah'!$E$7:$E$47,"&gt;="&amp;(A48-Input!$C$36*Input!$C$7),'Data Tanah'!$E$7:$E$47,"&lt;="&amp;(A48+Input!$C$37*Input!$C$7)),INDEX('Data Tanah'!$N$7:$N$47,MATCH(A48,'Data Tanah'!$B$7:$B$47,1)))</f>
      </c>
      <c r="F48" s="30">
        <f>E48*Input!$C$9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D48/Input!$C$41+F48/Input!$C$42-H48</f>
      </c>
      <c r="J48" s="25">
        <f t="shared" si="7"/>
      </c>
      <c r="K48" s="25">
        <f>Input!$C$48</f>
      </c>
      <c r="L48" s="13">
        <f t="shared" si="8"/>
      </c>
      <c r="M48" s="30">
        <f>Input!$C$38*D48/Input!$C$43+H48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Tanah'!$K$7:$K$47,((((('Data Tanah'!$C$7:$C$47+A49-Input!$C$28*Input!$C$7)-ABS('Data Tanah'!$C$7:$C$47-(A49-Input!$C$28*Input!$C$7)))/2-(('Data Tanah'!$B$7:$B$47+Input!$C$26)+ABS('Data Tanah'!$B$7:$B$47-(Input!$C$26)))/2)+ABS((('Data Tanah'!$C$7:$C$47+A49-Input!$C$28*Input!$C$7)-ABS('Data Tanah'!$C$7:$C$47-(A49-Input!$C$28*Input!$C$7)))/2-(('Data Tanah'!$B$7:$B$47+Input!$C$26)+ABS('Data Tanah'!$B$7:$B$47-(Input!$C$26)))/2))/2))</f>
      </c>
      <c r="E49" s="20">
        <f>IFERROR(AVERAGEIFS('Data Tanah'!$N$7:$N$47,'Data Tanah'!$E$7:$E$47,"&gt;="&amp;(A49-Input!$C$36*Input!$C$7),'Data Tanah'!$E$7:$E$47,"&lt;="&amp;(A49+Input!$C$37*Input!$C$7)),INDEX('Data Tanah'!$N$7:$N$47,MATCH(A49,'Data Tanah'!$B$7:$B$47,1)))</f>
      </c>
      <c r="F49" s="31">
        <f>E49*Input!$C$9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D49/Input!$C$41+F49/Input!$C$42-H49</f>
      </c>
      <c r="J49" s="32">
        <f t="shared" si="7"/>
      </c>
      <c r="K49" s="32">
        <f>Input!$C$48</f>
      </c>
      <c r="L49" s="33">
        <f t="shared" si="8"/>
      </c>
      <c r="M49" s="31">
        <f>Input!$C$38*D49/Input!$C$43+H49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Tanah'!$K$7:$K$47,((((('Data Tanah'!$C$7:$C$47+A50-Input!$C$28*Input!$C$7)-ABS('Data Tanah'!$C$7:$C$47-(A50-Input!$C$28*Input!$C$7)))/2-(('Data Tanah'!$B$7:$B$47+Input!$C$26)+ABS('Data Tanah'!$B$7:$B$47-(Input!$C$26)))/2)+ABS((('Data Tanah'!$C$7:$C$47+A50-Input!$C$28*Input!$C$7)-ABS('Data Tanah'!$C$7:$C$47-(A50-Input!$C$28*Input!$C$7)))/2-(('Data Tanah'!$B$7:$B$47+Input!$C$26)+ABS('Data Tanah'!$B$7:$B$47-(Input!$C$26)))/2))/2))</f>
      </c>
      <c r="E50" s="16">
        <f>IFERROR(AVERAGEIFS('Data Tanah'!$N$7:$N$47,'Data Tanah'!$E$7:$E$47,"&gt;="&amp;(A50-Input!$C$36*Input!$C$7),'Data Tanah'!$E$7:$E$47,"&lt;="&amp;(A50+Input!$C$37*Input!$C$7)),INDEX('Data Tanah'!$N$7:$N$47,MATCH(A50,'Data Tanah'!$B$7:$B$47,1)))</f>
      </c>
      <c r="F50" s="30">
        <f>E50*Input!$C$9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D50/Input!$C$41+F50/Input!$C$42-H50</f>
      </c>
      <c r="J50" s="25">
        <f t="shared" si="7"/>
      </c>
      <c r="K50" s="25">
        <f>Input!$C$48</f>
      </c>
      <c r="L50" s="13">
        <f t="shared" si="8"/>
      </c>
      <c r="M50" s="30">
        <f>Input!$C$38*D50/Input!$C$43+H50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Tanah'!$K$7:$K$47,((((('Data Tanah'!$C$7:$C$47+A51-Input!$C$28*Input!$C$7)-ABS('Data Tanah'!$C$7:$C$47-(A51-Input!$C$28*Input!$C$7)))/2-(('Data Tanah'!$B$7:$B$47+Input!$C$26)+ABS('Data Tanah'!$B$7:$B$47-(Input!$C$26)))/2)+ABS((('Data Tanah'!$C$7:$C$47+A51-Input!$C$28*Input!$C$7)-ABS('Data Tanah'!$C$7:$C$47-(A51-Input!$C$28*Input!$C$7)))/2-(('Data Tanah'!$B$7:$B$47+Input!$C$26)+ABS('Data Tanah'!$B$7:$B$47-(Input!$C$26)))/2))/2))</f>
      </c>
      <c r="E51" s="20">
        <f>IFERROR(AVERAGEIFS('Data Tanah'!$N$7:$N$47,'Data Tanah'!$E$7:$E$47,"&gt;="&amp;(A51-Input!$C$36*Input!$C$7),'Data Tanah'!$E$7:$E$47,"&lt;="&amp;(A51+Input!$C$37*Input!$C$7)),INDEX('Data Tanah'!$N$7:$N$47,MATCH(A51,'Data Tanah'!$B$7:$B$47,1)))</f>
      </c>
      <c r="F51" s="31">
        <f>E51*Input!$C$9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D51/Input!$C$41+F51/Input!$C$42-H51</f>
      </c>
      <c r="J51" s="32">
        <f t="shared" si="7"/>
      </c>
      <c r="K51" s="32">
        <f>Input!$C$48</f>
      </c>
      <c r="L51" s="33">
        <f t="shared" si="8"/>
      </c>
      <c r="M51" s="31">
        <f>Input!$C$38*D51/Input!$C$43+H51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Tanah'!$K$7:$K$47,((((('Data Tanah'!$C$7:$C$47+A52-Input!$C$28*Input!$C$7)-ABS('Data Tanah'!$C$7:$C$47-(A52-Input!$C$28*Input!$C$7)))/2-(('Data Tanah'!$B$7:$B$47+Input!$C$26)+ABS('Data Tanah'!$B$7:$B$47-(Input!$C$26)))/2)+ABS((('Data Tanah'!$C$7:$C$47+A52-Input!$C$28*Input!$C$7)-ABS('Data Tanah'!$C$7:$C$47-(A52-Input!$C$28*Input!$C$7)))/2-(('Data Tanah'!$B$7:$B$47+Input!$C$26)+ABS('Data Tanah'!$B$7:$B$47-(Input!$C$26)))/2))/2))</f>
      </c>
      <c r="E52" s="16">
        <f>IFERROR(AVERAGEIFS('Data Tanah'!$N$7:$N$47,'Data Tanah'!$E$7:$E$47,"&gt;="&amp;(A52-Input!$C$36*Input!$C$7),'Data Tanah'!$E$7:$E$47,"&lt;="&amp;(A52+Input!$C$37*Input!$C$7)),INDEX('Data Tanah'!$N$7:$N$47,MATCH(A52,'Data Tanah'!$B$7:$B$47,1)))</f>
      </c>
      <c r="F52" s="30">
        <f>E52*Input!$C$9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D52/Input!$C$41+F52/Input!$C$42-H52</f>
      </c>
      <c r="J52" s="25">
        <f t="shared" si="7"/>
      </c>
      <c r="K52" s="25">
        <f>Input!$C$48</f>
      </c>
      <c r="L52" s="13">
        <f t="shared" si="8"/>
      </c>
      <c r="M52" s="30">
        <f>Input!$C$38*D52/Input!$C$43+H52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Tanah'!$K$7:$K$47,((((('Data Tanah'!$C$7:$C$47+A53-Input!$C$28*Input!$C$7)-ABS('Data Tanah'!$C$7:$C$47-(A53-Input!$C$28*Input!$C$7)))/2-(('Data Tanah'!$B$7:$B$47+Input!$C$26)+ABS('Data Tanah'!$B$7:$B$47-(Input!$C$26)))/2)+ABS((('Data Tanah'!$C$7:$C$47+A53-Input!$C$28*Input!$C$7)-ABS('Data Tanah'!$C$7:$C$47-(A53-Input!$C$28*Input!$C$7)))/2-(('Data Tanah'!$B$7:$B$47+Input!$C$26)+ABS('Data Tanah'!$B$7:$B$47-(Input!$C$26)))/2))/2))</f>
      </c>
      <c r="E53" s="20">
        <f>IFERROR(AVERAGEIFS('Data Tanah'!$N$7:$N$47,'Data Tanah'!$E$7:$E$47,"&gt;="&amp;(A53-Input!$C$36*Input!$C$7),'Data Tanah'!$E$7:$E$47,"&lt;="&amp;(A53+Input!$C$37*Input!$C$7)),INDEX('Data Tanah'!$N$7:$N$47,MATCH(A53,'Data Tanah'!$B$7:$B$47,1)))</f>
      </c>
      <c r="F53" s="31">
        <f>E53*Input!$C$9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D53/Input!$C$41+F53/Input!$C$42-H53</f>
      </c>
      <c r="J53" s="32">
        <f t="shared" si="7"/>
      </c>
      <c r="K53" s="32">
        <f>Input!$C$48</f>
      </c>
      <c r="L53" s="33">
        <f t="shared" si="8"/>
      </c>
      <c r="M53" s="31">
        <f>Input!$C$38*D53/Input!$C$43+H53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Tanah'!$K$7:$K$47,((((('Data Tanah'!$C$7:$C$47+A54-Input!$C$28*Input!$C$7)-ABS('Data Tanah'!$C$7:$C$47-(A54-Input!$C$28*Input!$C$7)))/2-(('Data Tanah'!$B$7:$B$47+Input!$C$26)+ABS('Data Tanah'!$B$7:$B$47-(Input!$C$26)))/2)+ABS((('Data Tanah'!$C$7:$C$47+A54-Input!$C$28*Input!$C$7)-ABS('Data Tanah'!$C$7:$C$47-(A54-Input!$C$28*Input!$C$7)))/2-(('Data Tanah'!$B$7:$B$47+Input!$C$26)+ABS('Data Tanah'!$B$7:$B$47-(Input!$C$26)))/2))/2))</f>
      </c>
      <c r="E54" s="16">
        <f>IFERROR(AVERAGEIFS('Data Tanah'!$N$7:$N$47,'Data Tanah'!$E$7:$E$47,"&gt;="&amp;(A54-Input!$C$36*Input!$C$7),'Data Tanah'!$E$7:$E$47,"&lt;="&amp;(A54+Input!$C$37*Input!$C$7)),INDEX('Data Tanah'!$N$7:$N$47,MATCH(A54,'Data Tanah'!$B$7:$B$47,1)))</f>
      </c>
      <c r="F54" s="30">
        <f>E54*Input!$C$9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D54/Input!$C$41+F54/Input!$C$42-H54</f>
      </c>
      <c r="J54" s="25">
        <f t="shared" si="7"/>
      </c>
      <c r="K54" s="25">
        <f>Input!$C$48</f>
      </c>
      <c r="L54" s="13">
        <f t="shared" si="8"/>
      </c>
      <c r="M54" s="30">
        <f>Input!$C$38*D54/Input!$C$43+H54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Tanah'!$K$7:$K$47,((((('Data Tanah'!$C$7:$C$47+A55-Input!$C$28*Input!$C$7)-ABS('Data Tanah'!$C$7:$C$47-(A55-Input!$C$28*Input!$C$7)))/2-(('Data Tanah'!$B$7:$B$47+Input!$C$26)+ABS('Data Tanah'!$B$7:$B$47-(Input!$C$26)))/2)+ABS((('Data Tanah'!$C$7:$C$47+A55-Input!$C$28*Input!$C$7)-ABS('Data Tanah'!$C$7:$C$47-(A55-Input!$C$28*Input!$C$7)))/2-(('Data Tanah'!$B$7:$B$47+Input!$C$26)+ABS('Data Tanah'!$B$7:$B$47-(Input!$C$26)))/2))/2))</f>
      </c>
      <c r="E55" s="20">
        <f>IFERROR(AVERAGEIFS('Data Tanah'!$N$7:$N$47,'Data Tanah'!$E$7:$E$47,"&gt;="&amp;(A55-Input!$C$36*Input!$C$7),'Data Tanah'!$E$7:$E$47,"&lt;="&amp;(A55+Input!$C$37*Input!$C$7)),INDEX('Data Tanah'!$N$7:$N$47,MATCH(A55,'Data Tanah'!$B$7:$B$47,1)))</f>
      </c>
      <c r="F55" s="31">
        <f>E55*Input!$C$9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D55/Input!$C$41+F55/Input!$C$42-H55</f>
      </c>
      <c r="J55" s="32">
        <f t="shared" si="7"/>
      </c>
      <c r="K55" s="32">
        <f>Input!$C$48</f>
      </c>
      <c r="L55" s="33">
        <f t="shared" si="8"/>
      </c>
      <c r="M55" s="31">
        <f>Input!$C$38*D55/Input!$C$43+H55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Tanah'!$K$7:$K$47,((((('Data Tanah'!$C$7:$C$47+A56-Input!$C$28*Input!$C$7)-ABS('Data Tanah'!$C$7:$C$47-(A56-Input!$C$28*Input!$C$7)))/2-(('Data Tanah'!$B$7:$B$47+Input!$C$26)+ABS('Data Tanah'!$B$7:$B$47-(Input!$C$26)))/2)+ABS((('Data Tanah'!$C$7:$C$47+A56-Input!$C$28*Input!$C$7)-ABS('Data Tanah'!$C$7:$C$47-(A56-Input!$C$28*Input!$C$7)))/2-(('Data Tanah'!$B$7:$B$47+Input!$C$26)+ABS('Data Tanah'!$B$7:$B$47-(Input!$C$26)))/2))/2))</f>
      </c>
      <c r="E56" s="16">
        <f>IFERROR(AVERAGEIFS('Data Tanah'!$N$7:$N$47,'Data Tanah'!$E$7:$E$47,"&gt;="&amp;(A56-Input!$C$36*Input!$C$7),'Data Tanah'!$E$7:$E$47,"&lt;="&amp;(A56+Input!$C$37*Input!$C$7)),INDEX('Data Tanah'!$N$7:$N$47,MATCH(A56,'Data Tanah'!$B$7:$B$47,1)))</f>
      </c>
      <c r="F56" s="30">
        <f>E56*Input!$C$9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D56/Input!$C$41+F56/Input!$C$42-H56</f>
      </c>
      <c r="J56" s="25">
        <f t="shared" si="7"/>
      </c>
      <c r="K56" s="25">
        <f>Input!$C$48</f>
      </c>
      <c r="L56" s="13">
        <f t="shared" si="8"/>
      </c>
      <c r="M56" s="30">
        <f>Input!$C$38*D56/Input!$C$43+H56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Tanah'!$K$7:$K$47,((((('Data Tanah'!$C$7:$C$47+A57-Input!$C$28*Input!$C$7)-ABS('Data Tanah'!$C$7:$C$47-(A57-Input!$C$28*Input!$C$7)))/2-(('Data Tanah'!$B$7:$B$47+Input!$C$26)+ABS('Data Tanah'!$B$7:$B$47-(Input!$C$26)))/2)+ABS((('Data Tanah'!$C$7:$C$47+A57-Input!$C$28*Input!$C$7)-ABS('Data Tanah'!$C$7:$C$47-(A57-Input!$C$28*Input!$C$7)))/2-(('Data Tanah'!$B$7:$B$47+Input!$C$26)+ABS('Data Tanah'!$B$7:$B$47-(Input!$C$26)))/2))/2))</f>
      </c>
      <c r="E57" s="20">
        <f>IFERROR(AVERAGEIFS('Data Tanah'!$N$7:$N$47,'Data Tanah'!$E$7:$E$47,"&gt;="&amp;(A57-Input!$C$36*Input!$C$7),'Data Tanah'!$E$7:$E$47,"&lt;="&amp;(A57+Input!$C$37*Input!$C$7)),INDEX('Data Tanah'!$N$7:$N$47,MATCH(A57,'Data Tanah'!$B$7:$B$47,1)))</f>
      </c>
      <c r="F57" s="31">
        <f>E57*Input!$C$9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D57/Input!$C$41+F57/Input!$C$42-H57</f>
      </c>
      <c r="J57" s="32">
        <f t="shared" si="7"/>
      </c>
      <c r="K57" s="32">
        <f>Input!$C$48</f>
      </c>
      <c r="L57" s="33">
        <f t="shared" si="8"/>
      </c>
      <c r="M57" s="31">
        <f>Input!$C$38*D57/Input!$C$43+H57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Tanah'!$K$7:$K$47,((((('Data Tanah'!$C$7:$C$47+A58-Input!$C$28*Input!$C$7)-ABS('Data Tanah'!$C$7:$C$47-(A58-Input!$C$28*Input!$C$7)))/2-(('Data Tanah'!$B$7:$B$47+Input!$C$26)+ABS('Data Tanah'!$B$7:$B$47-(Input!$C$26)))/2)+ABS((('Data Tanah'!$C$7:$C$47+A58-Input!$C$28*Input!$C$7)-ABS('Data Tanah'!$C$7:$C$47-(A58-Input!$C$28*Input!$C$7)))/2-(('Data Tanah'!$B$7:$B$47+Input!$C$26)+ABS('Data Tanah'!$B$7:$B$47-(Input!$C$26)))/2))/2))</f>
      </c>
      <c r="E58" s="16">
        <f>IFERROR(AVERAGEIFS('Data Tanah'!$N$7:$N$47,'Data Tanah'!$E$7:$E$47,"&gt;="&amp;(A58-Input!$C$36*Input!$C$7),'Data Tanah'!$E$7:$E$47,"&lt;="&amp;(A58+Input!$C$37*Input!$C$7)),INDEX('Data Tanah'!$N$7:$N$47,MATCH(A58,'Data Tanah'!$B$7:$B$47,1)))</f>
      </c>
      <c r="F58" s="30">
        <f>E58*Input!$C$9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D58/Input!$C$41+F58/Input!$C$42-H58</f>
      </c>
      <c r="J58" s="25">
        <f t="shared" si="7"/>
      </c>
      <c r="K58" s="25">
        <f>Input!$C$48</f>
      </c>
      <c r="L58" s="13">
        <f t="shared" si="8"/>
      </c>
      <c r="M58" s="30">
        <f>Input!$C$38*D58/Input!$C$43+H58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Tanah'!$K$7:$K$47,((((('Data Tanah'!$C$7:$C$47+A59-Input!$C$28*Input!$C$7)-ABS('Data Tanah'!$C$7:$C$47-(A59-Input!$C$28*Input!$C$7)))/2-(('Data Tanah'!$B$7:$B$47+Input!$C$26)+ABS('Data Tanah'!$B$7:$B$47-(Input!$C$26)))/2)+ABS((('Data Tanah'!$C$7:$C$47+A59-Input!$C$28*Input!$C$7)-ABS('Data Tanah'!$C$7:$C$47-(A59-Input!$C$28*Input!$C$7)))/2-(('Data Tanah'!$B$7:$B$47+Input!$C$26)+ABS('Data Tanah'!$B$7:$B$47-(Input!$C$26)))/2))/2))</f>
      </c>
      <c r="E59" s="20">
        <f>IFERROR(AVERAGEIFS('Data Tanah'!$N$7:$N$47,'Data Tanah'!$E$7:$E$47,"&gt;="&amp;(A59-Input!$C$36*Input!$C$7),'Data Tanah'!$E$7:$E$47,"&lt;="&amp;(A59+Input!$C$37*Input!$C$7)),INDEX('Data Tanah'!$N$7:$N$47,MATCH(A59,'Data Tanah'!$B$7:$B$47,1)))</f>
      </c>
      <c r="F59" s="31">
        <f>E59*Input!$C$9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D59/Input!$C$41+F59/Input!$C$42-H59</f>
      </c>
      <c r="J59" s="32">
        <f t="shared" si="7"/>
      </c>
      <c r="K59" s="32">
        <f>Input!$C$48</f>
      </c>
      <c r="L59" s="33">
        <f t="shared" si="8"/>
      </c>
      <c r="M59" s="31">
        <f>Input!$C$38*D59/Input!$C$43+H59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Tanah'!$K$7:$K$47,((((('Data Tanah'!$C$7:$C$47+A60-Input!$C$28*Input!$C$7)-ABS('Data Tanah'!$C$7:$C$47-(A60-Input!$C$28*Input!$C$7)))/2-(('Data Tanah'!$B$7:$B$47+Input!$C$26)+ABS('Data Tanah'!$B$7:$B$47-(Input!$C$26)))/2)+ABS((('Data Tanah'!$C$7:$C$47+A60-Input!$C$28*Input!$C$7)-ABS('Data Tanah'!$C$7:$C$47-(A60-Input!$C$28*Input!$C$7)))/2-(('Data Tanah'!$B$7:$B$47+Input!$C$26)+ABS('Data Tanah'!$B$7:$B$47-(Input!$C$26)))/2))/2))</f>
      </c>
      <c r="E60" s="16">
        <f>IFERROR(AVERAGEIFS('Data Tanah'!$N$7:$N$47,'Data Tanah'!$E$7:$E$47,"&gt;="&amp;(A60-Input!$C$36*Input!$C$7),'Data Tanah'!$E$7:$E$47,"&lt;="&amp;(A60+Input!$C$37*Input!$C$7)),INDEX('Data Tanah'!$N$7:$N$47,MATCH(A60,'Data Tanah'!$B$7:$B$47,1)))</f>
      </c>
      <c r="F60" s="30">
        <f>E60*Input!$C$9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D60/Input!$C$41+F60/Input!$C$42-H60</f>
      </c>
      <c r="J60" s="25">
        <f t="shared" si="7"/>
      </c>
      <c r="K60" s="25">
        <f>Input!$C$48</f>
      </c>
      <c r="L60" s="13">
        <f t="shared" si="8"/>
      </c>
      <c r="M60" s="30">
        <f>Input!$C$38*D60/Input!$C$43+H60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Tanah'!$K$7:$K$47,((((('Data Tanah'!$C$7:$C$47+A61-Input!$C$28*Input!$C$7)-ABS('Data Tanah'!$C$7:$C$47-(A61-Input!$C$28*Input!$C$7)))/2-(('Data Tanah'!$B$7:$B$47+Input!$C$26)+ABS('Data Tanah'!$B$7:$B$47-(Input!$C$26)))/2)+ABS((('Data Tanah'!$C$7:$C$47+A61-Input!$C$28*Input!$C$7)-ABS('Data Tanah'!$C$7:$C$47-(A61-Input!$C$28*Input!$C$7)))/2-(('Data Tanah'!$B$7:$B$47+Input!$C$26)+ABS('Data Tanah'!$B$7:$B$47-(Input!$C$26)))/2))/2))</f>
      </c>
      <c r="E61" s="20">
        <f>IFERROR(AVERAGEIFS('Data Tanah'!$N$7:$N$47,'Data Tanah'!$E$7:$E$47,"&gt;="&amp;(A61-Input!$C$36*Input!$C$7),'Data Tanah'!$E$7:$E$47,"&lt;="&amp;(A61+Input!$C$37*Input!$C$7)),INDEX('Data Tanah'!$N$7:$N$47,MATCH(A61,'Data Tanah'!$B$7:$B$47,1)))</f>
      </c>
      <c r="F61" s="31">
        <f>E61*Input!$C$9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D61/Input!$C$41+F61/Input!$C$42-H61</f>
      </c>
      <c r="J61" s="32">
        <f t="shared" si="7"/>
      </c>
      <c r="K61" s="32">
        <f>Input!$C$48</f>
      </c>
      <c r="L61" s="33">
        <f t="shared" si="8"/>
      </c>
      <c r="M61" s="31">
        <f>Input!$C$38*D61/Input!$C$43+H61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Tanah'!$K$7:$K$47,((((('Data Tanah'!$C$7:$C$47+A62-Input!$C$28*Input!$C$7)-ABS('Data Tanah'!$C$7:$C$47-(A62-Input!$C$28*Input!$C$7)))/2-(('Data Tanah'!$B$7:$B$47+Input!$C$26)+ABS('Data Tanah'!$B$7:$B$47-(Input!$C$26)))/2)+ABS((('Data Tanah'!$C$7:$C$47+A62-Input!$C$28*Input!$C$7)-ABS('Data Tanah'!$C$7:$C$47-(A62-Input!$C$28*Input!$C$7)))/2-(('Data Tanah'!$B$7:$B$47+Input!$C$26)+ABS('Data Tanah'!$B$7:$B$47-(Input!$C$26)))/2))/2))</f>
      </c>
      <c r="E62" s="16">
        <f>IFERROR(AVERAGEIFS('Data Tanah'!$N$7:$N$47,'Data Tanah'!$E$7:$E$47,"&gt;="&amp;(A62-Input!$C$36*Input!$C$7),'Data Tanah'!$E$7:$E$47,"&lt;="&amp;(A62+Input!$C$37*Input!$C$7)),INDEX('Data Tanah'!$N$7:$N$47,MATCH(A62,'Data Tanah'!$B$7:$B$47,1)))</f>
      </c>
      <c r="F62" s="30">
        <f>E62*Input!$C$9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D62/Input!$C$41+F62/Input!$C$42-H62</f>
      </c>
      <c r="J62" s="25">
        <f t="shared" si="7"/>
      </c>
      <c r="K62" s="25">
        <f>Input!$C$48</f>
      </c>
      <c r="L62" s="13">
        <f t="shared" si="8"/>
      </c>
      <c r="M62" s="30">
        <f>Input!$C$38*D62/Input!$C$43+H62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Tanah'!$K$7:$K$47,((((('Data Tanah'!$C$7:$C$47+A63-Input!$C$28*Input!$C$7)-ABS('Data Tanah'!$C$7:$C$47-(A63-Input!$C$28*Input!$C$7)))/2-(('Data Tanah'!$B$7:$B$47+Input!$C$26)+ABS('Data Tanah'!$B$7:$B$47-(Input!$C$26)))/2)+ABS((('Data Tanah'!$C$7:$C$47+A63-Input!$C$28*Input!$C$7)-ABS('Data Tanah'!$C$7:$C$47-(A63-Input!$C$28*Input!$C$7)))/2-(('Data Tanah'!$B$7:$B$47+Input!$C$26)+ABS('Data Tanah'!$B$7:$B$47-(Input!$C$26)))/2))/2))</f>
      </c>
      <c r="E63" s="20">
        <f>IFERROR(AVERAGEIFS('Data Tanah'!$N$7:$N$47,'Data Tanah'!$E$7:$E$47,"&gt;="&amp;(A63-Input!$C$36*Input!$C$7),'Data Tanah'!$E$7:$E$47,"&lt;="&amp;(A63+Input!$C$37*Input!$C$7)),INDEX('Data Tanah'!$N$7:$N$47,MATCH(A63,'Data Tanah'!$B$7:$B$47,1)))</f>
      </c>
      <c r="F63" s="31">
        <f>E63*Input!$C$9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D63/Input!$C$41+F63/Input!$C$42-H63</f>
      </c>
      <c r="J63" s="32">
        <f t="shared" si="7"/>
      </c>
      <c r="K63" s="32">
        <f>Input!$C$48</f>
      </c>
      <c r="L63" s="33">
        <f t="shared" si="8"/>
      </c>
      <c r="M63" s="31">
        <f>Input!$C$38*D63/Input!$C$43+H63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Tanah'!$K$7:$K$47,((((('Data Tanah'!$C$7:$C$47+A64-Input!$C$28*Input!$C$7)-ABS('Data Tanah'!$C$7:$C$47-(A64-Input!$C$28*Input!$C$7)))/2-(('Data Tanah'!$B$7:$B$47+Input!$C$26)+ABS('Data Tanah'!$B$7:$B$47-(Input!$C$26)))/2)+ABS((('Data Tanah'!$C$7:$C$47+A64-Input!$C$28*Input!$C$7)-ABS('Data Tanah'!$C$7:$C$47-(A64-Input!$C$28*Input!$C$7)))/2-(('Data Tanah'!$B$7:$B$47+Input!$C$26)+ABS('Data Tanah'!$B$7:$B$47-(Input!$C$26)))/2))/2))</f>
      </c>
      <c r="E64" s="16">
        <f>IFERROR(AVERAGEIFS('Data Tanah'!$N$7:$N$47,'Data Tanah'!$E$7:$E$47,"&gt;="&amp;(A64-Input!$C$36*Input!$C$7),'Data Tanah'!$E$7:$E$47,"&lt;="&amp;(A64+Input!$C$37*Input!$C$7)),INDEX('Data Tanah'!$N$7:$N$47,MATCH(A64,'Data Tanah'!$B$7:$B$47,1)))</f>
      </c>
      <c r="F64" s="30">
        <f>E64*Input!$C$9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D64/Input!$C$41+F64/Input!$C$42-H64</f>
      </c>
      <c r="J64" s="25">
        <f t="shared" si="7"/>
      </c>
      <c r="K64" s="25">
        <f>Input!$C$48</f>
      </c>
      <c r="L64" s="13">
        <f t="shared" si="8"/>
      </c>
      <c r="M64" s="30">
        <f>Input!$C$38*D64/Input!$C$43+H64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Tanah'!$K$7:$K$47,((((('Data Tanah'!$C$7:$C$47+A65-Input!$C$28*Input!$C$7)-ABS('Data Tanah'!$C$7:$C$47-(A65-Input!$C$28*Input!$C$7)))/2-(('Data Tanah'!$B$7:$B$47+Input!$C$26)+ABS('Data Tanah'!$B$7:$B$47-(Input!$C$26)))/2)+ABS((('Data Tanah'!$C$7:$C$47+A65-Input!$C$28*Input!$C$7)-ABS('Data Tanah'!$C$7:$C$47-(A65-Input!$C$28*Input!$C$7)))/2-(('Data Tanah'!$B$7:$B$47+Input!$C$26)+ABS('Data Tanah'!$B$7:$B$47-(Input!$C$26)))/2))/2))</f>
      </c>
      <c r="E65" s="20">
        <f>IFERROR(AVERAGEIFS('Data Tanah'!$N$7:$N$47,'Data Tanah'!$E$7:$E$47,"&gt;="&amp;(A65-Input!$C$36*Input!$C$7),'Data Tanah'!$E$7:$E$47,"&lt;="&amp;(A65+Input!$C$37*Input!$C$7)),INDEX('Data Tanah'!$N$7:$N$47,MATCH(A65,'Data Tanah'!$B$7:$B$47,1)))</f>
      </c>
      <c r="F65" s="31">
        <f>E65*Input!$C$9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D65/Input!$C$41+F65/Input!$C$42-H65</f>
      </c>
      <c r="J65" s="32">
        <f t="shared" si="7"/>
      </c>
      <c r="K65" s="32">
        <f>Input!$C$48</f>
      </c>
      <c r="L65" s="33">
        <f t="shared" si="8"/>
      </c>
      <c r="M65" s="31">
        <f>Input!$C$38*D65/Input!$C$43+H65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Tanah'!$K$7:$K$47,((((('Data Tanah'!$C$7:$C$47+A66-Input!$C$28*Input!$C$7)-ABS('Data Tanah'!$C$7:$C$47-(A66-Input!$C$28*Input!$C$7)))/2-(('Data Tanah'!$B$7:$B$47+Input!$C$26)+ABS('Data Tanah'!$B$7:$B$47-(Input!$C$26)))/2)+ABS((('Data Tanah'!$C$7:$C$47+A66-Input!$C$28*Input!$C$7)-ABS('Data Tanah'!$C$7:$C$47-(A66-Input!$C$28*Input!$C$7)))/2-(('Data Tanah'!$B$7:$B$47+Input!$C$26)+ABS('Data Tanah'!$B$7:$B$47-(Input!$C$26)))/2))/2))</f>
      </c>
      <c r="E66" s="16">
        <f>IFERROR(AVERAGEIFS('Data Tanah'!$N$7:$N$47,'Data Tanah'!$E$7:$E$47,"&gt;="&amp;(A66-Input!$C$36*Input!$C$7),'Data Tanah'!$E$7:$E$47,"&lt;="&amp;(A66+Input!$C$37*Input!$C$7)),INDEX('Data Tanah'!$N$7:$N$47,MATCH(A66,'Data Tanah'!$B$7:$B$47,1)))</f>
      </c>
      <c r="F66" s="30">
        <f>E66*Input!$C$9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D66/Input!$C$41+F66/Input!$C$42-H66</f>
      </c>
      <c r="J66" s="25">
        <f t="shared" si="7"/>
      </c>
      <c r="K66" s="25">
        <f>Input!$C$48</f>
      </c>
      <c r="L66" s="13">
        <f t="shared" si="8"/>
      </c>
      <c r="M66" s="30">
        <f>Input!$C$38*D66/Input!$C$43+H66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Tanah'!$K$7:$K$47,((((('Data Tanah'!$C$7:$C$47+A67-Input!$C$28*Input!$C$7)-ABS('Data Tanah'!$C$7:$C$47-(A67-Input!$C$28*Input!$C$7)))/2-(('Data Tanah'!$B$7:$B$47+Input!$C$26)+ABS('Data Tanah'!$B$7:$B$47-(Input!$C$26)))/2)+ABS((('Data Tanah'!$C$7:$C$47+A67-Input!$C$28*Input!$C$7)-ABS('Data Tanah'!$C$7:$C$47-(A67-Input!$C$28*Input!$C$7)))/2-(('Data Tanah'!$B$7:$B$47+Input!$C$26)+ABS('Data Tanah'!$B$7:$B$47-(Input!$C$26)))/2))/2))</f>
      </c>
      <c r="E67" s="20">
        <f>IFERROR(AVERAGEIFS('Data Tanah'!$N$7:$N$47,'Data Tanah'!$E$7:$E$47,"&gt;="&amp;(A67-Input!$C$36*Input!$C$7),'Data Tanah'!$E$7:$E$47,"&lt;="&amp;(A67+Input!$C$37*Input!$C$7)),INDEX('Data Tanah'!$N$7:$N$47,MATCH(A67,'Data Tanah'!$B$7:$B$47,1)))</f>
      </c>
      <c r="F67" s="31">
        <f>E67*Input!$C$9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D67/Input!$C$41+F67/Input!$C$42-H67</f>
      </c>
      <c r="J67" s="32">
        <f t="shared" si="7"/>
      </c>
      <c r="K67" s="32">
        <f>Input!$C$48</f>
      </c>
      <c r="L67" s="33">
        <f t="shared" si="8"/>
      </c>
      <c r="M67" s="31">
        <f>Input!$C$38*D67/Input!$C$43+H67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Tanah'!$K$7:$K$47,((((('Data Tanah'!$C$7:$C$47+A68-Input!$C$28*Input!$C$7)-ABS('Data Tanah'!$C$7:$C$47-(A68-Input!$C$28*Input!$C$7)))/2-(('Data Tanah'!$B$7:$B$47+Input!$C$26)+ABS('Data Tanah'!$B$7:$B$47-(Input!$C$26)))/2)+ABS((('Data Tanah'!$C$7:$C$47+A68-Input!$C$28*Input!$C$7)-ABS('Data Tanah'!$C$7:$C$47-(A68-Input!$C$28*Input!$C$7)))/2-(('Data Tanah'!$B$7:$B$47+Input!$C$26)+ABS('Data Tanah'!$B$7:$B$47-(Input!$C$26)))/2))/2))</f>
      </c>
      <c r="E68" s="16">
        <f>IFERROR(AVERAGEIFS('Data Tanah'!$N$7:$N$47,'Data Tanah'!$E$7:$E$47,"&gt;="&amp;(A68-Input!$C$36*Input!$C$7),'Data Tanah'!$E$7:$E$47,"&lt;="&amp;(A68+Input!$C$37*Input!$C$7)),INDEX('Data Tanah'!$N$7:$N$47,MATCH(A68,'Data Tanah'!$B$7:$B$47,1)))</f>
      </c>
      <c r="F68" s="30">
        <f>E68*Input!$C$9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D68/Input!$C$41+F68/Input!$C$42-H68</f>
      </c>
      <c r="J68" s="25">
        <f t="shared" si="7"/>
      </c>
      <c r="K68" s="25">
        <f>Input!$C$48</f>
      </c>
      <c r="L68" s="13">
        <f t="shared" si="8"/>
      </c>
      <c r="M68" s="30">
        <f>Input!$C$38*D68/Input!$C$43+H68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Tanah'!$K$7:$K$47,((((('Data Tanah'!$C$7:$C$47+A69-Input!$C$28*Input!$C$7)-ABS('Data Tanah'!$C$7:$C$47-(A69-Input!$C$28*Input!$C$7)))/2-(('Data Tanah'!$B$7:$B$47+Input!$C$26)+ABS('Data Tanah'!$B$7:$B$47-(Input!$C$26)))/2)+ABS((('Data Tanah'!$C$7:$C$47+A69-Input!$C$28*Input!$C$7)-ABS('Data Tanah'!$C$7:$C$47-(A69-Input!$C$28*Input!$C$7)))/2-(('Data Tanah'!$B$7:$B$47+Input!$C$26)+ABS('Data Tanah'!$B$7:$B$47-(Input!$C$26)))/2))/2))</f>
      </c>
      <c r="E69" s="20">
        <f>IFERROR(AVERAGEIFS('Data Tanah'!$N$7:$N$47,'Data Tanah'!$E$7:$E$47,"&gt;="&amp;(A69-Input!$C$36*Input!$C$7),'Data Tanah'!$E$7:$E$47,"&lt;="&amp;(A69+Input!$C$37*Input!$C$7)),INDEX('Data Tanah'!$N$7:$N$47,MATCH(A69,'Data Tanah'!$B$7:$B$47,1)))</f>
      </c>
      <c r="F69" s="31">
        <f>E69*Input!$C$9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D69/Input!$C$41+F69/Input!$C$42-H69</f>
      </c>
      <c r="J69" s="32">
        <f t="shared" si="7"/>
      </c>
      <c r="K69" s="32">
        <f>Input!$C$48</f>
      </c>
      <c r="L69" s="33">
        <f t="shared" si="8"/>
      </c>
      <c r="M69" s="31">
        <f>Input!$C$38*D69/Input!$C$43+H69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Tanah'!$K$7:$K$47,((((('Data Tanah'!$C$7:$C$47+A70-Input!$C$28*Input!$C$7)-ABS('Data Tanah'!$C$7:$C$47-(A70-Input!$C$28*Input!$C$7)))/2-(('Data Tanah'!$B$7:$B$47+Input!$C$26)+ABS('Data Tanah'!$B$7:$B$47-(Input!$C$26)))/2)+ABS((('Data Tanah'!$C$7:$C$47+A70-Input!$C$28*Input!$C$7)-ABS('Data Tanah'!$C$7:$C$47-(A70-Input!$C$28*Input!$C$7)))/2-(('Data Tanah'!$B$7:$B$47+Input!$C$26)+ABS('Data Tanah'!$B$7:$B$47-(Input!$C$26)))/2))/2))</f>
      </c>
      <c r="E70" s="16">
        <f>IFERROR(AVERAGEIFS('Data Tanah'!$N$7:$N$47,'Data Tanah'!$E$7:$E$47,"&gt;="&amp;(A70-Input!$C$36*Input!$C$7),'Data Tanah'!$E$7:$E$47,"&lt;="&amp;(A70+Input!$C$37*Input!$C$7)),INDEX('Data Tanah'!$N$7:$N$47,MATCH(A70,'Data Tanah'!$B$7:$B$47,1)))</f>
      </c>
      <c r="F70" s="30">
        <f>E70*Input!$C$9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D70/Input!$C$41+F70/Input!$C$42-H70</f>
      </c>
      <c r="J70" s="25">
        <f t="shared" si="7"/>
      </c>
      <c r="K70" s="25">
        <f>Input!$C$48</f>
      </c>
      <c r="L70" s="13">
        <f t="shared" si="8"/>
      </c>
      <c r="M70" s="30">
        <f>Input!$C$38*D70/Input!$C$43+H70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Tanah'!$K$7:$K$47,((((('Data Tanah'!$C$7:$C$47+A71-Input!$C$28*Input!$C$7)-ABS('Data Tanah'!$C$7:$C$47-(A71-Input!$C$28*Input!$C$7)))/2-(('Data Tanah'!$B$7:$B$47+Input!$C$26)+ABS('Data Tanah'!$B$7:$B$47-(Input!$C$26)))/2)+ABS((('Data Tanah'!$C$7:$C$47+A71-Input!$C$28*Input!$C$7)-ABS('Data Tanah'!$C$7:$C$47-(A71-Input!$C$28*Input!$C$7)))/2-(('Data Tanah'!$B$7:$B$47+Input!$C$26)+ABS('Data Tanah'!$B$7:$B$47-(Input!$C$26)))/2))/2))</f>
      </c>
      <c r="E71" s="20">
        <f>IFERROR(AVERAGEIFS('Data Tanah'!$N$7:$N$47,'Data Tanah'!$E$7:$E$47,"&gt;="&amp;(A71-Input!$C$36*Input!$C$7),'Data Tanah'!$E$7:$E$47,"&lt;="&amp;(A71+Input!$C$37*Input!$C$7)),INDEX('Data Tanah'!$N$7:$N$47,MATCH(A71,'Data Tanah'!$B$7:$B$47,1)))</f>
      </c>
      <c r="F71" s="31">
        <f>E71*Input!$C$9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D71/Input!$C$41+F71/Input!$C$42-H71</f>
      </c>
      <c r="J71" s="32">
        <f t="shared" si="7"/>
      </c>
      <c r="K71" s="32">
        <f>Input!$C$48</f>
      </c>
      <c r="L71" s="33">
        <f t="shared" si="8"/>
      </c>
      <c r="M71" s="31">
        <f>Input!$C$38*D71/Input!$C$43+H71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Tanah'!$K$7:$K$47,((((('Data Tanah'!$C$7:$C$47+A72-Input!$C$28*Input!$C$7)-ABS('Data Tanah'!$C$7:$C$47-(A72-Input!$C$28*Input!$C$7)))/2-(('Data Tanah'!$B$7:$B$47+Input!$C$26)+ABS('Data Tanah'!$B$7:$B$47-(Input!$C$26)))/2)+ABS((('Data Tanah'!$C$7:$C$47+A72-Input!$C$28*Input!$C$7)-ABS('Data Tanah'!$C$7:$C$47-(A72-Input!$C$28*Input!$C$7)))/2-(('Data Tanah'!$B$7:$B$47+Input!$C$26)+ABS('Data Tanah'!$B$7:$B$47-(Input!$C$26)))/2))/2))</f>
      </c>
      <c r="E72" s="16">
        <f>IFERROR(AVERAGEIFS('Data Tanah'!$N$7:$N$47,'Data Tanah'!$E$7:$E$47,"&gt;="&amp;(A72-Input!$C$36*Input!$C$7),'Data Tanah'!$E$7:$E$47,"&lt;="&amp;(A72+Input!$C$37*Input!$C$7)),INDEX('Data Tanah'!$N$7:$N$47,MATCH(A72,'Data Tanah'!$B$7:$B$47,1)))</f>
      </c>
      <c r="F72" s="30">
        <f>E72*Input!$C$9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D72/Input!$C$41+F72/Input!$C$42-H72</f>
      </c>
      <c r="J72" s="25">
        <f t="shared" si="7"/>
      </c>
      <c r="K72" s="25">
        <f>Input!$C$48</f>
      </c>
      <c r="L72" s="13">
        <f t="shared" si="8"/>
      </c>
      <c r="M72" s="30">
        <f>Input!$C$38*D72/Input!$C$43+H72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Tanah'!$K$7:$K$47,((((('Data Tanah'!$C$7:$C$47+A73-Input!$C$28*Input!$C$7)-ABS('Data Tanah'!$C$7:$C$47-(A73-Input!$C$28*Input!$C$7)))/2-(('Data Tanah'!$B$7:$B$47+Input!$C$26)+ABS('Data Tanah'!$B$7:$B$47-(Input!$C$26)))/2)+ABS((('Data Tanah'!$C$7:$C$47+A73-Input!$C$28*Input!$C$7)-ABS('Data Tanah'!$C$7:$C$47-(A73-Input!$C$28*Input!$C$7)))/2-(('Data Tanah'!$B$7:$B$47+Input!$C$26)+ABS('Data Tanah'!$B$7:$B$47-(Input!$C$26)))/2))/2))</f>
      </c>
      <c r="E73" s="20">
        <f>IFERROR(AVERAGEIFS('Data Tanah'!$N$7:$N$47,'Data Tanah'!$E$7:$E$47,"&gt;="&amp;(A73-Input!$C$36*Input!$C$7),'Data Tanah'!$E$7:$E$47,"&lt;="&amp;(A73+Input!$C$37*Input!$C$7)),INDEX('Data Tanah'!$N$7:$N$47,MATCH(A73,'Data Tanah'!$B$7:$B$47,1)))</f>
      </c>
      <c r="F73" s="31">
        <f>E73*Input!$C$9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D73/Input!$C$41+F73/Input!$C$42-H73</f>
      </c>
      <c r="J73" s="32">
        <f t="shared" si="7"/>
      </c>
      <c r="K73" s="32">
        <f>Input!$C$48</f>
      </c>
      <c r="L73" s="33">
        <f t="shared" si="8"/>
      </c>
      <c r="M73" s="31">
        <f>Input!$C$38*D73/Input!$C$43+H73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Tanah'!$K$7:$K$47,((((('Data Tanah'!$C$7:$C$47+A74-Input!$C$28*Input!$C$7)-ABS('Data Tanah'!$C$7:$C$47-(A74-Input!$C$28*Input!$C$7)))/2-(('Data Tanah'!$B$7:$B$47+Input!$C$26)+ABS('Data Tanah'!$B$7:$B$47-(Input!$C$26)))/2)+ABS((('Data Tanah'!$C$7:$C$47+A74-Input!$C$28*Input!$C$7)-ABS('Data Tanah'!$C$7:$C$47-(A74-Input!$C$28*Input!$C$7)))/2-(('Data Tanah'!$B$7:$B$47+Input!$C$26)+ABS('Data Tanah'!$B$7:$B$47-(Input!$C$26)))/2))/2))</f>
      </c>
      <c r="E74" s="16">
        <f>IFERROR(AVERAGEIFS('Data Tanah'!$N$7:$N$47,'Data Tanah'!$E$7:$E$47,"&gt;="&amp;(A74-Input!$C$36*Input!$C$7),'Data Tanah'!$E$7:$E$47,"&lt;="&amp;(A74+Input!$C$37*Input!$C$7)),INDEX('Data Tanah'!$N$7:$N$47,MATCH(A74,'Data Tanah'!$B$7:$B$47,1)))</f>
      </c>
      <c r="F74" s="30">
        <f>E74*Input!$C$9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D74/Input!$C$41+F74/Input!$C$42-H74</f>
      </c>
      <c r="J74" s="25">
        <f t="shared" si="7"/>
      </c>
      <c r="K74" s="25">
        <f>Input!$C$48</f>
      </c>
      <c r="L74" s="13">
        <f t="shared" si="8"/>
      </c>
      <c r="M74" s="30">
        <f>Input!$C$38*D74/Input!$C$43+H74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Tanah'!$K$7:$K$47,((((('Data Tanah'!$C$7:$C$47+A75-Input!$C$28*Input!$C$7)-ABS('Data Tanah'!$C$7:$C$47-(A75-Input!$C$28*Input!$C$7)))/2-(('Data Tanah'!$B$7:$B$47+Input!$C$26)+ABS('Data Tanah'!$B$7:$B$47-(Input!$C$26)))/2)+ABS((('Data Tanah'!$C$7:$C$47+A75-Input!$C$28*Input!$C$7)-ABS('Data Tanah'!$C$7:$C$47-(A75-Input!$C$28*Input!$C$7)))/2-(('Data Tanah'!$B$7:$B$47+Input!$C$26)+ABS('Data Tanah'!$B$7:$B$47-(Input!$C$26)))/2))/2))</f>
      </c>
      <c r="E75" s="20">
        <f>IFERROR(AVERAGEIFS('Data Tanah'!$N$7:$N$47,'Data Tanah'!$E$7:$E$47,"&gt;="&amp;(A75-Input!$C$36*Input!$C$7),'Data Tanah'!$E$7:$E$47,"&lt;="&amp;(A75+Input!$C$37*Input!$C$7)),INDEX('Data Tanah'!$N$7:$N$47,MATCH(A75,'Data Tanah'!$B$7:$B$47,1)))</f>
      </c>
      <c r="F75" s="31">
        <f>E75*Input!$C$9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D75/Input!$C$41+F75/Input!$C$42-H75</f>
      </c>
      <c r="J75" s="32">
        <f t="shared" si="7"/>
      </c>
      <c r="K75" s="32">
        <f>Input!$C$48</f>
      </c>
      <c r="L75" s="33">
        <f t="shared" si="8"/>
      </c>
      <c r="M75" s="31">
        <f>Input!$C$38*D75/Input!$C$43+H75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Tanah'!$K$7:$K$47,((((('Data Tanah'!$C$7:$C$47+A76-Input!$C$28*Input!$C$7)-ABS('Data Tanah'!$C$7:$C$47-(A76-Input!$C$28*Input!$C$7)))/2-(('Data Tanah'!$B$7:$B$47+Input!$C$26)+ABS('Data Tanah'!$B$7:$B$47-(Input!$C$26)))/2)+ABS((('Data Tanah'!$C$7:$C$47+A76-Input!$C$28*Input!$C$7)-ABS('Data Tanah'!$C$7:$C$47-(A76-Input!$C$28*Input!$C$7)))/2-(('Data Tanah'!$B$7:$B$47+Input!$C$26)+ABS('Data Tanah'!$B$7:$B$47-(Input!$C$26)))/2))/2))</f>
      </c>
      <c r="E76" s="16">
        <f>IFERROR(AVERAGEIFS('Data Tanah'!$N$7:$N$47,'Data Tanah'!$E$7:$E$47,"&gt;="&amp;(A76-Input!$C$36*Input!$C$7),'Data Tanah'!$E$7:$E$47,"&lt;="&amp;(A76+Input!$C$37*Input!$C$7)),INDEX('Data Tanah'!$N$7:$N$47,MATCH(A76,'Data Tanah'!$B$7:$B$47,1)))</f>
      </c>
      <c r="F76" s="30">
        <f>E76*Input!$C$9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D76/Input!$C$41+F76/Input!$C$42-H76</f>
      </c>
      <c r="J76" s="25">
        <f t="shared" ref="J76:J107" si="12">I76*9.81</f>
      </c>
      <c r="K76" s="25">
        <f>Input!$C$48</f>
      </c>
      <c r="L76" s="13">
        <f t="shared" ref="L76:L107" si="13">AND(J76&gt;=K76,L77)</f>
      </c>
      <c r="M76" s="30">
        <f>Input!$C$38*D76/Input!$C$43+H76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Tanah'!$K$7:$K$47,((((('Data Tanah'!$C$7:$C$47+A77-Input!$C$28*Input!$C$7)-ABS('Data Tanah'!$C$7:$C$47-(A77-Input!$C$28*Input!$C$7)))/2-(('Data Tanah'!$B$7:$B$47+Input!$C$26)+ABS('Data Tanah'!$B$7:$B$47-(Input!$C$26)))/2)+ABS((('Data Tanah'!$C$7:$C$47+A77-Input!$C$28*Input!$C$7)-ABS('Data Tanah'!$C$7:$C$47-(A77-Input!$C$28*Input!$C$7)))/2-(('Data Tanah'!$B$7:$B$47+Input!$C$26)+ABS('Data Tanah'!$B$7:$B$47-(Input!$C$26)))/2))/2))</f>
      </c>
      <c r="E77" s="20">
        <f>IFERROR(AVERAGEIFS('Data Tanah'!$N$7:$N$47,'Data Tanah'!$E$7:$E$47,"&gt;="&amp;(A77-Input!$C$36*Input!$C$7),'Data Tanah'!$E$7:$E$47,"&lt;="&amp;(A77+Input!$C$37*Input!$C$7)),INDEX('Data Tanah'!$N$7:$N$47,MATCH(A77,'Data Tanah'!$B$7:$B$47,1)))</f>
      </c>
      <c r="F77" s="31">
        <f>E77*Input!$C$9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D77/Input!$C$41+F77/Input!$C$42-H77</f>
      </c>
      <c r="J77" s="32">
        <f t="shared" si="12"/>
      </c>
      <c r="K77" s="32">
        <f>Input!$C$48</f>
      </c>
      <c r="L77" s="33">
        <f t="shared" si="13"/>
      </c>
      <c r="M77" s="31">
        <f>Input!$C$38*D77/Input!$C$43+H77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Tanah'!$K$7:$K$47,((((('Data Tanah'!$C$7:$C$47+A78-Input!$C$28*Input!$C$7)-ABS('Data Tanah'!$C$7:$C$47-(A78-Input!$C$28*Input!$C$7)))/2-(('Data Tanah'!$B$7:$B$47+Input!$C$26)+ABS('Data Tanah'!$B$7:$B$47-(Input!$C$26)))/2)+ABS((('Data Tanah'!$C$7:$C$47+A78-Input!$C$28*Input!$C$7)-ABS('Data Tanah'!$C$7:$C$47-(A78-Input!$C$28*Input!$C$7)))/2-(('Data Tanah'!$B$7:$B$47+Input!$C$26)+ABS('Data Tanah'!$B$7:$B$47-(Input!$C$26)))/2))/2))</f>
      </c>
      <c r="E78" s="16">
        <f>IFERROR(AVERAGEIFS('Data Tanah'!$N$7:$N$47,'Data Tanah'!$E$7:$E$47,"&gt;="&amp;(A78-Input!$C$36*Input!$C$7),'Data Tanah'!$E$7:$E$47,"&lt;="&amp;(A78+Input!$C$37*Input!$C$7)),INDEX('Data Tanah'!$N$7:$N$47,MATCH(A78,'Data Tanah'!$B$7:$B$47,1)))</f>
      </c>
      <c r="F78" s="30">
        <f>E78*Input!$C$9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D78/Input!$C$41+F78/Input!$C$42-H78</f>
      </c>
      <c r="J78" s="25">
        <f t="shared" si="12"/>
      </c>
      <c r="K78" s="25">
        <f>Input!$C$48</f>
      </c>
      <c r="L78" s="13">
        <f t="shared" si="13"/>
      </c>
      <c r="M78" s="30">
        <f>Input!$C$38*D78/Input!$C$43+H78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Tanah'!$K$7:$K$47,((((('Data Tanah'!$C$7:$C$47+A79-Input!$C$28*Input!$C$7)-ABS('Data Tanah'!$C$7:$C$47-(A79-Input!$C$28*Input!$C$7)))/2-(('Data Tanah'!$B$7:$B$47+Input!$C$26)+ABS('Data Tanah'!$B$7:$B$47-(Input!$C$26)))/2)+ABS((('Data Tanah'!$C$7:$C$47+A79-Input!$C$28*Input!$C$7)-ABS('Data Tanah'!$C$7:$C$47-(A79-Input!$C$28*Input!$C$7)))/2-(('Data Tanah'!$B$7:$B$47+Input!$C$26)+ABS('Data Tanah'!$B$7:$B$47-(Input!$C$26)))/2))/2))</f>
      </c>
      <c r="E79" s="20">
        <f>IFERROR(AVERAGEIFS('Data Tanah'!$N$7:$N$47,'Data Tanah'!$E$7:$E$47,"&gt;="&amp;(A79-Input!$C$36*Input!$C$7),'Data Tanah'!$E$7:$E$47,"&lt;="&amp;(A79+Input!$C$37*Input!$C$7)),INDEX('Data Tanah'!$N$7:$N$47,MATCH(A79,'Data Tanah'!$B$7:$B$47,1)))</f>
      </c>
      <c r="F79" s="31">
        <f>E79*Input!$C$9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D79/Input!$C$41+F79/Input!$C$42-H79</f>
      </c>
      <c r="J79" s="32">
        <f t="shared" si="12"/>
      </c>
      <c r="K79" s="32">
        <f>Input!$C$48</f>
      </c>
      <c r="L79" s="33">
        <f t="shared" si="13"/>
      </c>
      <c r="M79" s="31">
        <f>Input!$C$38*D79/Input!$C$43+H79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Tanah'!$K$7:$K$47,((((('Data Tanah'!$C$7:$C$47+A80-Input!$C$28*Input!$C$7)-ABS('Data Tanah'!$C$7:$C$47-(A80-Input!$C$28*Input!$C$7)))/2-(('Data Tanah'!$B$7:$B$47+Input!$C$26)+ABS('Data Tanah'!$B$7:$B$47-(Input!$C$26)))/2)+ABS((('Data Tanah'!$C$7:$C$47+A80-Input!$C$28*Input!$C$7)-ABS('Data Tanah'!$C$7:$C$47-(A80-Input!$C$28*Input!$C$7)))/2-(('Data Tanah'!$B$7:$B$47+Input!$C$26)+ABS('Data Tanah'!$B$7:$B$47-(Input!$C$26)))/2))/2))</f>
      </c>
      <c r="E80" s="16">
        <f>IFERROR(AVERAGEIFS('Data Tanah'!$N$7:$N$47,'Data Tanah'!$E$7:$E$47,"&gt;="&amp;(A80-Input!$C$36*Input!$C$7),'Data Tanah'!$E$7:$E$47,"&lt;="&amp;(A80+Input!$C$37*Input!$C$7)),INDEX('Data Tanah'!$N$7:$N$47,MATCH(A80,'Data Tanah'!$B$7:$B$47,1)))</f>
      </c>
      <c r="F80" s="30">
        <f>E80*Input!$C$9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D80/Input!$C$41+F80/Input!$C$42-H80</f>
      </c>
      <c r="J80" s="25">
        <f t="shared" si="12"/>
      </c>
      <c r="K80" s="25">
        <f>Input!$C$48</f>
      </c>
      <c r="L80" s="13">
        <f t="shared" si="13"/>
      </c>
      <c r="M80" s="30">
        <f>Input!$C$38*D80/Input!$C$43+H80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Tanah'!$K$7:$K$47,((((('Data Tanah'!$C$7:$C$47+A81-Input!$C$28*Input!$C$7)-ABS('Data Tanah'!$C$7:$C$47-(A81-Input!$C$28*Input!$C$7)))/2-(('Data Tanah'!$B$7:$B$47+Input!$C$26)+ABS('Data Tanah'!$B$7:$B$47-(Input!$C$26)))/2)+ABS((('Data Tanah'!$C$7:$C$47+A81-Input!$C$28*Input!$C$7)-ABS('Data Tanah'!$C$7:$C$47-(A81-Input!$C$28*Input!$C$7)))/2-(('Data Tanah'!$B$7:$B$47+Input!$C$26)+ABS('Data Tanah'!$B$7:$B$47-(Input!$C$26)))/2))/2))</f>
      </c>
      <c r="E81" s="20">
        <f>IFERROR(AVERAGEIFS('Data Tanah'!$N$7:$N$47,'Data Tanah'!$E$7:$E$47,"&gt;="&amp;(A81-Input!$C$36*Input!$C$7),'Data Tanah'!$E$7:$E$47,"&lt;="&amp;(A81+Input!$C$37*Input!$C$7)),INDEX('Data Tanah'!$N$7:$N$47,MATCH(A81,'Data Tanah'!$B$7:$B$47,1)))</f>
      </c>
      <c r="F81" s="31">
        <f>E81*Input!$C$9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D81/Input!$C$41+F81/Input!$C$42-H81</f>
      </c>
      <c r="J81" s="32">
        <f t="shared" si="12"/>
      </c>
      <c r="K81" s="32">
        <f>Input!$C$48</f>
      </c>
      <c r="L81" s="33">
        <f t="shared" si="13"/>
      </c>
      <c r="M81" s="31">
        <f>Input!$C$38*D81/Input!$C$43+H81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Tanah'!$K$7:$K$47,((((('Data Tanah'!$C$7:$C$47+A82-Input!$C$28*Input!$C$7)-ABS('Data Tanah'!$C$7:$C$47-(A82-Input!$C$28*Input!$C$7)))/2-(('Data Tanah'!$B$7:$B$47+Input!$C$26)+ABS('Data Tanah'!$B$7:$B$47-(Input!$C$26)))/2)+ABS((('Data Tanah'!$C$7:$C$47+A82-Input!$C$28*Input!$C$7)-ABS('Data Tanah'!$C$7:$C$47-(A82-Input!$C$28*Input!$C$7)))/2-(('Data Tanah'!$B$7:$B$47+Input!$C$26)+ABS('Data Tanah'!$B$7:$B$47-(Input!$C$26)))/2))/2))</f>
      </c>
      <c r="E82" s="16">
        <f>IFERROR(AVERAGEIFS('Data Tanah'!$N$7:$N$47,'Data Tanah'!$E$7:$E$47,"&gt;="&amp;(A82-Input!$C$36*Input!$C$7),'Data Tanah'!$E$7:$E$47,"&lt;="&amp;(A82+Input!$C$37*Input!$C$7)),INDEX('Data Tanah'!$N$7:$N$47,MATCH(A82,'Data Tanah'!$B$7:$B$47,1)))</f>
      </c>
      <c r="F82" s="30">
        <f>E82*Input!$C$9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D82/Input!$C$41+F82/Input!$C$42-H82</f>
      </c>
      <c r="J82" s="25">
        <f t="shared" si="12"/>
      </c>
      <c r="K82" s="25">
        <f>Input!$C$48</f>
      </c>
      <c r="L82" s="13">
        <f t="shared" si="13"/>
      </c>
      <c r="M82" s="30">
        <f>Input!$C$38*D82/Input!$C$43+H82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Tanah'!$K$7:$K$47,((((('Data Tanah'!$C$7:$C$47+A83-Input!$C$28*Input!$C$7)-ABS('Data Tanah'!$C$7:$C$47-(A83-Input!$C$28*Input!$C$7)))/2-(('Data Tanah'!$B$7:$B$47+Input!$C$26)+ABS('Data Tanah'!$B$7:$B$47-(Input!$C$26)))/2)+ABS((('Data Tanah'!$C$7:$C$47+A83-Input!$C$28*Input!$C$7)-ABS('Data Tanah'!$C$7:$C$47-(A83-Input!$C$28*Input!$C$7)))/2-(('Data Tanah'!$B$7:$B$47+Input!$C$26)+ABS('Data Tanah'!$B$7:$B$47-(Input!$C$26)))/2))/2))</f>
      </c>
      <c r="E83" s="20">
        <f>IFERROR(AVERAGEIFS('Data Tanah'!$N$7:$N$47,'Data Tanah'!$E$7:$E$47,"&gt;="&amp;(A83-Input!$C$36*Input!$C$7),'Data Tanah'!$E$7:$E$47,"&lt;="&amp;(A83+Input!$C$37*Input!$C$7)),INDEX('Data Tanah'!$N$7:$N$47,MATCH(A83,'Data Tanah'!$B$7:$B$47,1)))</f>
      </c>
      <c r="F83" s="31">
        <f>E83*Input!$C$9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D83/Input!$C$41+F83/Input!$C$42-H83</f>
      </c>
      <c r="J83" s="32">
        <f t="shared" si="12"/>
      </c>
      <c r="K83" s="32">
        <f>Input!$C$48</f>
      </c>
      <c r="L83" s="33">
        <f t="shared" si="13"/>
      </c>
      <c r="M83" s="31">
        <f>Input!$C$38*D83/Input!$C$43+H83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Tanah'!$K$7:$K$47,((((('Data Tanah'!$C$7:$C$47+A84-Input!$C$28*Input!$C$7)-ABS('Data Tanah'!$C$7:$C$47-(A84-Input!$C$28*Input!$C$7)))/2-(('Data Tanah'!$B$7:$B$47+Input!$C$26)+ABS('Data Tanah'!$B$7:$B$47-(Input!$C$26)))/2)+ABS((('Data Tanah'!$C$7:$C$47+A84-Input!$C$28*Input!$C$7)-ABS('Data Tanah'!$C$7:$C$47-(A84-Input!$C$28*Input!$C$7)))/2-(('Data Tanah'!$B$7:$B$47+Input!$C$26)+ABS('Data Tanah'!$B$7:$B$47-(Input!$C$26)))/2))/2))</f>
      </c>
      <c r="E84" s="16">
        <f>IFERROR(AVERAGEIFS('Data Tanah'!$N$7:$N$47,'Data Tanah'!$E$7:$E$47,"&gt;="&amp;(A84-Input!$C$36*Input!$C$7),'Data Tanah'!$E$7:$E$47,"&lt;="&amp;(A84+Input!$C$37*Input!$C$7)),INDEX('Data Tanah'!$N$7:$N$47,MATCH(A84,'Data Tanah'!$B$7:$B$47,1)))</f>
      </c>
      <c r="F84" s="30">
        <f>E84*Input!$C$9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D84/Input!$C$41+F84/Input!$C$42-H84</f>
      </c>
      <c r="J84" s="25">
        <f t="shared" si="12"/>
      </c>
      <c r="K84" s="25">
        <f>Input!$C$48</f>
      </c>
      <c r="L84" s="13">
        <f t="shared" si="13"/>
      </c>
      <c r="M84" s="30">
        <f>Input!$C$38*D84/Input!$C$43+H84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Tanah'!$K$7:$K$47,((((('Data Tanah'!$C$7:$C$47+A85-Input!$C$28*Input!$C$7)-ABS('Data Tanah'!$C$7:$C$47-(A85-Input!$C$28*Input!$C$7)))/2-(('Data Tanah'!$B$7:$B$47+Input!$C$26)+ABS('Data Tanah'!$B$7:$B$47-(Input!$C$26)))/2)+ABS((('Data Tanah'!$C$7:$C$47+A85-Input!$C$28*Input!$C$7)-ABS('Data Tanah'!$C$7:$C$47-(A85-Input!$C$28*Input!$C$7)))/2-(('Data Tanah'!$B$7:$B$47+Input!$C$26)+ABS('Data Tanah'!$B$7:$B$47-(Input!$C$26)))/2))/2))</f>
      </c>
      <c r="E85" s="20">
        <f>IFERROR(AVERAGEIFS('Data Tanah'!$N$7:$N$47,'Data Tanah'!$E$7:$E$47,"&gt;="&amp;(A85-Input!$C$36*Input!$C$7),'Data Tanah'!$E$7:$E$47,"&lt;="&amp;(A85+Input!$C$37*Input!$C$7)),INDEX('Data Tanah'!$N$7:$N$47,MATCH(A85,'Data Tanah'!$B$7:$B$47,1)))</f>
      </c>
      <c r="F85" s="31">
        <f>E85*Input!$C$9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D85/Input!$C$41+F85/Input!$C$42-H85</f>
      </c>
      <c r="J85" s="32">
        <f t="shared" si="12"/>
      </c>
      <c r="K85" s="32">
        <f>Input!$C$48</f>
      </c>
      <c r="L85" s="33">
        <f t="shared" si="13"/>
      </c>
      <c r="M85" s="31">
        <f>Input!$C$38*D85/Input!$C$43+H85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Tanah'!$K$7:$K$47,((((('Data Tanah'!$C$7:$C$47+A86-Input!$C$28*Input!$C$7)-ABS('Data Tanah'!$C$7:$C$47-(A86-Input!$C$28*Input!$C$7)))/2-(('Data Tanah'!$B$7:$B$47+Input!$C$26)+ABS('Data Tanah'!$B$7:$B$47-(Input!$C$26)))/2)+ABS((('Data Tanah'!$C$7:$C$47+A86-Input!$C$28*Input!$C$7)-ABS('Data Tanah'!$C$7:$C$47-(A86-Input!$C$28*Input!$C$7)))/2-(('Data Tanah'!$B$7:$B$47+Input!$C$26)+ABS('Data Tanah'!$B$7:$B$47-(Input!$C$26)))/2))/2))</f>
      </c>
      <c r="E86" s="16">
        <f>IFERROR(AVERAGEIFS('Data Tanah'!$N$7:$N$47,'Data Tanah'!$E$7:$E$47,"&gt;="&amp;(A86-Input!$C$36*Input!$C$7),'Data Tanah'!$E$7:$E$47,"&lt;="&amp;(A86+Input!$C$37*Input!$C$7)),INDEX('Data Tanah'!$N$7:$N$47,MATCH(A86,'Data Tanah'!$B$7:$B$47,1)))</f>
      </c>
      <c r="F86" s="30">
        <f>E86*Input!$C$9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D86/Input!$C$41+F86/Input!$C$42-H86</f>
      </c>
      <c r="J86" s="25">
        <f t="shared" si="12"/>
      </c>
      <c r="K86" s="25">
        <f>Input!$C$48</f>
      </c>
      <c r="L86" s="13">
        <f t="shared" si="13"/>
      </c>
      <c r="M86" s="30">
        <f>Input!$C$38*D86/Input!$C$43+H86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Tanah'!$K$7:$K$47,((((('Data Tanah'!$C$7:$C$47+A87-Input!$C$28*Input!$C$7)-ABS('Data Tanah'!$C$7:$C$47-(A87-Input!$C$28*Input!$C$7)))/2-(('Data Tanah'!$B$7:$B$47+Input!$C$26)+ABS('Data Tanah'!$B$7:$B$47-(Input!$C$26)))/2)+ABS((('Data Tanah'!$C$7:$C$47+A87-Input!$C$28*Input!$C$7)-ABS('Data Tanah'!$C$7:$C$47-(A87-Input!$C$28*Input!$C$7)))/2-(('Data Tanah'!$B$7:$B$47+Input!$C$26)+ABS('Data Tanah'!$B$7:$B$47-(Input!$C$26)))/2))/2))</f>
      </c>
      <c r="E87" s="20">
        <f>IFERROR(AVERAGEIFS('Data Tanah'!$N$7:$N$47,'Data Tanah'!$E$7:$E$47,"&gt;="&amp;(A87-Input!$C$36*Input!$C$7),'Data Tanah'!$E$7:$E$47,"&lt;="&amp;(A87+Input!$C$37*Input!$C$7)),INDEX('Data Tanah'!$N$7:$N$47,MATCH(A87,'Data Tanah'!$B$7:$B$47,1)))</f>
      </c>
      <c r="F87" s="31">
        <f>E87*Input!$C$9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D87/Input!$C$41+F87/Input!$C$42-H87</f>
      </c>
      <c r="J87" s="32">
        <f t="shared" si="12"/>
      </c>
      <c r="K87" s="32">
        <f>Input!$C$48</f>
      </c>
      <c r="L87" s="33">
        <f t="shared" si="13"/>
      </c>
      <c r="M87" s="31">
        <f>Input!$C$38*D87/Input!$C$43+H87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Tanah'!$K$7:$K$47,((((('Data Tanah'!$C$7:$C$47+A88-Input!$C$28*Input!$C$7)-ABS('Data Tanah'!$C$7:$C$47-(A88-Input!$C$28*Input!$C$7)))/2-(('Data Tanah'!$B$7:$B$47+Input!$C$26)+ABS('Data Tanah'!$B$7:$B$47-(Input!$C$26)))/2)+ABS((('Data Tanah'!$C$7:$C$47+A88-Input!$C$28*Input!$C$7)-ABS('Data Tanah'!$C$7:$C$47-(A88-Input!$C$28*Input!$C$7)))/2-(('Data Tanah'!$B$7:$B$47+Input!$C$26)+ABS('Data Tanah'!$B$7:$B$47-(Input!$C$26)))/2))/2))</f>
      </c>
      <c r="E88" s="16">
        <f>IFERROR(AVERAGEIFS('Data Tanah'!$N$7:$N$47,'Data Tanah'!$E$7:$E$47,"&gt;="&amp;(A88-Input!$C$36*Input!$C$7),'Data Tanah'!$E$7:$E$47,"&lt;="&amp;(A88+Input!$C$37*Input!$C$7)),INDEX('Data Tanah'!$N$7:$N$47,MATCH(A88,'Data Tanah'!$B$7:$B$47,1)))</f>
      </c>
      <c r="F88" s="30">
        <f>E88*Input!$C$9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D88/Input!$C$41+F88/Input!$C$42-H88</f>
      </c>
      <c r="J88" s="25">
        <f t="shared" si="12"/>
      </c>
      <c r="K88" s="25">
        <f>Input!$C$48</f>
      </c>
      <c r="L88" s="13">
        <f t="shared" si="13"/>
      </c>
      <c r="M88" s="30">
        <f>Input!$C$38*D88/Input!$C$43+H88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Tanah'!$K$7:$K$47,((((('Data Tanah'!$C$7:$C$47+A89-Input!$C$28*Input!$C$7)-ABS('Data Tanah'!$C$7:$C$47-(A89-Input!$C$28*Input!$C$7)))/2-(('Data Tanah'!$B$7:$B$47+Input!$C$26)+ABS('Data Tanah'!$B$7:$B$47-(Input!$C$26)))/2)+ABS((('Data Tanah'!$C$7:$C$47+A89-Input!$C$28*Input!$C$7)-ABS('Data Tanah'!$C$7:$C$47-(A89-Input!$C$28*Input!$C$7)))/2-(('Data Tanah'!$B$7:$B$47+Input!$C$26)+ABS('Data Tanah'!$B$7:$B$47-(Input!$C$26)))/2))/2))</f>
      </c>
      <c r="E89" s="20">
        <f>IFERROR(AVERAGEIFS('Data Tanah'!$N$7:$N$47,'Data Tanah'!$E$7:$E$47,"&gt;="&amp;(A89-Input!$C$36*Input!$C$7),'Data Tanah'!$E$7:$E$47,"&lt;="&amp;(A89+Input!$C$37*Input!$C$7)),INDEX('Data Tanah'!$N$7:$N$47,MATCH(A89,'Data Tanah'!$B$7:$B$47,1)))</f>
      </c>
      <c r="F89" s="31">
        <f>E89*Input!$C$9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D89/Input!$C$41+F89/Input!$C$42-H89</f>
      </c>
      <c r="J89" s="32">
        <f t="shared" si="12"/>
      </c>
      <c r="K89" s="32">
        <f>Input!$C$48</f>
      </c>
      <c r="L89" s="33">
        <f t="shared" si="13"/>
      </c>
      <c r="M89" s="31">
        <f>Input!$C$38*D89/Input!$C$43+H89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Tanah'!$K$7:$K$47,((((('Data Tanah'!$C$7:$C$47+A90-Input!$C$28*Input!$C$7)-ABS('Data Tanah'!$C$7:$C$47-(A90-Input!$C$28*Input!$C$7)))/2-(('Data Tanah'!$B$7:$B$47+Input!$C$26)+ABS('Data Tanah'!$B$7:$B$47-(Input!$C$26)))/2)+ABS((('Data Tanah'!$C$7:$C$47+A90-Input!$C$28*Input!$C$7)-ABS('Data Tanah'!$C$7:$C$47-(A90-Input!$C$28*Input!$C$7)))/2-(('Data Tanah'!$B$7:$B$47+Input!$C$26)+ABS('Data Tanah'!$B$7:$B$47-(Input!$C$26)))/2))/2))</f>
      </c>
      <c r="E90" s="16">
        <f>IFERROR(AVERAGEIFS('Data Tanah'!$N$7:$N$47,'Data Tanah'!$E$7:$E$47,"&gt;="&amp;(A90-Input!$C$36*Input!$C$7),'Data Tanah'!$E$7:$E$47,"&lt;="&amp;(A90+Input!$C$37*Input!$C$7)),INDEX('Data Tanah'!$N$7:$N$47,MATCH(A90,'Data Tanah'!$B$7:$B$47,1)))</f>
      </c>
      <c r="F90" s="30">
        <f>E90*Input!$C$9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D90/Input!$C$41+F90/Input!$C$42-H90</f>
      </c>
      <c r="J90" s="25">
        <f t="shared" si="12"/>
      </c>
      <c r="K90" s="25">
        <f>Input!$C$48</f>
      </c>
      <c r="L90" s="13">
        <f t="shared" si="13"/>
      </c>
      <c r="M90" s="30">
        <f>Input!$C$38*D90/Input!$C$43+H90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Tanah'!$K$7:$K$47,((((('Data Tanah'!$C$7:$C$47+A91-Input!$C$28*Input!$C$7)-ABS('Data Tanah'!$C$7:$C$47-(A91-Input!$C$28*Input!$C$7)))/2-(('Data Tanah'!$B$7:$B$47+Input!$C$26)+ABS('Data Tanah'!$B$7:$B$47-(Input!$C$26)))/2)+ABS((('Data Tanah'!$C$7:$C$47+A91-Input!$C$28*Input!$C$7)-ABS('Data Tanah'!$C$7:$C$47-(A91-Input!$C$28*Input!$C$7)))/2-(('Data Tanah'!$B$7:$B$47+Input!$C$26)+ABS('Data Tanah'!$B$7:$B$47-(Input!$C$26)))/2))/2))</f>
      </c>
      <c r="E91" s="20">
        <f>IFERROR(AVERAGEIFS('Data Tanah'!$N$7:$N$47,'Data Tanah'!$E$7:$E$47,"&gt;="&amp;(A91-Input!$C$36*Input!$C$7),'Data Tanah'!$E$7:$E$47,"&lt;="&amp;(A91+Input!$C$37*Input!$C$7)),INDEX('Data Tanah'!$N$7:$N$47,MATCH(A91,'Data Tanah'!$B$7:$B$47,1)))</f>
      </c>
      <c r="F91" s="31">
        <f>E91*Input!$C$9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D91/Input!$C$41+F91/Input!$C$42-H91</f>
      </c>
      <c r="J91" s="32">
        <f t="shared" si="12"/>
      </c>
      <c r="K91" s="32">
        <f>Input!$C$48</f>
      </c>
      <c r="L91" s="33">
        <f t="shared" si="13"/>
      </c>
      <c r="M91" s="31">
        <f>Input!$C$38*D91/Input!$C$43+H91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Tanah'!$K$7:$K$47,((((('Data Tanah'!$C$7:$C$47+A92-Input!$C$28*Input!$C$7)-ABS('Data Tanah'!$C$7:$C$47-(A92-Input!$C$28*Input!$C$7)))/2-(('Data Tanah'!$B$7:$B$47+Input!$C$26)+ABS('Data Tanah'!$B$7:$B$47-(Input!$C$26)))/2)+ABS((('Data Tanah'!$C$7:$C$47+A92-Input!$C$28*Input!$C$7)-ABS('Data Tanah'!$C$7:$C$47-(A92-Input!$C$28*Input!$C$7)))/2-(('Data Tanah'!$B$7:$B$47+Input!$C$26)+ABS('Data Tanah'!$B$7:$B$47-(Input!$C$26)))/2))/2))</f>
      </c>
      <c r="E92" s="16">
        <f>IFERROR(AVERAGEIFS('Data Tanah'!$N$7:$N$47,'Data Tanah'!$E$7:$E$47,"&gt;="&amp;(A92-Input!$C$36*Input!$C$7),'Data Tanah'!$E$7:$E$47,"&lt;="&amp;(A92+Input!$C$37*Input!$C$7)),INDEX('Data Tanah'!$N$7:$N$47,MATCH(A92,'Data Tanah'!$B$7:$B$47,1)))</f>
      </c>
      <c r="F92" s="30">
        <f>E92*Input!$C$9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D92/Input!$C$41+F92/Input!$C$42-H92</f>
      </c>
      <c r="J92" s="25">
        <f t="shared" si="12"/>
      </c>
      <c r="K92" s="25">
        <f>Input!$C$48</f>
      </c>
      <c r="L92" s="13">
        <f t="shared" si="13"/>
      </c>
      <c r="M92" s="30">
        <f>Input!$C$38*D92/Input!$C$43+H92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Tanah'!$K$7:$K$47,((((('Data Tanah'!$C$7:$C$47+A93-Input!$C$28*Input!$C$7)-ABS('Data Tanah'!$C$7:$C$47-(A93-Input!$C$28*Input!$C$7)))/2-(('Data Tanah'!$B$7:$B$47+Input!$C$26)+ABS('Data Tanah'!$B$7:$B$47-(Input!$C$26)))/2)+ABS((('Data Tanah'!$C$7:$C$47+A93-Input!$C$28*Input!$C$7)-ABS('Data Tanah'!$C$7:$C$47-(A93-Input!$C$28*Input!$C$7)))/2-(('Data Tanah'!$B$7:$B$47+Input!$C$26)+ABS('Data Tanah'!$B$7:$B$47-(Input!$C$26)))/2))/2))</f>
      </c>
      <c r="E93" s="20">
        <f>IFERROR(AVERAGEIFS('Data Tanah'!$N$7:$N$47,'Data Tanah'!$E$7:$E$47,"&gt;="&amp;(A93-Input!$C$36*Input!$C$7),'Data Tanah'!$E$7:$E$47,"&lt;="&amp;(A93+Input!$C$37*Input!$C$7)),INDEX('Data Tanah'!$N$7:$N$47,MATCH(A93,'Data Tanah'!$B$7:$B$47,1)))</f>
      </c>
      <c r="F93" s="31">
        <f>E93*Input!$C$9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D93/Input!$C$41+F93/Input!$C$42-H93</f>
      </c>
      <c r="J93" s="32">
        <f t="shared" si="12"/>
      </c>
      <c r="K93" s="32">
        <f>Input!$C$48</f>
      </c>
      <c r="L93" s="33">
        <f t="shared" si="13"/>
      </c>
      <c r="M93" s="31">
        <f>Input!$C$38*D93/Input!$C$43+H93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Tanah'!$K$7:$K$47,((((('Data Tanah'!$C$7:$C$47+A94-Input!$C$28*Input!$C$7)-ABS('Data Tanah'!$C$7:$C$47-(A94-Input!$C$28*Input!$C$7)))/2-(('Data Tanah'!$B$7:$B$47+Input!$C$26)+ABS('Data Tanah'!$B$7:$B$47-(Input!$C$26)))/2)+ABS((('Data Tanah'!$C$7:$C$47+A94-Input!$C$28*Input!$C$7)-ABS('Data Tanah'!$C$7:$C$47-(A94-Input!$C$28*Input!$C$7)))/2-(('Data Tanah'!$B$7:$B$47+Input!$C$26)+ABS('Data Tanah'!$B$7:$B$47-(Input!$C$26)))/2))/2))</f>
      </c>
      <c r="E94" s="16">
        <f>IFERROR(AVERAGEIFS('Data Tanah'!$N$7:$N$47,'Data Tanah'!$E$7:$E$47,"&gt;="&amp;(A94-Input!$C$36*Input!$C$7),'Data Tanah'!$E$7:$E$47,"&lt;="&amp;(A94+Input!$C$37*Input!$C$7)),INDEX('Data Tanah'!$N$7:$N$47,MATCH(A94,'Data Tanah'!$B$7:$B$47,1)))</f>
      </c>
      <c r="F94" s="30">
        <f>E94*Input!$C$9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D94/Input!$C$41+F94/Input!$C$42-H94</f>
      </c>
      <c r="J94" s="25">
        <f t="shared" si="12"/>
      </c>
      <c r="K94" s="25">
        <f>Input!$C$48</f>
      </c>
      <c r="L94" s="13">
        <f t="shared" si="13"/>
      </c>
      <c r="M94" s="30">
        <f>Input!$C$38*D94/Input!$C$43+H94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Tanah'!$K$7:$K$47,((((('Data Tanah'!$C$7:$C$47+A95-Input!$C$28*Input!$C$7)-ABS('Data Tanah'!$C$7:$C$47-(A95-Input!$C$28*Input!$C$7)))/2-(('Data Tanah'!$B$7:$B$47+Input!$C$26)+ABS('Data Tanah'!$B$7:$B$47-(Input!$C$26)))/2)+ABS((('Data Tanah'!$C$7:$C$47+A95-Input!$C$28*Input!$C$7)-ABS('Data Tanah'!$C$7:$C$47-(A95-Input!$C$28*Input!$C$7)))/2-(('Data Tanah'!$B$7:$B$47+Input!$C$26)+ABS('Data Tanah'!$B$7:$B$47-(Input!$C$26)))/2))/2))</f>
      </c>
      <c r="E95" s="20">
        <f>IFERROR(AVERAGEIFS('Data Tanah'!$N$7:$N$47,'Data Tanah'!$E$7:$E$47,"&gt;="&amp;(A95-Input!$C$36*Input!$C$7),'Data Tanah'!$E$7:$E$47,"&lt;="&amp;(A95+Input!$C$37*Input!$C$7)),INDEX('Data Tanah'!$N$7:$N$47,MATCH(A95,'Data Tanah'!$B$7:$B$47,1)))</f>
      </c>
      <c r="F95" s="31">
        <f>E95*Input!$C$9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D95/Input!$C$41+F95/Input!$C$42-H95</f>
      </c>
      <c r="J95" s="32">
        <f t="shared" si="12"/>
      </c>
      <c r="K95" s="32">
        <f>Input!$C$48</f>
      </c>
      <c r="L95" s="33">
        <f t="shared" si="13"/>
      </c>
      <c r="M95" s="31">
        <f>Input!$C$38*D95/Input!$C$43+H95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Tanah'!$K$7:$K$47,((((('Data Tanah'!$C$7:$C$47+A96-Input!$C$28*Input!$C$7)-ABS('Data Tanah'!$C$7:$C$47-(A96-Input!$C$28*Input!$C$7)))/2-(('Data Tanah'!$B$7:$B$47+Input!$C$26)+ABS('Data Tanah'!$B$7:$B$47-(Input!$C$26)))/2)+ABS((('Data Tanah'!$C$7:$C$47+A96-Input!$C$28*Input!$C$7)-ABS('Data Tanah'!$C$7:$C$47-(A96-Input!$C$28*Input!$C$7)))/2-(('Data Tanah'!$B$7:$B$47+Input!$C$26)+ABS('Data Tanah'!$B$7:$B$47-(Input!$C$26)))/2))/2))</f>
      </c>
      <c r="E96" s="16">
        <f>IFERROR(AVERAGEIFS('Data Tanah'!$N$7:$N$47,'Data Tanah'!$E$7:$E$47,"&gt;="&amp;(A96-Input!$C$36*Input!$C$7),'Data Tanah'!$E$7:$E$47,"&lt;="&amp;(A96+Input!$C$37*Input!$C$7)),INDEX('Data Tanah'!$N$7:$N$47,MATCH(A96,'Data Tanah'!$B$7:$B$47,1)))</f>
      </c>
      <c r="F96" s="30">
        <f>E96*Input!$C$9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D96/Input!$C$41+F96/Input!$C$42-H96</f>
      </c>
      <c r="J96" s="25">
        <f t="shared" si="12"/>
      </c>
      <c r="K96" s="25">
        <f>Input!$C$48</f>
      </c>
      <c r="L96" s="13">
        <f t="shared" si="13"/>
      </c>
      <c r="M96" s="30">
        <f>Input!$C$38*D96/Input!$C$43+H96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Tanah'!$K$7:$K$47,((((('Data Tanah'!$C$7:$C$47+A97-Input!$C$28*Input!$C$7)-ABS('Data Tanah'!$C$7:$C$47-(A97-Input!$C$28*Input!$C$7)))/2-(('Data Tanah'!$B$7:$B$47+Input!$C$26)+ABS('Data Tanah'!$B$7:$B$47-(Input!$C$26)))/2)+ABS((('Data Tanah'!$C$7:$C$47+A97-Input!$C$28*Input!$C$7)-ABS('Data Tanah'!$C$7:$C$47-(A97-Input!$C$28*Input!$C$7)))/2-(('Data Tanah'!$B$7:$B$47+Input!$C$26)+ABS('Data Tanah'!$B$7:$B$47-(Input!$C$26)))/2))/2))</f>
      </c>
      <c r="E97" s="20">
        <f>IFERROR(AVERAGEIFS('Data Tanah'!$N$7:$N$47,'Data Tanah'!$E$7:$E$47,"&gt;="&amp;(A97-Input!$C$36*Input!$C$7),'Data Tanah'!$E$7:$E$47,"&lt;="&amp;(A97+Input!$C$37*Input!$C$7)),INDEX('Data Tanah'!$N$7:$N$47,MATCH(A97,'Data Tanah'!$B$7:$B$47,1)))</f>
      </c>
      <c r="F97" s="31">
        <f>E97*Input!$C$9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D97/Input!$C$41+F97/Input!$C$42-H97</f>
      </c>
      <c r="J97" s="32">
        <f t="shared" si="12"/>
      </c>
      <c r="K97" s="32">
        <f>Input!$C$48</f>
      </c>
      <c r="L97" s="33">
        <f t="shared" si="13"/>
      </c>
      <c r="M97" s="31">
        <f>Input!$C$38*D97/Input!$C$43+H97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Tanah'!$K$7:$K$47,((((('Data Tanah'!$C$7:$C$47+A98-Input!$C$28*Input!$C$7)-ABS('Data Tanah'!$C$7:$C$47-(A98-Input!$C$28*Input!$C$7)))/2-(('Data Tanah'!$B$7:$B$47+Input!$C$26)+ABS('Data Tanah'!$B$7:$B$47-(Input!$C$26)))/2)+ABS((('Data Tanah'!$C$7:$C$47+A98-Input!$C$28*Input!$C$7)-ABS('Data Tanah'!$C$7:$C$47-(A98-Input!$C$28*Input!$C$7)))/2-(('Data Tanah'!$B$7:$B$47+Input!$C$26)+ABS('Data Tanah'!$B$7:$B$47-(Input!$C$26)))/2))/2))</f>
      </c>
      <c r="E98" s="16">
        <f>IFERROR(AVERAGEIFS('Data Tanah'!$N$7:$N$47,'Data Tanah'!$E$7:$E$47,"&gt;="&amp;(A98-Input!$C$36*Input!$C$7),'Data Tanah'!$E$7:$E$47,"&lt;="&amp;(A98+Input!$C$37*Input!$C$7)),INDEX('Data Tanah'!$N$7:$N$47,MATCH(A98,'Data Tanah'!$B$7:$B$47,1)))</f>
      </c>
      <c r="F98" s="30">
        <f>E98*Input!$C$9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D98/Input!$C$41+F98/Input!$C$42-H98</f>
      </c>
      <c r="J98" s="25">
        <f t="shared" si="12"/>
      </c>
      <c r="K98" s="25">
        <f>Input!$C$48</f>
      </c>
      <c r="L98" s="13">
        <f t="shared" si="13"/>
      </c>
      <c r="M98" s="30">
        <f>Input!$C$38*D98/Input!$C$43+H98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Tanah'!$K$7:$K$47,((((('Data Tanah'!$C$7:$C$47+A99-Input!$C$28*Input!$C$7)-ABS('Data Tanah'!$C$7:$C$47-(A99-Input!$C$28*Input!$C$7)))/2-(('Data Tanah'!$B$7:$B$47+Input!$C$26)+ABS('Data Tanah'!$B$7:$B$47-(Input!$C$26)))/2)+ABS((('Data Tanah'!$C$7:$C$47+A99-Input!$C$28*Input!$C$7)-ABS('Data Tanah'!$C$7:$C$47-(A99-Input!$C$28*Input!$C$7)))/2-(('Data Tanah'!$B$7:$B$47+Input!$C$26)+ABS('Data Tanah'!$B$7:$B$47-(Input!$C$26)))/2))/2))</f>
      </c>
      <c r="E99" s="20">
        <f>IFERROR(AVERAGEIFS('Data Tanah'!$N$7:$N$47,'Data Tanah'!$E$7:$E$47,"&gt;="&amp;(A99-Input!$C$36*Input!$C$7),'Data Tanah'!$E$7:$E$47,"&lt;="&amp;(A99+Input!$C$37*Input!$C$7)),INDEX('Data Tanah'!$N$7:$N$47,MATCH(A99,'Data Tanah'!$B$7:$B$47,1)))</f>
      </c>
      <c r="F99" s="31">
        <f>E99*Input!$C$9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D99/Input!$C$41+F99/Input!$C$42-H99</f>
      </c>
      <c r="J99" s="32">
        <f t="shared" si="12"/>
      </c>
      <c r="K99" s="32">
        <f>Input!$C$48</f>
      </c>
      <c r="L99" s="33">
        <f t="shared" si="13"/>
      </c>
      <c r="M99" s="31">
        <f>Input!$C$38*D99/Input!$C$43+H99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Tanah'!$K$7:$K$47,((((('Data Tanah'!$C$7:$C$47+A100-Input!$C$28*Input!$C$7)-ABS('Data Tanah'!$C$7:$C$47-(A100-Input!$C$28*Input!$C$7)))/2-(('Data Tanah'!$B$7:$B$47+Input!$C$26)+ABS('Data Tanah'!$B$7:$B$47-(Input!$C$26)))/2)+ABS((('Data Tanah'!$C$7:$C$47+A100-Input!$C$28*Input!$C$7)-ABS('Data Tanah'!$C$7:$C$47-(A100-Input!$C$28*Input!$C$7)))/2-(('Data Tanah'!$B$7:$B$47+Input!$C$26)+ABS('Data Tanah'!$B$7:$B$47-(Input!$C$26)))/2))/2))</f>
      </c>
      <c r="E100" s="16">
        <f>IFERROR(AVERAGEIFS('Data Tanah'!$N$7:$N$47,'Data Tanah'!$E$7:$E$47,"&gt;="&amp;(A100-Input!$C$36*Input!$C$7),'Data Tanah'!$E$7:$E$47,"&lt;="&amp;(A100+Input!$C$37*Input!$C$7)),INDEX('Data Tanah'!$N$7:$N$47,MATCH(A100,'Data Tanah'!$B$7:$B$47,1)))</f>
      </c>
      <c r="F100" s="30">
        <f>E100*Input!$C$9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D100/Input!$C$41+F100/Input!$C$42-H100</f>
      </c>
      <c r="J100" s="25">
        <f t="shared" si="12"/>
      </c>
      <c r="K100" s="25">
        <f>Input!$C$48</f>
      </c>
      <c r="L100" s="13">
        <f t="shared" si="13"/>
      </c>
      <c r="M100" s="30">
        <f>Input!$C$38*D100/Input!$C$43+H100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Tanah'!$K$7:$K$47,((((('Data Tanah'!$C$7:$C$47+A101-Input!$C$28*Input!$C$7)-ABS('Data Tanah'!$C$7:$C$47-(A101-Input!$C$28*Input!$C$7)))/2-(('Data Tanah'!$B$7:$B$47+Input!$C$26)+ABS('Data Tanah'!$B$7:$B$47-(Input!$C$26)))/2)+ABS((('Data Tanah'!$C$7:$C$47+A101-Input!$C$28*Input!$C$7)-ABS('Data Tanah'!$C$7:$C$47-(A101-Input!$C$28*Input!$C$7)))/2-(('Data Tanah'!$B$7:$B$47+Input!$C$26)+ABS('Data Tanah'!$B$7:$B$47-(Input!$C$26)))/2))/2))</f>
      </c>
      <c r="E101" s="20">
        <f>IFERROR(AVERAGEIFS('Data Tanah'!$N$7:$N$47,'Data Tanah'!$E$7:$E$47,"&gt;="&amp;(A101-Input!$C$36*Input!$C$7),'Data Tanah'!$E$7:$E$47,"&lt;="&amp;(A101+Input!$C$37*Input!$C$7)),INDEX('Data Tanah'!$N$7:$N$47,MATCH(A101,'Data Tanah'!$B$7:$B$47,1)))</f>
      </c>
      <c r="F101" s="31">
        <f>E101*Input!$C$9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D101/Input!$C$41+F101/Input!$C$42-H101</f>
      </c>
      <c r="J101" s="32">
        <f t="shared" si="12"/>
      </c>
      <c r="K101" s="32">
        <f>Input!$C$48</f>
      </c>
      <c r="L101" s="33">
        <f t="shared" si="13"/>
      </c>
      <c r="M101" s="31">
        <f>Input!$C$38*D101/Input!$C$43+H101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Tanah'!$K$7:$K$47,((((('Data Tanah'!$C$7:$C$47+A102-Input!$C$28*Input!$C$7)-ABS('Data Tanah'!$C$7:$C$47-(A102-Input!$C$28*Input!$C$7)))/2-(('Data Tanah'!$B$7:$B$47+Input!$C$26)+ABS('Data Tanah'!$B$7:$B$47-(Input!$C$26)))/2)+ABS((('Data Tanah'!$C$7:$C$47+A102-Input!$C$28*Input!$C$7)-ABS('Data Tanah'!$C$7:$C$47-(A102-Input!$C$28*Input!$C$7)))/2-(('Data Tanah'!$B$7:$B$47+Input!$C$26)+ABS('Data Tanah'!$B$7:$B$47-(Input!$C$26)))/2))/2))</f>
      </c>
      <c r="E102" s="16">
        <f>IFERROR(AVERAGEIFS('Data Tanah'!$N$7:$N$47,'Data Tanah'!$E$7:$E$47,"&gt;="&amp;(A102-Input!$C$36*Input!$C$7),'Data Tanah'!$E$7:$E$47,"&lt;="&amp;(A102+Input!$C$37*Input!$C$7)),INDEX('Data Tanah'!$N$7:$N$47,MATCH(A102,'Data Tanah'!$B$7:$B$47,1)))</f>
      </c>
      <c r="F102" s="30">
        <f>E102*Input!$C$9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D102/Input!$C$41+F102/Input!$C$42-H102</f>
      </c>
      <c r="J102" s="25">
        <f t="shared" si="12"/>
      </c>
      <c r="K102" s="25">
        <f>Input!$C$48</f>
      </c>
      <c r="L102" s="13">
        <f t="shared" si="13"/>
      </c>
      <c r="M102" s="30">
        <f>Input!$C$38*D102/Input!$C$43+H102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Tanah'!$K$7:$K$47,((((('Data Tanah'!$C$7:$C$47+A103-Input!$C$28*Input!$C$7)-ABS('Data Tanah'!$C$7:$C$47-(A103-Input!$C$28*Input!$C$7)))/2-(('Data Tanah'!$B$7:$B$47+Input!$C$26)+ABS('Data Tanah'!$B$7:$B$47-(Input!$C$26)))/2)+ABS((('Data Tanah'!$C$7:$C$47+A103-Input!$C$28*Input!$C$7)-ABS('Data Tanah'!$C$7:$C$47-(A103-Input!$C$28*Input!$C$7)))/2-(('Data Tanah'!$B$7:$B$47+Input!$C$26)+ABS('Data Tanah'!$B$7:$B$47-(Input!$C$26)))/2))/2))</f>
      </c>
      <c r="E103" s="20">
        <f>IFERROR(AVERAGEIFS('Data Tanah'!$N$7:$N$47,'Data Tanah'!$E$7:$E$47,"&gt;="&amp;(A103-Input!$C$36*Input!$C$7),'Data Tanah'!$E$7:$E$47,"&lt;="&amp;(A103+Input!$C$37*Input!$C$7)),INDEX('Data Tanah'!$N$7:$N$47,MATCH(A103,'Data Tanah'!$B$7:$B$47,1)))</f>
      </c>
      <c r="F103" s="31">
        <f>E103*Input!$C$9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D103/Input!$C$41+F103/Input!$C$42-H103</f>
      </c>
      <c r="J103" s="32">
        <f t="shared" si="12"/>
      </c>
      <c r="K103" s="32">
        <f>Input!$C$48</f>
      </c>
      <c r="L103" s="33">
        <f t="shared" si="13"/>
      </c>
      <c r="M103" s="31">
        <f>Input!$C$38*D103/Input!$C$43+H103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Tanah'!$K$7:$K$47,((((('Data Tanah'!$C$7:$C$47+A104-Input!$C$28*Input!$C$7)-ABS('Data Tanah'!$C$7:$C$47-(A104-Input!$C$28*Input!$C$7)))/2-(('Data Tanah'!$B$7:$B$47+Input!$C$26)+ABS('Data Tanah'!$B$7:$B$47-(Input!$C$26)))/2)+ABS((('Data Tanah'!$C$7:$C$47+A104-Input!$C$28*Input!$C$7)-ABS('Data Tanah'!$C$7:$C$47-(A104-Input!$C$28*Input!$C$7)))/2-(('Data Tanah'!$B$7:$B$47+Input!$C$26)+ABS('Data Tanah'!$B$7:$B$47-(Input!$C$26)))/2))/2))</f>
      </c>
      <c r="E104" s="16">
        <f>IFERROR(AVERAGEIFS('Data Tanah'!$N$7:$N$47,'Data Tanah'!$E$7:$E$47,"&gt;="&amp;(A104-Input!$C$36*Input!$C$7),'Data Tanah'!$E$7:$E$47,"&lt;="&amp;(A104+Input!$C$37*Input!$C$7)),INDEX('Data Tanah'!$N$7:$N$47,MATCH(A104,'Data Tanah'!$B$7:$B$47,1)))</f>
      </c>
      <c r="F104" s="30">
        <f>E104*Input!$C$9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D104/Input!$C$41+F104/Input!$C$42-H104</f>
      </c>
      <c r="J104" s="25">
        <f t="shared" si="12"/>
      </c>
      <c r="K104" s="25">
        <f>Input!$C$48</f>
      </c>
      <c r="L104" s="13">
        <f t="shared" si="13"/>
      </c>
      <c r="M104" s="30">
        <f>Input!$C$38*D104/Input!$C$43+H104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Tanah'!$K$7:$K$47,((((('Data Tanah'!$C$7:$C$47+A105-Input!$C$28*Input!$C$7)-ABS('Data Tanah'!$C$7:$C$47-(A105-Input!$C$28*Input!$C$7)))/2-(('Data Tanah'!$B$7:$B$47+Input!$C$26)+ABS('Data Tanah'!$B$7:$B$47-(Input!$C$26)))/2)+ABS((('Data Tanah'!$C$7:$C$47+A105-Input!$C$28*Input!$C$7)-ABS('Data Tanah'!$C$7:$C$47-(A105-Input!$C$28*Input!$C$7)))/2-(('Data Tanah'!$B$7:$B$47+Input!$C$26)+ABS('Data Tanah'!$B$7:$B$47-(Input!$C$26)))/2))/2))</f>
      </c>
      <c r="E105" s="20">
        <f>IFERROR(AVERAGEIFS('Data Tanah'!$N$7:$N$47,'Data Tanah'!$E$7:$E$47,"&gt;="&amp;(A105-Input!$C$36*Input!$C$7),'Data Tanah'!$E$7:$E$47,"&lt;="&amp;(A105+Input!$C$37*Input!$C$7)),INDEX('Data Tanah'!$N$7:$N$47,MATCH(A105,'Data Tanah'!$B$7:$B$47,1)))</f>
      </c>
      <c r="F105" s="31">
        <f>E105*Input!$C$9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D105/Input!$C$41+F105/Input!$C$42-H105</f>
      </c>
      <c r="J105" s="32">
        <f t="shared" si="12"/>
      </c>
      <c r="K105" s="32">
        <f>Input!$C$48</f>
      </c>
      <c r="L105" s="33">
        <f t="shared" si="13"/>
      </c>
      <c r="M105" s="31">
        <f>Input!$C$38*D105/Input!$C$43+H105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Tanah'!$K$7:$K$47,((((('Data Tanah'!$C$7:$C$47+A106-Input!$C$28*Input!$C$7)-ABS('Data Tanah'!$C$7:$C$47-(A106-Input!$C$28*Input!$C$7)))/2-(('Data Tanah'!$B$7:$B$47+Input!$C$26)+ABS('Data Tanah'!$B$7:$B$47-(Input!$C$26)))/2)+ABS((('Data Tanah'!$C$7:$C$47+A106-Input!$C$28*Input!$C$7)-ABS('Data Tanah'!$C$7:$C$47-(A106-Input!$C$28*Input!$C$7)))/2-(('Data Tanah'!$B$7:$B$47+Input!$C$26)+ABS('Data Tanah'!$B$7:$B$47-(Input!$C$26)))/2))/2))</f>
      </c>
      <c r="E106" s="16">
        <f>IFERROR(AVERAGEIFS('Data Tanah'!$N$7:$N$47,'Data Tanah'!$E$7:$E$47,"&gt;="&amp;(A106-Input!$C$36*Input!$C$7),'Data Tanah'!$E$7:$E$47,"&lt;="&amp;(A106+Input!$C$37*Input!$C$7)),INDEX('Data Tanah'!$N$7:$N$47,MATCH(A106,'Data Tanah'!$B$7:$B$47,1)))</f>
      </c>
      <c r="F106" s="30">
        <f>E106*Input!$C$9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D106/Input!$C$41+F106/Input!$C$42-H106</f>
      </c>
      <c r="J106" s="25">
        <f t="shared" si="12"/>
      </c>
      <c r="K106" s="25">
        <f>Input!$C$48</f>
      </c>
      <c r="L106" s="13">
        <f t="shared" si="13"/>
      </c>
      <c r="M106" s="30">
        <f>Input!$C$38*D106/Input!$C$43+H106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Tanah'!$K$7:$K$47,((((('Data Tanah'!$C$7:$C$47+A107-Input!$C$28*Input!$C$7)-ABS('Data Tanah'!$C$7:$C$47-(A107-Input!$C$28*Input!$C$7)))/2-(('Data Tanah'!$B$7:$B$47+Input!$C$26)+ABS('Data Tanah'!$B$7:$B$47-(Input!$C$26)))/2)+ABS((('Data Tanah'!$C$7:$C$47+A107-Input!$C$28*Input!$C$7)-ABS('Data Tanah'!$C$7:$C$47-(A107-Input!$C$28*Input!$C$7)))/2-(('Data Tanah'!$B$7:$B$47+Input!$C$26)+ABS('Data Tanah'!$B$7:$B$47-(Input!$C$26)))/2))/2))</f>
      </c>
      <c r="E107" s="20">
        <f>IFERROR(AVERAGEIFS('Data Tanah'!$N$7:$N$47,'Data Tanah'!$E$7:$E$47,"&gt;="&amp;(A107-Input!$C$36*Input!$C$7),'Data Tanah'!$E$7:$E$47,"&lt;="&amp;(A107+Input!$C$37*Input!$C$7)),INDEX('Data Tanah'!$N$7:$N$47,MATCH(A107,'Data Tanah'!$B$7:$B$47,1)))</f>
      </c>
      <c r="F107" s="31">
        <f>E107*Input!$C$9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D107/Input!$C$41+F107/Input!$C$42-H107</f>
      </c>
      <c r="J107" s="32">
        <f t="shared" si="12"/>
      </c>
      <c r="K107" s="32">
        <f>Input!$C$48</f>
      </c>
      <c r="L107" s="33">
        <f t="shared" si="13"/>
      </c>
      <c r="M107" s="31">
        <f>Input!$C$38*D107/Input!$C$43+H107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Tanah'!$K$7:$K$47,((((('Data Tanah'!$C$7:$C$47+A108-Input!$C$28*Input!$C$7)-ABS('Data Tanah'!$C$7:$C$47-(A108-Input!$C$28*Input!$C$7)))/2-(('Data Tanah'!$B$7:$B$47+Input!$C$26)+ABS('Data Tanah'!$B$7:$B$47-(Input!$C$26)))/2)+ABS((('Data Tanah'!$C$7:$C$47+A108-Input!$C$28*Input!$C$7)-ABS('Data Tanah'!$C$7:$C$47-(A108-Input!$C$28*Input!$C$7)))/2-(('Data Tanah'!$B$7:$B$47+Input!$C$26)+ABS('Data Tanah'!$B$7:$B$47-(Input!$C$26)))/2))/2))</f>
      </c>
      <c r="E108" s="16">
        <f>IFERROR(AVERAGEIFS('Data Tanah'!$N$7:$N$47,'Data Tanah'!$E$7:$E$47,"&gt;="&amp;(A108-Input!$C$36*Input!$C$7),'Data Tanah'!$E$7:$E$47,"&lt;="&amp;(A108+Input!$C$37*Input!$C$7)),INDEX('Data Tanah'!$N$7:$N$47,MATCH(A108,'Data Tanah'!$B$7:$B$47,1)))</f>
      </c>
      <c r="F108" s="30">
        <f>E108*Input!$C$9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D108/Input!$C$41+F108/Input!$C$42-H108</f>
      </c>
      <c r="J108" s="25">
        <f t="shared" ref="J108:J127" si="17">I108*9.81</f>
      </c>
      <c r="K108" s="25">
        <f>Input!$C$48</f>
      </c>
      <c r="L108" s="13">
        <f t="shared" ref="L108:L126" si="18">AND(J108&gt;=K108,L109)</f>
      </c>
      <c r="M108" s="30">
        <f>Input!$C$38*D108/Input!$C$43+H108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Tanah'!$K$7:$K$47,((((('Data Tanah'!$C$7:$C$47+A109-Input!$C$28*Input!$C$7)-ABS('Data Tanah'!$C$7:$C$47-(A109-Input!$C$28*Input!$C$7)))/2-(('Data Tanah'!$B$7:$B$47+Input!$C$26)+ABS('Data Tanah'!$B$7:$B$47-(Input!$C$26)))/2)+ABS((('Data Tanah'!$C$7:$C$47+A109-Input!$C$28*Input!$C$7)-ABS('Data Tanah'!$C$7:$C$47-(A109-Input!$C$28*Input!$C$7)))/2-(('Data Tanah'!$B$7:$B$47+Input!$C$26)+ABS('Data Tanah'!$B$7:$B$47-(Input!$C$26)))/2))/2))</f>
      </c>
      <c r="E109" s="20">
        <f>IFERROR(AVERAGEIFS('Data Tanah'!$N$7:$N$47,'Data Tanah'!$E$7:$E$47,"&gt;="&amp;(A109-Input!$C$36*Input!$C$7),'Data Tanah'!$E$7:$E$47,"&lt;="&amp;(A109+Input!$C$37*Input!$C$7)),INDEX('Data Tanah'!$N$7:$N$47,MATCH(A109,'Data Tanah'!$B$7:$B$47,1)))</f>
      </c>
      <c r="F109" s="31">
        <f>E109*Input!$C$9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D109/Input!$C$41+F109/Input!$C$42-H109</f>
      </c>
      <c r="J109" s="32">
        <f t="shared" si="17"/>
      </c>
      <c r="K109" s="32">
        <f>Input!$C$48</f>
      </c>
      <c r="L109" s="33">
        <f t="shared" si="18"/>
      </c>
      <c r="M109" s="31">
        <f>Input!$C$38*D109/Input!$C$43+H109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Tanah'!$K$7:$K$47,((((('Data Tanah'!$C$7:$C$47+A110-Input!$C$28*Input!$C$7)-ABS('Data Tanah'!$C$7:$C$47-(A110-Input!$C$28*Input!$C$7)))/2-(('Data Tanah'!$B$7:$B$47+Input!$C$26)+ABS('Data Tanah'!$B$7:$B$47-(Input!$C$26)))/2)+ABS((('Data Tanah'!$C$7:$C$47+A110-Input!$C$28*Input!$C$7)-ABS('Data Tanah'!$C$7:$C$47-(A110-Input!$C$28*Input!$C$7)))/2-(('Data Tanah'!$B$7:$B$47+Input!$C$26)+ABS('Data Tanah'!$B$7:$B$47-(Input!$C$26)))/2))/2))</f>
      </c>
      <c r="E110" s="16">
        <f>IFERROR(AVERAGEIFS('Data Tanah'!$N$7:$N$47,'Data Tanah'!$E$7:$E$47,"&gt;="&amp;(A110-Input!$C$36*Input!$C$7),'Data Tanah'!$E$7:$E$47,"&lt;="&amp;(A110+Input!$C$37*Input!$C$7)),INDEX('Data Tanah'!$N$7:$N$47,MATCH(A110,'Data Tanah'!$B$7:$B$47,1)))</f>
      </c>
      <c r="F110" s="30">
        <f>E110*Input!$C$9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D110/Input!$C$41+F110/Input!$C$42-H110</f>
      </c>
      <c r="J110" s="25">
        <f t="shared" si="17"/>
      </c>
      <c r="K110" s="25">
        <f>Input!$C$48</f>
      </c>
      <c r="L110" s="13">
        <f t="shared" si="18"/>
      </c>
      <c r="M110" s="30">
        <f>Input!$C$38*D110/Input!$C$43+H110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Tanah'!$K$7:$K$47,((((('Data Tanah'!$C$7:$C$47+A111-Input!$C$28*Input!$C$7)-ABS('Data Tanah'!$C$7:$C$47-(A111-Input!$C$28*Input!$C$7)))/2-(('Data Tanah'!$B$7:$B$47+Input!$C$26)+ABS('Data Tanah'!$B$7:$B$47-(Input!$C$26)))/2)+ABS((('Data Tanah'!$C$7:$C$47+A111-Input!$C$28*Input!$C$7)-ABS('Data Tanah'!$C$7:$C$47-(A111-Input!$C$28*Input!$C$7)))/2-(('Data Tanah'!$B$7:$B$47+Input!$C$26)+ABS('Data Tanah'!$B$7:$B$47-(Input!$C$26)))/2))/2))</f>
      </c>
      <c r="E111" s="20">
        <f>IFERROR(AVERAGEIFS('Data Tanah'!$N$7:$N$47,'Data Tanah'!$E$7:$E$47,"&gt;="&amp;(A111-Input!$C$36*Input!$C$7),'Data Tanah'!$E$7:$E$47,"&lt;="&amp;(A111+Input!$C$37*Input!$C$7)),INDEX('Data Tanah'!$N$7:$N$47,MATCH(A111,'Data Tanah'!$B$7:$B$47,1)))</f>
      </c>
      <c r="F111" s="31">
        <f>E111*Input!$C$9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D111/Input!$C$41+F111/Input!$C$42-H111</f>
      </c>
      <c r="J111" s="32">
        <f t="shared" si="17"/>
      </c>
      <c r="K111" s="32">
        <f>Input!$C$48</f>
      </c>
      <c r="L111" s="33">
        <f t="shared" si="18"/>
      </c>
      <c r="M111" s="31">
        <f>Input!$C$38*D111/Input!$C$43+H111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Tanah'!$K$7:$K$47,((((('Data Tanah'!$C$7:$C$47+A112-Input!$C$28*Input!$C$7)-ABS('Data Tanah'!$C$7:$C$47-(A112-Input!$C$28*Input!$C$7)))/2-(('Data Tanah'!$B$7:$B$47+Input!$C$26)+ABS('Data Tanah'!$B$7:$B$47-(Input!$C$26)))/2)+ABS((('Data Tanah'!$C$7:$C$47+A112-Input!$C$28*Input!$C$7)-ABS('Data Tanah'!$C$7:$C$47-(A112-Input!$C$28*Input!$C$7)))/2-(('Data Tanah'!$B$7:$B$47+Input!$C$26)+ABS('Data Tanah'!$B$7:$B$47-(Input!$C$26)))/2))/2))</f>
      </c>
      <c r="E112" s="16">
        <f>IFERROR(AVERAGEIFS('Data Tanah'!$N$7:$N$47,'Data Tanah'!$E$7:$E$47,"&gt;="&amp;(A112-Input!$C$36*Input!$C$7),'Data Tanah'!$E$7:$E$47,"&lt;="&amp;(A112+Input!$C$37*Input!$C$7)),INDEX('Data Tanah'!$N$7:$N$47,MATCH(A112,'Data Tanah'!$B$7:$B$47,1)))</f>
      </c>
      <c r="F112" s="30">
        <f>E112*Input!$C$9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D112/Input!$C$41+F112/Input!$C$42-H112</f>
      </c>
      <c r="J112" s="25">
        <f t="shared" si="17"/>
      </c>
      <c r="K112" s="25">
        <f>Input!$C$48</f>
      </c>
      <c r="L112" s="13">
        <f t="shared" si="18"/>
      </c>
      <c r="M112" s="30">
        <f>Input!$C$38*D112/Input!$C$43+H112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Tanah'!$K$7:$K$47,((((('Data Tanah'!$C$7:$C$47+A113-Input!$C$28*Input!$C$7)-ABS('Data Tanah'!$C$7:$C$47-(A113-Input!$C$28*Input!$C$7)))/2-(('Data Tanah'!$B$7:$B$47+Input!$C$26)+ABS('Data Tanah'!$B$7:$B$47-(Input!$C$26)))/2)+ABS((('Data Tanah'!$C$7:$C$47+A113-Input!$C$28*Input!$C$7)-ABS('Data Tanah'!$C$7:$C$47-(A113-Input!$C$28*Input!$C$7)))/2-(('Data Tanah'!$B$7:$B$47+Input!$C$26)+ABS('Data Tanah'!$B$7:$B$47-(Input!$C$26)))/2))/2))</f>
      </c>
      <c r="E113" s="20">
        <f>IFERROR(AVERAGEIFS('Data Tanah'!$N$7:$N$47,'Data Tanah'!$E$7:$E$47,"&gt;="&amp;(A113-Input!$C$36*Input!$C$7),'Data Tanah'!$E$7:$E$47,"&lt;="&amp;(A113+Input!$C$37*Input!$C$7)),INDEX('Data Tanah'!$N$7:$N$47,MATCH(A113,'Data Tanah'!$B$7:$B$47,1)))</f>
      </c>
      <c r="F113" s="31">
        <f>E113*Input!$C$9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D113/Input!$C$41+F113/Input!$C$42-H113</f>
      </c>
      <c r="J113" s="32">
        <f t="shared" si="17"/>
      </c>
      <c r="K113" s="32">
        <f>Input!$C$48</f>
      </c>
      <c r="L113" s="33">
        <f t="shared" si="18"/>
      </c>
      <c r="M113" s="31">
        <f>Input!$C$38*D113/Input!$C$43+H113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Tanah'!$K$7:$K$47,((((('Data Tanah'!$C$7:$C$47+A114-Input!$C$28*Input!$C$7)-ABS('Data Tanah'!$C$7:$C$47-(A114-Input!$C$28*Input!$C$7)))/2-(('Data Tanah'!$B$7:$B$47+Input!$C$26)+ABS('Data Tanah'!$B$7:$B$47-(Input!$C$26)))/2)+ABS((('Data Tanah'!$C$7:$C$47+A114-Input!$C$28*Input!$C$7)-ABS('Data Tanah'!$C$7:$C$47-(A114-Input!$C$28*Input!$C$7)))/2-(('Data Tanah'!$B$7:$B$47+Input!$C$26)+ABS('Data Tanah'!$B$7:$B$47-(Input!$C$26)))/2))/2))</f>
      </c>
      <c r="E114" s="16">
        <f>IFERROR(AVERAGEIFS('Data Tanah'!$N$7:$N$47,'Data Tanah'!$E$7:$E$47,"&gt;="&amp;(A114-Input!$C$36*Input!$C$7),'Data Tanah'!$E$7:$E$47,"&lt;="&amp;(A114+Input!$C$37*Input!$C$7)),INDEX('Data Tanah'!$N$7:$N$47,MATCH(A114,'Data Tanah'!$B$7:$B$47,1)))</f>
      </c>
      <c r="F114" s="30">
        <f>E114*Input!$C$9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D114/Input!$C$41+F114/Input!$C$42-H114</f>
      </c>
      <c r="J114" s="25">
        <f t="shared" si="17"/>
      </c>
      <c r="K114" s="25">
        <f>Input!$C$48</f>
      </c>
      <c r="L114" s="13">
        <f t="shared" si="18"/>
      </c>
      <c r="M114" s="30">
        <f>Input!$C$38*D114/Input!$C$43+H114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Tanah'!$K$7:$K$47,((((('Data Tanah'!$C$7:$C$47+A115-Input!$C$28*Input!$C$7)-ABS('Data Tanah'!$C$7:$C$47-(A115-Input!$C$28*Input!$C$7)))/2-(('Data Tanah'!$B$7:$B$47+Input!$C$26)+ABS('Data Tanah'!$B$7:$B$47-(Input!$C$26)))/2)+ABS((('Data Tanah'!$C$7:$C$47+A115-Input!$C$28*Input!$C$7)-ABS('Data Tanah'!$C$7:$C$47-(A115-Input!$C$28*Input!$C$7)))/2-(('Data Tanah'!$B$7:$B$47+Input!$C$26)+ABS('Data Tanah'!$B$7:$B$47-(Input!$C$26)))/2))/2))</f>
      </c>
      <c r="E115" s="20">
        <f>IFERROR(AVERAGEIFS('Data Tanah'!$N$7:$N$47,'Data Tanah'!$E$7:$E$47,"&gt;="&amp;(A115-Input!$C$36*Input!$C$7),'Data Tanah'!$E$7:$E$47,"&lt;="&amp;(A115+Input!$C$37*Input!$C$7)),INDEX('Data Tanah'!$N$7:$N$47,MATCH(A115,'Data Tanah'!$B$7:$B$47,1)))</f>
      </c>
      <c r="F115" s="31">
        <f>E115*Input!$C$9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D115/Input!$C$41+F115/Input!$C$42-H115</f>
      </c>
      <c r="J115" s="32">
        <f t="shared" si="17"/>
      </c>
      <c r="K115" s="32">
        <f>Input!$C$48</f>
      </c>
      <c r="L115" s="33">
        <f t="shared" si="18"/>
      </c>
      <c r="M115" s="31">
        <f>Input!$C$38*D115/Input!$C$43+H115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Tanah'!$K$7:$K$47,((((('Data Tanah'!$C$7:$C$47+A116-Input!$C$28*Input!$C$7)-ABS('Data Tanah'!$C$7:$C$47-(A116-Input!$C$28*Input!$C$7)))/2-(('Data Tanah'!$B$7:$B$47+Input!$C$26)+ABS('Data Tanah'!$B$7:$B$47-(Input!$C$26)))/2)+ABS((('Data Tanah'!$C$7:$C$47+A116-Input!$C$28*Input!$C$7)-ABS('Data Tanah'!$C$7:$C$47-(A116-Input!$C$28*Input!$C$7)))/2-(('Data Tanah'!$B$7:$B$47+Input!$C$26)+ABS('Data Tanah'!$B$7:$B$47-(Input!$C$26)))/2))/2))</f>
      </c>
      <c r="E116" s="16">
        <f>IFERROR(AVERAGEIFS('Data Tanah'!$N$7:$N$47,'Data Tanah'!$E$7:$E$47,"&gt;="&amp;(A116-Input!$C$36*Input!$C$7),'Data Tanah'!$E$7:$E$47,"&lt;="&amp;(A116+Input!$C$37*Input!$C$7)),INDEX('Data Tanah'!$N$7:$N$47,MATCH(A116,'Data Tanah'!$B$7:$B$47,1)))</f>
      </c>
      <c r="F116" s="30">
        <f>E116*Input!$C$9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D116/Input!$C$41+F116/Input!$C$42-H116</f>
      </c>
      <c r="J116" s="25">
        <f t="shared" si="17"/>
      </c>
      <c r="K116" s="25">
        <f>Input!$C$48</f>
      </c>
      <c r="L116" s="13">
        <f t="shared" si="18"/>
      </c>
      <c r="M116" s="30">
        <f>Input!$C$38*D116/Input!$C$43+H116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Tanah'!$K$7:$K$47,((((('Data Tanah'!$C$7:$C$47+A117-Input!$C$28*Input!$C$7)-ABS('Data Tanah'!$C$7:$C$47-(A117-Input!$C$28*Input!$C$7)))/2-(('Data Tanah'!$B$7:$B$47+Input!$C$26)+ABS('Data Tanah'!$B$7:$B$47-(Input!$C$26)))/2)+ABS((('Data Tanah'!$C$7:$C$47+A117-Input!$C$28*Input!$C$7)-ABS('Data Tanah'!$C$7:$C$47-(A117-Input!$C$28*Input!$C$7)))/2-(('Data Tanah'!$B$7:$B$47+Input!$C$26)+ABS('Data Tanah'!$B$7:$B$47-(Input!$C$26)))/2))/2))</f>
      </c>
      <c r="E117" s="20">
        <f>IFERROR(AVERAGEIFS('Data Tanah'!$N$7:$N$47,'Data Tanah'!$E$7:$E$47,"&gt;="&amp;(A117-Input!$C$36*Input!$C$7),'Data Tanah'!$E$7:$E$47,"&lt;="&amp;(A117+Input!$C$37*Input!$C$7)),INDEX('Data Tanah'!$N$7:$N$47,MATCH(A117,'Data Tanah'!$B$7:$B$47,1)))</f>
      </c>
      <c r="F117" s="31">
        <f>E117*Input!$C$9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D117/Input!$C$41+F117/Input!$C$42-H117</f>
      </c>
      <c r="J117" s="32">
        <f t="shared" si="17"/>
      </c>
      <c r="K117" s="32">
        <f>Input!$C$48</f>
      </c>
      <c r="L117" s="33">
        <f t="shared" si="18"/>
      </c>
      <c r="M117" s="31">
        <f>Input!$C$38*D117/Input!$C$43+H117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Tanah'!$K$7:$K$47,((((('Data Tanah'!$C$7:$C$47+A118-Input!$C$28*Input!$C$7)-ABS('Data Tanah'!$C$7:$C$47-(A118-Input!$C$28*Input!$C$7)))/2-(('Data Tanah'!$B$7:$B$47+Input!$C$26)+ABS('Data Tanah'!$B$7:$B$47-(Input!$C$26)))/2)+ABS((('Data Tanah'!$C$7:$C$47+A118-Input!$C$28*Input!$C$7)-ABS('Data Tanah'!$C$7:$C$47-(A118-Input!$C$28*Input!$C$7)))/2-(('Data Tanah'!$B$7:$B$47+Input!$C$26)+ABS('Data Tanah'!$B$7:$B$47-(Input!$C$26)))/2))/2))</f>
      </c>
      <c r="E118" s="16">
        <f>IFERROR(AVERAGEIFS('Data Tanah'!$N$7:$N$47,'Data Tanah'!$E$7:$E$47,"&gt;="&amp;(A118-Input!$C$36*Input!$C$7),'Data Tanah'!$E$7:$E$47,"&lt;="&amp;(A118+Input!$C$37*Input!$C$7)),INDEX('Data Tanah'!$N$7:$N$47,MATCH(A118,'Data Tanah'!$B$7:$B$47,1)))</f>
      </c>
      <c r="F118" s="30">
        <f>E118*Input!$C$9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D118/Input!$C$41+F118/Input!$C$42-H118</f>
      </c>
      <c r="J118" s="25">
        <f t="shared" si="17"/>
      </c>
      <c r="K118" s="25">
        <f>Input!$C$48</f>
      </c>
      <c r="L118" s="13">
        <f t="shared" si="18"/>
      </c>
      <c r="M118" s="30">
        <f>Input!$C$38*D118/Input!$C$43+H118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Tanah'!$K$7:$K$47,((((('Data Tanah'!$C$7:$C$47+A119-Input!$C$28*Input!$C$7)-ABS('Data Tanah'!$C$7:$C$47-(A119-Input!$C$28*Input!$C$7)))/2-(('Data Tanah'!$B$7:$B$47+Input!$C$26)+ABS('Data Tanah'!$B$7:$B$47-(Input!$C$26)))/2)+ABS((('Data Tanah'!$C$7:$C$47+A119-Input!$C$28*Input!$C$7)-ABS('Data Tanah'!$C$7:$C$47-(A119-Input!$C$28*Input!$C$7)))/2-(('Data Tanah'!$B$7:$B$47+Input!$C$26)+ABS('Data Tanah'!$B$7:$B$47-(Input!$C$26)))/2))/2))</f>
      </c>
      <c r="E119" s="20">
        <f>IFERROR(AVERAGEIFS('Data Tanah'!$N$7:$N$47,'Data Tanah'!$E$7:$E$47,"&gt;="&amp;(A119-Input!$C$36*Input!$C$7),'Data Tanah'!$E$7:$E$47,"&lt;="&amp;(A119+Input!$C$37*Input!$C$7)),INDEX('Data Tanah'!$N$7:$N$47,MATCH(A119,'Data Tanah'!$B$7:$B$47,1)))</f>
      </c>
      <c r="F119" s="31">
        <f>E119*Input!$C$9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D119/Input!$C$41+F119/Input!$C$42-H119</f>
      </c>
      <c r="J119" s="32">
        <f t="shared" si="17"/>
      </c>
      <c r="K119" s="32">
        <f>Input!$C$48</f>
      </c>
      <c r="L119" s="33">
        <f t="shared" si="18"/>
      </c>
      <c r="M119" s="31">
        <f>Input!$C$38*D119/Input!$C$43+H119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Tanah'!$K$7:$K$47,((((('Data Tanah'!$C$7:$C$47+A120-Input!$C$28*Input!$C$7)-ABS('Data Tanah'!$C$7:$C$47-(A120-Input!$C$28*Input!$C$7)))/2-(('Data Tanah'!$B$7:$B$47+Input!$C$26)+ABS('Data Tanah'!$B$7:$B$47-(Input!$C$26)))/2)+ABS((('Data Tanah'!$C$7:$C$47+A120-Input!$C$28*Input!$C$7)-ABS('Data Tanah'!$C$7:$C$47-(A120-Input!$C$28*Input!$C$7)))/2-(('Data Tanah'!$B$7:$B$47+Input!$C$26)+ABS('Data Tanah'!$B$7:$B$47-(Input!$C$26)))/2))/2))</f>
      </c>
      <c r="E120" s="16">
        <f>IFERROR(AVERAGEIFS('Data Tanah'!$N$7:$N$47,'Data Tanah'!$E$7:$E$47,"&gt;="&amp;(A120-Input!$C$36*Input!$C$7),'Data Tanah'!$E$7:$E$47,"&lt;="&amp;(A120+Input!$C$37*Input!$C$7)),INDEX('Data Tanah'!$N$7:$N$47,MATCH(A120,'Data Tanah'!$B$7:$B$47,1)))</f>
      </c>
      <c r="F120" s="30">
        <f>E120*Input!$C$9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D120/Input!$C$41+F120/Input!$C$42-H120</f>
      </c>
      <c r="J120" s="25">
        <f t="shared" si="17"/>
      </c>
      <c r="K120" s="25">
        <f>Input!$C$48</f>
      </c>
      <c r="L120" s="13">
        <f t="shared" si="18"/>
      </c>
      <c r="M120" s="30">
        <f>Input!$C$38*D120/Input!$C$43+H120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Tanah'!$K$7:$K$47,((((('Data Tanah'!$C$7:$C$47+A121-Input!$C$28*Input!$C$7)-ABS('Data Tanah'!$C$7:$C$47-(A121-Input!$C$28*Input!$C$7)))/2-(('Data Tanah'!$B$7:$B$47+Input!$C$26)+ABS('Data Tanah'!$B$7:$B$47-(Input!$C$26)))/2)+ABS((('Data Tanah'!$C$7:$C$47+A121-Input!$C$28*Input!$C$7)-ABS('Data Tanah'!$C$7:$C$47-(A121-Input!$C$28*Input!$C$7)))/2-(('Data Tanah'!$B$7:$B$47+Input!$C$26)+ABS('Data Tanah'!$B$7:$B$47-(Input!$C$26)))/2))/2))</f>
      </c>
      <c r="E121" s="20">
        <f>IFERROR(AVERAGEIFS('Data Tanah'!$N$7:$N$47,'Data Tanah'!$E$7:$E$47,"&gt;="&amp;(A121-Input!$C$36*Input!$C$7),'Data Tanah'!$E$7:$E$47,"&lt;="&amp;(A121+Input!$C$37*Input!$C$7)),INDEX('Data Tanah'!$N$7:$N$47,MATCH(A121,'Data Tanah'!$B$7:$B$47,1)))</f>
      </c>
      <c r="F121" s="31">
        <f>E121*Input!$C$9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D121/Input!$C$41+F121/Input!$C$42-H121</f>
      </c>
      <c r="J121" s="32">
        <f t="shared" si="17"/>
      </c>
      <c r="K121" s="32">
        <f>Input!$C$48</f>
      </c>
      <c r="L121" s="33">
        <f t="shared" si="18"/>
      </c>
      <c r="M121" s="31">
        <f>Input!$C$38*D121/Input!$C$43+H121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Tanah'!$K$7:$K$47,((((('Data Tanah'!$C$7:$C$47+A122-Input!$C$28*Input!$C$7)-ABS('Data Tanah'!$C$7:$C$47-(A122-Input!$C$28*Input!$C$7)))/2-(('Data Tanah'!$B$7:$B$47+Input!$C$26)+ABS('Data Tanah'!$B$7:$B$47-(Input!$C$26)))/2)+ABS((('Data Tanah'!$C$7:$C$47+A122-Input!$C$28*Input!$C$7)-ABS('Data Tanah'!$C$7:$C$47-(A122-Input!$C$28*Input!$C$7)))/2-(('Data Tanah'!$B$7:$B$47+Input!$C$26)+ABS('Data Tanah'!$B$7:$B$47-(Input!$C$26)))/2))/2))</f>
      </c>
      <c r="E122" s="16">
        <f>IFERROR(AVERAGEIFS('Data Tanah'!$N$7:$N$47,'Data Tanah'!$E$7:$E$47,"&gt;="&amp;(A122-Input!$C$36*Input!$C$7),'Data Tanah'!$E$7:$E$47,"&lt;="&amp;(A122+Input!$C$37*Input!$C$7)),INDEX('Data Tanah'!$N$7:$N$47,MATCH(A122,'Data Tanah'!$B$7:$B$47,1)))</f>
      </c>
      <c r="F122" s="30">
        <f>E122*Input!$C$9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D122/Input!$C$41+F122/Input!$C$42-H122</f>
      </c>
      <c r="J122" s="25">
        <f t="shared" si="17"/>
      </c>
      <c r="K122" s="25">
        <f>Input!$C$48</f>
      </c>
      <c r="L122" s="13">
        <f t="shared" si="18"/>
      </c>
      <c r="M122" s="30">
        <f>Input!$C$38*D122/Input!$C$43+H122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Tanah'!$K$7:$K$47,((((('Data Tanah'!$C$7:$C$47+A123-Input!$C$28*Input!$C$7)-ABS('Data Tanah'!$C$7:$C$47-(A123-Input!$C$28*Input!$C$7)))/2-(('Data Tanah'!$B$7:$B$47+Input!$C$26)+ABS('Data Tanah'!$B$7:$B$47-(Input!$C$26)))/2)+ABS((('Data Tanah'!$C$7:$C$47+A123-Input!$C$28*Input!$C$7)-ABS('Data Tanah'!$C$7:$C$47-(A123-Input!$C$28*Input!$C$7)))/2-(('Data Tanah'!$B$7:$B$47+Input!$C$26)+ABS('Data Tanah'!$B$7:$B$47-(Input!$C$26)))/2))/2))</f>
      </c>
      <c r="E123" s="20">
        <f>IFERROR(AVERAGEIFS('Data Tanah'!$N$7:$N$47,'Data Tanah'!$E$7:$E$47,"&gt;="&amp;(A123-Input!$C$36*Input!$C$7),'Data Tanah'!$E$7:$E$47,"&lt;="&amp;(A123+Input!$C$37*Input!$C$7)),INDEX('Data Tanah'!$N$7:$N$47,MATCH(A123,'Data Tanah'!$B$7:$B$47,1)))</f>
      </c>
      <c r="F123" s="31">
        <f>E123*Input!$C$9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D123/Input!$C$41+F123/Input!$C$42-H123</f>
      </c>
      <c r="J123" s="32">
        <f t="shared" si="17"/>
      </c>
      <c r="K123" s="32">
        <f>Input!$C$48</f>
      </c>
      <c r="L123" s="33">
        <f t="shared" si="18"/>
      </c>
      <c r="M123" s="31">
        <f>Input!$C$38*D123/Input!$C$43+H123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Tanah'!$K$7:$K$47,((((('Data Tanah'!$C$7:$C$47+A124-Input!$C$28*Input!$C$7)-ABS('Data Tanah'!$C$7:$C$47-(A124-Input!$C$28*Input!$C$7)))/2-(('Data Tanah'!$B$7:$B$47+Input!$C$26)+ABS('Data Tanah'!$B$7:$B$47-(Input!$C$26)))/2)+ABS((('Data Tanah'!$C$7:$C$47+A124-Input!$C$28*Input!$C$7)-ABS('Data Tanah'!$C$7:$C$47-(A124-Input!$C$28*Input!$C$7)))/2-(('Data Tanah'!$B$7:$B$47+Input!$C$26)+ABS('Data Tanah'!$B$7:$B$47-(Input!$C$26)))/2))/2))</f>
      </c>
      <c r="E124" s="16">
        <f>IFERROR(AVERAGEIFS('Data Tanah'!$N$7:$N$47,'Data Tanah'!$E$7:$E$47,"&gt;="&amp;(A124-Input!$C$36*Input!$C$7),'Data Tanah'!$E$7:$E$47,"&lt;="&amp;(A124+Input!$C$37*Input!$C$7)),INDEX('Data Tanah'!$N$7:$N$47,MATCH(A124,'Data Tanah'!$B$7:$B$47,1)))</f>
      </c>
      <c r="F124" s="30">
        <f>E124*Input!$C$9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D124/Input!$C$41+F124/Input!$C$42-H124</f>
      </c>
      <c r="J124" s="25">
        <f t="shared" si="17"/>
      </c>
      <c r="K124" s="25">
        <f>Input!$C$48</f>
      </c>
      <c r="L124" s="13">
        <f t="shared" si="18"/>
      </c>
      <c r="M124" s="30">
        <f>Input!$C$38*D124/Input!$C$43+H124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Tanah'!$K$7:$K$47,((((('Data Tanah'!$C$7:$C$47+A125-Input!$C$28*Input!$C$7)-ABS('Data Tanah'!$C$7:$C$47-(A125-Input!$C$28*Input!$C$7)))/2-(('Data Tanah'!$B$7:$B$47+Input!$C$26)+ABS('Data Tanah'!$B$7:$B$47-(Input!$C$26)))/2)+ABS((('Data Tanah'!$C$7:$C$47+A125-Input!$C$28*Input!$C$7)-ABS('Data Tanah'!$C$7:$C$47-(A125-Input!$C$28*Input!$C$7)))/2-(('Data Tanah'!$B$7:$B$47+Input!$C$26)+ABS('Data Tanah'!$B$7:$B$47-(Input!$C$26)))/2))/2))</f>
      </c>
      <c r="E125" s="20">
        <f>IFERROR(AVERAGEIFS('Data Tanah'!$N$7:$N$47,'Data Tanah'!$E$7:$E$47,"&gt;="&amp;(A125-Input!$C$36*Input!$C$7),'Data Tanah'!$E$7:$E$47,"&lt;="&amp;(A125+Input!$C$37*Input!$C$7)),INDEX('Data Tanah'!$N$7:$N$47,MATCH(A125,'Data Tanah'!$B$7:$B$47,1)))</f>
      </c>
      <c r="F125" s="31">
        <f>E125*Input!$C$9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D125/Input!$C$41+F125/Input!$C$42-H125</f>
      </c>
      <c r="J125" s="32">
        <f t="shared" si="17"/>
      </c>
      <c r="K125" s="32">
        <f>Input!$C$48</f>
      </c>
      <c r="L125" s="33">
        <f t="shared" si="18"/>
      </c>
      <c r="M125" s="31">
        <f>Input!$C$38*D125/Input!$C$43+H125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Tanah'!$K$7:$K$47,((((('Data Tanah'!$C$7:$C$47+A126-Input!$C$28*Input!$C$7)-ABS('Data Tanah'!$C$7:$C$47-(A126-Input!$C$28*Input!$C$7)))/2-(('Data Tanah'!$B$7:$B$47+Input!$C$26)+ABS('Data Tanah'!$B$7:$B$47-(Input!$C$26)))/2)+ABS((('Data Tanah'!$C$7:$C$47+A126-Input!$C$28*Input!$C$7)-ABS('Data Tanah'!$C$7:$C$47-(A126-Input!$C$28*Input!$C$7)))/2-(('Data Tanah'!$B$7:$B$47+Input!$C$26)+ABS('Data Tanah'!$B$7:$B$47-(Input!$C$26)))/2))/2))</f>
      </c>
      <c r="E126" s="16">
        <f>IFERROR(AVERAGEIFS('Data Tanah'!$N$7:$N$47,'Data Tanah'!$E$7:$E$47,"&gt;="&amp;(A126-Input!$C$36*Input!$C$7),'Data Tanah'!$E$7:$E$47,"&lt;="&amp;(A126+Input!$C$37*Input!$C$7)),INDEX('Data Tanah'!$N$7:$N$47,MATCH(A126,'Data Tanah'!$B$7:$B$47,1)))</f>
      </c>
      <c r="F126" s="30">
        <f>E126*Input!$C$9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D126/Input!$C$41+F126/Input!$C$42-H126</f>
      </c>
      <c r="J126" s="25">
        <f t="shared" si="17"/>
      </c>
      <c r="K126" s="25">
        <f>Input!$C$48</f>
      </c>
      <c r="L126" s="13">
        <f t="shared" si="18"/>
      </c>
      <c r="M126" s="30">
        <f>Input!$C$38*D126/Input!$C$43+H126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Tanah'!$K$7:$K$47,((((('Data Tanah'!$C$7:$C$47+A127-Input!$C$28*Input!$C$7)-ABS('Data Tanah'!$C$7:$C$47-(A127-Input!$C$28*Input!$C$7)))/2-(('Data Tanah'!$B$7:$B$47+Input!$C$26)+ABS('Data Tanah'!$B$7:$B$47-(Input!$C$26)))/2)+ABS((('Data Tanah'!$C$7:$C$47+A127-Input!$C$28*Input!$C$7)-ABS('Data Tanah'!$C$7:$C$47-(A127-Input!$C$28*Input!$C$7)))/2-(('Data Tanah'!$B$7:$B$47+Input!$C$26)+ABS('Data Tanah'!$B$7:$B$47-(Input!$C$26)))/2))/2))</f>
      </c>
      <c r="E127" s="20">
        <f>IFERROR(AVERAGEIFS('Data Tanah'!$N$7:$N$47,'Data Tanah'!$E$7:$E$47,"&gt;="&amp;(A127-Input!$C$36*Input!$C$7),'Data Tanah'!$E$7:$E$47,"&lt;="&amp;(A127+Input!$C$37*Input!$C$7)),INDEX('Data Tanah'!$N$7:$N$47,MATCH(A127,'Data Tanah'!$B$7:$B$47,1)))</f>
      </c>
      <c r="F127" s="31">
        <f>E127*Input!$C$9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D127/Input!$C$41+F127/Input!$C$42-H127</f>
      </c>
      <c r="J127" s="32">
        <f t="shared" si="17"/>
      </c>
      <c r="K127" s="32">
        <f>Input!$C$48</f>
      </c>
      <c r="L127" s="33">
        <f>J127&gt;=K127</f>
      </c>
      <c r="M127" s="31">
        <f>Input!$C$38*D127/Input!$C$43+H127</f>
      </c>
      <c r="N127" s="32">
        <f t="shared" si="19"/>
      </c>
    </row>
    <row r="129" spans="1:1" x14ac:dyDescent="0.25">
      <c r="A129" s="1" t="s">
        <v>151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2" customWidth="1"/>
    <col min="5" max="5" width="10" customWidth="1"/>
    <col min="6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153</v>
      </c>
      <c r="B5" s="36"/>
      <c r="C5" s="36"/>
      <c r="D5" s="36"/>
      <c r="E5" s="27">
        <f>IFERROR(ROUND(1/(1/_xlfn.MINIFS(A12:A127,L12:L127,TRUE)),2),"&gt; data")</f>
      </c>
      <c r="F5" s="4" t="s">
        <v>25</v>
      </c>
    </row>
    <row r="6" spans="1:14" x14ac:dyDescent="0.25">
      <c r="A6" s="37" t="s">
        <v>135</v>
      </c>
      <c r="B6" s="36"/>
      <c r="C6" s="36"/>
      <c r="D6" s="36"/>
      <c r="E6" s="27">
        <f>IF(ISNUMBER(E5),E5-Input!$C$11,"-")</f>
      </c>
      <c r="F6" s="4" t="s">
        <v>25</v>
      </c>
    </row>
    <row r="7" spans="1:14" x14ac:dyDescent="0.25">
      <c r="A7" s="37" t="s">
        <v>154</v>
      </c>
      <c r="B7" s="36"/>
      <c r="C7" s="36"/>
      <c r="D7" s="36"/>
      <c r="E7" s="27">
        <f>Input!$C$44</f>
      </c>
      <c r="F7" s="4" t="s">
        <v>6</v>
      </c>
    </row>
    <row r="10" spans="1:14" ht="42" customHeight="1" x14ac:dyDescent="0.25">
      <c r="A10" s="15" t="s">
        <v>138</v>
      </c>
      <c r="B10" s="15" t="s">
        <v>139</v>
      </c>
      <c r="C10" s="15" t="s">
        <v>140</v>
      </c>
      <c r="D10" s="15" t="s">
        <v>155</v>
      </c>
      <c r="E10" s="15" t="s">
        <v>156</v>
      </c>
      <c r="F10" s="15" t="s">
        <v>143</v>
      </c>
      <c r="G10" s="15" t="s">
        <v>157</v>
      </c>
      <c r="H10" s="15" t="s">
        <v>145</v>
      </c>
      <c r="I10" s="15" t="s">
        <v>146</v>
      </c>
      <c r="J10" s="15" t="s">
        <v>146</v>
      </c>
      <c r="K10" s="15" t="s">
        <v>158</v>
      </c>
      <c r="L10" s="15" t="s">
        <v>148</v>
      </c>
      <c r="M10" s="15" t="s">
        <v>149</v>
      </c>
      <c r="N10" s="15" t="s">
        <v>149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/>
      <c r="F11" s="15" t="s">
        <v>150</v>
      </c>
      <c r="G11" s="15" t="s">
        <v>150</v>
      </c>
      <c r="H11" s="15" t="s">
        <v>150</v>
      </c>
      <c r="I11" s="15" t="s">
        <v>150</v>
      </c>
      <c r="J11" s="15" t="s">
        <v>17</v>
      </c>
      <c r="K11" s="15" t="s">
        <v>17</v>
      </c>
      <c r="L11" s="15"/>
      <c r="M11" s="15" t="s">
        <v>150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Tanah'!$L$7:$L$47,((((('Data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Tanah'!$B$7:$B$47-(IF(Input!$C$23=1,MAX(Input!$C$27,Input!$C$15),Input!$C$27))))/2)+ABS((('Data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Tanah'!$B$7:$B$47-(IF(Input!$C$23=1,MAX(Input!$C$27,Input!$C$15),Input!$C$27))))/2))/2))</f>
      </c>
      <c r="E12" s="13">
        <f>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Tanah'!$B$7:$B$47-(A12-1.5*Input!$C$7)))/2))/2))&gt;0,"Ya","Tidak")</f>
      </c>
      <c r="F12" s="30">
        <f>IF(OR(E12="Ya",AND(Input!$C$23=1,A12&lt;=Input!$C$15)),0,IFERROR(AVERAGEIFS('Data Tanah'!$N$7:$N$47,'Data Tanah'!$E$7:$E$47,"&gt;="&amp;(A12-Input!$C$36*Input!$C$7),'Data Tanah'!$E$7:$E$47,"&lt;="&amp;(A12+Input!$C$37*Input!$C$7)),INDEX('Data Tanah'!$N$7:$N$47,MATCH(A12,'Data Tanah'!$B$7:$B$47,1)))*Input!$C$9)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G12/Input!$C$44-H12</f>
      </c>
      <c r="J12" s="25">
        <f t="shared" ref="J12:J43" si="2">I12*9.81</f>
      </c>
      <c r="K12" s="25">
        <f>Input!$C$49</f>
      </c>
      <c r="L12" s="13">
        <f t="shared" ref="L12:L43" si="3">AND(J12&gt;=K12,L13)</f>
      </c>
      <c r="M12" s="30">
        <f>IF(D12&gt;0,Input!$C$38*D12/Input!$C$44,0)+H12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Tanah'!$L$7:$L$47,((((('Data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Tanah'!$B$7:$B$47-(IF(Input!$C$23=1,MAX(Input!$C$27,Input!$C$15),Input!$C$27))))/2)+ABS((('Data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Tanah'!$B$7:$B$47-(IF(Input!$C$23=1,MAX(Input!$C$27,Input!$C$15),Input!$C$27))))/2))/2))</f>
      </c>
      <c r="E13" s="33">
        <f>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Tanah'!$B$7:$B$47-(A13-1.5*Input!$C$7)))/2))/2))&gt;0,"Ya","Tidak")</f>
      </c>
      <c r="F13" s="31">
        <f>IF(OR(E13="Ya",AND(Input!$C$23=1,A13&lt;=Input!$C$15)),0,IFERROR(AVERAGEIFS('Data Tanah'!$N$7:$N$47,'Data Tanah'!$E$7:$E$47,"&gt;="&amp;(A13-Input!$C$36*Input!$C$7),'Data Tanah'!$E$7:$E$47,"&lt;="&amp;(A13+Input!$C$37*Input!$C$7)),INDEX('Data Tanah'!$N$7:$N$47,MATCH(A13,'Data Tanah'!$B$7:$B$47,1)))*Input!$C$9)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G13/Input!$C$44-H13</f>
      </c>
      <c r="J13" s="32">
        <f t="shared" si="2"/>
      </c>
      <c r="K13" s="32">
        <f>Input!$C$49</f>
      </c>
      <c r="L13" s="33">
        <f t="shared" si="3"/>
      </c>
      <c r="M13" s="31">
        <f>IF(D13&gt;0,Input!$C$38*D13/Input!$C$44,0)+H13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Tanah'!$L$7:$L$47,((((('Data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Tanah'!$B$7:$B$47-(IF(Input!$C$23=1,MAX(Input!$C$27,Input!$C$15),Input!$C$27))))/2)+ABS((('Data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Tanah'!$B$7:$B$47-(IF(Input!$C$23=1,MAX(Input!$C$27,Input!$C$15),Input!$C$27))))/2))/2))</f>
      </c>
      <c r="E14" s="13">
        <f>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Tanah'!$B$7:$B$47-(A14-1.5*Input!$C$7)))/2))/2))&gt;0,"Ya","Tidak")</f>
      </c>
      <c r="F14" s="30">
        <f>IF(OR(E14="Ya",AND(Input!$C$23=1,A14&lt;=Input!$C$15)),0,IFERROR(AVERAGEIFS('Data Tanah'!$N$7:$N$47,'Data Tanah'!$E$7:$E$47,"&gt;="&amp;(A14-Input!$C$36*Input!$C$7),'Data Tanah'!$E$7:$E$47,"&lt;="&amp;(A14+Input!$C$37*Input!$C$7)),INDEX('Data Tanah'!$N$7:$N$47,MATCH(A14,'Data Tanah'!$B$7:$B$47,1)))*Input!$C$9)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G14/Input!$C$44-H14</f>
      </c>
      <c r="J14" s="25">
        <f t="shared" si="2"/>
      </c>
      <c r="K14" s="25">
        <f>Input!$C$49</f>
      </c>
      <c r="L14" s="13">
        <f t="shared" si="3"/>
      </c>
      <c r="M14" s="30">
        <f>IF(D14&gt;0,Input!$C$38*D14/Input!$C$44,0)+H14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Tanah'!$L$7:$L$47,((((('Data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Tanah'!$B$7:$B$47-(IF(Input!$C$23=1,MAX(Input!$C$27,Input!$C$15),Input!$C$27))))/2)+ABS((('Data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Tanah'!$B$7:$B$47-(IF(Input!$C$23=1,MAX(Input!$C$27,Input!$C$15),Input!$C$27))))/2))/2))</f>
      </c>
      <c r="E15" s="33">
        <f>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Tanah'!$B$7:$B$47-(A15-1.5*Input!$C$7)))/2))/2))&gt;0,"Ya","Tidak")</f>
      </c>
      <c r="F15" s="31">
        <f>IF(OR(E15="Ya",AND(Input!$C$23=1,A15&lt;=Input!$C$15)),0,IFERROR(AVERAGEIFS('Data Tanah'!$N$7:$N$47,'Data Tanah'!$E$7:$E$47,"&gt;="&amp;(A15-Input!$C$36*Input!$C$7),'Data Tanah'!$E$7:$E$47,"&lt;="&amp;(A15+Input!$C$37*Input!$C$7)),INDEX('Data Tanah'!$N$7:$N$47,MATCH(A15,'Data Tanah'!$B$7:$B$47,1)))*Input!$C$9)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G15/Input!$C$44-H15</f>
      </c>
      <c r="J15" s="32">
        <f t="shared" si="2"/>
      </c>
      <c r="K15" s="32">
        <f>Input!$C$49</f>
      </c>
      <c r="L15" s="33">
        <f t="shared" si="3"/>
      </c>
      <c r="M15" s="31">
        <f>IF(D15&gt;0,Input!$C$38*D15/Input!$C$44,0)+H15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Tanah'!$L$7:$L$47,((((('Data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Tanah'!$B$7:$B$47-(IF(Input!$C$23=1,MAX(Input!$C$27,Input!$C$15),Input!$C$27))))/2)+ABS((('Data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Tanah'!$B$7:$B$47-(IF(Input!$C$23=1,MAX(Input!$C$27,Input!$C$15),Input!$C$27))))/2))/2))</f>
      </c>
      <c r="E16" s="13">
        <f>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Tanah'!$B$7:$B$47-(A16-1.5*Input!$C$7)))/2))/2))&gt;0,"Ya","Tidak")</f>
      </c>
      <c r="F16" s="30">
        <f>IF(OR(E16="Ya",AND(Input!$C$23=1,A16&lt;=Input!$C$15)),0,IFERROR(AVERAGEIFS('Data Tanah'!$N$7:$N$47,'Data Tanah'!$E$7:$E$47,"&gt;="&amp;(A16-Input!$C$36*Input!$C$7),'Data Tanah'!$E$7:$E$47,"&lt;="&amp;(A16+Input!$C$37*Input!$C$7)),INDEX('Data Tanah'!$N$7:$N$47,MATCH(A16,'Data Tanah'!$B$7:$B$47,1)))*Input!$C$9)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G16/Input!$C$44-H16</f>
      </c>
      <c r="J16" s="25">
        <f t="shared" si="2"/>
      </c>
      <c r="K16" s="25">
        <f>Input!$C$49</f>
      </c>
      <c r="L16" s="13">
        <f t="shared" si="3"/>
      </c>
      <c r="M16" s="30">
        <f>IF(D16&gt;0,Input!$C$38*D16/Input!$C$44,0)+H16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Tanah'!$L$7:$L$47,((((('Data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Tanah'!$B$7:$B$47-(IF(Input!$C$23=1,MAX(Input!$C$27,Input!$C$15),Input!$C$27))))/2)+ABS((('Data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Tanah'!$B$7:$B$47-(IF(Input!$C$23=1,MAX(Input!$C$27,Input!$C$15),Input!$C$27))))/2))/2))</f>
      </c>
      <c r="E17" s="33">
        <f>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Tanah'!$B$7:$B$47-(A17-1.5*Input!$C$7)))/2))/2))&gt;0,"Ya","Tidak")</f>
      </c>
      <c r="F17" s="31">
        <f>IF(OR(E17="Ya",AND(Input!$C$23=1,A17&lt;=Input!$C$15)),0,IFERROR(AVERAGEIFS('Data Tanah'!$N$7:$N$47,'Data Tanah'!$E$7:$E$47,"&gt;="&amp;(A17-Input!$C$36*Input!$C$7),'Data Tanah'!$E$7:$E$47,"&lt;="&amp;(A17+Input!$C$37*Input!$C$7)),INDEX('Data Tanah'!$N$7:$N$47,MATCH(A17,'Data Tanah'!$B$7:$B$47,1)))*Input!$C$9)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G17/Input!$C$44-H17</f>
      </c>
      <c r="J17" s="32">
        <f t="shared" si="2"/>
      </c>
      <c r="K17" s="32">
        <f>Input!$C$49</f>
      </c>
      <c r="L17" s="33">
        <f t="shared" si="3"/>
      </c>
      <c r="M17" s="31">
        <f>IF(D17&gt;0,Input!$C$38*D17/Input!$C$44,0)+H17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Tanah'!$L$7:$L$47,((((('Data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Tanah'!$B$7:$B$47-(IF(Input!$C$23=1,MAX(Input!$C$27,Input!$C$15),Input!$C$27))))/2)+ABS((('Data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Tanah'!$B$7:$B$47-(IF(Input!$C$23=1,MAX(Input!$C$27,Input!$C$15),Input!$C$27))))/2))/2))</f>
      </c>
      <c r="E18" s="13">
        <f>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Tanah'!$B$7:$B$47-(A18-1.5*Input!$C$7)))/2))/2))&gt;0,"Ya","Tidak")</f>
      </c>
      <c r="F18" s="30">
        <f>IF(OR(E18="Ya",AND(Input!$C$23=1,A18&lt;=Input!$C$15)),0,IFERROR(AVERAGEIFS('Data Tanah'!$N$7:$N$47,'Data Tanah'!$E$7:$E$47,"&gt;="&amp;(A18-Input!$C$36*Input!$C$7),'Data Tanah'!$E$7:$E$47,"&lt;="&amp;(A18+Input!$C$37*Input!$C$7)),INDEX('Data Tanah'!$N$7:$N$47,MATCH(A18,'Data Tanah'!$B$7:$B$47,1)))*Input!$C$9)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G18/Input!$C$44-H18</f>
      </c>
      <c r="J18" s="25">
        <f t="shared" si="2"/>
      </c>
      <c r="K18" s="25">
        <f>Input!$C$49</f>
      </c>
      <c r="L18" s="13">
        <f t="shared" si="3"/>
      </c>
      <c r="M18" s="30">
        <f>IF(D18&gt;0,Input!$C$38*D18/Input!$C$44,0)+H18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Tanah'!$L$7:$L$47,((((('Data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Tanah'!$B$7:$B$47-(IF(Input!$C$23=1,MAX(Input!$C$27,Input!$C$15),Input!$C$27))))/2)+ABS((('Data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Tanah'!$B$7:$B$47-(IF(Input!$C$23=1,MAX(Input!$C$27,Input!$C$15),Input!$C$27))))/2))/2))</f>
      </c>
      <c r="E19" s="33">
        <f>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Tanah'!$B$7:$B$47-(A19-1.5*Input!$C$7)))/2))/2))&gt;0,"Ya","Tidak")</f>
      </c>
      <c r="F19" s="31">
        <f>IF(OR(E19="Ya",AND(Input!$C$23=1,A19&lt;=Input!$C$15)),0,IFERROR(AVERAGEIFS('Data Tanah'!$N$7:$N$47,'Data Tanah'!$E$7:$E$47,"&gt;="&amp;(A19-Input!$C$36*Input!$C$7),'Data Tanah'!$E$7:$E$47,"&lt;="&amp;(A19+Input!$C$37*Input!$C$7)),INDEX('Data Tanah'!$N$7:$N$47,MATCH(A19,'Data Tanah'!$B$7:$B$47,1)))*Input!$C$9)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G19/Input!$C$44-H19</f>
      </c>
      <c r="J19" s="32">
        <f t="shared" si="2"/>
      </c>
      <c r="K19" s="32">
        <f>Input!$C$49</f>
      </c>
      <c r="L19" s="33">
        <f t="shared" si="3"/>
      </c>
      <c r="M19" s="31">
        <f>IF(D19&gt;0,Input!$C$38*D19/Input!$C$44,0)+H19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Tanah'!$L$7:$L$47,((((('Data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Tanah'!$B$7:$B$47-(IF(Input!$C$23=1,MAX(Input!$C$27,Input!$C$15),Input!$C$27))))/2)+ABS((('Data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Tanah'!$B$7:$B$47-(IF(Input!$C$23=1,MAX(Input!$C$27,Input!$C$15),Input!$C$27))))/2))/2))</f>
      </c>
      <c r="E20" s="13">
        <f>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Tanah'!$B$7:$B$47-(A20-1.5*Input!$C$7)))/2))/2))&gt;0,"Ya","Tidak")</f>
      </c>
      <c r="F20" s="30">
        <f>IF(OR(E20="Ya",AND(Input!$C$23=1,A20&lt;=Input!$C$15)),0,IFERROR(AVERAGEIFS('Data Tanah'!$N$7:$N$47,'Data Tanah'!$E$7:$E$47,"&gt;="&amp;(A20-Input!$C$36*Input!$C$7),'Data Tanah'!$E$7:$E$47,"&lt;="&amp;(A20+Input!$C$37*Input!$C$7)),INDEX('Data Tanah'!$N$7:$N$47,MATCH(A20,'Data Tanah'!$B$7:$B$47,1)))*Input!$C$9)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G20/Input!$C$44-H20</f>
      </c>
      <c r="J20" s="25">
        <f t="shared" si="2"/>
      </c>
      <c r="K20" s="25">
        <f>Input!$C$49</f>
      </c>
      <c r="L20" s="13">
        <f t="shared" si="3"/>
      </c>
      <c r="M20" s="30">
        <f>IF(D20&gt;0,Input!$C$38*D20/Input!$C$44,0)+H20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Tanah'!$L$7:$L$47,((((('Data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Tanah'!$B$7:$B$47-(IF(Input!$C$23=1,MAX(Input!$C$27,Input!$C$15),Input!$C$27))))/2)+ABS((('Data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Tanah'!$B$7:$B$47-(IF(Input!$C$23=1,MAX(Input!$C$27,Input!$C$15),Input!$C$27))))/2))/2))</f>
      </c>
      <c r="E21" s="33">
        <f>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Tanah'!$B$7:$B$47-(A21-1.5*Input!$C$7)))/2))/2))&gt;0,"Ya","Tidak")</f>
      </c>
      <c r="F21" s="31">
        <f>IF(OR(E21="Ya",AND(Input!$C$23=1,A21&lt;=Input!$C$15)),0,IFERROR(AVERAGEIFS('Data Tanah'!$N$7:$N$47,'Data Tanah'!$E$7:$E$47,"&gt;="&amp;(A21-Input!$C$36*Input!$C$7),'Data Tanah'!$E$7:$E$47,"&lt;="&amp;(A21+Input!$C$37*Input!$C$7)),INDEX('Data Tanah'!$N$7:$N$47,MATCH(A21,'Data Tanah'!$B$7:$B$47,1)))*Input!$C$9)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G21/Input!$C$44-H21</f>
      </c>
      <c r="J21" s="32">
        <f t="shared" si="2"/>
      </c>
      <c r="K21" s="32">
        <f>Input!$C$49</f>
      </c>
      <c r="L21" s="33">
        <f t="shared" si="3"/>
      </c>
      <c r="M21" s="31">
        <f>IF(D21&gt;0,Input!$C$38*D21/Input!$C$44,0)+H21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Tanah'!$L$7:$L$47,((((('Data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Tanah'!$B$7:$B$47-(IF(Input!$C$23=1,MAX(Input!$C$27,Input!$C$15),Input!$C$27))))/2)+ABS((('Data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Tanah'!$B$7:$B$47-(IF(Input!$C$23=1,MAX(Input!$C$27,Input!$C$15),Input!$C$27))))/2))/2))</f>
      </c>
      <c r="E22" s="13">
        <f>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Tanah'!$B$7:$B$47-(A22-1.5*Input!$C$7)))/2))/2))&gt;0,"Ya","Tidak")</f>
      </c>
      <c r="F22" s="30">
        <f>IF(OR(E22="Ya",AND(Input!$C$23=1,A22&lt;=Input!$C$15)),0,IFERROR(AVERAGEIFS('Data Tanah'!$N$7:$N$47,'Data Tanah'!$E$7:$E$47,"&gt;="&amp;(A22-Input!$C$36*Input!$C$7),'Data Tanah'!$E$7:$E$47,"&lt;="&amp;(A22+Input!$C$37*Input!$C$7)),INDEX('Data Tanah'!$N$7:$N$47,MATCH(A22,'Data Tanah'!$B$7:$B$47,1)))*Input!$C$9)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G22/Input!$C$44-H22</f>
      </c>
      <c r="J22" s="25">
        <f t="shared" si="2"/>
      </c>
      <c r="K22" s="25">
        <f>Input!$C$49</f>
      </c>
      <c r="L22" s="13">
        <f t="shared" si="3"/>
      </c>
      <c r="M22" s="30">
        <f>IF(D22&gt;0,Input!$C$38*D22/Input!$C$44,0)+H22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Tanah'!$L$7:$L$47,((((('Data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Tanah'!$B$7:$B$47-(IF(Input!$C$23=1,MAX(Input!$C$27,Input!$C$15),Input!$C$27))))/2)+ABS((('Data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Tanah'!$B$7:$B$47-(IF(Input!$C$23=1,MAX(Input!$C$27,Input!$C$15),Input!$C$27))))/2))/2))</f>
      </c>
      <c r="E23" s="33">
        <f>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Tanah'!$B$7:$B$47-(A23-1.5*Input!$C$7)))/2))/2))&gt;0,"Ya","Tidak")</f>
      </c>
      <c r="F23" s="31">
        <f>IF(OR(E23="Ya",AND(Input!$C$23=1,A23&lt;=Input!$C$15)),0,IFERROR(AVERAGEIFS('Data Tanah'!$N$7:$N$47,'Data Tanah'!$E$7:$E$47,"&gt;="&amp;(A23-Input!$C$36*Input!$C$7),'Data Tanah'!$E$7:$E$47,"&lt;="&amp;(A23+Input!$C$37*Input!$C$7)),INDEX('Data Tanah'!$N$7:$N$47,MATCH(A23,'Data Tanah'!$B$7:$B$47,1)))*Input!$C$9)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G23/Input!$C$44-H23</f>
      </c>
      <c r="J23" s="32">
        <f t="shared" si="2"/>
      </c>
      <c r="K23" s="32">
        <f>Input!$C$49</f>
      </c>
      <c r="L23" s="33">
        <f t="shared" si="3"/>
      </c>
      <c r="M23" s="31">
        <f>IF(D23&gt;0,Input!$C$38*D23/Input!$C$44,0)+H23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Tanah'!$L$7:$L$47,((((('Data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Tanah'!$B$7:$B$47-(IF(Input!$C$23=1,MAX(Input!$C$27,Input!$C$15),Input!$C$27))))/2)+ABS((('Data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Tanah'!$B$7:$B$47-(IF(Input!$C$23=1,MAX(Input!$C$27,Input!$C$15),Input!$C$27))))/2))/2))</f>
      </c>
      <c r="E24" s="13">
        <f>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Tanah'!$B$7:$B$47-(A24-1.5*Input!$C$7)))/2))/2))&gt;0,"Ya","Tidak")</f>
      </c>
      <c r="F24" s="30">
        <f>IF(OR(E24="Ya",AND(Input!$C$23=1,A24&lt;=Input!$C$15)),0,IFERROR(AVERAGEIFS('Data Tanah'!$N$7:$N$47,'Data Tanah'!$E$7:$E$47,"&gt;="&amp;(A24-Input!$C$36*Input!$C$7),'Data Tanah'!$E$7:$E$47,"&lt;="&amp;(A24+Input!$C$37*Input!$C$7)),INDEX('Data Tanah'!$N$7:$N$47,MATCH(A24,'Data Tanah'!$B$7:$B$47,1)))*Input!$C$9)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G24/Input!$C$44-H24</f>
      </c>
      <c r="J24" s="25">
        <f t="shared" si="2"/>
      </c>
      <c r="K24" s="25">
        <f>Input!$C$49</f>
      </c>
      <c r="L24" s="13">
        <f t="shared" si="3"/>
      </c>
      <c r="M24" s="30">
        <f>IF(D24&gt;0,Input!$C$38*D24/Input!$C$44,0)+H24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Tanah'!$L$7:$L$47,((((('Data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Tanah'!$B$7:$B$47-(IF(Input!$C$23=1,MAX(Input!$C$27,Input!$C$15),Input!$C$27))))/2)+ABS((('Data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Tanah'!$B$7:$B$47-(IF(Input!$C$23=1,MAX(Input!$C$27,Input!$C$15),Input!$C$27))))/2))/2))</f>
      </c>
      <c r="E25" s="33">
        <f>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Tanah'!$B$7:$B$47-(A25-1.5*Input!$C$7)))/2))/2))&gt;0,"Ya","Tidak")</f>
      </c>
      <c r="F25" s="31">
        <f>IF(OR(E25="Ya",AND(Input!$C$23=1,A25&lt;=Input!$C$15)),0,IFERROR(AVERAGEIFS('Data Tanah'!$N$7:$N$47,'Data Tanah'!$E$7:$E$47,"&gt;="&amp;(A25-Input!$C$36*Input!$C$7),'Data Tanah'!$E$7:$E$47,"&lt;="&amp;(A25+Input!$C$37*Input!$C$7)),INDEX('Data Tanah'!$N$7:$N$47,MATCH(A25,'Data Tanah'!$B$7:$B$47,1)))*Input!$C$9)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G25/Input!$C$44-H25</f>
      </c>
      <c r="J25" s="32">
        <f t="shared" si="2"/>
      </c>
      <c r="K25" s="32">
        <f>Input!$C$49</f>
      </c>
      <c r="L25" s="33">
        <f t="shared" si="3"/>
      </c>
      <c r="M25" s="31">
        <f>IF(D25&gt;0,Input!$C$38*D25/Input!$C$44,0)+H25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Tanah'!$L$7:$L$47,((((('Data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Tanah'!$B$7:$B$47-(IF(Input!$C$23=1,MAX(Input!$C$27,Input!$C$15),Input!$C$27))))/2)+ABS((('Data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Tanah'!$B$7:$B$47-(IF(Input!$C$23=1,MAX(Input!$C$27,Input!$C$15),Input!$C$27))))/2))/2))</f>
      </c>
      <c r="E26" s="13">
        <f>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Tanah'!$B$7:$B$47-(A26-1.5*Input!$C$7)))/2))/2))&gt;0,"Ya","Tidak")</f>
      </c>
      <c r="F26" s="30">
        <f>IF(OR(E26="Ya",AND(Input!$C$23=1,A26&lt;=Input!$C$15)),0,IFERROR(AVERAGEIFS('Data Tanah'!$N$7:$N$47,'Data Tanah'!$E$7:$E$47,"&gt;="&amp;(A26-Input!$C$36*Input!$C$7),'Data Tanah'!$E$7:$E$47,"&lt;="&amp;(A26+Input!$C$37*Input!$C$7)),INDEX('Data Tanah'!$N$7:$N$47,MATCH(A26,'Data Tanah'!$B$7:$B$47,1)))*Input!$C$9)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G26/Input!$C$44-H26</f>
      </c>
      <c r="J26" s="25">
        <f t="shared" si="2"/>
      </c>
      <c r="K26" s="25">
        <f>Input!$C$49</f>
      </c>
      <c r="L26" s="13">
        <f t="shared" si="3"/>
      </c>
      <c r="M26" s="30">
        <f>IF(D26&gt;0,Input!$C$38*D26/Input!$C$44,0)+H26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Tanah'!$L$7:$L$47,((((('Data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Tanah'!$B$7:$B$47-(IF(Input!$C$23=1,MAX(Input!$C$27,Input!$C$15),Input!$C$27))))/2)+ABS((('Data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Tanah'!$B$7:$B$47-(IF(Input!$C$23=1,MAX(Input!$C$27,Input!$C$15),Input!$C$27))))/2))/2))</f>
      </c>
      <c r="E27" s="33">
        <f>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Tanah'!$B$7:$B$47-(A27-1.5*Input!$C$7)))/2))/2))&gt;0,"Ya","Tidak")</f>
      </c>
      <c r="F27" s="31">
        <f>IF(OR(E27="Ya",AND(Input!$C$23=1,A27&lt;=Input!$C$15)),0,IFERROR(AVERAGEIFS('Data Tanah'!$N$7:$N$47,'Data Tanah'!$E$7:$E$47,"&gt;="&amp;(A27-Input!$C$36*Input!$C$7),'Data Tanah'!$E$7:$E$47,"&lt;="&amp;(A27+Input!$C$37*Input!$C$7)),INDEX('Data Tanah'!$N$7:$N$47,MATCH(A27,'Data Tanah'!$B$7:$B$47,1)))*Input!$C$9)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G27/Input!$C$44-H27</f>
      </c>
      <c r="J27" s="32">
        <f t="shared" si="2"/>
      </c>
      <c r="K27" s="32">
        <f>Input!$C$49</f>
      </c>
      <c r="L27" s="33">
        <f t="shared" si="3"/>
      </c>
      <c r="M27" s="31">
        <f>IF(D27&gt;0,Input!$C$38*D27/Input!$C$44,0)+H27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Tanah'!$L$7:$L$47,((((('Data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Tanah'!$B$7:$B$47-(IF(Input!$C$23=1,MAX(Input!$C$27,Input!$C$15),Input!$C$27))))/2)+ABS((('Data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Tanah'!$B$7:$B$47-(IF(Input!$C$23=1,MAX(Input!$C$27,Input!$C$15),Input!$C$27))))/2))/2))</f>
      </c>
      <c r="E28" s="13">
        <f>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Tanah'!$B$7:$B$47-(A28-1.5*Input!$C$7)))/2))/2))&gt;0,"Ya","Tidak")</f>
      </c>
      <c r="F28" s="30">
        <f>IF(OR(E28="Ya",AND(Input!$C$23=1,A28&lt;=Input!$C$15)),0,IFERROR(AVERAGEIFS('Data Tanah'!$N$7:$N$47,'Data Tanah'!$E$7:$E$47,"&gt;="&amp;(A28-Input!$C$36*Input!$C$7),'Data Tanah'!$E$7:$E$47,"&lt;="&amp;(A28+Input!$C$37*Input!$C$7)),INDEX('Data Tanah'!$N$7:$N$47,MATCH(A28,'Data Tanah'!$B$7:$B$47,1)))*Input!$C$9)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G28/Input!$C$44-H28</f>
      </c>
      <c r="J28" s="25">
        <f t="shared" si="2"/>
      </c>
      <c r="K28" s="25">
        <f>Input!$C$49</f>
      </c>
      <c r="L28" s="13">
        <f t="shared" si="3"/>
      </c>
      <c r="M28" s="30">
        <f>IF(D28&gt;0,Input!$C$38*D28/Input!$C$44,0)+H28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Tanah'!$L$7:$L$47,((((('Data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Tanah'!$B$7:$B$47-(IF(Input!$C$23=1,MAX(Input!$C$27,Input!$C$15),Input!$C$27))))/2)+ABS((('Data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Tanah'!$B$7:$B$47-(IF(Input!$C$23=1,MAX(Input!$C$27,Input!$C$15),Input!$C$27))))/2))/2))</f>
      </c>
      <c r="E29" s="33">
        <f>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Tanah'!$B$7:$B$47-(A29-1.5*Input!$C$7)))/2))/2))&gt;0,"Ya","Tidak")</f>
      </c>
      <c r="F29" s="31">
        <f>IF(OR(E29="Ya",AND(Input!$C$23=1,A29&lt;=Input!$C$15)),0,IFERROR(AVERAGEIFS('Data Tanah'!$N$7:$N$47,'Data Tanah'!$E$7:$E$47,"&gt;="&amp;(A29-Input!$C$36*Input!$C$7),'Data Tanah'!$E$7:$E$47,"&lt;="&amp;(A29+Input!$C$37*Input!$C$7)),INDEX('Data Tanah'!$N$7:$N$47,MATCH(A29,'Data Tanah'!$B$7:$B$47,1)))*Input!$C$9)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G29/Input!$C$44-H29</f>
      </c>
      <c r="J29" s="32">
        <f t="shared" si="2"/>
      </c>
      <c r="K29" s="32">
        <f>Input!$C$49</f>
      </c>
      <c r="L29" s="33">
        <f t="shared" si="3"/>
      </c>
      <c r="M29" s="31">
        <f>IF(D29&gt;0,Input!$C$38*D29/Input!$C$44,0)+H29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Tanah'!$L$7:$L$47,((((('Data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Tanah'!$B$7:$B$47-(IF(Input!$C$23=1,MAX(Input!$C$27,Input!$C$15),Input!$C$27))))/2)+ABS((('Data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Tanah'!$B$7:$B$47-(IF(Input!$C$23=1,MAX(Input!$C$27,Input!$C$15),Input!$C$27))))/2))/2))</f>
      </c>
      <c r="E30" s="13">
        <f>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Tanah'!$B$7:$B$47-(A30-1.5*Input!$C$7)))/2))/2))&gt;0,"Ya","Tidak")</f>
      </c>
      <c r="F30" s="30">
        <f>IF(OR(E30="Ya",AND(Input!$C$23=1,A30&lt;=Input!$C$15)),0,IFERROR(AVERAGEIFS('Data Tanah'!$N$7:$N$47,'Data Tanah'!$E$7:$E$47,"&gt;="&amp;(A30-Input!$C$36*Input!$C$7),'Data Tanah'!$E$7:$E$47,"&lt;="&amp;(A30+Input!$C$37*Input!$C$7)),INDEX('Data Tanah'!$N$7:$N$47,MATCH(A30,'Data Tanah'!$B$7:$B$47,1)))*Input!$C$9)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G30/Input!$C$44-H30</f>
      </c>
      <c r="J30" s="25">
        <f t="shared" si="2"/>
      </c>
      <c r="K30" s="25">
        <f>Input!$C$49</f>
      </c>
      <c r="L30" s="13">
        <f t="shared" si="3"/>
      </c>
      <c r="M30" s="30">
        <f>IF(D30&gt;0,Input!$C$38*D30/Input!$C$44,0)+H30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Tanah'!$L$7:$L$47,((((('Data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Tanah'!$B$7:$B$47-(IF(Input!$C$23=1,MAX(Input!$C$27,Input!$C$15),Input!$C$27))))/2)+ABS((('Data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Tanah'!$B$7:$B$47-(IF(Input!$C$23=1,MAX(Input!$C$27,Input!$C$15),Input!$C$27))))/2))/2))</f>
      </c>
      <c r="E31" s="33">
        <f>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Tanah'!$B$7:$B$47-(A31-1.5*Input!$C$7)))/2))/2))&gt;0,"Ya","Tidak")</f>
      </c>
      <c r="F31" s="31">
        <f>IF(OR(E31="Ya",AND(Input!$C$23=1,A31&lt;=Input!$C$15)),0,IFERROR(AVERAGEIFS('Data Tanah'!$N$7:$N$47,'Data Tanah'!$E$7:$E$47,"&gt;="&amp;(A31-Input!$C$36*Input!$C$7),'Data Tanah'!$E$7:$E$47,"&lt;="&amp;(A31+Input!$C$37*Input!$C$7)),INDEX('Data Tanah'!$N$7:$N$47,MATCH(A31,'Data Tanah'!$B$7:$B$47,1)))*Input!$C$9)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G31/Input!$C$44-H31</f>
      </c>
      <c r="J31" s="32">
        <f t="shared" si="2"/>
      </c>
      <c r="K31" s="32">
        <f>Input!$C$49</f>
      </c>
      <c r="L31" s="33">
        <f t="shared" si="3"/>
      </c>
      <c r="M31" s="31">
        <f>IF(D31&gt;0,Input!$C$38*D31/Input!$C$44,0)+H31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Tanah'!$L$7:$L$47,((((('Data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Tanah'!$B$7:$B$47-(IF(Input!$C$23=1,MAX(Input!$C$27,Input!$C$15),Input!$C$27))))/2)+ABS((('Data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Tanah'!$B$7:$B$47-(IF(Input!$C$23=1,MAX(Input!$C$27,Input!$C$15),Input!$C$27))))/2))/2))</f>
      </c>
      <c r="E32" s="13">
        <f>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Tanah'!$B$7:$B$47-(A32-1.5*Input!$C$7)))/2))/2))&gt;0,"Ya","Tidak")</f>
      </c>
      <c r="F32" s="30">
        <f>IF(OR(E32="Ya",AND(Input!$C$23=1,A32&lt;=Input!$C$15)),0,IFERROR(AVERAGEIFS('Data Tanah'!$N$7:$N$47,'Data Tanah'!$E$7:$E$47,"&gt;="&amp;(A32-Input!$C$36*Input!$C$7),'Data Tanah'!$E$7:$E$47,"&lt;="&amp;(A32+Input!$C$37*Input!$C$7)),INDEX('Data Tanah'!$N$7:$N$47,MATCH(A32,'Data Tanah'!$B$7:$B$47,1)))*Input!$C$9)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G32/Input!$C$44-H32</f>
      </c>
      <c r="J32" s="25">
        <f t="shared" si="2"/>
      </c>
      <c r="K32" s="25">
        <f>Input!$C$49</f>
      </c>
      <c r="L32" s="13">
        <f t="shared" si="3"/>
      </c>
      <c r="M32" s="30">
        <f>IF(D32&gt;0,Input!$C$38*D32/Input!$C$44,0)+H32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Tanah'!$L$7:$L$47,((((('Data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Tanah'!$B$7:$B$47-(IF(Input!$C$23=1,MAX(Input!$C$27,Input!$C$15),Input!$C$27))))/2)+ABS((('Data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Tanah'!$B$7:$B$47-(IF(Input!$C$23=1,MAX(Input!$C$27,Input!$C$15),Input!$C$27))))/2))/2))</f>
      </c>
      <c r="E33" s="33">
        <f>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Tanah'!$B$7:$B$47-(A33-1.5*Input!$C$7)))/2))/2))&gt;0,"Ya","Tidak")</f>
      </c>
      <c r="F33" s="31">
        <f>IF(OR(E33="Ya",AND(Input!$C$23=1,A33&lt;=Input!$C$15)),0,IFERROR(AVERAGEIFS('Data Tanah'!$N$7:$N$47,'Data Tanah'!$E$7:$E$47,"&gt;="&amp;(A33-Input!$C$36*Input!$C$7),'Data Tanah'!$E$7:$E$47,"&lt;="&amp;(A33+Input!$C$37*Input!$C$7)),INDEX('Data Tanah'!$N$7:$N$47,MATCH(A33,'Data Tanah'!$B$7:$B$47,1)))*Input!$C$9)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G33/Input!$C$44-H33</f>
      </c>
      <c r="J33" s="32">
        <f t="shared" si="2"/>
      </c>
      <c r="K33" s="32">
        <f>Input!$C$49</f>
      </c>
      <c r="L33" s="33">
        <f t="shared" si="3"/>
      </c>
      <c r="M33" s="31">
        <f>IF(D33&gt;0,Input!$C$38*D33/Input!$C$44,0)+H33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Tanah'!$L$7:$L$47,((((('Data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Tanah'!$B$7:$B$47-(IF(Input!$C$23=1,MAX(Input!$C$27,Input!$C$15),Input!$C$27))))/2)+ABS((('Data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Tanah'!$B$7:$B$47-(IF(Input!$C$23=1,MAX(Input!$C$27,Input!$C$15),Input!$C$27))))/2))/2))</f>
      </c>
      <c r="E34" s="13">
        <f>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Tanah'!$B$7:$B$47-(A34-1.5*Input!$C$7)))/2))/2))&gt;0,"Ya","Tidak")</f>
      </c>
      <c r="F34" s="30">
        <f>IF(OR(E34="Ya",AND(Input!$C$23=1,A34&lt;=Input!$C$15)),0,IFERROR(AVERAGEIFS('Data Tanah'!$N$7:$N$47,'Data Tanah'!$E$7:$E$47,"&gt;="&amp;(A34-Input!$C$36*Input!$C$7),'Data Tanah'!$E$7:$E$47,"&lt;="&amp;(A34+Input!$C$37*Input!$C$7)),INDEX('Data Tanah'!$N$7:$N$47,MATCH(A34,'Data Tanah'!$B$7:$B$47,1)))*Input!$C$9)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G34/Input!$C$44-H34</f>
      </c>
      <c r="J34" s="25">
        <f t="shared" si="2"/>
      </c>
      <c r="K34" s="25">
        <f>Input!$C$49</f>
      </c>
      <c r="L34" s="13">
        <f t="shared" si="3"/>
      </c>
      <c r="M34" s="30">
        <f>IF(D34&gt;0,Input!$C$38*D34/Input!$C$44,0)+H34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Tanah'!$L$7:$L$47,((((('Data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Tanah'!$B$7:$B$47-(IF(Input!$C$23=1,MAX(Input!$C$27,Input!$C$15),Input!$C$27))))/2)+ABS((('Data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Tanah'!$B$7:$B$47-(IF(Input!$C$23=1,MAX(Input!$C$27,Input!$C$15),Input!$C$27))))/2))/2))</f>
      </c>
      <c r="E35" s="33">
        <f>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Tanah'!$B$7:$B$47-(A35-1.5*Input!$C$7)))/2))/2))&gt;0,"Ya","Tidak")</f>
      </c>
      <c r="F35" s="31">
        <f>IF(OR(E35="Ya",AND(Input!$C$23=1,A35&lt;=Input!$C$15)),0,IFERROR(AVERAGEIFS('Data Tanah'!$N$7:$N$47,'Data Tanah'!$E$7:$E$47,"&gt;="&amp;(A35-Input!$C$36*Input!$C$7),'Data Tanah'!$E$7:$E$47,"&lt;="&amp;(A35+Input!$C$37*Input!$C$7)),INDEX('Data Tanah'!$N$7:$N$47,MATCH(A35,'Data Tanah'!$B$7:$B$47,1)))*Input!$C$9)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G35/Input!$C$44-H35</f>
      </c>
      <c r="J35" s="32">
        <f t="shared" si="2"/>
      </c>
      <c r="K35" s="32">
        <f>Input!$C$49</f>
      </c>
      <c r="L35" s="33">
        <f t="shared" si="3"/>
      </c>
      <c r="M35" s="31">
        <f>IF(D35&gt;0,Input!$C$38*D35/Input!$C$44,0)+H35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Tanah'!$L$7:$L$47,((((('Data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Tanah'!$B$7:$B$47-(IF(Input!$C$23=1,MAX(Input!$C$27,Input!$C$15),Input!$C$27))))/2)+ABS((('Data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Tanah'!$B$7:$B$47-(IF(Input!$C$23=1,MAX(Input!$C$27,Input!$C$15),Input!$C$27))))/2))/2))</f>
      </c>
      <c r="E36" s="13">
        <f>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Tanah'!$B$7:$B$47-(A36-1.5*Input!$C$7)))/2))/2))&gt;0,"Ya","Tidak")</f>
      </c>
      <c r="F36" s="30">
        <f>IF(OR(E36="Ya",AND(Input!$C$23=1,A36&lt;=Input!$C$15)),0,IFERROR(AVERAGEIFS('Data Tanah'!$N$7:$N$47,'Data Tanah'!$E$7:$E$47,"&gt;="&amp;(A36-Input!$C$36*Input!$C$7),'Data Tanah'!$E$7:$E$47,"&lt;="&amp;(A36+Input!$C$37*Input!$C$7)),INDEX('Data Tanah'!$N$7:$N$47,MATCH(A36,'Data Tanah'!$B$7:$B$47,1)))*Input!$C$9)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G36/Input!$C$44-H36</f>
      </c>
      <c r="J36" s="25">
        <f t="shared" si="2"/>
      </c>
      <c r="K36" s="25">
        <f>Input!$C$49</f>
      </c>
      <c r="L36" s="13">
        <f t="shared" si="3"/>
      </c>
      <c r="M36" s="30">
        <f>IF(D36&gt;0,Input!$C$38*D36/Input!$C$44,0)+H36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Tanah'!$L$7:$L$47,((((('Data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Tanah'!$B$7:$B$47-(IF(Input!$C$23=1,MAX(Input!$C$27,Input!$C$15),Input!$C$27))))/2)+ABS((('Data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Tanah'!$B$7:$B$47-(IF(Input!$C$23=1,MAX(Input!$C$27,Input!$C$15),Input!$C$27))))/2))/2))</f>
      </c>
      <c r="E37" s="33">
        <f>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Tanah'!$B$7:$B$47-(A37-1.5*Input!$C$7)))/2))/2))&gt;0,"Ya","Tidak")</f>
      </c>
      <c r="F37" s="31">
        <f>IF(OR(E37="Ya",AND(Input!$C$23=1,A37&lt;=Input!$C$15)),0,IFERROR(AVERAGEIFS('Data Tanah'!$N$7:$N$47,'Data Tanah'!$E$7:$E$47,"&gt;="&amp;(A37-Input!$C$36*Input!$C$7),'Data Tanah'!$E$7:$E$47,"&lt;="&amp;(A37+Input!$C$37*Input!$C$7)),INDEX('Data Tanah'!$N$7:$N$47,MATCH(A37,'Data Tanah'!$B$7:$B$47,1)))*Input!$C$9)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G37/Input!$C$44-H37</f>
      </c>
      <c r="J37" s="32">
        <f t="shared" si="2"/>
      </c>
      <c r="K37" s="32">
        <f>Input!$C$49</f>
      </c>
      <c r="L37" s="33">
        <f t="shared" si="3"/>
      </c>
      <c r="M37" s="31">
        <f>IF(D37&gt;0,Input!$C$38*D37/Input!$C$44,0)+H37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Tanah'!$L$7:$L$47,((((('Data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Tanah'!$B$7:$B$47-(IF(Input!$C$23=1,MAX(Input!$C$27,Input!$C$15),Input!$C$27))))/2)+ABS((('Data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Tanah'!$B$7:$B$47-(IF(Input!$C$23=1,MAX(Input!$C$27,Input!$C$15),Input!$C$27))))/2))/2))</f>
      </c>
      <c r="E38" s="13">
        <f>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Tanah'!$B$7:$B$47-(A38-1.5*Input!$C$7)))/2))/2))&gt;0,"Ya","Tidak")</f>
      </c>
      <c r="F38" s="30">
        <f>IF(OR(E38="Ya",AND(Input!$C$23=1,A38&lt;=Input!$C$15)),0,IFERROR(AVERAGEIFS('Data Tanah'!$N$7:$N$47,'Data Tanah'!$E$7:$E$47,"&gt;="&amp;(A38-Input!$C$36*Input!$C$7),'Data Tanah'!$E$7:$E$47,"&lt;="&amp;(A38+Input!$C$37*Input!$C$7)),INDEX('Data Tanah'!$N$7:$N$47,MATCH(A38,'Data Tanah'!$B$7:$B$47,1)))*Input!$C$9)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G38/Input!$C$44-H38</f>
      </c>
      <c r="J38" s="25">
        <f t="shared" si="2"/>
      </c>
      <c r="K38" s="25">
        <f>Input!$C$49</f>
      </c>
      <c r="L38" s="13">
        <f t="shared" si="3"/>
      </c>
      <c r="M38" s="30">
        <f>IF(D38&gt;0,Input!$C$38*D38/Input!$C$44,0)+H38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Tanah'!$L$7:$L$47,((((('Data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Tanah'!$B$7:$B$47-(IF(Input!$C$23=1,MAX(Input!$C$27,Input!$C$15),Input!$C$27))))/2)+ABS((('Data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Tanah'!$B$7:$B$47-(IF(Input!$C$23=1,MAX(Input!$C$27,Input!$C$15),Input!$C$27))))/2))/2))</f>
      </c>
      <c r="E39" s="33">
        <f>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Tanah'!$B$7:$B$47-(A39-1.5*Input!$C$7)))/2))/2))&gt;0,"Ya","Tidak")</f>
      </c>
      <c r="F39" s="31">
        <f>IF(OR(E39="Ya",AND(Input!$C$23=1,A39&lt;=Input!$C$15)),0,IFERROR(AVERAGEIFS('Data Tanah'!$N$7:$N$47,'Data Tanah'!$E$7:$E$47,"&gt;="&amp;(A39-Input!$C$36*Input!$C$7),'Data Tanah'!$E$7:$E$47,"&lt;="&amp;(A39+Input!$C$37*Input!$C$7)),INDEX('Data Tanah'!$N$7:$N$47,MATCH(A39,'Data Tanah'!$B$7:$B$47,1)))*Input!$C$9)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G39/Input!$C$44-H39</f>
      </c>
      <c r="J39" s="32">
        <f t="shared" si="2"/>
      </c>
      <c r="K39" s="32">
        <f>Input!$C$49</f>
      </c>
      <c r="L39" s="33">
        <f t="shared" si="3"/>
      </c>
      <c r="M39" s="31">
        <f>IF(D39&gt;0,Input!$C$38*D39/Input!$C$44,0)+H39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Tanah'!$L$7:$L$47,((((('Data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Tanah'!$B$7:$B$47-(IF(Input!$C$23=1,MAX(Input!$C$27,Input!$C$15),Input!$C$27))))/2)+ABS((('Data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Tanah'!$B$7:$B$47-(IF(Input!$C$23=1,MAX(Input!$C$27,Input!$C$15),Input!$C$27))))/2))/2))</f>
      </c>
      <c r="E40" s="13">
        <f>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Tanah'!$B$7:$B$47-(A40-1.5*Input!$C$7)))/2))/2))&gt;0,"Ya","Tidak")</f>
      </c>
      <c r="F40" s="30">
        <f>IF(OR(E40="Ya",AND(Input!$C$23=1,A40&lt;=Input!$C$15)),0,IFERROR(AVERAGEIFS('Data Tanah'!$N$7:$N$47,'Data Tanah'!$E$7:$E$47,"&gt;="&amp;(A40-Input!$C$36*Input!$C$7),'Data Tanah'!$E$7:$E$47,"&lt;="&amp;(A40+Input!$C$37*Input!$C$7)),INDEX('Data Tanah'!$N$7:$N$47,MATCH(A40,'Data Tanah'!$B$7:$B$47,1)))*Input!$C$9)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G40/Input!$C$44-H40</f>
      </c>
      <c r="J40" s="25">
        <f t="shared" si="2"/>
      </c>
      <c r="K40" s="25">
        <f>Input!$C$49</f>
      </c>
      <c r="L40" s="13">
        <f t="shared" si="3"/>
      </c>
      <c r="M40" s="30">
        <f>IF(D40&gt;0,Input!$C$38*D40/Input!$C$44,0)+H40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Tanah'!$L$7:$L$47,((((('Data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Tanah'!$B$7:$B$47-(IF(Input!$C$23=1,MAX(Input!$C$27,Input!$C$15),Input!$C$27))))/2)+ABS((('Data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Tanah'!$B$7:$B$47-(IF(Input!$C$23=1,MAX(Input!$C$27,Input!$C$15),Input!$C$27))))/2))/2))</f>
      </c>
      <c r="E41" s="33">
        <f>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Tanah'!$B$7:$B$47-(A41-1.5*Input!$C$7)))/2))/2))&gt;0,"Ya","Tidak")</f>
      </c>
      <c r="F41" s="31">
        <f>IF(OR(E41="Ya",AND(Input!$C$23=1,A41&lt;=Input!$C$15)),0,IFERROR(AVERAGEIFS('Data Tanah'!$N$7:$N$47,'Data Tanah'!$E$7:$E$47,"&gt;="&amp;(A41-Input!$C$36*Input!$C$7),'Data Tanah'!$E$7:$E$47,"&lt;="&amp;(A41+Input!$C$37*Input!$C$7)),INDEX('Data Tanah'!$N$7:$N$47,MATCH(A41,'Data Tanah'!$B$7:$B$47,1)))*Input!$C$9)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G41/Input!$C$44-H41</f>
      </c>
      <c r="J41" s="32">
        <f t="shared" si="2"/>
      </c>
      <c r="K41" s="32">
        <f>Input!$C$49</f>
      </c>
      <c r="L41" s="33">
        <f t="shared" si="3"/>
      </c>
      <c r="M41" s="31">
        <f>IF(D41&gt;0,Input!$C$38*D41/Input!$C$44,0)+H41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Tanah'!$L$7:$L$47,((((('Data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Tanah'!$B$7:$B$47-(IF(Input!$C$23=1,MAX(Input!$C$27,Input!$C$15),Input!$C$27))))/2)+ABS((('Data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Tanah'!$B$7:$B$47-(IF(Input!$C$23=1,MAX(Input!$C$27,Input!$C$15),Input!$C$27))))/2))/2))</f>
      </c>
      <c r="E42" s="13">
        <f>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Tanah'!$B$7:$B$47-(A42-1.5*Input!$C$7)))/2))/2))&gt;0,"Ya","Tidak")</f>
      </c>
      <c r="F42" s="30">
        <f>IF(OR(E42="Ya",AND(Input!$C$23=1,A42&lt;=Input!$C$15)),0,IFERROR(AVERAGEIFS('Data Tanah'!$N$7:$N$47,'Data Tanah'!$E$7:$E$47,"&gt;="&amp;(A42-Input!$C$36*Input!$C$7),'Data Tanah'!$E$7:$E$47,"&lt;="&amp;(A42+Input!$C$37*Input!$C$7)),INDEX('Data Tanah'!$N$7:$N$47,MATCH(A42,'Data Tanah'!$B$7:$B$47,1)))*Input!$C$9)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G42/Input!$C$44-H42</f>
      </c>
      <c r="J42" s="25">
        <f t="shared" si="2"/>
      </c>
      <c r="K42" s="25">
        <f>Input!$C$49</f>
      </c>
      <c r="L42" s="13">
        <f t="shared" si="3"/>
      </c>
      <c r="M42" s="30">
        <f>IF(D42&gt;0,Input!$C$38*D42/Input!$C$44,0)+H42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Tanah'!$L$7:$L$47,((((('Data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Tanah'!$B$7:$B$47-(IF(Input!$C$23=1,MAX(Input!$C$27,Input!$C$15),Input!$C$27))))/2)+ABS((('Data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Tanah'!$B$7:$B$47-(IF(Input!$C$23=1,MAX(Input!$C$27,Input!$C$15),Input!$C$27))))/2))/2))</f>
      </c>
      <c r="E43" s="33">
        <f>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Tanah'!$B$7:$B$47-(A43-1.5*Input!$C$7)))/2))/2))&gt;0,"Ya","Tidak")</f>
      </c>
      <c r="F43" s="31">
        <f>IF(OR(E43="Ya",AND(Input!$C$23=1,A43&lt;=Input!$C$15)),0,IFERROR(AVERAGEIFS('Data Tanah'!$N$7:$N$47,'Data Tanah'!$E$7:$E$47,"&gt;="&amp;(A43-Input!$C$36*Input!$C$7),'Data Tanah'!$E$7:$E$47,"&lt;="&amp;(A43+Input!$C$37*Input!$C$7)),INDEX('Data Tanah'!$N$7:$N$47,MATCH(A43,'Data Tanah'!$B$7:$B$47,1)))*Input!$C$9)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G43/Input!$C$44-H43</f>
      </c>
      <c r="J43" s="32">
        <f t="shared" si="2"/>
      </c>
      <c r="K43" s="32">
        <f>Input!$C$49</f>
      </c>
      <c r="L43" s="33">
        <f t="shared" si="3"/>
      </c>
      <c r="M43" s="31">
        <f>IF(D43&gt;0,Input!$C$38*D43/Input!$C$44,0)+H43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Tanah'!$L$7:$L$47,((((('Data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Tanah'!$B$7:$B$47-(IF(Input!$C$23=1,MAX(Input!$C$27,Input!$C$15),Input!$C$27))))/2)+ABS((('Data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Tanah'!$B$7:$B$47-(IF(Input!$C$23=1,MAX(Input!$C$27,Input!$C$15),Input!$C$27))))/2))/2))</f>
      </c>
      <c r="E44" s="13">
        <f>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Tanah'!$B$7:$B$47-(A44-1.5*Input!$C$7)))/2))/2))&gt;0,"Ya","Tidak")</f>
      </c>
      <c r="F44" s="30">
        <f>IF(OR(E44="Ya",AND(Input!$C$23=1,A44&lt;=Input!$C$15)),0,IFERROR(AVERAGEIFS('Data Tanah'!$N$7:$N$47,'Data Tanah'!$E$7:$E$47,"&gt;="&amp;(A44-Input!$C$36*Input!$C$7),'Data Tanah'!$E$7:$E$47,"&lt;="&amp;(A44+Input!$C$37*Input!$C$7)),INDEX('Data Tanah'!$N$7:$N$47,MATCH(A44,'Data Tanah'!$B$7:$B$47,1)))*Input!$C$9)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G44/Input!$C$44-H44</f>
      </c>
      <c r="J44" s="25">
        <f t="shared" ref="J44:J75" si="7">I44*9.81</f>
      </c>
      <c r="K44" s="25">
        <f>Input!$C$49</f>
      </c>
      <c r="L44" s="13">
        <f t="shared" ref="L44:L75" si="8">AND(J44&gt;=K44,L45)</f>
      </c>
      <c r="M44" s="30">
        <f>IF(D44&gt;0,Input!$C$38*D44/Input!$C$44,0)+H44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Tanah'!$L$7:$L$47,((((('Data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Tanah'!$B$7:$B$47-(IF(Input!$C$23=1,MAX(Input!$C$27,Input!$C$15),Input!$C$27))))/2)+ABS((('Data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Tanah'!$B$7:$B$47-(IF(Input!$C$23=1,MAX(Input!$C$27,Input!$C$15),Input!$C$27))))/2))/2))</f>
      </c>
      <c r="E45" s="33">
        <f>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Tanah'!$B$7:$B$47-(A45-1.5*Input!$C$7)))/2))/2))&gt;0,"Ya","Tidak")</f>
      </c>
      <c r="F45" s="31">
        <f>IF(OR(E45="Ya",AND(Input!$C$23=1,A45&lt;=Input!$C$15)),0,IFERROR(AVERAGEIFS('Data Tanah'!$N$7:$N$47,'Data Tanah'!$E$7:$E$47,"&gt;="&amp;(A45-Input!$C$36*Input!$C$7),'Data Tanah'!$E$7:$E$47,"&lt;="&amp;(A45+Input!$C$37*Input!$C$7)),INDEX('Data Tanah'!$N$7:$N$47,MATCH(A45,'Data Tanah'!$B$7:$B$47,1)))*Input!$C$9)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G45/Input!$C$44-H45</f>
      </c>
      <c r="J45" s="32">
        <f t="shared" si="7"/>
      </c>
      <c r="K45" s="32">
        <f>Input!$C$49</f>
      </c>
      <c r="L45" s="33">
        <f t="shared" si="8"/>
      </c>
      <c r="M45" s="31">
        <f>IF(D45&gt;0,Input!$C$38*D45/Input!$C$44,0)+H45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Tanah'!$L$7:$L$47,((((('Data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Tanah'!$B$7:$B$47-(IF(Input!$C$23=1,MAX(Input!$C$27,Input!$C$15),Input!$C$27))))/2)+ABS((('Data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Tanah'!$B$7:$B$47-(IF(Input!$C$23=1,MAX(Input!$C$27,Input!$C$15),Input!$C$27))))/2))/2))</f>
      </c>
      <c r="E46" s="13">
        <f>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Tanah'!$B$7:$B$47-(A46-1.5*Input!$C$7)))/2))/2))&gt;0,"Ya","Tidak")</f>
      </c>
      <c r="F46" s="30">
        <f>IF(OR(E46="Ya",AND(Input!$C$23=1,A46&lt;=Input!$C$15)),0,IFERROR(AVERAGEIFS('Data Tanah'!$N$7:$N$47,'Data Tanah'!$E$7:$E$47,"&gt;="&amp;(A46-Input!$C$36*Input!$C$7),'Data Tanah'!$E$7:$E$47,"&lt;="&amp;(A46+Input!$C$37*Input!$C$7)),INDEX('Data Tanah'!$N$7:$N$47,MATCH(A46,'Data Tanah'!$B$7:$B$47,1)))*Input!$C$9)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G46/Input!$C$44-H46</f>
      </c>
      <c r="J46" s="25">
        <f t="shared" si="7"/>
      </c>
      <c r="K46" s="25">
        <f>Input!$C$49</f>
      </c>
      <c r="L46" s="13">
        <f t="shared" si="8"/>
      </c>
      <c r="M46" s="30">
        <f>IF(D46&gt;0,Input!$C$38*D46/Input!$C$44,0)+H46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Tanah'!$L$7:$L$47,((((('Data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Tanah'!$B$7:$B$47-(IF(Input!$C$23=1,MAX(Input!$C$27,Input!$C$15),Input!$C$27))))/2)+ABS((('Data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Tanah'!$B$7:$B$47-(IF(Input!$C$23=1,MAX(Input!$C$27,Input!$C$15),Input!$C$27))))/2))/2))</f>
      </c>
      <c r="E47" s="33">
        <f>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Tanah'!$B$7:$B$47-(A47-1.5*Input!$C$7)))/2))/2))&gt;0,"Ya","Tidak")</f>
      </c>
      <c r="F47" s="31">
        <f>IF(OR(E47="Ya",AND(Input!$C$23=1,A47&lt;=Input!$C$15)),0,IFERROR(AVERAGEIFS('Data Tanah'!$N$7:$N$47,'Data Tanah'!$E$7:$E$47,"&gt;="&amp;(A47-Input!$C$36*Input!$C$7),'Data Tanah'!$E$7:$E$47,"&lt;="&amp;(A47+Input!$C$37*Input!$C$7)),INDEX('Data Tanah'!$N$7:$N$47,MATCH(A47,'Data Tanah'!$B$7:$B$47,1)))*Input!$C$9)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G47/Input!$C$44-H47</f>
      </c>
      <c r="J47" s="32">
        <f t="shared" si="7"/>
      </c>
      <c r="K47" s="32">
        <f>Input!$C$49</f>
      </c>
      <c r="L47" s="33">
        <f t="shared" si="8"/>
      </c>
      <c r="M47" s="31">
        <f>IF(D47&gt;0,Input!$C$38*D47/Input!$C$44,0)+H47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Tanah'!$L$7:$L$47,((((('Data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Tanah'!$B$7:$B$47-(IF(Input!$C$23=1,MAX(Input!$C$27,Input!$C$15),Input!$C$27))))/2)+ABS((('Data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Tanah'!$B$7:$B$47-(IF(Input!$C$23=1,MAX(Input!$C$27,Input!$C$15),Input!$C$27))))/2))/2))</f>
      </c>
      <c r="E48" s="13">
        <f>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Tanah'!$B$7:$B$47-(A48-1.5*Input!$C$7)))/2))/2))&gt;0,"Ya","Tidak")</f>
      </c>
      <c r="F48" s="30">
        <f>IF(OR(E48="Ya",AND(Input!$C$23=1,A48&lt;=Input!$C$15)),0,IFERROR(AVERAGEIFS('Data Tanah'!$N$7:$N$47,'Data Tanah'!$E$7:$E$47,"&gt;="&amp;(A48-Input!$C$36*Input!$C$7),'Data Tanah'!$E$7:$E$47,"&lt;="&amp;(A48+Input!$C$37*Input!$C$7)),INDEX('Data Tanah'!$N$7:$N$47,MATCH(A48,'Data Tanah'!$B$7:$B$47,1)))*Input!$C$9)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G48/Input!$C$44-H48</f>
      </c>
      <c r="J48" s="25">
        <f t="shared" si="7"/>
      </c>
      <c r="K48" s="25">
        <f>Input!$C$49</f>
      </c>
      <c r="L48" s="13">
        <f t="shared" si="8"/>
      </c>
      <c r="M48" s="30">
        <f>IF(D48&gt;0,Input!$C$38*D48/Input!$C$44,0)+H48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Tanah'!$L$7:$L$47,((((('Data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Tanah'!$B$7:$B$47-(IF(Input!$C$23=1,MAX(Input!$C$27,Input!$C$15),Input!$C$27))))/2)+ABS((('Data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Tanah'!$B$7:$B$47-(IF(Input!$C$23=1,MAX(Input!$C$27,Input!$C$15),Input!$C$27))))/2))/2))</f>
      </c>
      <c r="E49" s="33">
        <f>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Tanah'!$B$7:$B$47-(A49-1.5*Input!$C$7)))/2))/2))&gt;0,"Ya","Tidak")</f>
      </c>
      <c r="F49" s="31">
        <f>IF(OR(E49="Ya",AND(Input!$C$23=1,A49&lt;=Input!$C$15)),0,IFERROR(AVERAGEIFS('Data Tanah'!$N$7:$N$47,'Data Tanah'!$E$7:$E$47,"&gt;="&amp;(A49-Input!$C$36*Input!$C$7),'Data Tanah'!$E$7:$E$47,"&lt;="&amp;(A49+Input!$C$37*Input!$C$7)),INDEX('Data Tanah'!$N$7:$N$47,MATCH(A49,'Data Tanah'!$B$7:$B$47,1)))*Input!$C$9)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G49/Input!$C$44-H49</f>
      </c>
      <c r="J49" s="32">
        <f t="shared" si="7"/>
      </c>
      <c r="K49" s="32">
        <f>Input!$C$49</f>
      </c>
      <c r="L49" s="33">
        <f t="shared" si="8"/>
      </c>
      <c r="M49" s="31">
        <f>IF(D49&gt;0,Input!$C$38*D49/Input!$C$44,0)+H49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Tanah'!$L$7:$L$47,((((('Data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Tanah'!$B$7:$B$47-(IF(Input!$C$23=1,MAX(Input!$C$27,Input!$C$15),Input!$C$27))))/2)+ABS((('Data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Tanah'!$B$7:$B$47-(IF(Input!$C$23=1,MAX(Input!$C$27,Input!$C$15),Input!$C$27))))/2))/2))</f>
      </c>
      <c r="E50" s="13">
        <f>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Tanah'!$B$7:$B$47-(A50-1.5*Input!$C$7)))/2))/2))&gt;0,"Ya","Tidak")</f>
      </c>
      <c r="F50" s="30">
        <f>IF(OR(E50="Ya",AND(Input!$C$23=1,A50&lt;=Input!$C$15)),0,IFERROR(AVERAGEIFS('Data Tanah'!$N$7:$N$47,'Data Tanah'!$E$7:$E$47,"&gt;="&amp;(A50-Input!$C$36*Input!$C$7),'Data Tanah'!$E$7:$E$47,"&lt;="&amp;(A50+Input!$C$37*Input!$C$7)),INDEX('Data Tanah'!$N$7:$N$47,MATCH(A50,'Data Tanah'!$B$7:$B$47,1)))*Input!$C$9)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G50/Input!$C$44-H50</f>
      </c>
      <c r="J50" s="25">
        <f t="shared" si="7"/>
      </c>
      <c r="K50" s="25">
        <f>Input!$C$49</f>
      </c>
      <c r="L50" s="13">
        <f t="shared" si="8"/>
      </c>
      <c r="M50" s="30">
        <f>IF(D50&gt;0,Input!$C$38*D50/Input!$C$44,0)+H50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Tanah'!$L$7:$L$47,((((('Data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Tanah'!$B$7:$B$47-(IF(Input!$C$23=1,MAX(Input!$C$27,Input!$C$15),Input!$C$27))))/2)+ABS((('Data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Tanah'!$B$7:$B$47-(IF(Input!$C$23=1,MAX(Input!$C$27,Input!$C$15),Input!$C$27))))/2))/2))</f>
      </c>
      <c r="E51" s="33">
        <f>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Tanah'!$B$7:$B$47-(A51-1.5*Input!$C$7)))/2))/2))&gt;0,"Ya","Tidak")</f>
      </c>
      <c r="F51" s="31">
        <f>IF(OR(E51="Ya",AND(Input!$C$23=1,A51&lt;=Input!$C$15)),0,IFERROR(AVERAGEIFS('Data Tanah'!$N$7:$N$47,'Data Tanah'!$E$7:$E$47,"&gt;="&amp;(A51-Input!$C$36*Input!$C$7),'Data Tanah'!$E$7:$E$47,"&lt;="&amp;(A51+Input!$C$37*Input!$C$7)),INDEX('Data Tanah'!$N$7:$N$47,MATCH(A51,'Data Tanah'!$B$7:$B$47,1)))*Input!$C$9)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G51/Input!$C$44-H51</f>
      </c>
      <c r="J51" s="32">
        <f t="shared" si="7"/>
      </c>
      <c r="K51" s="32">
        <f>Input!$C$49</f>
      </c>
      <c r="L51" s="33">
        <f t="shared" si="8"/>
      </c>
      <c r="M51" s="31">
        <f>IF(D51&gt;0,Input!$C$38*D51/Input!$C$44,0)+H51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Tanah'!$L$7:$L$47,((((('Data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Tanah'!$B$7:$B$47-(IF(Input!$C$23=1,MAX(Input!$C$27,Input!$C$15),Input!$C$27))))/2)+ABS((('Data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Tanah'!$B$7:$B$47-(IF(Input!$C$23=1,MAX(Input!$C$27,Input!$C$15),Input!$C$27))))/2))/2))</f>
      </c>
      <c r="E52" s="13">
        <f>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Tanah'!$B$7:$B$47-(A52-1.5*Input!$C$7)))/2))/2))&gt;0,"Ya","Tidak")</f>
      </c>
      <c r="F52" s="30">
        <f>IF(OR(E52="Ya",AND(Input!$C$23=1,A52&lt;=Input!$C$15)),0,IFERROR(AVERAGEIFS('Data Tanah'!$N$7:$N$47,'Data Tanah'!$E$7:$E$47,"&gt;="&amp;(A52-Input!$C$36*Input!$C$7),'Data Tanah'!$E$7:$E$47,"&lt;="&amp;(A52+Input!$C$37*Input!$C$7)),INDEX('Data Tanah'!$N$7:$N$47,MATCH(A52,'Data Tanah'!$B$7:$B$47,1)))*Input!$C$9)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G52/Input!$C$44-H52</f>
      </c>
      <c r="J52" s="25">
        <f t="shared" si="7"/>
      </c>
      <c r="K52" s="25">
        <f>Input!$C$49</f>
      </c>
      <c r="L52" s="13">
        <f t="shared" si="8"/>
      </c>
      <c r="M52" s="30">
        <f>IF(D52&gt;0,Input!$C$38*D52/Input!$C$44,0)+H52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Tanah'!$L$7:$L$47,((((('Data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Tanah'!$B$7:$B$47-(IF(Input!$C$23=1,MAX(Input!$C$27,Input!$C$15),Input!$C$27))))/2)+ABS((('Data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Tanah'!$B$7:$B$47-(IF(Input!$C$23=1,MAX(Input!$C$27,Input!$C$15),Input!$C$27))))/2))/2))</f>
      </c>
      <c r="E53" s="33">
        <f>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Tanah'!$B$7:$B$47-(A53-1.5*Input!$C$7)))/2))/2))&gt;0,"Ya","Tidak")</f>
      </c>
      <c r="F53" s="31">
        <f>IF(OR(E53="Ya",AND(Input!$C$23=1,A53&lt;=Input!$C$15)),0,IFERROR(AVERAGEIFS('Data Tanah'!$N$7:$N$47,'Data Tanah'!$E$7:$E$47,"&gt;="&amp;(A53-Input!$C$36*Input!$C$7),'Data Tanah'!$E$7:$E$47,"&lt;="&amp;(A53+Input!$C$37*Input!$C$7)),INDEX('Data Tanah'!$N$7:$N$47,MATCH(A53,'Data Tanah'!$B$7:$B$47,1)))*Input!$C$9)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G53/Input!$C$44-H53</f>
      </c>
      <c r="J53" s="32">
        <f t="shared" si="7"/>
      </c>
      <c r="K53" s="32">
        <f>Input!$C$49</f>
      </c>
      <c r="L53" s="33">
        <f t="shared" si="8"/>
      </c>
      <c r="M53" s="31">
        <f>IF(D53&gt;0,Input!$C$38*D53/Input!$C$44,0)+H53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Tanah'!$L$7:$L$47,((((('Data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Tanah'!$B$7:$B$47-(IF(Input!$C$23=1,MAX(Input!$C$27,Input!$C$15),Input!$C$27))))/2)+ABS((('Data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Tanah'!$B$7:$B$47-(IF(Input!$C$23=1,MAX(Input!$C$27,Input!$C$15),Input!$C$27))))/2))/2))</f>
      </c>
      <c r="E54" s="13">
        <f>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Tanah'!$B$7:$B$47-(A54-1.5*Input!$C$7)))/2))/2))&gt;0,"Ya","Tidak")</f>
      </c>
      <c r="F54" s="30">
        <f>IF(OR(E54="Ya",AND(Input!$C$23=1,A54&lt;=Input!$C$15)),0,IFERROR(AVERAGEIFS('Data Tanah'!$N$7:$N$47,'Data Tanah'!$E$7:$E$47,"&gt;="&amp;(A54-Input!$C$36*Input!$C$7),'Data Tanah'!$E$7:$E$47,"&lt;="&amp;(A54+Input!$C$37*Input!$C$7)),INDEX('Data Tanah'!$N$7:$N$47,MATCH(A54,'Data Tanah'!$B$7:$B$47,1)))*Input!$C$9)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G54/Input!$C$44-H54</f>
      </c>
      <c r="J54" s="25">
        <f t="shared" si="7"/>
      </c>
      <c r="K54" s="25">
        <f>Input!$C$49</f>
      </c>
      <c r="L54" s="13">
        <f t="shared" si="8"/>
      </c>
      <c r="M54" s="30">
        <f>IF(D54&gt;0,Input!$C$38*D54/Input!$C$44,0)+H54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Tanah'!$L$7:$L$47,((((('Data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Tanah'!$B$7:$B$47-(IF(Input!$C$23=1,MAX(Input!$C$27,Input!$C$15),Input!$C$27))))/2)+ABS((('Data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Tanah'!$B$7:$B$47-(IF(Input!$C$23=1,MAX(Input!$C$27,Input!$C$15),Input!$C$27))))/2))/2))</f>
      </c>
      <c r="E55" s="33">
        <f>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Tanah'!$B$7:$B$47-(A55-1.5*Input!$C$7)))/2))/2))&gt;0,"Ya","Tidak")</f>
      </c>
      <c r="F55" s="31">
        <f>IF(OR(E55="Ya",AND(Input!$C$23=1,A55&lt;=Input!$C$15)),0,IFERROR(AVERAGEIFS('Data Tanah'!$N$7:$N$47,'Data Tanah'!$E$7:$E$47,"&gt;="&amp;(A55-Input!$C$36*Input!$C$7),'Data Tanah'!$E$7:$E$47,"&lt;="&amp;(A55+Input!$C$37*Input!$C$7)),INDEX('Data Tanah'!$N$7:$N$47,MATCH(A55,'Data Tanah'!$B$7:$B$47,1)))*Input!$C$9)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G55/Input!$C$44-H55</f>
      </c>
      <c r="J55" s="32">
        <f t="shared" si="7"/>
      </c>
      <c r="K55" s="32">
        <f>Input!$C$49</f>
      </c>
      <c r="L55" s="33">
        <f t="shared" si="8"/>
      </c>
      <c r="M55" s="31">
        <f>IF(D55&gt;0,Input!$C$38*D55/Input!$C$44,0)+H55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Tanah'!$L$7:$L$47,((((('Data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Tanah'!$B$7:$B$47-(IF(Input!$C$23=1,MAX(Input!$C$27,Input!$C$15),Input!$C$27))))/2)+ABS((('Data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Tanah'!$B$7:$B$47-(IF(Input!$C$23=1,MAX(Input!$C$27,Input!$C$15),Input!$C$27))))/2))/2))</f>
      </c>
      <c r="E56" s="13">
        <f>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Tanah'!$B$7:$B$47-(A56-1.5*Input!$C$7)))/2))/2))&gt;0,"Ya","Tidak")</f>
      </c>
      <c r="F56" s="30">
        <f>IF(OR(E56="Ya",AND(Input!$C$23=1,A56&lt;=Input!$C$15)),0,IFERROR(AVERAGEIFS('Data Tanah'!$N$7:$N$47,'Data Tanah'!$E$7:$E$47,"&gt;="&amp;(A56-Input!$C$36*Input!$C$7),'Data Tanah'!$E$7:$E$47,"&lt;="&amp;(A56+Input!$C$37*Input!$C$7)),INDEX('Data Tanah'!$N$7:$N$47,MATCH(A56,'Data Tanah'!$B$7:$B$47,1)))*Input!$C$9)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G56/Input!$C$44-H56</f>
      </c>
      <c r="J56" s="25">
        <f t="shared" si="7"/>
      </c>
      <c r="K56" s="25">
        <f>Input!$C$49</f>
      </c>
      <c r="L56" s="13">
        <f t="shared" si="8"/>
      </c>
      <c r="M56" s="30">
        <f>IF(D56&gt;0,Input!$C$38*D56/Input!$C$44,0)+H56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Tanah'!$L$7:$L$47,((((('Data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Tanah'!$B$7:$B$47-(IF(Input!$C$23=1,MAX(Input!$C$27,Input!$C$15),Input!$C$27))))/2)+ABS((('Data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Tanah'!$B$7:$B$47-(IF(Input!$C$23=1,MAX(Input!$C$27,Input!$C$15),Input!$C$27))))/2))/2))</f>
      </c>
      <c r="E57" s="33">
        <f>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Tanah'!$B$7:$B$47-(A57-1.5*Input!$C$7)))/2))/2))&gt;0,"Ya","Tidak")</f>
      </c>
      <c r="F57" s="31">
        <f>IF(OR(E57="Ya",AND(Input!$C$23=1,A57&lt;=Input!$C$15)),0,IFERROR(AVERAGEIFS('Data Tanah'!$N$7:$N$47,'Data Tanah'!$E$7:$E$47,"&gt;="&amp;(A57-Input!$C$36*Input!$C$7),'Data Tanah'!$E$7:$E$47,"&lt;="&amp;(A57+Input!$C$37*Input!$C$7)),INDEX('Data Tanah'!$N$7:$N$47,MATCH(A57,'Data Tanah'!$B$7:$B$47,1)))*Input!$C$9)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G57/Input!$C$44-H57</f>
      </c>
      <c r="J57" s="32">
        <f t="shared" si="7"/>
      </c>
      <c r="K57" s="32">
        <f>Input!$C$49</f>
      </c>
      <c r="L57" s="33">
        <f t="shared" si="8"/>
      </c>
      <c r="M57" s="31">
        <f>IF(D57&gt;0,Input!$C$38*D57/Input!$C$44,0)+H57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Tanah'!$L$7:$L$47,((((('Data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Tanah'!$B$7:$B$47-(IF(Input!$C$23=1,MAX(Input!$C$27,Input!$C$15),Input!$C$27))))/2)+ABS((('Data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Tanah'!$B$7:$B$47-(IF(Input!$C$23=1,MAX(Input!$C$27,Input!$C$15),Input!$C$27))))/2))/2))</f>
      </c>
      <c r="E58" s="13">
        <f>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Tanah'!$B$7:$B$47-(A58-1.5*Input!$C$7)))/2))/2))&gt;0,"Ya","Tidak")</f>
      </c>
      <c r="F58" s="30">
        <f>IF(OR(E58="Ya",AND(Input!$C$23=1,A58&lt;=Input!$C$15)),0,IFERROR(AVERAGEIFS('Data Tanah'!$N$7:$N$47,'Data Tanah'!$E$7:$E$47,"&gt;="&amp;(A58-Input!$C$36*Input!$C$7),'Data Tanah'!$E$7:$E$47,"&lt;="&amp;(A58+Input!$C$37*Input!$C$7)),INDEX('Data Tanah'!$N$7:$N$47,MATCH(A58,'Data Tanah'!$B$7:$B$47,1)))*Input!$C$9)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G58/Input!$C$44-H58</f>
      </c>
      <c r="J58" s="25">
        <f t="shared" si="7"/>
      </c>
      <c r="K58" s="25">
        <f>Input!$C$49</f>
      </c>
      <c r="L58" s="13">
        <f t="shared" si="8"/>
      </c>
      <c r="M58" s="30">
        <f>IF(D58&gt;0,Input!$C$38*D58/Input!$C$44,0)+H58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Tanah'!$L$7:$L$47,((((('Data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Tanah'!$B$7:$B$47-(IF(Input!$C$23=1,MAX(Input!$C$27,Input!$C$15),Input!$C$27))))/2)+ABS((('Data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Tanah'!$B$7:$B$47-(IF(Input!$C$23=1,MAX(Input!$C$27,Input!$C$15),Input!$C$27))))/2))/2))</f>
      </c>
      <c r="E59" s="33">
        <f>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Tanah'!$B$7:$B$47-(A59-1.5*Input!$C$7)))/2))/2))&gt;0,"Ya","Tidak")</f>
      </c>
      <c r="F59" s="31">
        <f>IF(OR(E59="Ya",AND(Input!$C$23=1,A59&lt;=Input!$C$15)),0,IFERROR(AVERAGEIFS('Data Tanah'!$N$7:$N$47,'Data Tanah'!$E$7:$E$47,"&gt;="&amp;(A59-Input!$C$36*Input!$C$7),'Data Tanah'!$E$7:$E$47,"&lt;="&amp;(A59+Input!$C$37*Input!$C$7)),INDEX('Data Tanah'!$N$7:$N$47,MATCH(A59,'Data Tanah'!$B$7:$B$47,1)))*Input!$C$9)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G59/Input!$C$44-H59</f>
      </c>
      <c r="J59" s="32">
        <f t="shared" si="7"/>
      </c>
      <c r="K59" s="32">
        <f>Input!$C$49</f>
      </c>
      <c r="L59" s="33">
        <f t="shared" si="8"/>
      </c>
      <c r="M59" s="31">
        <f>IF(D59&gt;0,Input!$C$38*D59/Input!$C$44,0)+H59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Tanah'!$L$7:$L$47,((((('Data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Tanah'!$B$7:$B$47-(IF(Input!$C$23=1,MAX(Input!$C$27,Input!$C$15),Input!$C$27))))/2)+ABS((('Data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Tanah'!$B$7:$B$47-(IF(Input!$C$23=1,MAX(Input!$C$27,Input!$C$15),Input!$C$27))))/2))/2))</f>
      </c>
      <c r="E60" s="13">
        <f>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Tanah'!$B$7:$B$47-(A60-1.5*Input!$C$7)))/2))/2))&gt;0,"Ya","Tidak")</f>
      </c>
      <c r="F60" s="30">
        <f>IF(OR(E60="Ya",AND(Input!$C$23=1,A60&lt;=Input!$C$15)),0,IFERROR(AVERAGEIFS('Data Tanah'!$N$7:$N$47,'Data Tanah'!$E$7:$E$47,"&gt;="&amp;(A60-Input!$C$36*Input!$C$7),'Data Tanah'!$E$7:$E$47,"&lt;="&amp;(A60+Input!$C$37*Input!$C$7)),INDEX('Data Tanah'!$N$7:$N$47,MATCH(A60,'Data Tanah'!$B$7:$B$47,1)))*Input!$C$9)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G60/Input!$C$44-H60</f>
      </c>
      <c r="J60" s="25">
        <f t="shared" si="7"/>
      </c>
      <c r="K60" s="25">
        <f>Input!$C$49</f>
      </c>
      <c r="L60" s="13">
        <f t="shared" si="8"/>
      </c>
      <c r="M60" s="30">
        <f>IF(D60&gt;0,Input!$C$38*D60/Input!$C$44,0)+H60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Tanah'!$L$7:$L$47,((((('Data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Tanah'!$B$7:$B$47-(IF(Input!$C$23=1,MAX(Input!$C$27,Input!$C$15),Input!$C$27))))/2)+ABS((('Data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Tanah'!$B$7:$B$47-(IF(Input!$C$23=1,MAX(Input!$C$27,Input!$C$15),Input!$C$27))))/2))/2))</f>
      </c>
      <c r="E61" s="33">
        <f>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Tanah'!$B$7:$B$47-(A61-1.5*Input!$C$7)))/2))/2))&gt;0,"Ya","Tidak")</f>
      </c>
      <c r="F61" s="31">
        <f>IF(OR(E61="Ya",AND(Input!$C$23=1,A61&lt;=Input!$C$15)),0,IFERROR(AVERAGEIFS('Data Tanah'!$N$7:$N$47,'Data Tanah'!$E$7:$E$47,"&gt;="&amp;(A61-Input!$C$36*Input!$C$7),'Data Tanah'!$E$7:$E$47,"&lt;="&amp;(A61+Input!$C$37*Input!$C$7)),INDEX('Data Tanah'!$N$7:$N$47,MATCH(A61,'Data Tanah'!$B$7:$B$47,1)))*Input!$C$9)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G61/Input!$C$44-H61</f>
      </c>
      <c r="J61" s="32">
        <f t="shared" si="7"/>
      </c>
      <c r="K61" s="32">
        <f>Input!$C$49</f>
      </c>
      <c r="L61" s="33">
        <f t="shared" si="8"/>
      </c>
      <c r="M61" s="31">
        <f>IF(D61&gt;0,Input!$C$38*D61/Input!$C$44,0)+H61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Tanah'!$L$7:$L$47,((((('Data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Tanah'!$B$7:$B$47-(IF(Input!$C$23=1,MAX(Input!$C$27,Input!$C$15),Input!$C$27))))/2)+ABS((('Data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Tanah'!$B$7:$B$47-(IF(Input!$C$23=1,MAX(Input!$C$27,Input!$C$15),Input!$C$27))))/2))/2))</f>
      </c>
      <c r="E62" s="13">
        <f>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Tanah'!$B$7:$B$47-(A62-1.5*Input!$C$7)))/2))/2))&gt;0,"Ya","Tidak")</f>
      </c>
      <c r="F62" s="30">
        <f>IF(OR(E62="Ya",AND(Input!$C$23=1,A62&lt;=Input!$C$15)),0,IFERROR(AVERAGEIFS('Data Tanah'!$N$7:$N$47,'Data Tanah'!$E$7:$E$47,"&gt;="&amp;(A62-Input!$C$36*Input!$C$7),'Data Tanah'!$E$7:$E$47,"&lt;="&amp;(A62+Input!$C$37*Input!$C$7)),INDEX('Data Tanah'!$N$7:$N$47,MATCH(A62,'Data Tanah'!$B$7:$B$47,1)))*Input!$C$9)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G62/Input!$C$44-H62</f>
      </c>
      <c r="J62" s="25">
        <f t="shared" si="7"/>
      </c>
      <c r="K62" s="25">
        <f>Input!$C$49</f>
      </c>
      <c r="L62" s="13">
        <f t="shared" si="8"/>
      </c>
      <c r="M62" s="30">
        <f>IF(D62&gt;0,Input!$C$38*D62/Input!$C$44,0)+H62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Tanah'!$L$7:$L$47,((((('Data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Tanah'!$B$7:$B$47-(IF(Input!$C$23=1,MAX(Input!$C$27,Input!$C$15),Input!$C$27))))/2)+ABS((('Data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Tanah'!$B$7:$B$47-(IF(Input!$C$23=1,MAX(Input!$C$27,Input!$C$15),Input!$C$27))))/2))/2))</f>
      </c>
      <c r="E63" s="33">
        <f>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Tanah'!$B$7:$B$47-(A63-1.5*Input!$C$7)))/2))/2))&gt;0,"Ya","Tidak")</f>
      </c>
      <c r="F63" s="31">
        <f>IF(OR(E63="Ya",AND(Input!$C$23=1,A63&lt;=Input!$C$15)),0,IFERROR(AVERAGEIFS('Data Tanah'!$N$7:$N$47,'Data Tanah'!$E$7:$E$47,"&gt;="&amp;(A63-Input!$C$36*Input!$C$7),'Data Tanah'!$E$7:$E$47,"&lt;="&amp;(A63+Input!$C$37*Input!$C$7)),INDEX('Data Tanah'!$N$7:$N$47,MATCH(A63,'Data Tanah'!$B$7:$B$47,1)))*Input!$C$9)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G63/Input!$C$44-H63</f>
      </c>
      <c r="J63" s="32">
        <f t="shared" si="7"/>
      </c>
      <c r="K63" s="32">
        <f>Input!$C$49</f>
      </c>
      <c r="L63" s="33">
        <f t="shared" si="8"/>
      </c>
      <c r="M63" s="31">
        <f>IF(D63&gt;0,Input!$C$38*D63/Input!$C$44,0)+H63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Tanah'!$L$7:$L$47,((((('Data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Tanah'!$B$7:$B$47-(IF(Input!$C$23=1,MAX(Input!$C$27,Input!$C$15),Input!$C$27))))/2)+ABS((('Data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Tanah'!$B$7:$B$47-(IF(Input!$C$23=1,MAX(Input!$C$27,Input!$C$15),Input!$C$27))))/2))/2))</f>
      </c>
      <c r="E64" s="13">
        <f>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Tanah'!$B$7:$B$47-(A64-1.5*Input!$C$7)))/2))/2))&gt;0,"Ya","Tidak")</f>
      </c>
      <c r="F64" s="30">
        <f>IF(OR(E64="Ya",AND(Input!$C$23=1,A64&lt;=Input!$C$15)),0,IFERROR(AVERAGEIFS('Data Tanah'!$N$7:$N$47,'Data Tanah'!$E$7:$E$47,"&gt;="&amp;(A64-Input!$C$36*Input!$C$7),'Data Tanah'!$E$7:$E$47,"&lt;="&amp;(A64+Input!$C$37*Input!$C$7)),INDEX('Data Tanah'!$N$7:$N$47,MATCH(A64,'Data Tanah'!$B$7:$B$47,1)))*Input!$C$9)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G64/Input!$C$44-H64</f>
      </c>
      <c r="J64" s="25">
        <f t="shared" si="7"/>
      </c>
      <c r="K64" s="25">
        <f>Input!$C$49</f>
      </c>
      <c r="L64" s="13">
        <f t="shared" si="8"/>
      </c>
      <c r="M64" s="30">
        <f>IF(D64&gt;0,Input!$C$38*D64/Input!$C$44,0)+H64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Tanah'!$L$7:$L$47,((((('Data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Tanah'!$B$7:$B$47-(IF(Input!$C$23=1,MAX(Input!$C$27,Input!$C$15),Input!$C$27))))/2)+ABS((('Data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Tanah'!$B$7:$B$47-(IF(Input!$C$23=1,MAX(Input!$C$27,Input!$C$15),Input!$C$27))))/2))/2))</f>
      </c>
      <c r="E65" s="33">
        <f>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Tanah'!$B$7:$B$47-(A65-1.5*Input!$C$7)))/2))/2))&gt;0,"Ya","Tidak")</f>
      </c>
      <c r="F65" s="31">
        <f>IF(OR(E65="Ya",AND(Input!$C$23=1,A65&lt;=Input!$C$15)),0,IFERROR(AVERAGEIFS('Data Tanah'!$N$7:$N$47,'Data Tanah'!$E$7:$E$47,"&gt;="&amp;(A65-Input!$C$36*Input!$C$7),'Data Tanah'!$E$7:$E$47,"&lt;="&amp;(A65+Input!$C$37*Input!$C$7)),INDEX('Data Tanah'!$N$7:$N$47,MATCH(A65,'Data Tanah'!$B$7:$B$47,1)))*Input!$C$9)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G65/Input!$C$44-H65</f>
      </c>
      <c r="J65" s="32">
        <f t="shared" si="7"/>
      </c>
      <c r="K65" s="32">
        <f>Input!$C$49</f>
      </c>
      <c r="L65" s="33">
        <f t="shared" si="8"/>
      </c>
      <c r="M65" s="31">
        <f>IF(D65&gt;0,Input!$C$38*D65/Input!$C$44,0)+H65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Tanah'!$L$7:$L$47,((((('Data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Tanah'!$B$7:$B$47-(IF(Input!$C$23=1,MAX(Input!$C$27,Input!$C$15),Input!$C$27))))/2)+ABS((('Data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Tanah'!$B$7:$B$47-(IF(Input!$C$23=1,MAX(Input!$C$27,Input!$C$15),Input!$C$27))))/2))/2))</f>
      </c>
      <c r="E66" s="13">
        <f>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Tanah'!$B$7:$B$47-(A66-1.5*Input!$C$7)))/2))/2))&gt;0,"Ya","Tidak")</f>
      </c>
      <c r="F66" s="30">
        <f>IF(OR(E66="Ya",AND(Input!$C$23=1,A66&lt;=Input!$C$15)),0,IFERROR(AVERAGEIFS('Data Tanah'!$N$7:$N$47,'Data Tanah'!$E$7:$E$47,"&gt;="&amp;(A66-Input!$C$36*Input!$C$7),'Data Tanah'!$E$7:$E$47,"&lt;="&amp;(A66+Input!$C$37*Input!$C$7)),INDEX('Data Tanah'!$N$7:$N$47,MATCH(A66,'Data Tanah'!$B$7:$B$47,1)))*Input!$C$9)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G66/Input!$C$44-H66</f>
      </c>
      <c r="J66" s="25">
        <f t="shared" si="7"/>
      </c>
      <c r="K66" s="25">
        <f>Input!$C$49</f>
      </c>
      <c r="L66" s="13">
        <f t="shared" si="8"/>
      </c>
      <c r="M66" s="30">
        <f>IF(D66&gt;0,Input!$C$38*D66/Input!$C$44,0)+H66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Tanah'!$L$7:$L$47,((((('Data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Tanah'!$B$7:$B$47-(IF(Input!$C$23=1,MAX(Input!$C$27,Input!$C$15),Input!$C$27))))/2)+ABS((('Data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Tanah'!$B$7:$B$47-(IF(Input!$C$23=1,MAX(Input!$C$27,Input!$C$15),Input!$C$27))))/2))/2))</f>
      </c>
      <c r="E67" s="33">
        <f>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Tanah'!$B$7:$B$47-(A67-1.5*Input!$C$7)))/2))/2))&gt;0,"Ya","Tidak")</f>
      </c>
      <c r="F67" s="31">
        <f>IF(OR(E67="Ya",AND(Input!$C$23=1,A67&lt;=Input!$C$15)),0,IFERROR(AVERAGEIFS('Data Tanah'!$N$7:$N$47,'Data Tanah'!$E$7:$E$47,"&gt;="&amp;(A67-Input!$C$36*Input!$C$7),'Data Tanah'!$E$7:$E$47,"&lt;="&amp;(A67+Input!$C$37*Input!$C$7)),INDEX('Data Tanah'!$N$7:$N$47,MATCH(A67,'Data Tanah'!$B$7:$B$47,1)))*Input!$C$9)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G67/Input!$C$44-H67</f>
      </c>
      <c r="J67" s="32">
        <f t="shared" si="7"/>
      </c>
      <c r="K67" s="32">
        <f>Input!$C$49</f>
      </c>
      <c r="L67" s="33">
        <f t="shared" si="8"/>
      </c>
      <c r="M67" s="31">
        <f>IF(D67&gt;0,Input!$C$38*D67/Input!$C$44,0)+H67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Tanah'!$L$7:$L$47,((((('Data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Tanah'!$B$7:$B$47-(IF(Input!$C$23=1,MAX(Input!$C$27,Input!$C$15),Input!$C$27))))/2)+ABS((('Data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Tanah'!$B$7:$B$47-(IF(Input!$C$23=1,MAX(Input!$C$27,Input!$C$15),Input!$C$27))))/2))/2))</f>
      </c>
      <c r="E68" s="13">
        <f>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Tanah'!$B$7:$B$47-(A68-1.5*Input!$C$7)))/2))/2))&gt;0,"Ya","Tidak")</f>
      </c>
      <c r="F68" s="30">
        <f>IF(OR(E68="Ya",AND(Input!$C$23=1,A68&lt;=Input!$C$15)),0,IFERROR(AVERAGEIFS('Data Tanah'!$N$7:$N$47,'Data Tanah'!$E$7:$E$47,"&gt;="&amp;(A68-Input!$C$36*Input!$C$7),'Data Tanah'!$E$7:$E$47,"&lt;="&amp;(A68+Input!$C$37*Input!$C$7)),INDEX('Data Tanah'!$N$7:$N$47,MATCH(A68,'Data Tanah'!$B$7:$B$47,1)))*Input!$C$9)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G68/Input!$C$44-H68</f>
      </c>
      <c r="J68" s="25">
        <f t="shared" si="7"/>
      </c>
      <c r="K68" s="25">
        <f>Input!$C$49</f>
      </c>
      <c r="L68" s="13">
        <f t="shared" si="8"/>
      </c>
      <c r="M68" s="30">
        <f>IF(D68&gt;0,Input!$C$38*D68/Input!$C$44,0)+H68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Tanah'!$L$7:$L$47,((((('Data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Tanah'!$B$7:$B$47-(IF(Input!$C$23=1,MAX(Input!$C$27,Input!$C$15),Input!$C$27))))/2)+ABS((('Data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Tanah'!$B$7:$B$47-(IF(Input!$C$23=1,MAX(Input!$C$27,Input!$C$15),Input!$C$27))))/2))/2))</f>
      </c>
      <c r="E69" s="33">
        <f>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Tanah'!$B$7:$B$47-(A69-1.5*Input!$C$7)))/2))/2))&gt;0,"Ya","Tidak")</f>
      </c>
      <c r="F69" s="31">
        <f>IF(OR(E69="Ya",AND(Input!$C$23=1,A69&lt;=Input!$C$15)),0,IFERROR(AVERAGEIFS('Data Tanah'!$N$7:$N$47,'Data Tanah'!$E$7:$E$47,"&gt;="&amp;(A69-Input!$C$36*Input!$C$7),'Data Tanah'!$E$7:$E$47,"&lt;="&amp;(A69+Input!$C$37*Input!$C$7)),INDEX('Data Tanah'!$N$7:$N$47,MATCH(A69,'Data Tanah'!$B$7:$B$47,1)))*Input!$C$9)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G69/Input!$C$44-H69</f>
      </c>
      <c r="J69" s="32">
        <f t="shared" si="7"/>
      </c>
      <c r="K69" s="32">
        <f>Input!$C$49</f>
      </c>
      <c r="L69" s="33">
        <f t="shared" si="8"/>
      </c>
      <c r="M69" s="31">
        <f>IF(D69&gt;0,Input!$C$38*D69/Input!$C$44,0)+H69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Tanah'!$L$7:$L$47,((((('Data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Tanah'!$B$7:$B$47-(IF(Input!$C$23=1,MAX(Input!$C$27,Input!$C$15),Input!$C$27))))/2)+ABS((('Data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Tanah'!$B$7:$B$47-(IF(Input!$C$23=1,MAX(Input!$C$27,Input!$C$15),Input!$C$27))))/2))/2))</f>
      </c>
      <c r="E70" s="13">
        <f>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Tanah'!$B$7:$B$47-(A70-1.5*Input!$C$7)))/2))/2))&gt;0,"Ya","Tidak")</f>
      </c>
      <c r="F70" s="30">
        <f>IF(OR(E70="Ya",AND(Input!$C$23=1,A70&lt;=Input!$C$15)),0,IFERROR(AVERAGEIFS('Data Tanah'!$N$7:$N$47,'Data Tanah'!$E$7:$E$47,"&gt;="&amp;(A70-Input!$C$36*Input!$C$7),'Data Tanah'!$E$7:$E$47,"&lt;="&amp;(A70+Input!$C$37*Input!$C$7)),INDEX('Data Tanah'!$N$7:$N$47,MATCH(A70,'Data Tanah'!$B$7:$B$47,1)))*Input!$C$9)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G70/Input!$C$44-H70</f>
      </c>
      <c r="J70" s="25">
        <f t="shared" si="7"/>
      </c>
      <c r="K70" s="25">
        <f>Input!$C$49</f>
      </c>
      <c r="L70" s="13">
        <f t="shared" si="8"/>
      </c>
      <c r="M70" s="30">
        <f>IF(D70&gt;0,Input!$C$38*D70/Input!$C$44,0)+H70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Tanah'!$L$7:$L$47,((((('Data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Tanah'!$B$7:$B$47-(IF(Input!$C$23=1,MAX(Input!$C$27,Input!$C$15),Input!$C$27))))/2)+ABS((('Data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Tanah'!$B$7:$B$47-(IF(Input!$C$23=1,MAX(Input!$C$27,Input!$C$15),Input!$C$27))))/2))/2))</f>
      </c>
      <c r="E71" s="33">
        <f>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Tanah'!$B$7:$B$47-(A71-1.5*Input!$C$7)))/2))/2))&gt;0,"Ya","Tidak")</f>
      </c>
      <c r="F71" s="31">
        <f>IF(OR(E71="Ya",AND(Input!$C$23=1,A71&lt;=Input!$C$15)),0,IFERROR(AVERAGEIFS('Data Tanah'!$N$7:$N$47,'Data Tanah'!$E$7:$E$47,"&gt;="&amp;(A71-Input!$C$36*Input!$C$7),'Data Tanah'!$E$7:$E$47,"&lt;="&amp;(A71+Input!$C$37*Input!$C$7)),INDEX('Data Tanah'!$N$7:$N$47,MATCH(A71,'Data Tanah'!$B$7:$B$47,1)))*Input!$C$9)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G71/Input!$C$44-H71</f>
      </c>
      <c r="J71" s="32">
        <f t="shared" si="7"/>
      </c>
      <c r="K71" s="32">
        <f>Input!$C$49</f>
      </c>
      <c r="L71" s="33">
        <f t="shared" si="8"/>
      </c>
      <c r="M71" s="31">
        <f>IF(D71&gt;0,Input!$C$38*D71/Input!$C$44,0)+H71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Tanah'!$L$7:$L$47,((((('Data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Tanah'!$B$7:$B$47-(IF(Input!$C$23=1,MAX(Input!$C$27,Input!$C$15),Input!$C$27))))/2)+ABS((('Data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Tanah'!$B$7:$B$47-(IF(Input!$C$23=1,MAX(Input!$C$27,Input!$C$15),Input!$C$27))))/2))/2))</f>
      </c>
      <c r="E72" s="13">
        <f>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Tanah'!$B$7:$B$47-(A72-1.5*Input!$C$7)))/2))/2))&gt;0,"Ya","Tidak")</f>
      </c>
      <c r="F72" s="30">
        <f>IF(OR(E72="Ya",AND(Input!$C$23=1,A72&lt;=Input!$C$15)),0,IFERROR(AVERAGEIFS('Data Tanah'!$N$7:$N$47,'Data Tanah'!$E$7:$E$47,"&gt;="&amp;(A72-Input!$C$36*Input!$C$7),'Data Tanah'!$E$7:$E$47,"&lt;="&amp;(A72+Input!$C$37*Input!$C$7)),INDEX('Data Tanah'!$N$7:$N$47,MATCH(A72,'Data Tanah'!$B$7:$B$47,1)))*Input!$C$9)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G72/Input!$C$44-H72</f>
      </c>
      <c r="J72" s="25">
        <f t="shared" si="7"/>
      </c>
      <c r="K72" s="25">
        <f>Input!$C$49</f>
      </c>
      <c r="L72" s="13">
        <f t="shared" si="8"/>
      </c>
      <c r="M72" s="30">
        <f>IF(D72&gt;0,Input!$C$38*D72/Input!$C$44,0)+H72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Tanah'!$L$7:$L$47,((((('Data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Tanah'!$B$7:$B$47-(IF(Input!$C$23=1,MAX(Input!$C$27,Input!$C$15),Input!$C$27))))/2)+ABS((('Data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Tanah'!$B$7:$B$47-(IF(Input!$C$23=1,MAX(Input!$C$27,Input!$C$15),Input!$C$27))))/2))/2))</f>
      </c>
      <c r="E73" s="33">
        <f>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Tanah'!$B$7:$B$47-(A73-1.5*Input!$C$7)))/2))/2))&gt;0,"Ya","Tidak")</f>
      </c>
      <c r="F73" s="31">
        <f>IF(OR(E73="Ya",AND(Input!$C$23=1,A73&lt;=Input!$C$15)),0,IFERROR(AVERAGEIFS('Data Tanah'!$N$7:$N$47,'Data Tanah'!$E$7:$E$47,"&gt;="&amp;(A73-Input!$C$36*Input!$C$7),'Data Tanah'!$E$7:$E$47,"&lt;="&amp;(A73+Input!$C$37*Input!$C$7)),INDEX('Data Tanah'!$N$7:$N$47,MATCH(A73,'Data Tanah'!$B$7:$B$47,1)))*Input!$C$9)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G73/Input!$C$44-H73</f>
      </c>
      <c r="J73" s="32">
        <f t="shared" si="7"/>
      </c>
      <c r="K73" s="32">
        <f>Input!$C$49</f>
      </c>
      <c r="L73" s="33">
        <f t="shared" si="8"/>
      </c>
      <c r="M73" s="31">
        <f>IF(D73&gt;0,Input!$C$38*D73/Input!$C$44,0)+H73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Tanah'!$L$7:$L$47,((((('Data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Tanah'!$B$7:$B$47-(IF(Input!$C$23=1,MAX(Input!$C$27,Input!$C$15),Input!$C$27))))/2)+ABS((('Data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Tanah'!$B$7:$B$47-(IF(Input!$C$23=1,MAX(Input!$C$27,Input!$C$15),Input!$C$27))))/2))/2))</f>
      </c>
      <c r="E74" s="13">
        <f>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Tanah'!$B$7:$B$47-(A74-1.5*Input!$C$7)))/2))/2))&gt;0,"Ya","Tidak")</f>
      </c>
      <c r="F74" s="30">
        <f>IF(OR(E74="Ya",AND(Input!$C$23=1,A74&lt;=Input!$C$15)),0,IFERROR(AVERAGEIFS('Data Tanah'!$N$7:$N$47,'Data Tanah'!$E$7:$E$47,"&gt;="&amp;(A74-Input!$C$36*Input!$C$7),'Data Tanah'!$E$7:$E$47,"&lt;="&amp;(A74+Input!$C$37*Input!$C$7)),INDEX('Data Tanah'!$N$7:$N$47,MATCH(A74,'Data Tanah'!$B$7:$B$47,1)))*Input!$C$9)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G74/Input!$C$44-H74</f>
      </c>
      <c r="J74" s="25">
        <f t="shared" si="7"/>
      </c>
      <c r="K74" s="25">
        <f>Input!$C$49</f>
      </c>
      <c r="L74" s="13">
        <f t="shared" si="8"/>
      </c>
      <c r="M74" s="30">
        <f>IF(D74&gt;0,Input!$C$38*D74/Input!$C$44,0)+H74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Tanah'!$L$7:$L$47,((((('Data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Tanah'!$B$7:$B$47-(IF(Input!$C$23=1,MAX(Input!$C$27,Input!$C$15),Input!$C$27))))/2)+ABS((('Data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Tanah'!$B$7:$B$47-(IF(Input!$C$23=1,MAX(Input!$C$27,Input!$C$15),Input!$C$27))))/2))/2))</f>
      </c>
      <c r="E75" s="33">
        <f>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Tanah'!$B$7:$B$47-(A75-1.5*Input!$C$7)))/2))/2))&gt;0,"Ya","Tidak")</f>
      </c>
      <c r="F75" s="31">
        <f>IF(OR(E75="Ya",AND(Input!$C$23=1,A75&lt;=Input!$C$15)),0,IFERROR(AVERAGEIFS('Data Tanah'!$N$7:$N$47,'Data Tanah'!$E$7:$E$47,"&gt;="&amp;(A75-Input!$C$36*Input!$C$7),'Data Tanah'!$E$7:$E$47,"&lt;="&amp;(A75+Input!$C$37*Input!$C$7)),INDEX('Data Tanah'!$N$7:$N$47,MATCH(A75,'Data Tanah'!$B$7:$B$47,1)))*Input!$C$9)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G75/Input!$C$44-H75</f>
      </c>
      <c r="J75" s="32">
        <f t="shared" si="7"/>
      </c>
      <c r="K75" s="32">
        <f>Input!$C$49</f>
      </c>
      <c r="L75" s="33">
        <f t="shared" si="8"/>
      </c>
      <c r="M75" s="31">
        <f>IF(D75&gt;0,Input!$C$38*D75/Input!$C$44,0)+H75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Tanah'!$L$7:$L$47,((((('Data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Tanah'!$B$7:$B$47-(IF(Input!$C$23=1,MAX(Input!$C$27,Input!$C$15),Input!$C$27))))/2)+ABS((('Data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Tanah'!$B$7:$B$47-(IF(Input!$C$23=1,MAX(Input!$C$27,Input!$C$15),Input!$C$27))))/2))/2))</f>
      </c>
      <c r="E76" s="13">
        <f>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Tanah'!$B$7:$B$47-(A76-1.5*Input!$C$7)))/2))/2))&gt;0,"Ya","Tidak")</f>
      </c>
      <c r="F76" s="30">
        <f>IF(OR(E76="Ya",AND(Input!$C$23=1,A76&lt;=Input!$C$15)),0,IFERROR(AVERAGEIFS('Data Tanah'!$N$7:$N$47,'Data Tanah'!$E$7:$E$47,"&gt;="&amp;(A76-Input!$C$36*Input!$C$7),'Data Tanah'!$E$7:$E$47,"&lt;="&amp;(A76+Input!$C$37*Input!$C$7)),INDEX('Data Tanah'!$N$7:$N$47,MATCH(A76,'Data Tanah'!$B$7:$B$47,1)))*Input!$C$9)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G76/Input!$C$44-H76</f>
      </c>
      <c r="J76" s="25">
        <f t="shared" ref="J76:J107" si="12">I76*9.81</f>
      </c>
      <c r="K76" s="25">
        <f>Input!$C$49</f>
      </c>
      <c r="L76" s="13">
        <f t="shared" ref="L76:L107" si="13">AND(J76&gt;=K76,L77)</f>
      </c>
      <c r="M76" s="30">
        <f>IF(D76&gt;0,Input!$C$38*D76/Input!$C$44,0)+H76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Tanah'!$L$7:$L$47,((((('Data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Tanah'!$B$7:$B$47-(IF(Input!$C$23=1,MAX(Input!$C$27,Input!$C$15),Input!$C$27))))/2)+ABS((('Data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Tanah'!$B$7:$B$47-(IF(Input!$C$23=1,MAX(Input!$C$27,Input!$C$15),Input!$C$27))))/2))/2))</f>
      </c>
      <c r="E77" s="33">
        <f>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Tanah'!$B$7:$B$47-(A77-1.5*Input!$C$7)))/2))/2))&gt;0,"Ya","Tidak")</f>
      </c>
      <c r="F77" s="31">
        <f>IF(OR(E77="Ya",AND(Input!$C$23=1,A77&lt;=Input!$C$15)),0,IFERROR(AVERAGEIFS('Data Tanah'!$N$7:$N$47,'Data Tanah'!$E$7:$E$47,"&gt;="&amp;(A77-Input!$C$36*Input!$C$7),'Data Tanah'!$E$7:$E$47,"&lt;="&amp;(A77+Input!$C$37*Input!$C$7)),INDEX('Data Tanah'!$N$7:$N$47,MATCH(A77,'Data Tanah'!$B$7:$B$47,1)))*Input!$C$9)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G77/Input!$C$44-H77</f>
      </c>
      <c r="J77" s="32">
        <f t="shared" si="12"/>
      </c>
      <c r="K77" s="32">
        <f>Input!$C$49</f>
      </c>
      <c r="L77" s="33">
        <f t="shared" si="13"/>
      </c>
      <c r="M77" s="31">
        <f>IF(D77&gt;0,Input!$C$38*D77/Input!$C$44,0)+H77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Tanah'!$L$7:$L$47,((((('Data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Tanah'!$B$7:$B$47-(IF(Input!$C$23=1,MAX(Input!$C$27,Input!$C$15),Input!$C$27))))/2)+ABS((('Data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Tanah'!$B$7:$B$47-(IF(Input!$C$23=1,MAX(Input!$C$27,Input!$C$15),Input!$C$27))))/2))/2))</f>
      </c>
      <c r="E78" s="13">
        <f>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Tanah'!$B$7:$B$47-(A78-1.5*Input!$C$7)))/2))/2))&gt;0,"Ya","Tidak")</f>
      </c>
      <c r="F78" s="30">
        <f>IF(OR(E78="Ya",AND(Input!$C$23=1,A78&lt;=Input!$C$15)),0,IFERROR(AVERAGEIFS('Data Tanah'!$N$7:$N$47,'Data Tanah'!$E$7:$E$47,"&gt;="&amp;(A78-Input!$C$36*Input!$C$7),'Data Tanah'!$E$7:$E$47,"&lt;="&amp;(A78+Input!$C$37*Input!$C$7)),INDEX('Data Tanah'!$N$7:$N$47,MATCH(A78,'Data Tanah'!$B$7:$B$47,1)))*Input!$C$9)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G78/Input!$C$44-H78</f>
      </c>
      <c r="J78" s="25">
        <f t="shared" si="12"/>
      </c>
      <c r="K78" s="25">
        <f>Input!$C$49</f>
      </c>
      <c r="L78" s="13">
        <f t="shared" si="13"/>
      </c>
      <c r="M78" s="30">
        <f>IF(D78&gt;0,Input!$C$38*D78/Input!$C$44,0)+H78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Tanah'!$L$7:$L$47,((((('Data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Tanah'!$B$7:$B$47-(IF(Input!$C$23=1,MAX(Input!$C$27,Input!$C$15),Input!$C$27))))/2)+ABS((('Data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Tanah'!$B$7:$B$47-(IF(Input!$C$23=1,MAX(Input!$C$27,Input!$C$15),Input!$C$27))))/2))/2))</f>
      </c>
      <c r="E79" s="33">
        <f>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Tanah'!$B$7:$B$47-(A79-1.5*Input!$C$7)))/2))/2))&gt;0,"Ya","Tidak")</f>
      </c>
      <c r="F79" s="31">
        <f>IF(OR(E79="Ya",AND(Input!$C$23=1,A79&lt;=Input!$C$15)),0,IFERROR(AVERAGEIFS('Data Tanah'!$N$7:$N$47,'Data Tanah'!$E$7:$E$47,"&gt;="&amp;(A79-Input!$C$36*Input!$C$7),'Data Tanah'!$E$7:$E$47,"&lt;="&amp;(A79+Input!$C$37*Input!$C$7)),INDEX('Data Tanah'!$N$7:$N$47,MATCH(A79,'Data Tanah'!$B$7:$B$47,1)))*Input!$C$9)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G79/Input!$C$44-H79</f>
      </c>
      <c r="J79" s="32">
        <f t="shared" si="12"/>
      </c>
      <c r="K79" s="32">
        <f>Input!$C$49</f>
      </c>
      <c r="L79" s="33">
        <f t="shared" si="13"/>
      </c>
      <c r="M79" s="31">
        <f>IF(D79&gt;0,Input!$C$38*D79/Input!$C$44,0)+H79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Tanah'!$L$7:$L$47,((((('Data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Tanah'!$B$7:$B$47-(IF(Input!$C$23=1,MAX(Input!$C$27,Input!$C$15),Input!$C$27))))/2)+ABS((('Data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Tanah'!$B$7:$B$47-(IF(Input!$C$23=1,MAX(Input!$C$27,Input!$C$15),Input!$C$27))))/2))/2))</f>
      </c>
      <c r="E80" s="13">
        <f>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Tanah'!$B$7:$B$47-(A80-1.5*Input!$C$7)))/2))/2))&gt;0,"Ya","Tidak")</f>
      </c>
      <c r="F80" s="30">
        <f>IF(OR(E80="Ya",AND(Input!$C$23=1,A80&lt;=Input!$C$15)),0,IFERROR(AVERAGEIFS('Data Tanah'!$N$7:$N$47,'Data Tanah'!$E$7:$E$47,"&gt;="&amp;(A80-Input!$C$36*Input!$C$7),'Data Tanah'!$E$7:$E$47,"&lt;="&amp;(A80+Input!$C$37*Input!$C$7)),INDEX('Data Tanah'!$N$7:$N$47,MATCH(A80,'Data Tanah'!$B$7:$B$47,1)))*Input!$C$9)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G80/Input!$C$44-H80</f>
      </c>
      <c r="J80" s="25">
        <f t="shared" si="12"/>
      </c>
      <c r="K80" s="25">
        <f>Input!$C$49</f>
      </c>
      <c r="L80" s="13">
        <f t="shared" si="13"/>
      </c>
      <c r="M80" s="30">
        <f>IF(D80&gt;0,Input!$C$38*D80/Input!$C$44,0)+H80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Tanah'!$L$7:$L$47,((((('Data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Tanah'!$B$7:$B$47-(IF(Input!$C$23=1,MAX(Input!$C$27,Input!$C$15),Input!$C$27))))/2)+ABS((('Data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Tanah'!$B$7:$B$47-(IF(Input!$C$23=1,MAX(Input!$C$27,Input!$C$15),Input!$C$27))))/2))/2))</f>
      </c>
      <c r="E81" s="33">
        <f>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Tanah'!$B$7:$B$47-(A81-1.5*Input!$C$7)))/2))/2))&gt;0,"Ya","Tidak")</f>
      </c>
      <c r="F81" s="31">
        <f>IF(OR(E81="Ya",AND(Input!$C$23=1,A81&lt;=Input!$C$15)),0,IFERROR(AVERAGEIFS('Data Tanah'!$N$7:$N$47,'Data Tanah'!$E$7:$E$47,"&gt;="&amp;(A81-Input!$C$36*Input!$C$7),'Data Tanah'!$E$7:$E$47,"&lt;="&amp;(A81+Input!$C$37*Input!$C$7)),INDEX('Data Tanah'!$N$7:$N$47,MATCH(A81,'Data Tanah'!$B$7:$B$47,1)))*Input!$C$9)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G81/Input!$C$44-H81</f>
      </c>
      <c r="J81" s="32">
        <f t="shared" si="12"/>
      </c>
      <c r="K81" s="32">
        <f>Input!$C$49</f>
      </c>
      <c r="L81" s="33">
        <f t="shared" si="13"/>
      </c>
      <c r="M81" s="31">
        <f>IF(D81&gt;0,Input!$C$38*D81/Input!$C$44,0)+H81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Tanah'!$L$7:$L$47,((((('Data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Tanah'!$B$7:$B$47-(IF(Input!$C$23=1,MAX(Input!$C$27,Input!$C$15),Input!$C$27))))/2)+ABS((('Data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Tanah'!$B$7:$B$47-(IF(Input!$C$23=1,MAX(Input!$C$27,Input!$C$15),Input!$C$27))))/2))/2))</f>
      </c>
      <c r="E82" s="13">
        <f>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Tanah'!$B$7:$B$47-(A82-1.5*Input!$C$7)))/2))/2))&gt;0,"Ya","Tidak")</f>
      </c>
      <c r="F82" s="30">
        <f>IF(OR(E82="Ya",AND(Input!$C$23=1,A82&lt;=Input!$C$15)),0,IFERROR(AVERAGEIFS('Data Tanah'!$N$7:$N$47,'Data Tanah'!$E$7:$E$47,"&gt;="&amp;(A82-Input!$C$36*Input!$C$7),'Data Tanah'!$E$7:$E$47,"&lt;="&amp;(A82+Input!$C$37*Input!$C$7)),INDEX('Data Tanah'!$N$7:$N$47,MATCH(A82,'Data Tanah'!$B$7:$B$47,1)))*Input!$C$9)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G82/Input!$C$44-H82</f>
      </c>
      <c r="J82" s="25">
        <f t="shared" si="12"/>
      </c>
      <c r="K82" s="25">
        <f>Input!$C$49</f>
      </c>
      <c r="L82" s="13">
        <f t="shared" si="13"/>
      </c>
      <c r="M82" s="30">
        <f>IF(D82&gt;0,Input!$C$38*D82/Input!$C$44,0)+H82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Tanah'!$L$7:$L$47,((((('Data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Tanah'!$B$7:$B$47-(IF(Input!$C$23=1,MAX(Input!$C$27,Input!$C$15),Input!$C$27))))/2)+ABS((('Data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Tanah'!$B$7:$B$47-(IF(Input!$C$23=1,MAX(Input!$C$27,Input!$C$15),Input!$C$27))))/2))/2))</f>
      </c>
      <c r="E83" s="33">
        <f>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Tanah'!$B$7:$B$47-(A83-1.5*Input!$C$7)))/2))/2))&gt;0,"Ya","Tidak")</f>
      </c>
      <c r="F83" s="31">
        <f>IF(OR(E83="Ya",AND(Input!$C$23=1,A83&lt;=Input!$C$15)),0,IFERROR(AVERAGEIFS('Data Tanah'!$N$7:$N$47,'Data Tanah'!$E$7:$E$47,"&gt;="&amp;(A83-Input!$C$36*Input!$C$7),'Data Tanah'!$E$7:$E$47,"&lt;="&amp;(A83+Input!$C$37*Input!$C$7)),INDEX('Data Tanah'!$N$7:$N$47,MATCH(A83,'Data Tanah'!$B$7:$B$47,1)))*Input!$C$9)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G83/Input!$C$44-H83</f>
      </c>
      <c r="J83" s="32">
        <f t="shared" si="12"/>
      </c>
      <c r="K83" s="32">
        <f>Input!$C$49</f>
      </c>
      <c r="L83" s="33">
        <f t="shared" si="13"/>
      </c>
      <c r="M83" s="31">
        <f>IF(D83&gt;0,Input!$C$38*D83/Input!$C$44,0)+H83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Tanah'!$L$7:$L$47,((((('Data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Tanah'!$B$7:$B$47-(IF(Input!$C$23=1,MAX(Input!$C$27,Input!$C$15),Input!$C$27))))/2)+ABS((('Data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Tanah'!$B$7:$B$47-(IF(Input!$C$23=1,MAX(Input!$C$27,Input!$C$15),Input!$C$27))))/2))/2))</f>
      </c>
      <c r="E84" s="13">
        <f>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Tanah'!$B$7:$B$47-(A84-1.5*Input!$C$7)))/2))/2))&gt;0,"Ya","Tidak")</f>
      </c>
      <c r="F84" s="30">
        <f>IF(OR(E84="Ya",AND(Input!$C$23=1,A84&lt;=Input!$C$15)),0,IFERROR(AVERAGEIFS('Data Tanah'!$N$7:$N$47,'Data Tanah'!$E$7:$E$47,"&gt;="&amp;(A84-Input!$C$36*Input!$C$7),'Data Tanah'!$E$7:$E$47,"&lt;="&amp;(A84+Input!$C$37*Input!$C$7)),INDEX('Data Tanah'!$N$7:$N$47,MATCH(A84,'Data Tanah'!$B$7:$B$47,1)))*Input!$C$9)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G84/Input!$C$44-H84</f>
      </c>
      <c r="J84" s="25">
        <f t="shared" si="12"/>
      </c>
      <c r="K84" s="25">
        <f>Input!$C$49</f>
      </c>
      <c r="L84" s="13">
        <f t="shared" si="13"/>
      </c>
      <c r="M84" s="30">
        <f>IF(D84&gt;0,Input!$C$38*D84/Input!$C$44,0)+H84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Tanah'!$L$7:$L$47,((((('Data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Tanah'!$B$7:$B$47-(IF(Input!$C$23=1,MAX(Input!$C$27,Input!$C$15),Input!$C$27))))/2)+ABS((('Data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Tanah'!$B$7:$B$47-(IF(Input!$C$23=1,MAX(Input!$C$27,Input!$C$15),Input!$C$27))))/2))/2))</f>
      </c>
      <c r="E85" s="33">
        <f>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Tanah'!$B$7:$B$47-(A85-1.5*Input!$C$7)))/2))/2))&gt;0,"Ya","Tidak")</f>
      </c>
      <c r="F85" s="31">
        <f>IF(OR(E85="Ya",AND(Input!$C$23=1,A85&lt;=Input!$C$15)),0,IFERROR(AVERAGEIFS('Data Tanah'!$N$7:$N$47,'Data Tanah'!$E$7:$E$47,"&gt;="&amp;(A85-Input!$C$36*Input!$C$7),'Data Tanah'!$E$7:$E$47,"&lt;="&amp;(A85+Input!$C$37*Input!$C$7)),INDEX('Data Tanah'!$N$7:$N$47,MATCH(A85,'Data Tanah'!$B$7:$B$47,1)))*Input!$C$9)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G85/Input!$C$44-H85</f>
      </c>
      <c r="J85" s="32">
        <f t="shared" si="12"/>
      </c>
      <c r="K85" s="32">
        <f>Input!$C$49</f>
      </c>
      <c r="L85" s="33">
        <f t="shared" si="13"/>
      </c>
      <c r="M85" s="31">
        <f>IF(D85&gt;0,Input!$C$38*D85/Input!$C$44,0)+H85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Tanah'!$L$7:$L$47,((((('Data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Tanah'!$B$7:$B$47-(IF(Input!$C$23=1,MAX(Input!$C$27,Input!$C$15),Input!$C$27))))/2)+ABS((('Data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Tanah'!$B$7:$B$47-(IF(Input!$C$23=1,MAX(Input!$C$27,Input!$C$15),Input!$C$27))))/2))/2))</f>
      </c>
      <c r="E86" s="13">
        <f>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Tanah'!$B$7:$B$47-(A86-1.5*Input!$C$7)))/2))/2))&gt;0,"Ya","Tidak")</f>
      </c>
      <c r="F86" s="30">
        <f>IF(OR(E86="Ya",AND(Input!$C$23=1,A86&lt;=Input!$C$15)),0,IFERROR(AVERAGEIFS('Data Tanah'!$N$7:$N$47,'Data Tanah'!$E$7:$E$47,"&gt;="&amp;(A86-Input!$C$36*Input!$C$7),'Data Tanah'!$E$7:$E$47,"&lt;="&amp;(A86+Input!$C$37*Input!$C$7)),INDEX('Data Tanah'!$N$7:$N$47,MATCH(A86,'Data Tanah'!$B$7:$B$47,1)))*Input!$C$9)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G86/Input!$C$44-H86</f>
      </c>
      <c r="J86" s="25">
        <f t="shared" si="12"/>
      </c>
      <c r="K86" s="25">
        <f>Input!$C$49</f>
      </c>
      <c r="L86" s="13">
        <f t="shared" si="13"/>
      </c>
      <c r="M86" s="30">
        <f>IF(D86&gt;0,Input!$C$38*D86/Input!$C$44,0)+H86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Tanah'!$L$7:$L$47,((((('Data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Tanah'!$B$7:$B$47-(IF(Input!$C$23=1,MAX(Input!$C$27,Input!$C$15),Input!$C$27))))/2)+ABS((('Data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Tanah'!$B$7:$B$47-(IF(Input!$C$23=1,MAX(Input!$C$27,Input!$C$15),Input!$C$27))))/2))/2))</f>
      </c>
      <c r="E87" s="33">
        <f>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Tanah'!$B$7:$B$47-(A87-1.5*Input!$C$7)))/2))/2))&gt;0,"Ya","Tidak")</f>
      </c>
      <c r="F87" s="31">
        <f>IF(OR(E87="Ya",AND(Input!$C$23=1,A87&lt;=Input!$C$15)),0,IFERROR(AVERAGEIFS('Data Tanah'!$N$7:$N$47,'Data Tanah'!$E$7:$E$47,"&gt;="&amp;(A87-Input!$C$36*Input!$C$7),'Data Tanah'!$E$7:$E$47,"&lt;="&amp;(A87+Input!$C$37*Input!$C$7)),INDEX('Data Tanah'!$N$7:$N$47,MATCH(A87,'Data Tanah'!$B$7:$B$47,1)))*Input!$C$9)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G87/Input!$C$44-H87</f>
      </c>
      <c r="J87" s="32">
        <f t="shared" si="12"/>
      </c>
      <c r="K87" s="32">
        <f>Input!$C$49</f>
      </c>
      <c r="L87" s="33">
        <f t="shared" si="13"/>
      </c>
      <c r="M87" s="31">
        <f>IF(D87&gt;0,Input!$C$38*D87/Input!$C$44,0)+H87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Tanah'!$L$7:$L$47,((((('Data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Tanah'!$B$7:$B$47-(IF(Input!$C$23=1,MAX(Input!$C$27,Input!$C$15),Input!$C$27))))/2)+ABS((('Data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Tanah'!$B$7:$B$47-(IF(Input!$C$23=1,MAX(Input!$C$27,Input!$C$15),Input!$C$27))))/2))/2))</f>
      </c>
      <c r="E88" s="13">
        <f>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Tanah'!$B$7:$B$47-(A88-1.5*Input!$C$7)))/2))/2))&gt;0,"Ya","Tidak")</f>
      </c>
      <c r="F88" s="30">
        <f>IF(OR(E88="Ya",AND(Input!$C$23=1,A88&lt;=Input!$C$15)),0,IFERROR(AVERAGEIFS('Data Tanah'!$N$7:$N$47,'Data Tanah'!$E$7:$E$47,"&gt;="&amp;(A88-Input!$C$36*Input!$C$7),'Data Tanah'!$E$7:$E$47,"&lt;="&amp;(A88+Input!$C$37*Input!$C$7)),INDEX('Data Tanah'!$N$7:$N$47,MATCH(A88,'Data Tanah'!$B$7:$B$47,1)))*Input!$C$9)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G88/Input!$C$44-H88</f>
      </c>
      <c r="J88" s="25">
        <f t="shared" si="12"/>
      </c>
      <c r="K88" s="25">
        <f>Input!$C$49</f>
      </c>
      <c r="L88" s="13">
        <f t="shared" si="13"/>
      </c>
      <c r="M88" s="30">
        <f>IF(D88&gt;0,Input!$C$38*D88/Input!$C$44,0)+H88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Tanah'!$L$7:$L$47,((((('Data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Tanah'!$B$7:$B$47-(IF(Input!$C$23=1,MAX(Input!$C$27,Input!$C$15),Input!$C$27))))/2)+ABS((('Data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Tanah'!$B$7:$B$47-(IF(Input!$C$23=1,MAX(Input!$C$27,Input!$C$15),Input!$C$27))))/2))/2))</f>
      </c>
      <c r="E89" s="33">
        <f>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Tanah'!$B$7:$B$47-(A89-1.5*Input!$C$7)))/2))/2))&gt;0,"Ya","Tidak")</f>
      </c>
      <c r="F89" s="31">
        <f>IF(OR(E89="Ya",AND(Input!$C$23=1,A89&lt;=Input!$C$15)),0,IFERROR(AVERAGEIFS('Data Tanah'!$N$7:$N$47,'Data Tanah'!$E$7:$E$47,"&gt;="&amp;(A89-Input!$C$36*Input!$C$7),'Data Tanah'!$E$7:$E$47,"&lt;="&amp;(A89+Input!$C$37*Input!$C$7)),INDEX('Data Tanah'!$N$7:$N$47,MATCH(A89,'Data Tanah'!$B$7:$B$47,1)))*Input!$C$9)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G89/Input!$C$44-H89</f>
      </c>
      <c r="J89" s="32">
        <f t="shared" si="12"/>
      </c>
      <c r="K89" s="32">
        <f>Input!$C$49</f>
      </c>
      <c r="L89" s="33">
        <f t="shared" si="13"/>
      </c>
      <c r="M89" s="31">
        <f>IF(D89&gt;0,Input!$C$38*D89/Input!$C$44,0)+H89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Tanah'!$L$7:$L$47,((((('Data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Tanah'!$B$7:$B$47-(IF(Input!$C$23=1,MAX(Input!$C$27,Input!$C$15),Input!$C$27))))/2)+ABS((('Data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Tanah'!$B$7:$B$47-(IF(Input!$C$23=1,MAX(Input!$C$27,Input!$C$15),Input!$C$27))))/2))/2))</f>
      </c>
      <c r="E90" s="13">
        <f>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Tanah'!$B$7:$B$47-(A90-1.5*Input!$C$7)))/2))/2))&gt;0,"Ya","Tidak")</f>
      </c>
      <c r="F90" s="30">
        <f>IF(OR(E90="Ya",AND(Input!$C$23=1,A90&lt;=Input!$C$15)),0,IFERROR(AVERAGEIFS('Data Tanah'!$N$7:$N$47,'Data Tanah'!$E$7:$E$47,"&gt;="&amp;(A90-Input!$C$36*Input!$C$7),'Data Tanah'!$E$7:$E$47,"&lt;="&amp;(A90+Input!$C$37*Input!$C$7)),INDEX('Data Tanah'!$N$7:$N$47,MATCH(A90,'Data Tanah'!$B$7:$B$47,1)))*Input!$C$9)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G90/Input!$C$44-H90</f>
      </c>
      <c r="J90" s="25">
        <f t="shared" si="12"/>
      </c>
      <c r="K90" s="25">
        <f>Input!$C$49</f>
      </c>
      <c r="L90" s="13">
        <f t="shared" si="13"/>
      </c>
      <c r="M90" s="30">
        <f>IF(D90&gt;0,Input!$C$38*D90/Input!$C$44,0)+H90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Tanah'!$L$7:$L$47,((((('Data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Tanah'!$B$7:$B$47-(IF(Input!$C$23=1,MAX(Input!$C$27,Input!$C$15),Input!$C$27))))/2)+ABS((('Data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Tanah'!$B$7:$B$47-(IF(Input!$C$23=1,MAX(Input!$C$27,Input!$C$15),Input!$C$27))))/2))/2))</f>
      </c>
      <c r="E91" s="33">
        <f>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Tanah'!$B$7:$B$47-(A91-1.5*Input!$C$7)))/2))/2))&gt;0,"Ya","Tidak")</f>
      </c>
      <c r="F91" s="31">
        <f>IF(OR(E91="Ya",AND(Input!$C$23=1,A91&lt;=Input!$C$15)),0,IFERROR(AVERAGEIFS('Data Tanah'!$N$7:$N$47,'Data Tanah'!$E$7:$E$47,"&gt;="&amp;(A91-Input!$C$36*Input!$C$7),'Data Tanah'!$E$7:$E$47,"&lt;="&amp;(A91+Input!$C$37*Input!$C$7)),INDEX('Data Tanah'!$N$7:$N$47,MATCH(A91,'Data Tanah'!$B$7:$B$47,1)))*Input!$C$9)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G91/Input!$C$44-H91</f>
      </c>
      <c r="J91" s="32">
        <f t="shared" si="12"/>
      </c>
      <c r="K91" s="32">
        <f>Input!$C$49</f>
      </c>
      <c r="L91" s="33">
        <f t="shared" si="13"/>
      </c>
      <c r="M91" s="31">
        <f>IF(D91&gt;0,Input!$C$38*D91/Input!$C$44,0)+H91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Tanah'!$L$7:$L$47,((((('Data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Tanah'!$B$7:$B$47-(IF(Input!$C$23=1,MAX(Input!$C$27,Input!$C$15),Input!$C$27))))/2)+ABS((('Data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Tanah'!$B$7:$B$47-(IF(Input!$C$23=1,MAX(Input!$C$27,Input!$C$15),Input!$C$27))))/2))/2))</f>
      </c>
      <c r="E92" s="13">
        <f>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Tanah'!$B$7:$B$47-(A92-1.5*Input!$C$7)))/2))/2))&gt;0,"Ya","Tidak")</f>
      </c>
      <c r="F92" s="30">
        <f>IF(OR(E92="Ya",AND(Input!$C$23=1,A92&lt;=Input!$C$15)),0,IFERROR(AVERAGEIFS('Data Tanah'!$N$7:$N$47,'Data Tanah'!$E$7:$E$47,"&gt;="&amp;(A92-Input!$C$36*Input!$C$7),'Data Tanah'!$E$7:$E$47,"&lt;="&amp;(A92+Input!$C$37*Input!$C$7)),INDEX('Data Tanah'!$N$7:$N$47,MATCH(A92,'Data Tanah'!$B$7:$B$47,1)))*Input!$C$9)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G92/Input!$C$44-H92</f>
      </c>
      <c r="J92" s="25">
        <f t="shared" si="12"/>
      </c>
      <c r="K92" s="25">
        <f>Input!$C$49</f>
      </c>
      <c r="L92" s="13">
        <f t="shared" si="13"/>
      </c>
      <c r="M92" s="30">
        <f>IF(D92&gt;0,Input!$C$38*D92/Input!$C$44,0)+H92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Tanah'!$L$7:$L$47,((((('Data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Tanah'!$B$7:$B$47-(IF(Input!$C$23=1,MAX(Input!$C$27,Input!$C$15),Input!$C$27))))/2)+ABS((('Data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Tanah'!$B$7:$B$47-(IF(Input!$C$23=1,MAX(Input!$C$27,Input!$C$15),Input!$C$27))))/2))/2))</f>
      </c>
      <c r="E93" s="33">
        <f>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Tanah'!$B$7:$B$47-(A93-1.5*Input!$C$7)))/2))/2))&gt;0,"Ya","Tidak")</f>
      </c>
      <c r="F93" s="31">
        <f>IF(OR(E93="Ya",AND(Input!$C$23=1,A93&lt;=Input!$C$15)),0,IFERROR(AVERAGEIFS('Data Tanah'!$N$7:$N$47,'Data Tanah'!$E$7:$E$47,"&gt;="&amp;(A93-Input!$C$36*Input!$C$7),'Data Tanah'!$E$7:$E$47,"&lt;="&amp;(A93+Input!$C$37*Input!$C$7)),INDEX('Data Tanah'!$N$7:$N$47,MATCH(A93,'Data Tanah'!$B$7:$B$47,1)))*Input!$C$9)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G93/Input!$C$44-H93</f>
      </c>
      <c r="J93" s="32">
        <f t="shared" si="12"/>
      </c>
      <c r="K93" s="32">
        <f>Input!$C$49</f>
      </c>
      <c r="L93" s="33">
        <f t="shared" si="13"/>
      </c>
      <c r="M93" s="31">
        <f>IF(D93&gt;0,Input!$C$38*D93/Input!$C$44,0)+H93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Tanah'!$L$7:$L$47,((((('Data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Tanah'!$B$7:$B$47-(IF(Input!$C$23=1,MAX(Input!$C$27,Input!$C$15),Input!$C$27))))/2)+ABS((('Data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Tanah'!$B$7:$B$47-(IF(Input!$C$23=1,MAX(Input!$C$27,Input!$C$15),Input!$C$27))))/2))/2))</f>
      </c>
      <c r="E94" s="13">
        <f>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Tanah'!$B$7:$B$47-(A94-1.5*Input!$C$7)))/2))/2))&gt;0,"Ya","Tidak")</f>
      </c>
      <c r="F94" s="30">
        <f>IF(OR(E94="Ya",AND(Input!$C$23=1,A94&lt;=Input!$C$15)),0,IFERROR(AVERAGEIFS('Data Tanah'!$N$7:$N$47,'Data Tanah'!$E$7:$E$47,"&gt;="&amp;(A94-Input!$C$36*Input!$C$7),'Data Tanah'!$E$7:$E$47,"&lt;="&amp;(A94+Input!$C$37*Input!$C$7)),INDEX('Data Tanah'!$N$7:$N$47,MATCH(A94,'Data Tanah'!$B$7:$B$47,1)))*Input!$C$9)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G94/Input!$C$44-H94</f>
      </c>
      <c r="J94" s="25">
        <f t="shared" si="12"/>
      </c>
      <c r="K94" s="25">
        <f>Input!$C$49</f>
      </c>
      <c r="L94" s="13">
        <f t="shared" si="13"/>
      </c>
      <c r="M94" s="30">
        <f>IF(D94&gt;0,Input!$C$38*D94/Input!$C$44,0)+H94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Tanah'!$L$7:$L$47,((((('Data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Tanah'!$B$7:$B$47-(IF(Input!$C$23=1,MAX(Input!$C$27,Input!$C$15),Input!$C$27))))/2)+ABS((('Data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Tanah'!$B$7:$B$47-(IF(Input!$C$23=1,MAX(Input!$C$27,Input!$C$15),Input!$C$27))))/2))/2))</f>
      </c>
      <c r="E95" s="33">
        <f>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Tanah'!$B$7:$B$47-(A95-1.5*Input!$C$7)))/2))/2))&gt;0,"Ya","Tidak")</f>
      </c>
      <c r="F95" s="31">
        <f>IF(OR(E95="Ya",AND(Input!$C$23=1,A95&lt;=Input!$C$15)),0,IFERROR(AVERAGEIFS('Data Tanah'!$N$7:$N$47,'Data Tanah'!$E$7:$E$47,"&gt;="&amp;(A95-Input!$C$36*Input!$C$7),'Data Tanah'!$E$7:$E$47,"&lt;="&amp;(A95+Input!$C$37*Input!$C$7)),INDEX('Data Tanah'!$N$7:$N$47,MATCH(A95,'Data Tanah'!$B$7:$B$47,1)))*Input!$C$9)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G95/Input!$C$44-H95</f>
      </c>
      <c r="J95" s="32">
        <f t="shared" si="12"/>
      </c>
      <c r="K95" s="32">
        <f>Input!$C$49</f>
      </c>
      <c r="L95" s="33">
        <f t="shared" si="13"/>
      </c>
      <c r="M95" s="31">
        <f>IF(D95&gt;0,Input!$C$38*D95/Input!$C$44,0)+H95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Tanah'!$L$7:$L$47,((((('Data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Tanah'!$B$7:$B$47-(IF(Input!$C$23=1,MAX(Input!$C$27,Input!$C$15),Input!$C$27))))/2)+ABS((('Data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Tanah'!$B$7:$B$47-(IF(Input!$C$23=1,MAX(Input!$C$27,Input!$C$15),Input!$C$27))))/2))/2))</f>
      </c>
      <c r="E96" s="13">
        <f>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Tanah'!$B$7:$B$47-(A96-1.5*Input!$C$7)))/2))/2))&gt;0,"Ya","Tidak")</f>
      </c>
      <c r="F96" s="30">
        <f>IF(OR(E96="Ya",AND(Input!$C$23=1,A96&lt;=Input!$C$15)),0,IFERROR(AVERAGEIFS('Data Tanah'!$N$7:$N$47,'Data Tanah'!$E$7:$E$47,"&gt;="&amp;(A96-Input!$C$36*Input!$C$7),'Data Tanah'!$E$7:$E$47,"&lt;="&amp;(A96+Input!$C$37*Input!$C$7)),INDEX('Data Tanah'!$N$7:$N$47,MATCH(A96,'Data Tanah'!$B$7:$B$47,1)))*Input!$C$9)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G96/Input!$C$44-H96</f>
      </c>
      <c r="J96" s="25">
        <f t="shared" si="12"/>
      </c>
      <c r="K96" s="25">
        <f>Input!$C$49</f>
      </c>
      <c r="L96" s="13">
        <f t="shared" si="13"/>
      </c>
      <c r="M96" s="30">
        <f>IF(D96&gt;0,Input!$C$38*D96/Input!$C$44,0)+H96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Tanah'!$L$7:$L$47,((((('Data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Tanah'!$B$7:$B$47-(IF(Input!$C$23=1,MAX(Input!$C$27,Input!$C$15),Input!$C$27))))/2)+ABS((('Data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Tanah'!$B$7:$B$47-(IF(Input!$C$23=1,MAX(Input!$C$27,Input!$C$15),Input!$C$27))))/2))/2))</f>
      </c>
      <c r="E97" s="33">
        <f>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Tanah'!$B$7:$B$47-(A97-1.5*Input!$C$7)))/2))/2))&gt;0,"Ya","Tidak")</f>
      </c>
      <c r="F97" s="31">
        <f>IF(OR(E97="Ya",AND(Input!$C$23=1,A97&lt;=Input!$C$15)),0,IFERROR(AVERAGEIFS('Data Tanah'!$N$7:$N$47,'Data Tanah'!$E$7:$E$47,"&gt;="&amp;(A97-Input!$C$36*Input!$C$7),'Data Tanah'!$E$7:$E$47,"&lt;="&amp;(A97+Input!$C$37*Input!$C$7)),INDEX('Data Tanah'!$N$7:$N$47,MATCH(A97,'Data Tanah'!$B$7:$B$47,1)))*Input!$C$9)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G97/Input!$C$44-H97</f>
      </c>
      <c r="J97" s="32">
        <f t="shared" si="12"/>
      </c>
      <c r="K97" s="32">
        <f>Input!$C$49</f>
      </c>
      <c r="L97" s="33">
        <f t="shared" si="13"/>
      </c>
      <c r="M97" s="31">
        <f>IF(D97&gt;0,Input!$C$38*D97/Input!$C$44,0)+H97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Tanah'!$L$7:$L$47,((((('Data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Tanah'!$B$7:$B$47-(IF(Input!$C$23=1,MAX(Input!$C$27,Input!$C$15),Input!$C$27))))/2)+ABS((('Data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Tanah'!$B$7:$B$47-(IF(Input!$C$23=1,MAX(Input!$C$27,Input!$C$15),Input!$C$27))))/2))/2))</f>
      </c>
      <c r="E98" s="13">
        <f>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Tanah'!$B$7:$B$47-(A98-1.5*Input!$C$7)))/2))/2))&gt;0,"Ya","Tidak")</f>
      </c>
      <c r="F98" s="30">
        <f>IF(OR(E98="Ya",AND(Input!$C$23=1,A98&lt;=Input!$C$15)),0,IFERROR(AVERAGEIFS('Data Tanah'!$N$7:$N$47,'Data Tanah'!$E$7:$E$47,"&gt;="&amp;(A98-Input!$C$36*Input!$C$7),'Data Tanah'!$E$7:$E$47,"&lt;="&amp;(A98+Input!$C$37*Input!$C$7)),INDEX('Data Tanah'!$N$7:$N$47,MATCH(A98,'Data Tanah'!$B$7:$B$47,1)))*Input!$C$9)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G98/Input!$C$44-H98</f>
      </c>
      <c r="J98" s="25">
        <f t="shared" si="12"/>
      </c>
      <c r="K98" s="25">
        <f>Input!$C$49</f>
      </c>
      <c r="L98" s="13">
        <f t="shared" si="13"/>
      </c>
      <c r="M98" s="30">
        <f>IF(D98&gt;0,Input!$C$38*D98/Input!$C$44,0)+H98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Tanah'!$L$7:$L$47,((((('Data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Tanah'!$B$7:$B$47-(IF(Input!$C$23=1,MAX(Input!$C$27,Input!$C$15),Input!$C$27))))/2)+ABS((('Data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Tanah'!$B$7:$B$47-(IF(Input!$C$23=1,MAX(Input!$C$27,Input!$C$15),Input!$C$27))))/2))/2))</f>
      </c>
      <c r="E99" s="33">
        <f>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Tanah'!$B$7:$B$47-(A99-1.5*Input!$C$7)))/2))/2))&gt;0,"Ya","Tidak")</f>
      </c>
      <c r="F99" s="31">
        <f>IF(OR(E99="Ya",AND(Input!$C$23=1,A99&lt;=Input!$C$15)),0,IFERROR(AVERAGEIFS('Data Tanah'!$N$7:$N$47,'Data Tanah'!$E$7:$E$47,"&gt;="&amp;(A99-Input!$C$36*Input!$C$7),'Data Tanah'!$E$7:$E$47,"&lt;="&amp;(A99+Input!$C$37*Input!$C$7)),INDEX('Data Tanah'!$N$7:$N$47,MATCH(A99,'Data Tanah'!$B$7:$B$47,1)))*Input!$C$9)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G99/Input!$C$44-H99</f>
      </c>
      <c r="J99" s="32">
        <f t="shared" si="12"/>
      </c>
      <c r="K99" s="32">
        <f>Input!$C$49</f>
      </c>
      <c r="L99" s="33">
        <f t="shared" si="13"/>
      </c>
      <c r="M99" s="31">
        <f>IF(D99&gt;0,Input!$C$38*D99/Input!$C$44,0)+H99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Tanah'!$L$7:$L$47,((((('Data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Tanah'!$B$7:$B$47-(IF(Input!$C$23=1,MAX(Input!$C$27,Input!$C$15),Input!$C$27))))/2)+ABS((('Data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Tanah'!$B$7:$B$47-(IF(Input!$C$23=1,MAX(Input!$C$27,Input!$C$15),Input!$C$27))))/2))/2))</f>
      </c>
      <c r="E100" s="13">
        <f>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Tanah'!$B$7:$B$47-(A100-1.5*Input!$C$7)))/2))/2))&gt;0,"Ya","Tidak")</f>
      </c>
      <c r="F100" s="30">
        <f>IF(OR(E100="Ya",AND(Input!$C$23=1,A100&lt;=Input!$C$15)),0,IFERROR(AVERAGEIFS('Data Tanah'!$N$7:$N$47,'Data Tanah'!$E$7:$E$47,"&gt;="&amp;(A100-Input!$C$36*Input!$C$7),'Data Tanah'!$E$7:$E$47,"&lt;="&amp;(A100+Input!$C$37*Input!$C$7)),INDEX('Data Tanah'!$N$7:$N$47,MATCH(A100,'Data Tanah'!$B$7:$B$47,1)))*Input!$C$9)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G100/Input!$C$44-H100</f>
      </c>
      <c r="J100" s="25">
        <f t="shared" si="12"/>
      </c>
      <c r="K100" s="25">
        <f>Input!$C$49</f>
      </c>
      <c r="L100" s="13">
        <f t="shared" si="13"/>
      </c>
      <c r="M100" s="30">
        <f>IF(D100&gt;0,Input!$C$38*D100/Input!$C$44,0)+H100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Tanah'!$L$7:$L$47,((((('Data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Tanah'!$B$7:$B$47-(IF(Input!$C$23=1,MAX(Input!$C$27,Input!$C$15),Input!$C$27))))/2)+ABS((('Data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Tanah'!$B$7:$B$47-(IF(Input!$C$23=1,MAX(Input!$C$27,Input!$C$15),Input!$C$27))))/2))/2))</f>
      </c>
      <c r="E101" s="33">
        <f>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Tanah'!$B$7:$B$47-(A101-1.5*Input!$C$7)))/2))/2))&gt;0,"Ya","Tidak")</f>
      </c>
      <c r="F101" s="31">
        <f>IF(OR(E101="Ya",AND(Input!$C$23=1,A101&lt;=Input!$C$15)),0,IFERROR(AVERAGEIFS('Data Tanah'!$N$7:$N$47,'Data Tanah'!$E$7:$E$47,"&gt;="&amp;(A101-Input!$C$36*Input!$C$7),'Data Tanah'!$E$7:$E$47,"&lt;="&amp;(A101+Input!$C$37*Input!$C$7)),INDEX('Data Tanah'!$N$7:$N$47,MATCH(A101,'Data Tanah'!$B$7:$B$47,1)))*Input!$C$9)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G101/Input!$C$44-H101</f>
      </c>
      <c r="J101" s="32">
        <f t="shared" si="12"/>
      </c>
      <c r="K101" s="32">
        <f>Input!$C$49</f>
      </c>
      <c r="L101" s="33">
        <f t="shared" si="13"/>
      </c>
      <c r="M101" s="31">
        <f>IF(D101&gt;0,Input!$C$38*D101/Input!$C$44,0)+H101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Tanah'!$L$7:$L$47,((((('Data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Tanah'!$B$7:$B$47-(IF(Input!$C$23=1,MAX(Input!$C$27,Input!$C$15),Input!$C$27))))/2)+ABS((('Data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Tanah'!$B$7:$B$47-(IF(Input!$C$23=1,MAX(Input!$C$27,Input!$C$15),Input!$C$27))))/2))/2))</f>
      </c>
      <c r="E102" s="13">
        <f>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Tanah'!$B$7:$B$47-(A102-1.5*Input!$C$7)))/2))/2))&gt;0,"Ya","Tidak")</f>
      </c>
      <c r="F102" s="30">
        <f>IF(OR(E102="Ya",AND(Input!$C$23=1,A102&lt;=Input!$C$15)),0,IFERROR(AVERAGEIFS('Data Tanah'!$N$7:$N$47,'Data Tanah'!$E$7:$E$47,"&gt;="&amp;(A102-Input!$C$36*Input!$C$7),'Data Tanah'!$E$7:$E$47,"&lt;="&amp;(A102+Input!$C$37*Input!$C$7)),INDEX('Data Tanah'!$N$7:$N$47,MATCH(A102,'Data Tanah'!$B$7:$B$47,1)))*Input!$C$9)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G102/Input!$C$44-H102</f>
      </c>
      <c r="J102" s="25">
        <f t="shared" si="12"/>
      </c>
      <c r="K102" s="25">
        <f>Input!$C$49</f>
      </c>
      <c r="L102" s="13">
        <f t="shared" si="13"/>
      </c>
      <c r="M102" s="30">
        <f>IF(D102&gt;0,Input!$C$38*D102/Input!$C$44,0)+H102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Tanah'!$L$7:$L$47,((((('Data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Tanah'!$B$7:$B$47-(IF(Input!$C$23=1,MAX(Input!$C$27,Input!$C$15),Input!$C$27))))/2)+ABS((('Data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Tanah'!$B$7:$B$47-(IF(Input!$C$23=1,MAX(Input!$C$27,Input!$C$15),Input!$C$27))))/2))/2))</f>
      </c>
      <c r="E103" s="33">
        <f>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Tanah'!$B$7:$B$47-(A103-1.5*Input!$C$7)))/2))/2))&gt;0,"Ya","Tidak")</f>
      </c>
      <c r="F103" s="31">
        <f>IF(OR(E103="Ya",AND(Input!$C$23=1,A103&lt;=Input!$C$15)),0,IFERROR(AVERAGEIFS('Data Tanah'!$N$7:$N$47,'Data Tanah'!$E$7:$E$47,"&gt;="&amp;(A103-Input!$C$36*Input!$C$7),'Data Tanah'!$E$7:$E$47,"&lt;="&amp;(A103+Input!$C$37*Input!$C$7)),INDEX('Data Tanah'!$N$7:$N$47,MATCH(A103,'Data Tanah'!$B$7:$B$47,1)))*Input!$C$9)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G103/Input!$C$44-H103</f>
      </c>
      <c r="J103" s="32">
        <f t="shared" si="12"/>
      </c>
      <c r="K103" s="32">
        <f>Input!$C$49</f>
      </c>
      <c r="L103" s="33">
        <f t="shared" si="13"/>
      </c>
      <c r="M103" s="31">
        <f>IF(D103&gt;0,Input!$C$38*D103/Input!$C$44,0)+H103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Tanah'!$L$7:$L$47,((((('Data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Tanah'!$B$7:$B$47-(IF(Input!$C$23=1,MAX(Input!$C$27,Input!$C$15),Input!$C$27))))/2)+ABS((('Data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Tanah'!$B$7:$B$47-(IF(Input!$C$23=1,MAX(Input!$C$27,Input!$C$15),Input!$C$27))))/2))/2))</f>
      </c>
      <c r="E104" s="13">
        <f>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Tanah'!$B$7:$B$47-(A104-1.5*Input!$C$7)))/2))/2))&gt;0,"Ya","Tidak")</f>
      </c>
      <c r="F104" s="30">
        <f>IF(OR(E104="Ya",AND(Input!$C$23=1,A104&lt;=Input!$C$15)),0,IFERROR(AVERAGEIFS('Data Tanah'!$N$7:$N$47,'Data Tanah'!$E$7:$E$47,"&gt;="&amp;(A104-Input!$C$36*Input!$C$7),'Data Tanah'!$E$7:$E$47,"&lt;="&amp;(A104+Input!$C$37*Input!$C$7)),INDEX('Data Tanah'!$N$7:$N$47,MATCH(A104,'Data Tanah'!$B$7:$B$47,1)))*Input!$C$9)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G104/Input!$C$44-H104</f>
      </c>
      <c r="J104" s="25">
        <f t="shared" si="12"/>
      </c>
      <c r="K104" s="25">
        <f>Input!$C$49</f>
      </c>
      <c r="L104" s="13">
        <f t="shared" si="13"/>
      </c>
      <c r="M104" s="30">
        <f>IF(D104&gt;0,Input!$C$38*D104/Input!$C$44,0)+H104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Tanah'!$L$7:$L$47,((((('Data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Tanah'!$B$7:$B$47-(IF(Input!$C$23=1,MAX(Input!$C$27,Input!$C$15),Input!$C$27))))/2)+ABS((('Data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Tanah'!$B$7:$B$47-(IF(Input!$C$23=1,MAX(Input!$C$27,Input!$C$15),Input!$C$27))))/2))/2))</f>
      </c>
      <c r="E105" s="33">
        <f>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Tanah'!$B$7:$B$47-(A105-1.5*Input!$C$7)))/2))/2))&gt;0,"Ya","Tidak")</f>
      </c>
      <c r="F105" s="31">
        <f>IF(OR(E105="Ya",AND(Input!$C$23=1,A105&lt;=Input!$C$15)),0,IFERROR(AVERAGEIFS('Data Tanah'!$N$7:$N$47,'Data Tanah'!$E$7:$E$47,"&gt;="&amp;(A105-Input!$C$36*Input!$C$7),'Data Tanah'!$E$7:$E$47,"&lt;="&amp;(A105+Input!$C$37*Input!$C$7)),INDEX('Data Tanah'!$N$7:$N$47,MATCH(A105,'Data Tanah'!$B$7:$B$47,1)))*Input!$C$9)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G105/Input!$C$44-H105</f>
      </c>
      <c r="J105" s="32">
        <f t="shared" si="12"/>
      </c>
      <c r="K105" s="32">
        <f>Input!$C$49</f>
      </c>
      <c r="L105" s="33">
        <f t="shared" si="13"/>
      </c>
      <c r="M105" s="31">
        <f>IF(D105&gt;0,Input!$C$38*D105/Input!$C$44,0)+H105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Tanah'!$L$7:$L$47,((((('Data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Tanah'!$B$7:$B$47-(IF(Input!$C$23=1,MAX(Input!$C$27,Input!$C$15),Input!$C$27))))/2)+ABS((('Data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Tanah'!$B$7:$B$47-(IF(Input!$C$23=1,MAX(Input!$C$27,Input!$C$15),Input!$C$27))))/2))/2))</f>
      </c>
      <c r="E106" s="13">
        <f>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Tanah'!$B$7:$B$47-(A106-1.5*Input!$C$7)))/2))/2))&gt;0,"Ya","Tidak")</f>
      </c>
      <c r="F106" s="30">
        <f>IF(OR(E106="Ya",AND(Input!$C$23=1,A106&lt;=Input!$C$15)),0,IFERROR(AVERAGEIFS('Data Tanah'!$N$7:$N$47,'Data Tanah'!$E$7:$E$47,"&gt;="&amp;(A106-Input!$C$36*Input!$C$7),'Data Tanah'!$E$7:$E$47,"&lt;="&amp;(A106+Input!$C$37*Input!$C$7)),INDEX('Data Tanah'!$N$7:$N$47,MATCH(A106,'Data Tanah'!$B$7:$B$47,1)))*Input!$C$9)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G106/Input!$C$44-H106</f>
      </c>
      <c r="J106" s="25">
        <f t="shared" si="12"/>
      </c>
      <c r="K106" s="25">
        <f>Input!$C$49</f>
      </c>
      <c r="L106" s="13">
        <f t="shared" si="13"/>
      </c>
      <c r="M106" s="30">
        <f>IF(D106&gt;0,Input!$C$38*D106/Input!$C$44,0)+H106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Tanah'!$L$7:$L$47,((((('Data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Tanah'!$B$7:$B$47-(IF(Input!$C$23=1,MAX(Input!$C$27,Input!$C$15),Input!$C$27))))/2)+ABS((('Data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Tanah'!$B$7:$B$47-(IF(Input!$C$23=1,MAX(Input!$C$27,Input!$C$15),Input!$C$27))))/2))/2))</f>
      </c>
      <c r="E107" s="33">
        <f>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Tanah'!$B$7:$B$47-(A107-1.5*Input!$C$7)))/2))/2))&gt;0,"Ya","Tidak")</f>
      </c>
      <c r="F107" s="31">
        <f>IF(OR(E107="Ya",AND(Input!$C$23=1,A107&lt;=Input!$C$15)),0,IFERROR(AVERAGEIFS('Data Tanah'!$N$7:$N$47,'Data Tanah'!$E$7:$E$47,"&gt;="&amp;(A107-Input!$C$36*Input!$C$7),'Data Tanah'!$E$7:$E$47,"&lt;="&amp;(A107+Input!$C$37*Input!$C$7)),INDEX('Data Tanah'!$N$7:$N$47,MATCH(A107,'Data Tanah'!$B$7:$B$47,1)))*Input!$C$9)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G107/Input!$C$44-H107</f>
      </c>
      <c r="J107" s="32">
        <f t="shared" si="12"/>
      </c>
      <c r="K107" s="32">
        <f>Input!$C$49</f>
      </c>
      <c r="L107" s="33">
        <f t="shared" si="13"/>
      </c>
      <c r="M107" s="31">
        <f>IF(D107&gt;0,Input!$C$38*D107/Input!$C$44,0)+H107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Tanah'!$L$7:$L$47,((((('Data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Tanah'!$B$7:$B$47-(IF(Input!$C$23=1,MAX(Input!$C$27,Input!$C$15),Input!$C$27))))/2)+ABS((('Data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Tanah'!$B$7:$B$47-(IF(Input!$C$23=1,MAX(Input!$C$27,Input!$C$15),Input!$C$27))))/2))/2))</f>
      </c>
      <c r="E108" s="13">
        <f>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Tanah'!$B$7:$B$47-(A108-1.5*Input!$C$7)))/2))/2))&gt;0,"Ya","Tidak")</f>
      </c>
      <c r="F108" s="30">
        <f>IF(OR(E108="Ya",AND(Input!$C$23=1,A108&lt;=Input!$C$15)),0,IFERROR(AVERAGEIFS('Data Tanah'!$N$7:$N$47,'Data Tanah'!$E$7:$E$47,"&gt;="&amp;(A108-Input!$C$36*Input!$C$7),'Data Tanah'!$E$7:$E$47,"&lt;="&amp;(A108+Input!$C$37*Input!$C$7)),INDEX('Data Tanah'!$N$7:$N$47,MATCH(A108,'Data Tanah'!$B$7:$B$47,1)))*Input!$C$9)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G108/Input!$C$44-H108</f>
      </c>
      <c r="J108" s="25">
        <f t="shared" ref="J108:J127" si="17">I108*9.81</f>
      </c>
      <c r="K108" s="25">
        <f>Input!$C$49</f>
      </c>
      <c r="L108" s="13">
        <f t="shared" ref="L108:L126" si="18">AND(J108&gt;=K108,L109)</f>
      </c>
      <c r="M108" s="30">
        <f>IF(D108&gt;0,Input!$C$38*D108/Input!$C$44,0)+H108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Tanah'!$L$7:$L$47,((((('Data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Tanah'!$B$7:$B$47-(IF(Input!$C$23=1,MAX(Input!$C$27,Input!$C$15),Input!$C$27))))/2)+ABS((('Data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Tanah'!$B$7:$B$47-(IF(Input!$C$23=1,MAX(Input!$C$27,Input!$C$15),Input!$C$27))))/2))/2))</f>
      </c>
      <c r="E109" s="33">
        <f>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Tanah'!$B$7:$B$47-(A109-1.5*Input!$C$7)))/2))/2))&gt;0,"Ya","Tidak")</f>
      </c>
      <c r="F109" s="31">
        <f>IF(OR(E109="Ya",AND(Input!$C$23=1,A109&lt;=Input!$C$15)),0,IFERROR(AVERAGEIFS('Data Tanah'!$N$7:$N$47,'Data Tanah'!$E$7:$E$47,"&gt;="&amp;(A109-Input!$C$36*Input!$C$7),'Data Tanah'!$E$7:$E$47,"&lt;="&amp;(A109+Input!$C$37*Input!$C$7)),INDEX('Data Tanah'!$N$7:$N$47,MATCH(A109,'Data Tanah'!$B$7:$B$47,1)))*Input!$C$9)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G109/Input!$C$44-H109</f>
      </c>
      <c r="J109" s="32">
        <f t="shared" si="17"/>
      </c>
      <c r="K109" s="32">
        <f>Input!$C$49</f>
      </c>
      <c r="L109" s="33">
        <f t="shared" si="18"/>
      </c>
      <c r="M109" s="31">
        <f>IF(D109&gt;0,Input!$C$38*D109/Input!$C$44,0)+H109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Tanah'!$L$7:$L$47,((((('Data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Tanah'!$B$7:$B$47-(IF(Input!$C$23=1,MAX(Input!$C$27,Input!$C$15),Input!$C$27))))/2)+ABS((('Data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Tanah'!$B$7:$B$47-(IF(Input!$C$23=1,MAX(Input!$C$27,Input!$C$15),Input!$C$27))))/2))/2))</f>
      </c>
      <c r="E110" s="13">
        <f>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Tanah'!$B$7:$B$47-(A110-1.5*Input!$C$7)))/2))/2))&gt;0,"Ya","Tidak")</f>
      </c>
      <c r="F110" s="30">
        <f>IF(OR(E110="Ya",AND(Input!$C$23=1,A110&lt;=Input!$C$15)),0,IFERROR(AVERAGEIFS('Data Tanah'!$N$7:$N$47,'Data Tanah'!$E$7:$E$47,"&gt;="&amp;(A110-Input!$C$36*Input!$C$7),'Data Tanah'!$E$7:$E$47,"&lt;="&amp;(A110+Input!$C$37*Input!$C$7)),INDEX('Data Tanah'!$N$7:$N$47,MATCH(A110,'Data Tanah'!$B$7:$B$47,1)))*Input!$C$9)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G110/Input!$C$44-H110</f>
      </c>
      <c r="J110" s="25">
        <f t="shared" si="17"/>
      </c>
      <c r="K110" s="25">
        <f>Input!$C$49</f>
      </c>
      <c r="L110" s="13">
        <f t="shared" si="18"/>
      </c>
      <c r="M110" s="30">
        <f>IF(D110&gt;0,Input!$C$38*D110/Input!$C$44,0)+H110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Tanah'!$L$7:$L$47,((((('Data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Tanah'!$B$7:$B$47-(IF(Input!$C$23=1,MAX(Input!$C$27,Input!$C$15),Input!$C$27))))/2)+ABS((('Data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Tanah'!$B$7:$B$47-(IF(Input!$C$23=1,MAX(Input!$C$27,Input!$C$15),Input!$C$27))))/2))/2))</f>
      </c>
      <c r="E111" s="33">
        <f>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Tanah'!$B$7:$B$47-(A111-1.5*Input!$C$7)))/2))/2))&gt;0,"Ya","Tidak")</f>
      </c>
      <c r="F111" s="31">
        <f>IF(OR(E111="Ya",AND(Input!$C$23=1,A111&lt;=Input!$C$15)),0,IFERROR(AVERAGEIFS('Data Tanah'!$N$7:$N$47,'Data Tanah'!$E$7:$E$47,"&gt;="&amp;(A111-Input!$C$36*Input!$C$7),'Data Tanah'!$E$7:$E$47,"&lt;="&amp;(A111+Input!$C$37*Input!$C$7)),INDEX('Data Tanah'!$N$7:$N$47,MATCH(A111,'Data Tanah'!$B$7:$B$47,1)))*Input!$C$9)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G111/Input!$C$44-H111</f>
      </c>
      <c r="J111" s="32">
        <f t="shared" si="17"/>
      </c>
      <c r="K111" s="32">
        <f>Input!$C$49</f>
      </c>
      <c r="L111" s="33">
        <f t="shared" si="18"/>
      </c>
      <c r="M111" s="31">
        <f>IF(D111&gt;0,Input!$C$38*D111/Input!$C$44,0)+H111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Tanah'!$L$7:$L$47,((((('Data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Tanah'!$B$7:$B$47-(IF(Input!$C$23=1,MAX(Input!$C$27,Input!$C$15),Input!$C$27))))/2)+ABS((('Data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Tanah'!$B$7:$B$47-(IF(Input!$C$23=1,MAX(Input!$C$27,Input!$C$15),Input!$C$27))))/2))/2))</f>
      </c>
      <c r="E112" s="13">
        <f>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Tanah'!$B$7:$B$47-(A112-1.5*Input!$C$7)))/2))/2))&gt;0,"Ya","Tidak")</f>
      </c>
      <c r="F112" s="30">
        <f>IF(OR(E112="Ya",AND(Input!$C$23=1,A112&lt;=Input!$C$15)),0,IFERROR(AVERAGEIFS('Data Tanah'!$N$7:$N$47,'Data Tanah'!$E$7:$E$47,"&gt;="&amp;(A112-Input!$C$36*Input!$C$7),'Data Tanah'!$E$7:$E$47,"&lt;="&amp;(A112+Input!$C$37*Input!$C$7)),INDEX('Data Tanah'!$N$7:$N$47,MATCH(A112,'Data Tanah'!$B$7:$B$47,1)))*Input!$C$9)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G112/Input!$C$44-H112</f>
      </c>
      <c r="J112" s="25">
        <f t="shared" si="17"/>
      </c>
      <c r="K112" s="25">
        <f>Input!$C$49</f>
      </c>
      <c r="L112" s="13">
        <f t="shared" si="18"/>
      </c>
      <c r="M112" s="30">
        <f>IF(D112&gt;0,Input!$C$38*D112/Input!$C$44,0)+H112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Tanah'!$L$7:$L$47,((((('Data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Tanah'!$B$7:$B$47-(IF(Input!$C$23=1,MAX(Input!$C$27,Input!$C$15),Input!$C$27))))/2)+ABS((('Data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Tanah'!$B$7:$B$47-(IF(Input!$C$23=1,MAX(Input!$C$27,Input!$C$15),Input!$C$27))))/2))/2))</f>
      </c>
      <c r="E113" s="33">
        <f>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Tanah'!$B$7:$B$47-(A113-1.5*Input!$C$7)))/2))/2))&gt;0,"Ya","Tidak")</f>
      </c>
      <c r="F113" s="31">
        <f>IF(OR(E113="Ya",AND(Input!$C$23=1,A113&lt;=Input!$C$15)),0,IFERROR(AVERAGEIFS('Data Tanah'!$N$7:$N$47,'Data Tanah'!$E$7:$E$47,"&gt;="&amp;(A113-Input!$C$36*Input!$C$7),'Data Tanah'!$E$7:$E$47,"&lt;="&amp;(A113+Input!$C$37*Input!$C$7)),INDEX('Data Tanah'!$N$7:$N$47,MATCH(A113,'Data Tanah'!$B$7:$B$47,1)))*Input!$C$9)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G113/Input!$C$44-H113</f>
      </c>
      <c r="J113" s="32">
        <f t="shared" si="17"/>
      </c>
      <c r="K113" s="32">
        <f>Input!$C$49</f>
      </c>
      <c r="L113" s="33">
        <f t="shared" si="18"/>
      </c>
      <c r="M113" s="31">
        <f>IF(D113&gt;0,Input!$C$38*D113/Input!$C$44,0)+H113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Tanah'!$L$7:$L$47,((((('Data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Tanah'!$B$7:$B$47-(IF(Input!$C$23=1,MAX(Input!$C$27,Input!$C$15),Input!$C$27))))/2)+ABS((('Data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Tanah'!$B$7:$B$47-(IF(Input!$C$23=1,MAX(Input!$C$27,Input!$C$15),Input!$C$27))))/2))/2))</f>
      </c>
      <c r="E114" s="13">
        <f>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Tanah'!$B$7:$B$47-(A114-1.5*Input!$C$7)))/2))/2))&gt;0,"Ya","Tidak")</f>
      </c>
      <c r="F114" s="30">
        <f>IF(OR(E114="Ya",AND(Input!$C$23=1,A114&lt;=Input!$C$15)),0,IFERROR(AVERAGEIFS('Data Tanah'!$N$7:$N$47,'Data Tanah'!$E$7:$E$47,"&gt;="&amp;(A114-Input!$C$36*Input!$C$7),'Data Tanah'!$E$7:$E$47,"&lt;="&amp;(A114+Input!$C$37*Input!$C$7)),INDEX('Data Tanah'!$N$7:$N$47,MATCH(A114,'Data Tanah'!$B$7:$B$47,1)))*Input!$C$9)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G114/Input!$C$44-H114</f>
      </c>
      <c r="J114" s="25">
        <f t="shared" si="17"/>
      </c>
      <c r="K114" s="25">
        <f>Input!$C$49</f>
      </c>
      <c r="L114" s="13">
        <f t="shared" si="18"/>
      </c>
      <c r="M114" s="30">
        <f>IF(D114&gt;0,Input!$C$38*D114/Input!$C$44,0)+H114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Tanah'!$L$7:$L$47,((((('Data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Tanah'!$B$7:$B$47-(IF(Input!$C$23=1,MAX(Input!$C$27,Input!$C$15),Input!$C$27))))/2)+ABS((('Data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Tanah'!$B$7:$B$47-(IF(Input!$C$23=1,MAX(Input!$C$27,Input!$C$15),Input!$C$27))))/2))/2))</f>
      </c>
      <c r="E115" s="33">
        <f>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Tanah'!$B$7:$B$47-(A115-1.5*Input!$C$7)))/2))/2))&gt;0,"Ya","Tidak")</f>
      </c>
      <c r="F115" s="31">
        <f>IF(OR(E115="Ya",AND(Input!$C$23=1,A115&lt;=Input!$C$15)),0,IFERROR(AVERAGEIFS('Data Tanah'!$N$7:$N$47,'Data Tanah'!$E$7:$E$47,"&gt;="&amp;(A115-Input!$C$36*Input!$C$7),'Data Tanah'!$E$7:$E$47,"&lt;="&amp;(A115+Input!$C$37*Input!$C$7)),INDEX('Data Tanah'!$N$7:$N$47,MATCH(A115,'Data Tanah'!$B$7:$B$47,1)))*Input!$C$9)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G115/Input!$C$44-H115</f>
      </c>
      <c r="J115" s="32">
        <f t="shared" si="17"/>
      </c>
      <c r="K115" s="32">
        <f>Input!$C$49</f>
      </c>
      <c r="L115" s="33">
        <f t="shared" si="18"/>
      </c>
      <c r="M115" s="31">
        <f>IF(D115&gt;0,Input!$C$38*D115/Input!$C$44,0)+H115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Tanah'!$L$7:$L$47,((((('Data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Tanah'!$B$7:$B$47-(IF(Input!$C$23=1,MAX(Input!$C$27,Input!$C$15),Input!$C$27))))/2)+ABS((('Data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Tanah'!$B$7:$B$47-(IF(Input!$C$23=1,MAX(Input!$C$27,Input!$C$15),Input!$C$27))))/2))/2))</f>
      </c>
      <c r="E116" s="13">
        <f>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Tanah'!$B$7:$B$47-(A116-1.5*Input!$C$7)))/2))/2))&gt;0,"Ya","Tidak")</f>
      </c>
      <c r="F116" s="30">
        <f>IF(OR(E116="Ya",AND(Input!$C$23=1,A116&lt;=Input!$C$15)),0,IFERROR(AVERAGEIFS('Data Tanah'!$N$7:$N$47,'Data Tanah'!$E$7:$E$47,"&gt;="&amp;(A116-Input!$C$36*Input!$C$7),'Data Tanah'!$E$7:$E$47,"&lt;="&amp;(A116+Input!$C$37*Input!$C$7)),INDEX('Data Tanah'!$N$7:$N$47,MATCH(A116,'Data Tanah'!$B$7:$B$47,1)))*Input!$C$9)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G116/Input!$C$44-H116</f>
      </c>
      <c r="J116" s="25">
        <f t="shared" si="17"/>
      </c>
      <c r="K116" s="25">
        <f>Input!$C$49</f>
      </c>
      <c r="L116" s="13">
        <f t="shared" si="18"/>
      </c>
      <c r="M116" s="30">
        <f>IF(D116&gt;0,Input!$C$38*D116/Input!$C$44,0)+H116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Tanah'!$L$7:$L$47,((((('Data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Tanah'!$B$7:$B$47-(IF(Input!$C$23=1,MAX(Input!$C$27,Input!$C$15),Input!$C$27))))/2)+ABS((('Data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Tanah'!$B$7:$B$47-(IF(Input!$C$23=1,MAX(Input!$C$27,Input!$C$15),Input!$C$27))))/2))/2))</f>
      </c>
      <c r="E117" s="33">
        <f>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Tanah'!$B$7:$B$47-(A117-1.5*Input!$C$7)))/2))/2))&gt;0,"Ya","Tidak")</f>
      </c>
      <c r="F117" s="31">
        <f>IF(OR(E117="Ya",AND(Input!$C$23=1,A117&lt;=Input!$C$15)),0,IFERROR(AVERAGEIFS('Data Tanah'!$N$7:$N$47,'Data Tanah'!$E$7:$E$47,"&gt;="&amp;(A117-Input!$C$36*Input!$C$7),'Data Tanah'!$E$7:$E$47,"&lt;="&amp;(A117+Input!$C$37*Input!$C$7)),INDEX('Data Tanah'!$N$7:$N$47,MATCH(A117,'Data Tanah'!$B$7:$B$47,1)))*Input!$C$9)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G117/Input!$C$44-H117</f>
      </c>
      <c r="J117" s="32">
        <f t="shared" si="17"/>
      </c>
      <c r="K117" s="32">
        <f>Input!$C$49</f>
      </c>
      <c r="L117" s="33">
        <f t="shared" si="18"/>
      </c>
      <c r="M117" s="31">
        <f>IF(D117&gt;0,Input!$C$38*D117/Input!$C$44,0)+H117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Tanah'!$L$7:$L$47,((((('Data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Tanah'!$B$7:$B$47-(IF(Input!$C$23=1,MAX(Input!$C$27,Input!$C$15),Input!$C$27))))/2)+ABS((('Data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Tanah'!$B$7:$B$47-(IF(Input!$C$23=1,MAX(Input!$C$27,Input!$C$15),Input!$C$27))))/2))/2))</f>
      </c>
      <c r="E118" s="13">
        <f>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Tanah'!$B$7:$B$47-(A118-1.5*Input!$C$7)))/2))/2))&gt;0,"Ya","Tidak")</f>
      </c>
      <c r="F118" s="30">
        <f>IF(OR(E118="Ya",AND(Input!$C$23=1,A118&lt;=Input!$C$15)),0,IFERROR(AVERAGEIFS('Data Tanah'!$N$7:$N$47,'Data Tanah'!$E$7:$E$47,"&gt;="&amp;(A118-Input!$C$36*Input!$C$7),'Data Tanah'!$E$7:$E$47,"&lt;="&amp;(A118+Input!$C$37*Input!$C$7)),INDEX('Data Tanah'!$N$7:$N$47,MATCH(A118,'Data Tanah'!$B$7:$B$47,1)))*Input!$C$9)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G118/Input!$C$44-H118</f>
      </c>
      <c r="J118" s="25">
        <f t="shared" si="17"/>
      </c>
      <c r="K118" s="25">
        <f>Input!$C$49</f>
      </c>
      <c r="L118" s="13">
        <f t="shared" si="18"/>
      </c>
      <c r="M118" s="30">
        <f>IF(D118&gt;0,Input!$C$38*D118/Input!$C$44,0)+H118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Tanah'!$L$7:$L$47,((((('Data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Tanah'!$B$7:$B$47-(IF(Input!$C$23=1,MAX(Input!$C$27,Input!$C$15),Input!$C$27))))/2)+ABS((('Data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Tanah'!$B$7:$B$47-(IF(Input!$C$23=1,MAX(Input!$C$27,Input!$C$15),Input!$C$27))))/2))/2))</f>
      </c>
      <c r="E119" s="33">
        <f>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Tanah'!$B$7:$B$47-(A119-1.5*Input!$C$7)))/2))/2))&gt;0,"Ya","Tidak")</f>
      </c>
      <c r="F119" s="31">
        <f>IF(OR(E119="Ya",AND(Input!$C$23=1,A119&lt;=Input!$C$15)),0,IFERROR(AVERAGEIFS('Data Tanah'!$N$7:$N$47,'Data Tanah'!$E$7:$E$47,"&gt;="&amp;(A119-Input!$C$36*Input!$C$7),'Data Tanah'!$E$7:$E$47,"&lt;="&amp;(A119+Input!$C$37*Input!$C$7)),INDEX('Data Tanah'!$N$7:$N$47,MATCH(A119,'Data Tanah'!$B$7:$B$47,1)))*Input!$C$9)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G119/Input!$C$44-H119</f>
      </c>
      <c r="J119" s="32">
        <f t="shared" si="17"/>
      </c>
      <c r="K119" s="32">
        <f>Input!$C$49</f>
      </c>
      <c r="L119" s="33">
        <f t="shared" si="18"/>
      </c>
      <c r="M119" s="31">
        <f>IF(D119&gt;0,Input!$C$38*D119/Input!$C$44,0)+H119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Tanah'!$L$7:$L$47,((((('Data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Tanah'!$B$7:$B$47-(IF(Input!$C$23=1,MAX(Input!$C$27,Input!$C$15),Input!$C$27))))/2)+ABS((('Data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Tanah'!$B$7:$B$47-(IF(Input!$C$23=1,MAX(Input!$C$27,Input!$C$15),Input!$C$27))))/2))/2))</f>
      </c>
      <c r="E120" s="13">
        <f>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Tanah'!$B$7:$B$47-(A120-1.5*Input!$C$7)))/2))/2))&gt;0,"Ya","Tidak")</f>
      </c>
      <c r="F120" s="30">
        <f>IF(OR(E120="Ya",AND(Input!$C$23=1,A120&lt;=Input!$C$15)),0,IFERROR(AVERAGEIFS('Data Tanah'!$N$7:$N$47,'Data Tanah'!$E$7:$E$47,"&gt;="&amp;(A120-Input!$C$36*Input!$C$7),'Data Tanah'!$E$7:$E$47,"&lt;="&amp;(A120+Input!$C$37*Input!$C$7)),INDEX('Data Tanah'!$N$7:$N$47,MATCH(A120,'Data Tanah'!$B$7:$B$47,1)))*Input!$C$9)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G120/Input!$C$44-H120</f>
      </c>
      <c r="J120" s="25">
        <f t="shared" si="17"/>
      </c>
      <c r="K120" s="25">
        <f>Input!$C$49</f>
      </c>
      <c r="L120" s="13">
        <f t="shared" si="18"/>
      </c>
      <c r="M120" s="30">
        <f>IF(D120&gt;0,Input!$C$38*D120/Input!$C$44,0)+H120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Tanah'!$L$7:$L$47,((((('Data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Tanah'!$B$7:$B$47-(IF(Input!$C$23=1,MAX(Input!$C$27,Input!$C$15),Input!$C$27))))/2)+ABS((('Data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Tanah'!$B$7:$B$47-(IF(Input!$C$23=1,MAX(Input!$C$27,Input!$C$15),Input!$C$27))))/2))/2))</f>
      </c>
      <c r="E121" s="33">
        <f>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Tanah'!$B$7:$B$47-(A121-1.5*Input!$C$7)))/2))/2))&gt;0,"Ya","Tidak")</f>
      </c>
      <c r="F121" s="31">
        <f>IF(OR(E121="Ya",AND(Input!$C$23=1,A121&lt;=Input!$C$15)),0,IFERROR(AVERAGEIFS('Data Tanah'!$N$7:$N$47,'Data Tanah'!$E$7:$E$47,"&gt;="&amp;(A121-Input!$C$36*Input!$C$7),'Data Tanah'!$E$7:$E$47,"&lt;="&amp;(A121+Input!$C$37*Input!$C$7)),INDEX('Data Tanah'!$N$7:$N$47,MATCH(A121,'Data Tanah'!$B$7:$B$47,1)))*Input!$C$9)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G121/Input!$C$44-H121</f>
      </c>
      <c r="J121" s="32">
        <f t="shared" si="17"/>
      </c>
      <c r="K121" s="32">
        <f>Input!$C$49</f>
      </c>
      <c r="L121" s="33">
        <f t="shared" si="18"/>
      </c>
      <c r="M121" s="31">
        <f>IF(D121&gt;0,Input!$C$38*D121/Input!$C$44,0)+H121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Tanah'!$L$7:$L$47,((((('Data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Tanah'!$B$7:$B$47-(IF(Input!$C$23=1,MAX(Input!$C$27,Input!$C$15),Input!$C$27))))/2)+ABS((('Data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Tanah'!$B$7:$B$47-(IF(Input!$C$23=1,MAX(Input!$C$27,Input!$C$15),Input!$C$27))))/2))/2))</f>
      </c>
      <c r="E122" s="13">
        <f>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Tanah'!$B$7:$B$47-(A122-1.5*Input!$C$7)))/2))/2))&gt;0,"Ya","Tidak")</f>
      </c>
      <c r="F122" s="30">
        <f>IF(OR(E122="Ya",AND(Input!$C$23=1,A122&lt;=Input!$C$15)),0,IFERROR(AVERAGEIFS('Data Tanah'!$N$7:$N$47,'Data Tanah'!$E$7:$E$47,"&gt;="&amp;(A122-Input!$C$36*Input!$C$7),'Data Tanah'!$E$7:$E$47,"&lt;="&amp;(A122+Input!$C$37*Input!$C$7)),INDEX('Data Tanah'!$N$7:$N$47,MATCH(A122,'Data Tanah'!$B$7:$B$47,1)))*Input!$C$9)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G122/Input!$C$44-H122</f>
      </c>
      <c r="J122" s="25">
        <f t="shared" si="17"/>
      </c>
      <c r="K122" s="25">
        <f>Input!$C$49</f>
      </c>
      <c r="L122" s="13">
        <f t="shared" si="18"/>
      </c>
      <c r="M122" s="30">
        <f>IF(D122&gt;0,Input!$C$38*D122/Input!$C$44,0)+H122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Tanah'!$L$7:$L$47,((((('Data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Tanah'!$B$7:$B$47-(IF(Input!$C$23=1,MAX(Input!$C$27,Input!$C$15),Input!$C$27))))/2)+ABS((('Data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Tanah'!$B$7:$B$47-(IF(Input!$C$23=1,MAX(Input!$C$27,Input!$C$15),Input!$C$27))))/2))/2))</f>
      </c>
      <c r="E123" s="33">
        <f>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Tanah'!$B$7:$B$47-(A123-1.5*Input!$C$7)))/2))/2))&gt;0,"Ya","Tidak")</f>
      </c>
      <c r="F123" s="31">
        <f>IF(OR(E123="Ya",AND(Input!$C$23=1,A123&lt;=Input!$C$15)),0,IFERROR(AVERAGEIFS('Data Tanah'!$N$7:$N$47,'Data Tanah'!$E$7:$E$47,"&gt;="&amp;(A123-Input!$C$36*Input!$C$7),'Data Tanah'!$E$7:$E$47,"&lt;="&amp;(A123+Input!$C$37*Input!$C$7)),INDEX('Data Tanah'!$N$7:$N$47,MATCH(A123,'Data Tanah'!$B$7:$B$47,1)))*Input!$C$9)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G123/Input!$C$44-H123</f>
      </c>
      <c r="J123" s="32">
        <f t="shared" si="17"/>
      </c>
      <c r="K123" s="32">
        <f>Input!$C$49</f>
      </c>
      <c r="L123" s="33">
        <f t="shared" si="18"/>
      </c>
      <c r="M123" s="31">
        <f>IF(D123&gt;0,Input!$C$38*D123/Input!$C$44,0)+H123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Tanah'!$L$7:$L$47,((((('Data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Tanah'!$B$7:$B$47-(IF(Input!$C$23=1,MAX(Input!$C$27,Input!$C$15),Input!$C$27))))/2)+ABS((('Data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Tanah'!$B$7:$B$47-(IF(Input!$C$23=1,MAX(Input!$C$27,Input!$C$15),Input!$C$27))))/2))/2))</f>
      </c>
      <c r="E124" s="13">
        <f>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Tanah'!$B$7:$B$47-(A124-1.5*Input!$C$7)))/2))/2))&gt;0,"Ya","Tidak")</f>
      </c>
      <c r="F124" s="30">
        <f>IF(OR(E124="Ya",AND(Input!$C$23=1,A124&lt;=Input!$C$15)),0,IFERROR(AVERAGEIFS('Data Tanah'!$N$7:$N$47,'Data Tanah'!$E$7:$E$47,"&gt;="&amp;(A124-Input!$C$36*Input!$C$7),'Data Tanah'!$E$7:$E$47,"&lt;="&amp;(A124+Input!$C$37*Input!$C$7)),INDEX('Data Tanah'!$N$7:$N$47,MATCH(A124,'Data Tanah'!$B$7:$B$47,1)))*Input!$C$9)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G124/Input!$C$44-H124</f>
      </c>
      <c r="J124" s="25">
        <f t="shared" si="17"/>
      </c>
      <c r="K124" s="25">
        <f>Input!$C$49</f>
      </c>
      <c r="L124" s="13">
        <f t="shared" si="18"/>
      </c>
      <c r="M124" s="30">
        <f>IF(D124&gt;0,Input!$C$38*D124/Input!$C$44,0)+H124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Tanah'!$L$7:$L$47,((((('Data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Tanah'!$B$7:$B$47-(IF(Input!$C$23=1,MAX(Input!$C$27,Input!$C$15),Input!$C$27))))/2)+ABS((('Data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Tanah'!$B$7:$B$47-(IF(Input!$C$23=1,MAX(Input!$C$27,Input!$C$15),Input!$C$27))))/2))/2))</f>
      </c>
      <c r="E125" s="33">
        <f>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Tanah'!$B$7:$B$47-(A125-1.5*Input!$C$7)))/2))/2))&gt;0,"Ya","Tidak")</f>
      </c>
      <c r="F125" s="31">
        <f>IF(OR(E125="Ya",AND(Input!$C$23=1,A125&lt;=Input!$C$15)),0,IFERROR(AVERAGEIFS('Data Tanah'!$N$7:$N$47,'Data Tanah'!$E$7:$E$47,"&gt;="&amp;(A125-Input!$C$36*Input!$C$7),'Data Tanah'!$E$7:$E$47,"&lt;="&amp;(A125+Input!$C$37*Input!$C$7)),INDEX('Data Tanah'!$N$7:$N$47,MATCH(A125,'Data Tanah'!$B$7:$B$47,1)))*Input!$C$9)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G125/Input!$C$44-H125</f>
      </c>
      <c r="J125" s="32">
        <f t="shared" si="17"/>
      </c>
      <c r="K125" s="32">
        <f>Input!$C$49</f>
      </c>
      <c r="L125" s="33">
        <f t="shared" si="18"/>
      </c>
      <c r="M125" s="31">
        <f>IF(D125&gt;0,Input!$C$38*D125/Input!$C$44,0)+H125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Tanah'!$L$7:$L$47,((((('Data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Tanah'!$B$7:$B$47-(IF(Input!$C$23=1,MAX(Input!$C$27,Input!$C$15),Input!$C$27))))/2)+ABS((('Data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Tanah'!$B$7:$B$47-(IF(Input!$C$23=1,MAX(Input!$C$27,Input!$C$15),Input!$C$27))))/2))/2))</f>
      </c>
      <c r="E126" s="13">
        <f>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Tanah'!$B$7:$B$47-(A126-1.5*Input!$C$7)))/2))/2))&gt;0,"Ya","Tidak")</f>
      </c>
      <c r="F126" s="30">
        <f>IF(OR(E126="Ya",AND(Input!$C$23=1,A126&lt;=Input!$C$15)),0,IFERROR(AVERAGEIFS('Data Tanah'!$N$7:$N$47,'Data Tanah'!$E$7:$E$47,"&gt;="&amp;(A126-Input!$C$36*Input!$C$7),'Data Tanah'!$E$7:$E$47,"&lt;="&amp;(A126+Input!$C$37*Input!$C$7)),INDEX('Data Tanah'!$N$7:$N$47,MATCH(A126,'Data Tanah'!$B$7:$B$47,1)))*Input!$C$9)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G126/Input!$C$44-H126</f>
      </c>
      <c r="J126" s="25">
        <f t="shared" si="17"/>
      </c>
      <c r="K126" s="25">
        <f>Input!$C$49</f>
      </c>
      <c r="L126" s="13">
        <f t="shared" si="18"/>
      </c>
      <c r="M126" s="30">
        <f>IF(D126&gt;0,Input!$C$38*D126/Input!$C$44,0)+H126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Tanah'!$L$7:$L$47,((((('Data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Tanah'!$B$7:$B$47-(IF(Input!$C$23=1,MAX(Input!$C$27,Input!$C$15),Input!$C$27))))/2)+ABS((('Data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Tanah'!$B$7:$B$47-(IF(Input!$C$23=1,MAX(Input!$C$27,Input!$C$15),Input!$C$27))))/2))/2))</f>
      </c>
      <c r="E127" s="33">
        <f>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Tanah'!$B$7:$B$47-(A127-1.5*Input!$C$7)))/2))/2))&gt;0,"Ya","Tidak")</f>
      </c>
      <c r="F127" s="31">
        <f>IF(OR(E127="Ya",AND(Input!$C$23=1,A127&lt;=Input!$C$15)),0,IFERROR(AVERAGEIFS('Data Tanah'!$N$7:$N$47,'Data Tanah'!$E$7:$E$47,"&gt;="&amp;(A127-Input!$C$36*Input!$C$7),'Data Tanah'!$E$7:$E$47,"&lt;="&amp;(A127+Input!$C$37*Input!$C$7)),INDEX('Data Tanah'!$N$7:$N$47,MATCH(A127,'Data Tanah'!$B$7:$B$47,1)))*Input!$C$9)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G127/Input!$C$44-H127</f>
      </c>
      <c r="J127" s="32">
        <f t="shared" si="17"/>
      </c>
      <c r="K127" s="32">
        <f>Input!$C$49</f>
      </c>
      <c r="L127" s="33">
        <f>J127&gt;=K127</f>
      </c>
      <c r="M127" s="31">
        <f>IF(D127&gt;0,Input!$C$38*D127/Input!$C$44,0)+H127</f>
      </c>
      <c r="N127" s="32">
        <f t="shared" si="19"/>
      </c>
    </row>
    <row r="129" spans="1:1" x14ac:dyDescent="0.25">
      <c r="A129" s="1" t="s">
        <v>151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10" customWidth="1"/>
    <col min="2" max="3" width="8" customWidth="1"/>
    <col min="4" max="4" width="12" customWidth="1"/>
    <col min="5" max="5" width="11" customWidth="1"/>
    <col min="6" max="6" width="8" customWidth="1"/>
    <col min="7" max="7" width="9" customWidth="1"/>
    <col min="8" max="10" width="10" customWidth="1"/>
    <col min="11" max="11" width="7" customWidth="1"/>
    <col min="12" max="12" width="9" customWidth="1"/>
    <col min="13" max="13" width="10" customWidth="1"/>
  </cols>
  <sheetData>
    <row r="1" spans="1:14" ht="18.75" x14ac:dyDescent="0.3">
      <c r="A1" s="35" t="s">
        <v>159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160</v>
      </c>
      <c r="B5" s="36"/>
      <c r="C5" s="36"/>
      <c r="D5" s="36"/>
      <c r="E5" s="27">
        <f>IFERROR(ROUND(1/(1/_xlfn.MINIFS(A12:A127,K12:K127,TRUE)),2),"&gt; data")</f>
      </c>
      <c r="F5" s="4" t="s">
        <v>25</v>
      </c>
    </row>
    <row r="6" spans="1:14" x14ac:dyDescent="0.25">
      <c r="A6" s="37" t="s">
        <v>161</v>
      </c>
      <c r="B6" s="36"/>
      <c r="C6" s="36"/>
      <c r="D6" s="36"/>
      <c r="E6" s="34">
        <f>G12*9.81</f>
      </c>
      <c r="F6" s="4" t="s">
        <v>17</v>
      </c>
    </row>
    <row r="7" spans="1:14" x14ac:dyDescent="0.25">
      <c r="A7" s="37" t="s">
        <v>162</v>
      </c>
      <c r="B7" s="36"/>
      <c r="C7" s="36"/>
      <c r="D7" s="36"/>
      <c r="E7" s="27">
        <f>Input!$C$45</f>
      </c>
      <c r="F7" s="4" t="s">
        <v>6</v>
      </c>
    </row>
    <row r="10" spans="1:14" ht="42" customHeight="1" x14ac:dyDescent="0.25">
      <c r="A10" s="15" t="s">
        <v>163</v>
      </c>
      <c r="B10" s="15" t="s">
        <v>139</v>
      </c>
      <c r="C10" s="15" t="s">
        <v>140</v>
      </c>
      <c r="D10" s="15" t="s">
        <v>164</v>
      </c>
      <c r="E10" s="15" t="s">
        <v>165</v>
      </c>
      <c r="F10" s="15" t="s">
        <v>145</v>
      </c>
      <c r="G10" s="15" t="s">
        <v>166</v>
      </c>
      <c r="H10" s="15" t="s">
        <v>167</v>
      </c>
      <c r="I10" s="15" t="s">
        <v>167</v>
      </c>
      <c r="J10" s="15" t="s">
        <v>168</v>
      </c>
      <c r="K10" s="15" t="s">
        <v>148</v>
      </c>
      <c r="L10" s="15" t="s">
        <v>169</v>
      </c>
      <c r="M10" s="15" t="s">
        <v>170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 t="s">
        <v>150</v>
      </c>
      <c r="F11" s="15" t="s">
        <v>150</v>
      </c>
      <c r="G11" s="15" t="s">
        <v>150</v>
      </c>
      <c r="H11" s="15" t="s">
        <v>150</v>
      </c>
      <c r="I11" s="15" t="s">
        <v>17</v>
      </c>
      <c r="J11" s="15" t="s">
        <v>17</v>
      </c>
      <c r="K11" s="15"/>
      <c r="L11" s="15" t="s">
        <v>81</v>
      </c>
      <c r="M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Tanah'!$M$7:$M$47,((((('Data Tanah'!$C$7:$C$47+MIN(A12,Input!$C$22))-ABS('Data Tanah'!$C$7:$C$47-(MIN(A12,Input!$C$22))))/2-(('Data Tanah'!$B$7:$B$47+Input!$C$11)+ABS('Data Tanah'!$B$7:$B$47-(Input!$C$11)))/2)+ABS((('Data Tanah'!$C$7:$C$47+MIN(A12,Input!$C$22))-ABS('Data Tanah'!$C$7:$C$47-(MIN(A12,Input!$C$22))))/2-(('Data Tanah'!$B$7:$B$47+Input!$C$11)+ABS('Data Tanah'!$B$7:$B$47-(Input!$C$11)))/2))/2))</f>
      </c>
      <c r="E12" s="30">
        <f>IF(A12&lt;=MAX(Input!$C$22,Input!$C$27),0,Input!$C$8*SUMPRODUCT('Data Tanah'!$L$7:$L$47,((((('Data Tanah'!$C$7:$C$47+A12-Input!$C$28*Input!$C$7)-ABS('Data Tanah'!$C$7:$C$47-(A12-Input!$C$28*Input!$C$7)))/2-(('Data Tanah'!$B$7:$B$47+MAX(Input!$C$22,Input!$C$27))+ABS('Data Tanah'!$B$7:$B$47-(MAX(Input!$C$22,Input!$C$27))))/2)+ABS((('Data Tanah'!$C$7:$C$47+A12-Input!$C$28*Input!$C$7)-ABS('Data Tanah'!$C$7:$C$47-(A12-Input!$C$28*Input!$C$7)))/2-(('Data Tanah'!$B$7:$B$47+MAX(Input!$C$22,Input!$C$27))+ABS('Data Tanah'!$B$7:$B$47-(MAX(Input!$C$22,Input!$C$27))))/2))/2))+IF(SUMPRODUCT(--('Data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Tanah'!$B$7:$B$47-(A12-1.5*Input!$C$7)))/2))/2))&gt;0,0,IFERROR(AVERAGEIFS('Data Tanah'!$N$7:$N$47,'Data Tanah'!$E$7:$E$47,"&gt;="&amp;(A12-Input!$C$36*Input!$C$7),'Data Tanah'!$E$7:$E$47,"&lt;="&amp;(A12+Input!$C$37*Input!$C$7)),INDEX('Data Tanah'!$N$7:$N$47,MATCH(A12,'Data Tanah'!$B$7:$B$47,1)))*Input!$C$9))</f>
      </c>
      <c r="F12" s="16">
        <f>Input!$C$9*(Input!$C$10*MAX(MIN(A12,Input!$C$14)-Input!$C$11,0)+(Input!$C$10-1)*MAX(A12-MAX(Input!$C$14,Input!$C$11),0))</f>
      </c>
      <c r="G12" s="30">
        <f t="shared" ref="G12:G43" si="1">$D$127</f>
      </c>
      <c r="H12" s="30">
        <f>IF(A12&lt;=Input!$C$22,NA(),E12/Input!$C$45-F12-G12)</f>
      </c>
      <c r="I12" s="25">
        <f t="shared" ref="I12:I43" si="2">IFERROR(H12*9.81,NA())</f>
      </c>
      <c r="J12" s="25">
        <f>Input!$C$50</f>
      </c>
      <c r="K12" s="13">
        <f t="shared" ref="K12:K43" si="3">AND(IFERROR(I12&gt;=J12,FALSE),K13)</f>
      </c>
      <c r="L12" s="9">
        <f>IF(A12&lt;=Input!$C$22,IFERROR(INDEX('Data Tanah'!$M$7:$M$47,MATCH(A12,'Data Tanah'!$B$7:$B$47,1)),0),NA())</f>
      </c>
      <c r="M12" s="25">
        <f t="shared" ref="M12:M43" si="4">D12*9.81</f>
      </c>
      <c r="N12">
        <f>M12*0.1019716213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Tanah'!$M$7:$M$47,((((('Data Tanah'!$C$7:$C$47+MIN(A13,Input!$C$22))-ABS('Data Tanah'!$C$7:$C$47-(MIN(A13,Input!$C$22))))/2-(('Data Tanah'!$B$7:$B$47+Input!$C$11)+ABS('Data Tanah'!$B$7:$B$47-(Input!$C$11)))/2)+ABS((('Data Tanah'!$C$7:$C$47+MIN(A13,Input!$C$22))-ABS('Data Tanah'!$C$7:$C$47-(MIN(A13,Input!$C$22))))/2-(('Data Tanah'!$B$7:$B$47+Input!$C$11)+ABS('Data Tanah'!$B$7:$B$47-(Input!$C$11)))/2))/2))</f>
      </c>
      <c r="E13" s="31">
        <f>IF(A13&lt;=MAX(Input!$C$22,Input!$C$27),0,Input!$C$8*SUMPRODUCT('Data Tanah'!$L$7:$L$47,((((('Data Tanah'!$C$7:$C$47+A13-Input!$C$28*Input!$C$7)-ABS('Data Tanah'!$C$7:$C$47-(A13-Input!$C$28*Input!$C$7)))/2-(('Data Tanah'!$B$7:$B$47+MAX(Input!$C$22,Input!$C$27))+ABS('Data Tanah'!$B$7:$B$47-(MAX(Input!$C$22,Input!$C$27))))/2)+ABS((('Data Tanah'!$C$7:$C$47+A13-Input!$C$28*Input!$C$7)-ABS('Data Tanah'!$C$7:$C$47-(A13-Input!$C$28*Input!$C$7)))/2-(('Data Tanah'!$B$7:$B$47+MAX(Input!$C$22,Input!$C$27))+ABS('Data Tanah'!$B$7:$B$47-(MAX(Input!$C$22,Input!$C$27))))/2))/2))+IF(SUMPRODUCT(--('Data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Tanah'!$B$7:$B$47-(A13-1.5*Input!$C$7)))/2))/2))&gt;0,0,IFERROR(AVERAGEIFS('Data Tanah'!$N$7:$N$47,'Data Tanah'!$E$7:$E$47,"&gt;="&amp;(A13-Input!$C$36*Input!$C$7),'Data Tanah'!$E$7:$E$47,"&lt;="&amp;(A13+Input!$C$37*Input!$C$7)),INDEX('Data Tanah'!$N$7:$N$47,MATCH(A13,'Data Tanah'!$B$7:$B$47,1)))*Input!$C$9))</f>
      </c>
      <c r="F13" s="20">
        <f>Input!$C$9*(Input!$C$10*MAX(MIN(A13,Input!$C$14)-Input!$C$11,0)+(Input!$C$10-1)*MAX(A13-MAX(Input!$C$14,Input!$C$11),0))</f>
      </c>
      <c r="G13" s="31">
        <f t="shared" si="1"/>
      </c>
      <c r="H13" s="31">
        <f>IF(A13&lt;=Input!$C$22,NA(),E13/Input!$C$45-F13-G13)</f>
      </c>
      <c r="I13" s="32">
        <f t="shared" si="2"/>
      </c>
      <c r="J13" s="32">
        <f>Input!$C$50</f>
      </c>
      <c r="K13" s="33">
        <f t="shared" si="3"/>
      </c>
      <c r="L13" s="19">
        <f>IF(A13&lt;=Input!$C$22,IFERROR(INDEX('Data Tanah'!$M$7:$M$47,MATCH(A13,'Data Tanah'!$B$7:$B$47,1)),0),NA())</f>
      </c>
      <c r="M13" s="32">
        <f t="shared" si="4"/>
      </c>
      <c r="N13">
        <f t="shared" ref="N13:N76" si="5">M13*0.1019716213</f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Tanah'!$M$7:$M$47,((((('Data Tanah'!$C$7:$C$47+MIN(A14,Input!$C$22))-ABS('Data Tanah'!$C$7:$C$47-(MIN(A14,Input!$C$22))))/2-(('Data Tanah'!$B$7:$B$47+Input!$C$11)+ABS('Data Tanah'!$B$7:$B$47-(Input!$C$11)))/2)+ABS((('Data Tanah'!$C$7:$C$47+MIN(A14,Input!$C$22))-ABS('Data Tanah'!$C$7:$C$47-(MIN(A14,Input!$C$22))))/2-(('Data Tanah'!$B$7:$B$47+Input!$C$11)+ABS('Data Tanah'!$B$7:$B$47-(Input!$C$11)))/2))/2))</f>
      </c>
      <c r="E14" s="30">
        <f>IF(A14&lt;=MAX(Input!$C$22,Input!$C$27),0,Input!$C$8*SUMPRODUCT('Data Tanah'!$L$7:$L$47,((((('Data Tanah'!$C$7:$C$47+A14-Input!$C$28*Input!$C$7)-ABS('Data Tanah'!$C$7:$C$47-(A14-Input!$C$28*Input!$C$7)))/2-(('Data Tanah'!$B$7:$B$47+MAX(Input!$C$22,Input!$C$27))+ABS('Data Tanah'!$B$7:$B$47-(MAX(Input!$C$22,Input!$C$27))))/2)+ABS((('Data Tanah'!$C$7:$C$47+A14-Input!$C$28*Input!$C$7)-ABS('Data Tanah'!$C$7:$C$47-(A14-Input!$C$28*Input!$C$7)))/2-(('Data Tanah'!$B$7:$B$47+MAX(Input!$C$22,Input!$C$27))+ABS('Data Tanah'!$B$7:$B$47-(MAX(Input!$C$22,Input!$C$27))))/2))/2))+IF(SUMPRODUCT(--('Data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Tanah'!$B$7:$B$47-(A14-1.5*Input!$C$7)))/2))/2))&gt;0,0,IFERROR(AVERAGEIFS('Data Tanah'!$N$7:$N$47,'Data Tanah'!$E$7:$E$47,"&gt;="&amp;(A14-Input!$C$36*Input!$C$7),'Data Tanah'!$E$7:$E$47,"&lt;="&amp;(A14+Input!$C$37*Input!$C$7)),INDEX('Data Tanah'!$N$7:$N$47,MATCH(A14,'Data Tanah'!$B$7:$B$47,1)))*Input!$C$9))</f>
      </c>
      <c r="F14" s="16">
        <f>Input!$C$9*(Input!$C$10*MAX(MIN(A14,Input!$C$14)-Input!$C$11,0)+(Input!$C$10-1)*MAX(A14-MAX(Input!$C$14,Input!$C$11),0))</f>
      </c>
      <c r="G14" s="30">
        <f t="shared" si="1"/>
      </c>
      <c r="H14" s="30">
        <f>IF(A14&lt;=Input!$C$22,NA(),E14/Input!$C$45-F14-G14)</f>
      </c>
      <c r="I14" s="25">
        <f t="shared" si="2"/>
      </c>
      <c r="J14" s="25">
        <f>Input!$C$50</f>
      </c>
      <c r="K14" s="13">
        <f t="shared" si="3"/>
      </c>
      <c r="L14" s="9">
        <f>IF(A14&lt;=Input!$C$22,IFERROR(INDEX('Data Tanah'!$M$7:$M$47,MATCH(A14,'Data Tanah'!$B$7:$B$47,1)),0),NA())</f>
      </c>
      <c r="M14" s="25">
        <f t="shared" si="4"/>
      </c>
      <c r="N14">
        <f t="shared" si="5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Tanah'!$M$7:$M$47,((((('Data Tanah'!$C$7:$C$47+MIN(A15,Input!$C$22))-ABS('Data Tanah'!$C$7:$C$47-(MIN(A15,Input!$C$22))))/2-(('Data Tanah'!$B$7:$B$47+Input!$C$11)+ABS('Data Tanah'!$B$7:$B$47-(Input!$C$11)))/2)+ABS((('Data Tanah'!$C$7:$C$47+MIN(A15,Input!$C$22))-ABS('Data Tanah'!$C$7:$C$47-(MIN(A15,Input!$C$22))))/2-(('Data Tanah'!$B$7:$B$47+Input!$C$11)+ABS('Data Tanah'!$B$7:$B$47-(Input!$C$11)))/2))/2))</f>
      </c>
      <c r="E15" s="31">
        <f>IF(A15&lt;=MAX(Input!$C$22,Input!$C$27),0,Input!$C$8*SUMPRODUCT('Data Tanah'!$L$7:$L$47,((((('Data Tanah'!$C$7:$C$47+A15-Input!$C$28*Input!$C$7)-ABS('Data Tanah'!$C$7:$C$47-(A15-Input!$C$28*Input!$C$7)))/2-(('Data Tanah'!$B$7:$B$47+MAX(Input!$C$22,Input!$C$27))+ABS('Data Tanah'!$B$7:$B$47-(MAX(Input!$C$22,Input!$C$27))))/2)+ABS((('Data Tanah'!$C$7:$C$47+A15-Input!$C$28*Input!$C$7)-ABS('Data Tanah'!$C$7:$C$47-(A15-Input!$C$28*Input!$C$7)))/2-(('Data Tanah'!$B$7:$B$47+MAX(Input!$C$22,Input!$C$27))+ABS('Data Tanah'!$B$7:$B$47-(MAX(Input!$C$22,Input!$C$27))))/2))/2))+IF(SUMPRODUCT(--('Data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Tanah'!$B$7:$B$47-(A15-1.5*Input!$C$7)))/2))/2))&gt;0,0,IFERROR(AVERAGEIFS('Data Tanah'!$N$7:$N$47,'Data Tanah'!$E$7:$E$47,"&gt;="&amp;(A15-Input!$C$36*Input!$C$7),'Data Tanah'!$E$7:$E$47,"&lt;="&amp;(A15+Input!$C$37*Input!$C$7)),INDEX('Data Tanah'!$N$7:$N$47,MATCH(A15,'Data Tanah'!$B$7:$B$47,1)))*Input!$C$9))</f>
      </c>
      <c r="F15" s="20">
        <f>Input!$C$9*(Input!$C$10*MAX(MIN(A15,Input!$C$14)-Input!$C$11,0)+(Input!$C$10-1)*MAX(A15-MAX(Input!$C$14,Input!$C$11),0))</f>
      </c>
      <c r="G15" s="31">
        <f t="shared" si="1"/>
      </c>
      <c r="H15" s="31">
        <f>IF(A15&lt;=Input!$C$22,NA(),E15/Input!$C$45-F15-G15)</f>
      </c>
      <c r="I15" s="32">
        <f t="shared" si="2"/>
      </c>
      <c r="J15" s="32">
        <f>Input!$C$50</f>
      </c>
      <c r="K15" s="33">
        <f t="shared" si="3"/>
      </c>
      <c r="L15" s="19">
        <f>IF(A15&lt;=Input!$C$22,IFERROR(INDEX('Data Tanah'!$M$7:$M$47,MATCH(A15,'Data Tanah'!$B$7:$B$47,1)),0),NA())</f>
      </c>
      <c r="M15" s="32">
        <f t="shared" si="4"/>
      </c>
      <c r="N15">
        <f t="shared" si="5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Tanah'!$M$7:$M$47,((((('Data Tanah'!$C$7:$C$47+MIN(A16,Input!$C$22))-ABS('Data Tanah'!$C$7:$C$47-(MIN(A16,Input!$C$22))))/2-(('Data Tanah'!$B$7:$B$47+Input!$C$11)+ABS('Data Tanah'!$B$7:$B$47-(Input!$C$11)))/2)+ABS((('Data Tanah'!$C$7:$C$47+MIN(A16,Input!$C$22))-ABS('Data Tanah'!$C$7:$C$47-(MIN(A16,Input!$C$22))))/2-(('Data Tanah'!$B$7:$B$47+Input!$C$11)+ABS('Data Tanah'!$B$7:$B$47-(Input!$C$11)))/2))/2))</f>
      </c>
      <c r="E16" s="30">
        <f>IF(A16&lt;=MAX(Input!$C$22,Input!$C$27),0,Input!$C$8*SUMPRODUCT('Data Tanah'!$L$7:$L$47,((((('Data Tanah'!$C$7:$C$47+A16-Input!$C$28*Input!$C$7)-ABS('Data Tanah'!$C$7:$C$47-(A16-Input!$C$28*Input!$C$7)))/2-(('Data Tanah'!$B$7:$B$47+MAX(Input!$C$22,Input!$C$27))+ABS('Data Tanah'!$B$7:$B$47-(MAX(Input!$C$22,Input!$C$27))))/2)+ABS((('Data Tanah'!$C$7:$C$47+A16-Input!$C$28*Input!$C$7)-ABS('Data Tanah'!$C$7:$C$47-(A16-Input!$C$28*Input!$C$7)))/2-(('Data Tanah'!$B$7:$B$47+MAX(Input!$C$22,Input!$C$27))+ABS('Data Tanah'!$B$7:$B$47-(MAX(Input!$C$22,Input!$C$27))))/2))/2))+IF(SUMPRODUCT(--('Data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Tanah'!$B$7:$B$47-(A16-1.5*Input!$C$7)))/2))/2))&gt;0,0,IFERROR(AVERAGEIFS('Data Tanah'!$N$7:$N$47,'Data Tanah'!$E$7:$E$47,"&gt;="&amp;(A16-Input!$C$36*Input!$C$7),'Data Tanah'!$E$7:$E$47,"&lt;="&amp;(A16+Input!$C$37*Input!$C$7)),INDEX('Data Tanah'!$N$7:$N$47,MATCH(A16,'Data Tanah'!$B$7:$B$47,1)))*Input!$C$9))</f>
      </c>
      <c r="F16" s="16">
        <f>Input!$C$9*(Input!$C$10*MAX(MIN(A16,Input!$C$14)-Input!$C$11,0)+(Input!$C$10-1)*MAX(A16-MAX(Input!$C$14,Input!$C$11),0))</f>
      </c>
      <c r="G16" s="30">
        <f t="shared" si="1"/>
      </c>
      <c r="H16" s="30">
        <f>IF(A16&lt;=Input!$C$22,NA(),E16/Input!$C$45-F16-G16)</f>
      </c>
      <c r="I16" s="25">
        <f t="shared" si="2"/>
      </c>
      <c r="J16" s="25">
        <f>Input!$C$50</f>
      </c>
      <c r="K16" s="13">
        <f t="shared" si="3"/>
      </c>
      <c r="L16" s="9">
        <f>IF(A16&lt;=Input!$C$22,IFERROR(INDEX('Data Tanah'!$M$7:$M$47,MATCH(A16,'Data Tanah'!$B$7:$B$47,1)),0),NA())</f>
      </c>
      <c r="M16" s="25">
        <f t="shared" si="4"/>
      </c>
      <c r="N16">
        <f t="shared" si="5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Tanah'!$M$7:$M$47,((((('Data Tanah'!$C$7:$C$47+MIN(A17,Input!$C$22))-ABS('Data Tanah'!$C$7:$C$47-(MIN(A17,Input!$C$22))))/2-(('Data Tanah'!$B$7:$B$47+Input!$C$11)+ABS('Data Tanah'!$B$7:$B$47-(Input!$C$11)))/2)+ABS((('Data Tanah'!$C$7:$C$47+MIN(A17,Input!$C$22))-ABS('Data Tanah'!$C$7:$C$47-(MIN(A17,Input!$C$22))))/2-(('Data Tanah'!$B$7:$B$47+Input!$C$11)+ABS('Data Tanah'!$B$7:$B$47-(Input!$C$11)))/2))/2))</f>
      </c>
      <c r="E17" s="31">
        <f>IF(A17&lt;=MAX(Input!$C$22,Input!$C$27),0,Input!$C$8*SUMPRODUCT('Data Tanah'!$L$7:$L$47,((((('Data Tanah'!$C$7:$C$47+A17-Input!$C$28*Input!$C$7)-ABS('Data Tanah'!$C$7:$C$47-(A17-Input!$C$28*Input!$C$7)))/2-(('Data Tanah'!$B$7:$B$47+MAX(Input!$C$22,Input!$C$27))+ABS('Data Tanah'!$B$7:$B$47-(MAX(Input!$C$22,Input!$C$27))))/2)+ABS((('Data Tanah'!$C$7:$C$47+A17-Input!$C$28*Input!$C$7)-ABS('Data Tanah'!$C$7:$C$47-(A17-Input!$C$28*Input!$C$7)))/2-(('Data Tanah'!$B$7:$B$47+MAX(Input!$C$22,Input!$C$27))+ABS('Data Tanah'!$B$7:$B$47-(MAX(Input!$C$22,Input!$C$27))))/2))/2))+IF(SUMPRODUCT(--('Data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Tanah'!$B$7:$B$47-(A17-1.5*Input!$C$7)))/2))/2))&gt;0,0,IFERROR(AVERAGEIFS('Data Tanah'!$N$7:$N$47,'Data Tanah'!$E$7:$E$47,"&gt;="&amp;(A17-Input!$C$36*Input!$C$7),'Data Tanah'!$E$7:$E$47,"&lt;="&amp;(A17+Input!$C$37*Input!$C$7)),INDEX('Data Tanah'!$N$7:$N$47,MATCH(A17,'Data Tanah'!$B$7:$B$47,1)))*Input!$C$9))</f>
      </c>
      <c r="F17" s="20">
        <f>Input!$C$9*(Input!$C$10*MAX(MIN(A17,Input!$C$14)-Input!$C$11,0)+(Input!$C$10-1)*MAX(A17-MAX(Input!$C$14,Input!$C$11),0))</f>
      </c>
      <c r="G17" s="31">
        <f t="shared" si="1"/>
      </c>
      <c r="H17" s="31">
        <f>IF(A17&lt;=Input!$C$22,NA(),E17/Input!$C$45-F17-G17)</f>
      </c>
      <c r="I17" s="32">
        <f t="shared" si="2"/>
      </c>
      <c r="J17" s="32">
        <f>Input!$C$50</f>
      </c>
      <c r="K17" s="33">
        <f t="shared" si="3"/>
      </c>
      <c r="L17" s="19">
        <f>IF(A17&lt;=Input!$C$22,IFERROR(INDEX('Data Tanah'!$M$7:$M$47,MATCH(A17,'Data Tanah'!$B$7:$B$47,1)),0),NA())</f>
      </c>
      <c r="M17" s="32">
        <f t="shared" si="4"/>
      </c>
      <c r="N17">
        <f t="shared" si="5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Tanah'!$M$7:$M$47,((((('Data Tanah'!$C$7:$C$47+MIN(A18,Input!$C$22))-ABS('Data Tanah'!$C$7:$C$47-(MIN(A18,Input!$C$22))))/2-(('Data Tanah'!$B$7:$B$47+Input!$C$11)+ABS('Data Tanah'!$B$7:$B$47-(Input!$C$11)))/2)+ABS((('Data Tanah'!$C$7:$C$47+MIN(A18,Input!$C$22))-ABS('Data Tanah'!$C$7:$C$47-(MIN(A18,Input!$C$22))))/2-(('Data Tanah'!$B$7:$B$47+Input!$C$11)+ABS('Data Tanah'!$B$7:$B$47-(Input!$C$11)))/2))/2))</f>
      </c>
      <c r="E18" s="30">
        <f>IF(A18&lt;=MAX(Input!$C$22,Input!$C$27),0,Input!$C$8*SUMPRODUCT('Data Tanah'!$L$7:$L$47,((((('Data Tanah'!$C$7:$C$47+A18-Input!$C$28*Input!$C$7)-ABS('Data Tanah'!$C$7:$C$47-(A18-Input!$C$28*Input!$C$7)))/2-(('Data Tanah'!$B$7:$B$47+MAX(Input!$C$22,Input!$C$27))+ABS('Data Tanah'!$B$7:$B$47-(MAX(Input!$C$22,Input!$C$27))))/2)+ABS((('Data Tanah'!$C$7:$C$47+A18-Input!$C$28*Input!$C$7)-ABS('Data Tanah'!$C$7:$C$47-(A18-Input!$C$28*Input!$C$7)))/2-(('Data Tanah'!$B$7:$B$47+MAX(Input!$C$22,Input!$C$27))+ABS('Data Tanah'!$B$7:$B$47-(MAX(Input!$C$22,Input!$C$27))))/2))/2))+IF(SUMPRODUCT(--('Data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Tanah'!$B$7:$B$47-(A18-1.5*Input!$C$7)))/2))/2))&gt;0,0,IFERROR(AVERAGEIFS('Data Tanah'!$N$7:$N$47,'Data Tanah'!$E$7:$E$47,"&gt;="&amp;(A18-Input!$C$36*Input!$C$7),'Data Tanah'!$E$7:$E$47,"&lt;="&amp;(A18+Input!$C$37*Input!$C$7)),INDEX('Data Tanah'!$N$7:$N$47,MATCH(A18,'Data Tanah'!$B$7:$B$47,1)))*Input!$C$9))</f>
      </c>
      <c r="F18" s="16">
        <f>Input!$C$9*(Input!$C$10*MAX(MIN(A18,Input!$C$14)-Input!$C$11,0)+(Input!$C$10-1)*MAX(A18-MAX(Input!$C$14,Input!$C$11),0))</f>
      </c>
      <c r="G18" s="30">
        <f t="shared" si="1"/>
      </c>
      <c r="H18" s="30">
        <f>IF(A18&lt;=Input!$C$22,NA(),E18/Input!$C$45-F18-G18)</f>
      </c>
      <c r="I18" s="25">
        <f t="shared" si="2"/>
      </c>
      <c r="J18" s="25">
        <f>Input!$C$50</f>
      </c>
      <c r="K18" s="13">
        <f t="shared" si="3"/>
      </c>
      <c r="L18" s="9">
        <f>IF(A18&lt;=Input!$C$22,IFERROR(INDEX('Data Tanah'!$M$7:$M$47,MATCH(A18,'Data Tanah'!$B$7:$B$47,1)),0),NA())</f>
      </c>
      <c r="M18" s="25">
        <f t="shared" si="4"/>
      </c>
      <c r="N18">
        <f t="shared" si="5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Tanah'!$M$7:$M$47,((((('Data Tanah'!$C$7:$C$47+MIN(A19,Input!$C$22))-ABS('Data Tanah'!$C$7:$C$47-(MIN(A19,Input!$C$22))))/2-(('Data Tanah'!$B$7:$B$47+Input!$C$11)+ABS('Data Tanah'!$B$7:$B$47-(Input!$C$11)))/2)+ABS((('Data Tanah'!$C$7:$C$47+MIN(A19,Input!$C$22))-ABS('Data Tanah'!$C$7:$C$47-(MIN(A19,Input!$C$22))))/2-(('Data Tanah'!$B$7:$B$47+Input!$C$11)+ABS('Data Tanah'!$B$7:$B$47-(Input!$C$11)))/2))/2))</f>
      </c>
      <c r="E19" s="31">
        <f>IF(A19&lt;=MAX(Input!$C$22,Input!$C$27),0,Input!$C$8*SUMPRODUCT('Data Tanah'!$L$7:$L$47,((((('Data Tanah'!$C$7:$C$47+A19-Input!$C$28*Input!$C$7)-ABS('Data Tanah'!$C$7:$C$47-(A19-Input!$C$28*Input!$C$7)))/2-(('Data Tanah'!$B$7:$B$47+MAX(Input!$C$22,Input!$C$27))+ABS('Data Tanah'!$B$7:$B$47-(MAX(Input!$C$22,Input!$C$27))))/2)+ABS((('Data Tanah'!$C$7:$C$47+A19-Input!$C$28*Input!$C$7)-ABS('Data Tanah'!$C$7:$C$47-(A19-Input!$C$28*Input!$C$7)))/2-(('Data Tanah'!$B$7:$B$47+MAX(Input!$C$22,Input!$C$27))+ABS('Data Tanah'!$B$7:$B$47-(MAX(Input!$C$22,Input!$C$27))))/2))/2))+IF(SUMPRODUCT(--('Data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Tanah'!$B$7:$B$47-(A19-1.5*Input!$C$7)))/2))/2))&gt;0,0,IFERROR(AVERAGEIFS('Data Tanah'!$N$7:$N$47,'Data Tanah'!$E$7:$E$47,"&gt;="&amp;(A19-Input!$C$36*Input!$C$7),'Data Tanah'!$E$7:$E$47,"&lt;="&amp;(A19+Input!$C$37*Input!$C$7)),INDEX('Data Tanah'!$N$7:$N$47,MATCH(A19,'Data Tanah'!$B$7:$B$47,1)))*Input!$C$9))</f>
      </c>
      <c r="F19" s="20">
        <f>Input!$C$9*(Input!$C$10*MAX(MIN(A19,Input!$C$14)-Input!$C$11,0)+(Input!$C$10-1)*MAX(A19-MAX(Input!$C$14,Input!$C$11),0))</f>
      </c>
      <c r="G19" s="31">
        <f t="shared" si="1"/>
      </c>
      <c r="H19" s="31">
        <f>IF(A19&lt;=Input!$C$22,NA(),E19/Input!$C$45-F19-G19)</f>
      </c>
      <c r="I19" s="32">
        <f t="shared" si="2"/>
      </c>
      <c r="J19" s="32">
        <f>Input!$C$50</f>
      </c>
      <c r="K19" s="33">
        <f t="shared" si="3"/>
      </c>
      <c r="L19" s="19">
        <f>IF(A19&lt;=Input!$C$22,IFERROR(INDEX('Data Tanah'!$M$7:$M$47,MATCH(A19,'Data Tanah'!$B$7:$B$47,1)),0),NA())</f>
      </c>
      <c r="M19" s="32">
        <f t="shared" si="4"/>
      </c>
      <c r="N19">
        <f t="shared" si="5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Tanah'!$M$7:$M$47,((((('Data Tanah'!$C$7:$C$47+MIN(A20,Input!$C$22))-ABS('Data Tanah'!$C$7:$C$47-(MIN(A20,Input!$C$22))))/2-(('Data Tanah'!$B$7:$B$47+Input!$C$11)+ABS('Data Tanah'!$B$7:$B$47-(Input!$C$11)))/2)+ABS((('Data Tanah'!$C$7:$C$47+MIN(A20,Input!$C$22))-ABS('Data Tanah'!$C$7:$C$47-(MIN(A20,Input!$C$22))))/2-(('Data Tanah'!$B$7:$B$47+Input!$C$11)+ABS('Data Tanah'!$B$7:$B$47-(Input!$C$11)))/2))/2))</f>
      </c>
      <c r="E20" s="30">
        <f>IF(A20&lt;=MAX(Input!$C$22,Input!$C$27),0,Input!$C$8*SUMPRODUCT('Data Tanah'!$L$7:$L$47,((((('Data Tanah'!$C$7:$C$47+A20-Input!$C$28*Input!$C$7)-ABS('Data Tanah'!$C$7:$C$47-(A20-Input!$C$28*Input!$C$7)))/2-(('Data Tanah'!$B$7:$B$47+MAX(Input!$C$22,Input!$C$27))+ABS('Data Tanah'!$B$7:$B$47-(MAX(Input!$C$22,Input!$C$27))))/2)+ABS((('Data Tanah'!$C$7:$C$47+A20-Input!$C$28*Input!$C$7)-ABS('Data Tanah'!$C$7:$C$47-(A20-Input!$C$28*Input!$C$7)))/2-(('Data Tanah'!$B$7:$B$47+MAX(Input!$C$22,Input!$C$27))+ABS('Data Tanah'!$B$7:$B$47-(MAX(Input!$C$22,Input!$C$27))))/2))/2))+IF(SUMPRODUCT(--('Data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Tanah'!$B$7:$B$47-(A20-1.5*Input!$C$7)))/2))/2))&gt;0,0,IFERROR(AVERAGEIFS('Data Tanah'!$N$7:$N$47,'Data Tanah'!$E$7:$E$47,"&gt;="&amp;(A20-Input!$C$36*Input!$C$7),'Data Tanah'!$E$7:$E$47,"&lt;="&amp;(A20+Input!$C$37*Input!$C$7)),INDEX('Data Tanah'!$N$7:$N$47,MATCH(A20,'Data Tanah'!$B$7:$B$47,1)))*Input!$C$9))</f>
      </c>
      <c r="F20" s="16">
        <f>Input!$C$9*(Input!$C$10*MAX(MIN(A20,Input!$C$14)-Input!$C$11,0)+(Input!$C$10-1)*MAX(A20-MAX(Input!$C$14,Input!$C$11),0))</f>
      </c>
      <c r="G20" s="30">
        <f t="shared" si="1"/>
      </c>
      <c r="H20" s="30">
        <f>IF(A20&lt;=Input!$C$22,NA(),E20/Input!$C$45-F20-G20)</f>
      </c>
      <c r="I20" s="25">
        <f t="shared" si="2"/>
      </c>
      <c r="J20" s="25">
        <f>Input!$C$50</f>
      </c>
      <c r="K20" s="13">
        <f t="shared" si="3"/>
      </c>
      <c r="L20" s="9">
        <f>IF(A20&lt;=Input!$C$22,IFERROR(INDEX('Data Tanah'!$M$7:$M$47,MATCH(A20,'Data Tanah'!$B$7:$B$47,1)),0),NA())</f>
      </c>
      <c r="M20" s="25">
        <f t="shared" si="4"/>
      </c>
      <c r="N20">
        <f t="shared" si="5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Tanah'!$M$7:$M$47,((((('Data Tanah'!$C$7:$C$47+MIN(A21,Input!$C$22))-ABS('Data Tanah'!$C$7:$C$47-(MIN(A21,Input!$C$22))))/2-(('Data Tanah'!$B$7:$B$47+Input!$C$11)+ABS('Data Tanah'!$B$7:$B$47-(Input!$C$11)))/2)+ABS((('Data Tanah'!$C$7:$C$47+MIN(A21,Input!$C$22))-ABS('Data Tanah'!$C$7:$C$47-(MIN(A21,Input!$C$22))))/2-(('Data Tanah'!$B$7:$B$47+Input!$C$11)+ABS('Data Tanah'!$B$7:$B$47-(Input!$C$11)))/2))/2))</f>
      </c>
      <c r="E21" s="31">
        <f>IF(A21&lt;=MAX(Input!$C$22,Input!$C$27),0,Input!$C$8*SUMPRODUCT('Data Tanah'!$L$7:$L$47,((((('Data Tanah'!$C$7:$C$47+A21-Input!$C$28*Input!$C$7)-ABS('Data Tanah'!$C$7:$C$47-(A21-Input!$C$28*Input!$C$7)))/2-(('Data Tanah'!$B$7:$B$47+MAX(Input!$C$22,Input!$C$27))+ABS('Data Tanah'!$B$7:$B$47-(MAX(Input!$C$22,Input!$C$27))))/2)+ABS((('Data Tanah'!$C$7:$C$47+A21-Input!$C$28*Input!$C$7)-ABS('Data Tanah'!$C$7:$C$47-(A21-Input!$C$28*Input!$C$7)))/2-(('Data Tanah'!$B$7:$B$47+MAX(Input!$C$22,Input!$C$27))+ABS('Data Tanah'!$B$7:$B$47-(MAX(Input!$C$22,Input!$C$27))))/2))/2))+IF(SUMPRODUCT(--('Data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Tanah'!$B$7:$B$47-(A21-1.5*Input!$C$7)))/2))/2))&gt;0,0,IFERROR(AVERAGEIFS('Data Tanah'!$N$7:$N$47,'Data Tanah'!$E$7:$E$47,"&gt;="&amp;(A21-Input!$C$36*Input!$C$7),'Data Tanah'!$E$7:$E$47,"&lt;="&amp;(A21+Input!$C$37*Input!$C$7)),INDEX('Data Tanah'!$N$7:$N$47,MATCH(A21,'Data Tanah'!$B$7:$B$47,1)))*Input!$C$9))</f>
      </c>
      <c r="F21" s="20">
        <f>Input!$C$9*(Input!$C$10*MAX(MIN(A21,Input!$C$14)-Input!$C$11,0)+(Input!$C$10-1)*MAX(A21-MAX(Input!$C$14,Input!$C$11),0))</f>
      </c>
      <c r="G21" s="31">
        <f t="shared" si="1"/>
      </c>
      <c r="H21" s="31">
        <f>IF(A21&lt;=Input!$C$22,NA(),E21/Input!$C$45-F21-G21)</f>
      </c>
      <c r="I21" s="32">
        <f t="shared" si="2"/>
      </c>
      <c r="J21" s="32">
        <f>Input!$C$50</f>
      </c>
      <c r="K21" s="33">
        <f t="shared" si="3"/>
      </c>
      <c r="L21" s="19">
        <f>IF(A21&lt;=Input!$C$22,IFERROR(INDEX('Data Tanah'!$M$7:$M$47,MATCH(A21,'Data Tanah'!$B$7:$B$47,1)),0),NA())</f>
      </c>
      <c r="M21" s="32">
        <f t="shared" si="4"/>
      </c>
      <c r="N21">
        <f t="shared" si="5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Tanah'!$M$7:$M$47,((((('Data Tanah'!$C$7:$C$47+MIN(A22,Input!$C$22))-ABS('Data Tanah'!$C$7:$C$47-(MIN(A22,Input!$C$22))))/2-(('Data Tanah'!$B$7:$B$47+Input!$C$11)+ABS('Data Tanah'!$B$7:$B$47-(Input!$C$11)))/2)+ABS((('Data Tanah'!$C$7:$C$47+MIN(A22,Input!$C$22))-ABS('Data Tanah'!$C$7:$C$47-(MIN(A22,Input!$C$22))))/2-(('Data Tanah'!$B$7:$B$47+Input!$C$11)+ABS('Data Tanah'!$B$7:$B$47-(Input!$C$11)))/2))/2))</f>
      </c>
      <c r="E22" s="30">
        <f>IF(A22&lt;=MAX(Input!$C$22,Input!$C$27),0,Input!$C$8*SUMPRODUCT('Data Tanah'!$L$7:$L$47,((((('Data Tanah'!$C$7:$C$47+A22-Input!$C$28*Input!$C$7)-ABS('Data Tanah'!$C$7:$C$47-(A22-Input!$C$28*Input!$C$7)))/2-(('Data Tanah'!$B$7:$B$47+MAX(Input!$C$22,Input!$C$27))+ABS('Data Tanah'!$B$7:$B$47-(MAX(Input!$C$22,Input!$C$27))))/2)+ABS((('Data Tanah'!$C$7:$C$47+A22-Input!$C$28*Input!$C$7)-ABS('Data Tanah'!$C$7:$C$47-(A22-Input!$C$28*Input!$C$7)))/2-(('Data Tanah'!$B$7:$B$47+MAX(Input!$C$22,Input!$C$27))+ABS('Data Tanah'!$B$7:$B$47-(MAX(Input!$C$22,Input!$C$27))))/2))/2))+IF(SUMPRODUCT(--('Data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Tanah'!$B$7:$B$47-(A22-1.5*Input!$C$7)))/2))/2))&gt;0,0,IFERROR(AVERAGEIFS('Data Tanah'!$N$7:$N$47,'Data Tanah'!$E$7:$E$47,"&gt;="&amp;(A22-Input!$C$36*Input!$C$7),'Data Tanah'!$E$7:$E$47,"&lt;="&amp;(A22+Input!$C$37*Input!$C$7)),INDEX('Data Tanah'!$N$7:$N$47,MATCH(A22,'Data Tanah'!$B$7:$B$47,1)))*Input!$C$9))</f>
      </c>
      <c r="F22" s="16">
        <f>Input!$C$9*(Input!$C$10*MAX(MIN(A22,Input!$C$14)-Input!$C$11,0)+(Input!$C$10-1)*MAX(A22-MAX(Input!$C$14,Input!$C$11),0))</f>
      </c>
      <c r="G22" s="30">
        <f t="shared" si="1"/>
      </c>
      <c r="H22" s="30">
        <f>IF(A22&lt;=Input!$C$22,NA(),E22/Input!$C$45-F22-G22)</f>
      </c>
      <c r="I22" s="25">
        <f t="shared" si="2"/>
      </c>
      <c r="J22" s="25">
        <f>Input!$C$50</f>
      </c>
      <c r="K22" s="13">
        <f t="shared" si="3"/>
      </c>
      <c r="L22" s="9">
        <f>IF(A22&lt;=Input!$C$22,IFERROR(INDEX('Data Tanah'!$M$7:$M$47,MATCH(A22,'Data Tanah'!$B$7:$B$47,1)),0),NA())</f>
      </c>
      <c r="M22" s="25">
        <f t="shared" si="4"/>
      </c>
      <c r="N22">
        <f t="shared" si="5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Tanah'!$M$7:$M$47,((((('Data Tanah'!$C$7:$C$47+MIN(A23,Input!$C$22))-ABS('Data Tanah'!$C$7:$C$47-(MIN(A23,Input!$C$22))))/2-(('Data Tanah'!$B$7:$B$47+Input!$C$11)+ABS('Data Tanah'!$B$7:$B$47-(Input!$C$11)))/2)+ABS((('Data Tanah'!$C$7:$C$47+MIN(A23,Input!$C$22))-ABS('Data Tanah'!$C$7:$C$47-(MIN(A23,Input!$C$22))))/2-(('Data Tanah'!$B$7:$B$47+Input!$C$11)+ABS('Data Tanah'!$B$7:$B$47-(Input!$C$11)))/2))/2))</f>
      </c>
      <c r="E23" s="31">
        <f>IF(A23&lt;=MAX(Input!$C$22,Input!$C$27),0,Input!$C$8*SUMPRODUCT('Data Tanah'!$L$7:$L$47,((((('Data Tanah'!$C$7:$C$47+A23-Input!$C$28*Input!$C$7)-ABS('Data Tanah'!$C$7:$C$47-(A23-Input!$C$28*Input!$C$7)))/2-(('Data Tanah'!$B$7:$B$47+MAX(Input!$C$22,Input!$C$27))+ABS('Data Tanah'!$B$7:$B$47-(MAX(Input!$C$22,Input!$C$27))))/2)+ABS((('Data Tanah'!$C$7:$C$47+A23-Input!$C$28*Input!$C$7)-ABS('Data Tanah'!$C$7:$C$47-(A23-Input!$C$28*Input!$C$7)))/2-(('Data Tanah'!$B$7:$B$47+MAX(Input!$C$22,Input!$C$27))+ABS('Data Tanah'!$B$7:$B$47-(MAX(Input!$C$22,Input!$C$27))))/2))/2))+IF(SUMPRODUCT(--('Data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Tanah'!$B$7:$B$47-(A23-1.5*Input!$C$7)))/2))/2))&gt;0,0,IFERROR(AVERAGEIFS('Data Tanah'!$N$7:$N$47,'Data Tanah'!$E$7:$E$47,"&gt;="&amp;(A23-Input!$C$36*Input!$C$7),'Data Tanah'!$E$7:$E$47,"&lt;="&amp;(A23+Input!$C$37*Input!$C$7)),INDEX('Data Tanah'!$N$7:$N$47,MATCH(A23,'Data Tanah'!$B$7:$B$47,1)))*Input!$C$9))</f>
      </c>
      <c r="F23" s="20">
        <f>Input!$C$9*(Input!$C$10*MAX(MIN(A23,Input!$C$14)-Input!$C$11,0)+(Input!$C$10-1)*MAX(A23-MAX(Input!$C$14,Input!$C$11),0))</f>
      </c>
      <c r="G23" s="31">
        <f t="shared" si="1"/>
      </c>
      <c r="H23" s="31">
        <f>IF(A23&lt;=Input!$C$22,NA(),E23/Input!$C$45-F23-G23)</f>
      </c>
      <c r="I23" s="32">
        <f t="shared" si="2"/>
      </c>
      <c r="J23" s="32">
        <f>Input!$C$50</f>
      </c>
      <c r="K23" s="33">
        <f t="shared" si="3"/>
      </c>
      <c r="L23" s="19">
        <f>IF(A23&lt;=Input!$C$22,IFERROR(INDEX('Data Tanah'!$M$7:$M$47,MATCH(A23,'Data Tanah'!$B$7:$B$47,1)),0),NA())</f>
      </c>
      <c r="M23" s="32">
        <f t="shared" si="4"/>
      </c>
      <c r="N23">
        <f t="shared" si="5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Tanah'!$M$7:$M$47,((((('Data Tanah'!$C$7:$C$47+MIN(A24,Input!$C$22))-ABS('Data Tanah'!$C$7:$C$47-(MIN(A24,Input!$C$22))))/2-(('Data Tanah'!$B$7:$B$47+Input!$C$11)+ABS('Data Tanah'!$B$7:$B$47-(Input!$C$11)))/2)+ABS((('Data Tanah'!$C$7:$C$47+MIN(A24,Input!$C$22))-ABS('Data Tanah'!$C$7:$C$47-(MIN(A24,Input!$C$22))))/2-(('Data Tanah'!$B$7:$B$47+Input!$C$11)+ABS('Data Tanah'!$B$7:$B$47-(Input!$C$11)))/2))/2))</f>
      </c>
      <c r="E24" s="30">
        <f>IF(A24&lt;=MAX(Input!$C$22,Input!$C$27),0,Input!$C$8*SUMPRODUCT('Data Tanah'!$L$7:$L$47,((((('Data Tanah'!$C$7:$C$47+A24-Input!$C$28*Input!$C$7)-ABS('Data Tanah'!$C$7:$C$47-(A24-Input!$C$28*Input!$C$7)))/2-(('Data Tanah'!$B$7:$B$47+MAX(Input!$C$22,Input!$C$27))+ABS('Data Tanah'!$B$7:$B$47-(MAX(Input!$C$22,Input!$C$27))))/2)+ABS((('Data Tanah'!$C$7:$C$47+A24-Input!$C$28*Input!$C$7)-ABS('Data Tanah'!$C$7:$C$47-(A24-Input!$C$28*Input!$C$7)))/2-(('Data Tanah'!$B$7:$B$47+MAX(Input!$C$22,Input!$C$27))+ABS('Data Tanah'!$B$7:$B$47-(MAX(Input!$C$22,Input!$C$27))))/2))/2))+IF(SUMPRODUCT(--('Data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Tanah'!$B$7:$B$47-(A24-1.5*Input!$C$7)))/2))/2))&gt;0,0,IFERROR(AVERAGEIFS('Data Tanah'!$N$7:$N$47,'Data Tanah'!$E$7:$E$47,"&gt;="&amp;(A24-Input!$C$36*Input!$C$7),'Data Tanah'!$E$7:$E$47,"&lt;="&amp;(A24+Input!$C$37*Input!$C$7)),INDEX('Data Tanah'!$N$7:$N$47,MATCH(A24,'Data Tanah'!$B$7:$B$47,1)))*Input!$C$9))</f>
      </c>
      <c r="F24" s="16">
        <f>Input!$C$9*(Input!$C$10*MAX(MIN(A24,Input!$C$14)-Input!$C$11,0)+(Input!$C$10-1)*MAX(A24-MAX(Input!$C$14,Input!$C$11),0))</f>
      </c>
      <c r="G24" s="30">
        <f t="shared" si="1"/>
      </c>
      <c r="H24" s="30">
        <f>IF(A24&lt;=Input!$C$22,NA(),E24/Input!$C$45-F24-G24)</f>
      </c>
      <c r="I24" s="25">
        <f t="shared" si="2"/>
      </c>
      <c r="J24" s="25">
        <f>Input!$C$50</f>
      </c>
      <c r="K24" s="13">
        <f t="shared" si="3"/>
      </c>
      <c r="L24" s="9">
        <f>IF(A24&lt;=Input!$C$22,IFERROR(INDEX('Data Tanah'!$M$7:$M$47,MATCH(A24,'Data Tanah'!$B$7:$B$47,1)),0),NA())</f>
      </c>
      <c r="M24" s="25">
        <f t="shared" si="4"/>
      </c>
      <c r="N24">
        <f t="shared" si="5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Tanah'!$M$7:$M$47,((((('Data Tanah'!$C$7:$C$47+MIN(A25,Input!$C$22))-ABS('Data Tanah'!$C$7:$C$47-(MIN(A25,Input!$C$22))))/2-(('Data Tanah'!$B$7:$B$47+Input!$C$11)+ABS('Data Tanah'!$B$7:$B$47-(Input!$C$11)))/2)+ABS((('Data Tanah'!$C$7:$C$47+MIN(A25,Input!$C$22))-ABS('Data Tanah'!$C$7:$C$47-(MIN(A25,Input!$C$22))))/2-(('Data Tanah'!$B$7:$B$47+Input!$C$11)+ABS('Data Tanah'!$B$7:$B$47-(Input!$C$11)))/2))/2))</f>
      </c>
      <c r="E25" s="31">
        <f>IF(A25&lt;=MAX(Input!$C$22,Input!$C$27),0,Input!$C$8*SUMPRODUCT('Data Tanah'!$L$7:$L$47,((((('Data Tanah'!$C$7:$C$47+A25-Input!$C$28*Input!$C$7)-ABS('Data Tanah'!$C$7:$C$47-(A25-Input!$C$28*Input!$C$7)))/2-(('Data Tanah'!$B$7:$B$47+MAX(Input!$C$22,Input!$C$27))+ABS('Data Tanah'!$B$7:$B$47-(MAX(Input!$C$22,Input!$C$27))))/2)+ABS((('Data Tanah'!$C$7:$C$47+A25-Input!$C$28*Input!$C$7)-ABS('Data Tanah'!$C$7:$C$47-(A25-Input!$C$28*Input!$C$7)))/2-(('Data Tanah'!$B$7:$B$47+MAX(Input!$C$22,Input!$C$27))+ABS('Data Tanah'!$B$7:$B$47-(MAX(Input!$C$22,Input!$C$27))))/2))/2))+IF(SUMPRODUCT(--('Data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Tanah'!$B$7:$B$47-(A25-1.5*Input!$C$7)))/2))/2))&gt;0,0,IFERROR(AVERAGEIFS('Data Tanah'!$N$7:$N$47,'Data Tanah'!$E$7:$E$47,"&gt;="&amp;(A25-Input!$C$36*Input!$C$7),'Data Tanah'!$E$7:$E$47,"&lt;="&amp;(A25+Input!$C$37*Input!$C$7)),INDEX('Data Tanah'!$N$7:$N$47,MATCH(A25,'Data Tanah'!$B$7:$B$47,1)))*Input!$C$9))</f>
      </c>
      <c r="F25" s="20">
        <f>Input!$C$9*(Input!$C$10*MAX(MIN(A25,Input!$C$14)-Input!$C$11,0)+(Input!$C$10-1)*MAX(A25-MAX(Input!$C$14,Input!$C$11),0))</f>
      </c>
      <c r="G25" s="31">
        <f t="shared" si="1"/>
      </c>
      <c r="H25" s="31">
        <f>IF(A25&lt;=Input!$C$22,NA(),E25/Input!$C$45-F25-G25)</f>
      </c>
      <c r="I25" s="32">
        <f t="shared" si="2"/>
      </c>
      <c r="J25" s="32">
        <f>Input!$C$50</f>
      </c>
      <c r="K25" s="33">
        <f t="shared" si="3"/>
      </c>
      <c r="L25" s="19">
        <f>IF(A25&lt;=Input!$C$22,IFERROR(INDEX('Data Tanah'!$M$7:$M$47,MATCH(A25,'Data Tanah'!$B$7:$B$47,1)),0),NA())</f>
      </c>
      <c r="M25" s="32">
        <f t="shared" si="4"/>
      </c>
      <c r="N25">
        <f t="shared" si="5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Tanah'!$M$7:$M$47,((((('Data Tanah'!$C$7:$C$47+MIN(A26,Input!$C$22))-ABS('Data Tanah'!$C$7:$C$47-(MIN(A26,Input!$C$22))))/2-(('Data Tanah'!$B$7:$B$47+Input!$C$11)+ABS('Data Tanah'!$B$7:$B$47-(Input!$C$11)))/2)+ABS((('Data Tanah'!$C$7:$C$47+MIN(A26,Input!$C$22))-ABS('Data Tanah'!$C$7:$C$47-(MIN(A26,Input!$C$22))))/2-(('Data Tanah'!$B$7:$B$47+Input!$C$11)+ABS('Data Tanah'!$B$7:$B$47-(Input!$C$11)))/2))/2))</f>
      </c>
      <c r="E26" s="30">
        <f>IF(A26&lt;=MAX(Input!$C$22,Input!$C$27),0,Input!$C$8*SUMPRODUCT('Data Tanah'!$L$7:$L$47,((((('Data Tanah'!$C$7:$C$47+A26-Input!$C$28*Input!$C$7)-ABS('Data Tanah'!$C$7:$C$47-(A26-Input!$C$28*Input!$C$7)))/2-(('Data Tanah'!$B$7:$B$47+MAX(Input!$C$22,Input!$C$27))+ABS('Data Tanah'!$B$7:$B$47-(MAX(Input!$C$22,Input!$C$27))))/2)+ABS((('Data Tanah'!$C$7:$C$47+A26-Input!$C$28*Input!$C$7)-ABS('Data Tanah'!$C$7:$C$47-(A26-Input!$C$28*Input!$C$7)))/2-(('Data Tanah'!$B$7:$B$47+MAX(Input!$C$22,Input!$C$27))+ABS('Data Tanah'!$B$7:$B$47-(MAX(Input!$C$22,Input!$C$27))))/2))/2))+IF(SUMPRODUCT(--('Data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Tanah'!$B$7:$B$47-(A26-1.5*Input!$C$7)))/2))/2))&gt;0,0,IFERROR(AVERAGEIFS('Data Tanah'!$N$7:$N$47,'Data Tanah'!$E$7:$E$47,"&gt;="&amp;(A26-Input!$C$36*Input!$C$7),'Data Tanah'!$E$7:$E$47,"&lt;="&amp;(A26+Input!$C$37*Input!$C$7)),INDEX('Data Tanah'!$N$7:$N$47,MATCH(A26,'Data Tanah'!$B$7:$B$47,1)))*Input!$C$9))</f>
      </c>
      <c r="F26" s="16">
        <f>Input!$C$9*(Input!$C$10*MAX(MIN(A26,Input!$C$14)-Input!$C$11,0)+(Input!$C$10-1)*MAX(A26-MAX(Input!$C$14,Input!$C$11),0))</f>
      </c>
      <c r="G26" s="30">
        <f t="shared" si="1"/>
      </c>
      <c r="H26" s="30">
        <f>IF(A26&lt;=Input!$C$22,NA(),E26/Input!$C$45-F26-G26)</f>
      </c>
      <c r="I26" s="25">
        <f t="shared" si="2"/>
      </c>
      <c r="J26" s="25">
        <f>Input!$C$50</f>
      </c>
      <c r="K26" s="13">
        <f t="shared" si="3"/>
      </c>
      <c r="L26" s="9">
        <f>IF(A26&lt;=Input!$C$22,IFERROR(INDEX('Data Tanah'!$M$7:$M$47,MATCH(A26,'Data Tanah'!$B$7:$B$47,1)),0),NA())</f>
      </c>
      <c r="M26" s="25">
        <f t="shared" si="4"/>
      </c>
      <c r="N26">
        <f t="shared" si="5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Tanah'!$M$7:$M$47,((((('Data Tanah'!$C$7:$C$47+MIN(A27,Input!$C$22))-ABS('Data Tanah'!$C$7:$C$47-(MIN(A27,Input!$C$22))))/2-(('Data Tanah'!$B$7:$B$47+Input!$C$11)+ABS('Data Tanah'!$B$7:$B$47-(Input!$C$11)))/2)+ABS((('Data Tanah'!$C$7:$C$47+MIN(A27,Input!$C$22))-ABS('Data Tanah'!$C$7:$C$47-(MIN(A27,Input!$C$22))))/2-(('Data Tanah'!$B$7:$B$47+Input!$C$11)+ABS('Data Tanah'!$B$7:$B$47-(Input!$C$11)))/2))/2))</f>
      </c>
      <c r="E27" s="31">
        <f>IF(A27&lt;=MAX(Input!$C$22,Input!$C$27),0,Input!$C$8*SUMPRODUCT('Data Tanah'!$L$7:$L$47,((((('Data Tanah'!$C$7:$C$47+A27-Input!$C$28*Input!$C$7)-ABS('Data Tanah'!$C$7:$C$47-(A27-Input!$C$28*Input!$C$7)))/2-(('Data Tanah'!$B$7:$B$47+MAX(Input!$C$22,Input!$C$27))+ABS('Data Tanah'!$B$7:$B$47-(MAX(Input!$C$22,Input!$C$27))))/2)+ABS((('Data Tanah'!$C$7:$C$47+A27-Input!$C$28*Input!$C$7)-ABS('Data Tanah'!$C$7:$C$47-(A27-Input!$C$28*Input!$C$7)))/2-(('Data Tanah'!$B$7:$B$47+MAX(Input!$C$22,Input!$C$27))+ABS('Data Tanah'!$B$7:$B$47-(MAX(Input!$C$22,Input!$C$27))))/2))/2))+IF(SUMPRODUCT(--('Data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Tanah'!$B$7:$B$47-(A27-1.5*Input!$C$7)))/2))/2))&gt;0,0,IFERROR(AVERAGEIFS('Data Tanah'!$N$7:$N$47,'Data Tanah'!$E$7:$E$47,"&gt;="&amp;(A27-Input!$C$36*Input!$C$7),'Data Tanah'!$E$7:$E$47,"&lt;="&amp;(A27+Input!$C$37*Input!$C$7)),INDEX('Data Tanah'!$N$7:$N$47,MATCH(A27,'Data Tanah'!$B$7:$B$47,1)))*Input!$C$9))</f>
      </c>
      <c r="F27" s="20">
        <f>Input!$C$9*(Input!$C$10*MAX(MIN(A27,Input!$C$14)-Input!$C$11,0)+(Input!$C$10-1)*MAX(A27-MAX(Input!$C$14,Input!$C$11),0))</f>
      </c>
      <c r="G27" s="31">
        <f t="shared" si="1"/>
      </c>
      <c r="H27" s="31">
        <f>IF(A27&lt;=Input!$C$22,NA(),E27/Input!$C$45-F27-G27)</f>
      </c>
      <c r="I27" s="32">
        <f t="shared" si="2"/>
      </c>
      <c r="J27" s="32">
        <f>Input!$C$50</f>
      </c>
      <c r="K27" s="33">
        <f t="shared" si="3"/>
      </c>
      <c r="L27" s="19">
        <f>IF(A27&lt;=Input!$C$22,IFERROR(INDEX('Data Tanah'!$M$7:$M$47,MATCH(A27,'Data Tanah'!$B$7:$B$47,1)),0),NA())</f>
      </c>
      <c r="M27" s="32">
        <f t="shared" si="4"/>
      </c>
      <c r="N27">
        <f t="shared" si="5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Tanah'!$M$7:$M$47,((((('Data Tanah'!$C$7:$C$47+MIN(A28,Input!$C$22))-ABS('Data Tanah'!$C$7:$C$47-(MIN(A28,Input!$C$22))))/2-(('Data Tanah'!$B$7:$B$47+Input!$C$11)+ABS('Data Tanah'!$B$7:$B$47-(Input!$C$11)))/2)+ABS((('Data Tanah'!$C$7:$C$47+MIN(A28,Input!$C$22))-ABS('Data Tanah'!$C$7:$C$47-(MIN(A28,Input!$C$22))))/2-(('Data Tanah'!$B$7:$B$47+Input!$C$11)+ABS('Data Tanah'!$B$7:$B$47-(Input!$C$11)))/2))/2))</f>
      </c>
      <c r="E28" s="30">
        <f>IF(A28&lt;=MAX(Input!$C$22,Input!$C$27),0,Input!$C$8*SUMPRODUCT('Data Tanah'!$L$7:$L$47,((((('Data Tanah'!$C$7:$C$47+A28-Input!$C$28*Input!$C$7)-ABS('Data Tanah'!$C$7:$C$47-(A28-Input!$C$28*Input!$C$7)))/2-(('Data Tanah'!$B$7:$B$47+MAX(Input!$C$22,Input!$C$27))+ABS('Data Tanah'!$B$7:$B$47-(MAX(Input!$C$22,Input!$C$27))))/2)+ABS((('Data Tanah'!$C$7:$C$47+A28-Input!$C$28*Input!$C$7)-ABS('Data Tanah'!$C$7:$C$47-(A28-Input!$C$28*Input!$C$7)))/2-(('Data Tanah'!$B$7:$B$47+MAX(Input!$C$22,Input!$C$27))+ABS('Data Tanah'!$B$7:$B$47-(MAX(Input!$C$22,Input!$C$27))))/2))/2))+IF(SUMPRODUCT(--('Data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Tanah'!$B$7:$B$47-(A28-1.5*Input!$C$7)))/2))/2))&gt;0,0,IFERROR(AVERAGEIFS('Data Tanah'!$N$7:$N$47,'Data Tanah'!$E$7:$E$47,"&gt;="&amp;(A28-Input!$C$36*Input!$C$7),'Data Tanah'!$E$7:$E$47,"&lt;="&amp;(A28+Input!$C$37*Input!$C$7)),INDEX('Data Tanah'!$N$7:$N$47,MATCH(A28,'Data Tanah'!$B$7:$B$47,1)))*Input!$C$9))</f>
      </c>
      <c r="F28" s="16">
        <f>Input!$C$9*(Input!$C$10*MAX(MIN(A28,Input!$C$14)-Input!$C$11,0)+(Input!$C$10-1)*MAX(A28-MAX(Input!$C$14,Input!$C$11),0))</f>
      </c>
      <c r="G28" s="30">
        <f t="shared" si="1"/>
      </c>
      <c r="H28" s="30">
        <f>IF(A28&lt;=Input!$C$22,NA(),E28/Input!$C$45-F28-G28)</f>
      </c>
      <c r="I28" s="25">
        <f t="shared" si="2"/>
      </c>
      <c r="J28" s="25">
        <f>Input!$C$50</f>
      </c>
      <c r="K28" s="13">
        <f t="shared" si="3"/>
      </c>
      <c r="L28" s="9">
        <f>IF(A28&lt;=Input!$C$22,IFERROR(INDEX('Data Tanah'!$M$7:$M$47,MATCH(A28,'Data Tanah'!$B$7:$B$47,1)),0),NA())</f>
      </c>
      <c r="M28" s="25">
        <f t="shared" si="4"/>
      </c>
      <c r="N28">
        <f t="shared" si="5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Tanah'!$M$7:$M$47,((((('Data Tanah'!$C$7:$C$47+MIN(A29,Input!$C$22))-ABS('Data Tanah'!$C$7:$C$47-(MIN(A29,Input!$C$22))))/2-(('Data Tanah'!$B$7:$B$47+Input!$C$11)+ABS('Data Tanah'!$B$7:$B$47-(Input!$C$11)))/2)+ABS((('Data Tanah'!$C$7:$C$47+MIN(A29,Input!$C$22))-ABS('Data Tanah'!$C$7:$C$47-(MIN(A29,Input!$C$22))))/2-(('Data Tanah'!$B$7:$B$47+Input!$C$11)+ABS('Data Tanah'!$B$7:$B$47-(Input!$C$11)))/2))/2))</f>
      </c>
      <c r="E29" s="31">
        <f>IF(A29&lt;=MAX(Input!$C$22,Input!$C$27),0,Input!$C$8*SUMPRODUCT('Data Tanah'!$L$7:$L$47,((((('Data Tanah'!$C$7:$C$47+A29-Input!$C$28*Input!$C$7)-ABS('Data Tanah'!$C$7:$C$47-(A29-Input!$C$28*Input!$C$7)))/2-(('Data Tanah'!$B$7:$B$47+MAX(Input!$C$22,Input!$C$27))+ABS('Data Tanah'!$B$7:$B$47-(MAX(Input!$C$22,Input!$C$27))))/2)+ABS((('Data Tanah'!$C$7:$C$47+A29-Input!$C$28*Input!$C$7)-ABS('Data Tanah'!$C$7:$C$47-(A29-Input!$C$28*Input!$C$7)))/2-(('Data Tanah'!$B$7:$B$47+MAX(Input!$C$22,Input!$C$27))+ABS('Data Tanah'!$B$7:$B$47-(MAX(Input!$C$22,Input!$C$27))))/2))/2))+IF(SUMPRODUCT(--('Data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Tanah'!$B$7:$B$47-(A29-1.5*Input!$C$7)))/2))/2))&gt;0,0,IFERROR(AVERAGEIFS('Data Tanah'!$N$7:$N$47,'Data Tanah'!$E$7:$E$47,"&gt;="&amp;(A29-Input!$C$36*Input!$C$7),'Data Tanah'!$E$7:$E$47,"&lt;="&amp;(A29+Input!$C$37*Input!$C$7)),INDEX('Data Tanah'!$N$7:$N$47,MATCH(A29,'Data Tanah'!$B$7:$B$47,1)))*Input!$C$9))</f>
      </c>
      <c r="F29" s="20">
        <f>Input!$C$9*(Input!$C$10*MAX(MIN(A29,Input!$C$14)-Input!$C$11,0)+(Input!$C$10-1)*MAX(A29-MAX(Input!$C$14,Input!$C$11),0))</f>
      </c>
      <c r="G29" s="31">
        <f t="shared" si="1"/>
      </c>
      <c r="H29" s="31">
        <f>IF(A29&lt;=Input!$C$22,NA(),E29/Input!$C$45-F29-G29)</f>
      </c>
      <c r="I29" s="32">
        <f t="shared" si="2"/>
      </c>
      <c r="J29" s="32">
        <f>Input!$C$50</f>
      </c>
      <c r="K29" s="33">
        <f t="shared" si="3"/>
      </c>
      <c r="L29" s="19">
        <f>IF(A29&lt;=Input!$C$22,IFERROR(INDEX('Data Tanah'!$M$7:$M$47,MATCH(A29,'Data Tanah'!$B$7:$B$47,1)),0),NA())</f>
      </c>
      <c r="M29" s="32">
        <f t="shared" si="4"/>
      </c>
      <c r="N29">
        <f t="shared" si="5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Tanah'!$M$7:$M$47,((((('Data Tanah'!$C$7:$C$47+MIN(A30,Input!$C$22))-ABS('Data Tanah'!$C$7:$C$47-(MIN(A30,Input!$C$22))))/2-(('Data Tanah'!$B$7:$B$47+Input!$C$11)+ABS('Data Tanah'!$B$7:$B$47-(Input!$C$11)))/2)+ABS((('Data Tanah'!$C$7:$C$47+MIN(A30,Input!$C$22))-ABS('Data Tanah'!$C$7:$C$47-(MIN(A30,Input!$C$22))))/2-(('Data Tanah'!$B$7:$B$47+Input!$C$11)+ABS('Data Tanah'!$B$7:$B$47-(Input!$C$11)))/2))/2))</f>
      </c>
      <c r="E30" s="30">
        <f>IF(A30&lt;=MAX(Input!$C$22,Input!$C$27),0,Input!$C$8*SUMPRODUCT('Data Tanah'!$L$7:$L$47,((((('Data Tanah'!$C$7:$C$47+A30-Input!$C$28*Input!$C$7)-ABS('Data Tanah'!$C$7:$C$47-(A30-Input!$C$28*Input!$C$7)))/2-(('Data Tanah'!$B$7:$B$47+MAX(Input!$C$22,Input!$C$27))+ABS('Data Tanah'!$B$7:$B$47-(MAX(Input!$C$22,Input!$C$27))))/2)+ABS((('Data Tanah'!$C$7:$C$47+A30-Input!$C$28*Input!$C$7)-ABS('Data Tanah'!$C$7:$C$47-(A30-Input!$C$28*Input!$C$7)))/2-(('Data Tanah'!$B$7:$B$47+MAX(Input!$C$22,Input!$C$27))+ABS('Data Tanah'!$B$7:$B$47-(MAX(Input!$C$22,Input!$C$27))))/2))/2))+IF(SUMPRODUCT(--('Data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Tanah'!$B$7:$B$47-(A30-1.5*Input!$C$7)))/2))/2))&gt;0,0,IFERROR(AVERAGEIFS('Data Tanah'!$N$7:$N$47,'Data Tanah'!$E$7:$E$47,"&gt;="&amp;(A30-Input!$C$36*Input!$C$7),'Data Tanah'!$E$7:$E$47,"&lt;="&amp;(A30+Input!$C$37*Input!$C$7)),INDEX('Data Tanah'!$N$7:$N$47,MATCH(A30,'Data Tanah'!$B$7:$B$47,1)))*Input!$C$9))</f>
      </c>
      <c r="F30" s="16">
        <f>Input!$C$9*(Input!$C$10*MAX(MIN(A30,Input!$C$14)-Input!$C$11,0)+(Input!$C$10-1)*MAX(A30-MAX(Input!$C$14,Input!$C$11),0))</f>
      </c>
      <c r="G30" s="30">
        <f t="shared" si="1"/>
      </c>
      <c r="H30" s="30">
        <f>IF(A30&lt;=Input!$C$22,NA(),E30/Input!$C$45-F30-G30)</f>
      </c>
      <c r="I30" s="25">
        <f t="shared" si="2"/>
      </c>
      <c r="J30" s="25">
        <f>Input!$C$50</f>
      </c>
      <c r="K30" s="13">
        <f t="shared" si="3"/>
      </c>
      <c r="L30" s="9">
        <f>IF(A30&lt;=Input!$C$22,IFERROR(INDEX('Data Tanah'!$M$7:$M$47,MATCH(A30,'Data Tanah'!$B$7:$B$47,1)),0),NA())</f>
      </c>
      <c r="M30" s="25">
        <f t="shared" si="4"/>
      </c>
      <c r="N30">
        <f t="shared" si="5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Tanah'!$M$7:$M$47,((((('Data Tanah'!$C$7:$C$47+MIN(A31,Input!$C$22))-ABS('Data Tanah'!$C$7:$C$47-(MIN(A31,Input!$C$22))))/2-(('Data Tanah'!$B$7:$B$47+Input!$C$11)+ABS('Data Tanah'!$B$7:$B$47-(Input!$C$11)))/2)+ABS((('Data Tanah'!$C$7:$C$47+MIN(A31,Input!$C$22))-ABS('Data Tanah'!$C$7:$C$47-(MIN(A31,Input!$C$22))))/2-(('Data Tanah'!$B$7:$B$47+Input!$C$11)+ABS('Data Tanah'!$B$7:$B$47-(Input!$C$11)))/2))/2))</f>
      </c>
      <c r="E31" s="31">
        <f>IF(A31&lt;=MAX(Input!$C$22,Input!$C$27),0,Input!$C$8*SUMPRODUCT('Data Tanah'!$L$7:$L$47,((((('Data Tanah'!$C$7:$C$47+A31-Input!$C$28*Input!$C$7)-ABS('Data Tanah'!$C$7:$C$47-(A31-Input!$C$28*Input!$C$7)))/2-(('Data Tanah'!$B$7:$B$47+MAX(Input!$C$22,Input!$C$27))+ABS('Data Tanah'!$B$7:$B$47-(MAX(Input!$C$22,Input!$C$27))))/2)+ABS((('Data Tanah'!$C$7:$C$47+A31-Input!$C$28*Input!$C$7)-ABS('Data Tanah'!$C$7:$C$47-(A31-Input!$C$28*Input!$C$7)))/2-(('Data Tanah'!$B$7:$B$47+MAX(Input!$C$22,Input!$C$27))+ABS('Data Tanah'!$B$7:$B$47-(MAX(Input!$C$22,Input!$C$27))))/2))/2))+IF(SUMPRODUCT(--('Data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Tanah'!$B$7:$B$47-(A31-1.5*Input!$C$7)))/2))/2))&gt;0,0,IFERROR(AVERAGEIFS('Data Tanah'!$N$7:$N$47,'Data Tanah'!$E$7:$E$47,"&gt;="&amp;(A31-Input!$C$36*Input!$C$7),'Data Tanah'!$E$7:$E$47,"&lt;="&amp;(A31+Input!$C$37*Input!$C$7)),INDEX('Data Tanah'!$N$7:$N$47,MATCH(A31,'Data Tanah'!$B$7:$B$47,1)))*Input!$C$9))</f>
      </c>
      <c r="F31" s="20">
        <f>Input!$C$9*(Input!$C$10*MAX(MIN(A31,Input!$C$14)-Input!$C$11,0)+(Input!$C$10-1)*MAX(A31-MAX(Input!$C$14,Input!$C$11),0))</f>
      </c>
      <c r="G31" s="31">
        <f t="shared" si="1"/>
      </c>
      <c r="H31" s="31">
        <f>IF(A31&lt;=Input!$C$22,NA(),E31/Input!$C$45-F31-G31)</f>
      </c>
      <c r="I31" s="32">
        <f t="shared" si="2"/>
      </c>
      <c r="J31" s="32">
        <f>Input!$C$50</f>
      </c>
      <c r="K31" s="33">
        <f t="shared" si="3"/>
      </c>
      <c r="L31" s="19">
        <f>IF(A31&lt;=Input!$C$22,IFERROR(INDEX('Data Tanah'!$M$7:$M$47,MATCH(A31,'Data Tanah'!$B$7:$B$47,1)),0),NA())</f>
      </c>
      <c r="M31" s="32">
        <f t="shared" si="4"/>
      </c>
      <c r="N31">
        <f t="shared" si="5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Tanah'!$M$7:$M$47,((((('Data Tanah'!$C$7:$C$47+MIN(A32,Input!$C$22))-ABS('Data Tanah'!$C$7:$C$47-(MIN(A32,Input!$C$22))))/2-(('Data Tanah'!$B$7:$B$47+Input!$C$11)+ABS('Data Tanah'!$B$7:$B$47-(Input!$C$11)))/2)+ABS((('Data Tanah'!$C$7:$C$47+MIN(A32,Input!$C$22))-ABS('Data Tanah'!$C$7:$C$47-(MIN(A32,Input!$C$22))))/2-(('Data Tanah'!$B$7:$B$47+Input!$C$11)+ABS('Data Tanah'!$B$7:$B$47-(Input!$C$11)))/2))/2))</f>
      </c>
      <c r="E32" s="30">
        <f>IF(A32&lt;=MAX(Input!$C$22,Input!$C$27),0,Input!$C$8*SUMPRODUCT('Data Tanah'!$L$7:$L$47,((((('Data Tanah'!$C$7:$C$47+A32-Input!$C$28*Input!$C$7)-ABS('Data Tanah'!$C$7:$C$47-(A32-Input!$C$28*Input!$C$7)))/2-(('Data Tanah'!$B$7:$B$47+MAX(Input!$C$22,Input!$C$27))+ABS('Data Tanah'!$B$7:$B$47-(MAX(Input!$C$22,Input!$C$27))))/2)+ABS((('Data Tanah'!$C$7:$C$47+A32-Input!$C$28*Input!$C$7)-ABS('Data Tanah'!$C$7:$C$47-(A32-Input!$C$28*Input!$C$7)))/2-(('Data Tanah'!$B$7:$B$47+MAX(Input!$C$22,Input!$C$27))+ABS('Data Tanah'!$B$7:$B$47-(MAX(Input!$C$22,Input!$C$27))))/2))/2))+IF(SUMPRODUCT(--('Data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Tanah'!$B$7:$B$47-(A32-1.5*Input!$C$7)))/2))/2))&gt;0,0,IFERROR(AVERAGEIFS('Data Tanah'!$N$7:$N$47,'Data Tanah'!$E$7:$E$47,"&gt;="&amp;(A32-Input!$C$36*Input!$C$7),'Data Tanah'!$E$7:$E$47,"&lt;="&amp;(A32+Input!$C$37*Input!$C$7)),INDEX('Data Tanah'!$N$7:$N$47,MATCH(A32,'Data Tanah'!$B$7:$B$47,1)))*Input!$C$9))</f>
      </c>
      <c r="F32" s="16">
        <f>Input!$C$9*(Input!$C$10*MAX(MIN(A32,Input!$C$14)-Input!$C$11,0)+(Input!$C$10-1)*MAX(A32-MAX(Input!$C$14,Input!$C$11),0))</f>
      </c>
      <c r="G32" s="30">
        <f t="shared" si="1"/>
      </c>
      <c r="H32" s="30">
        <f>IF(A32&lt;=Input!$C$22,NA(),E32/Input!$C$45-F32-G32)</f>
      </c>
      <c r="I32" s="25">
        <f t="shared" si="2"/>
      </c>
      <c r="J32" s="25">
        <f>Input!$C$50</f>
      </c>
      <c r="K32" s="13">
        <f t="shared" si="3"/>
      </c>
      <c r="L32" s="9">
        <f>IF(A32&lt;=Input!$C$22,IFERROR(INDEX('Data Tanah'!$M$7:$M$47,MATCH(A32,'Data Tanah'!$B$7:$B$47,1)),0),NA())</f>
      </c>
      <c r="M32" s="25">
        <f t="shared" si="4"/>
      </c>
      <c r="N32">
        <f t="shared" si="5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Tanah'!$M$7:$M$47,((((('Data Tanah'!$C$7:$C$47+MIN(A33,Input!$C$22))-ABS('Data Tanah'!$C$7:$C$47-(MIN(A33,Input!$C$22))))/2-(('Data Tanah'!$B$7:$B$47+Input!$C$11)+ABS('Data Tanah'!$B$7:$B$47-(Input!$C$11)))/2)+ABS((('Data Tanah'!$C$7:$C$47+MIN(A33,Input!$C$22))-ABS('Data Tanah'!$C$7:$C$47-(MIN(A33,Input!$C$22))))/2-(('Data Tanah'!$B$7:$B$47+Input!$C$11)+ABS('Data Tanah'!$B$7:$B$47-(Input!$C$11)))/2))/2))</f>
      </c>
      <c r="E33" s="31">
        <f>IF(A33&lt;=MAX(Input!$C$22,Input!$C$27),0,Input!$C$8*SUMPRODUCT('Data Tanah'!$L$7:$L$47,((((('Data Tanah'!$C$7:$C$47+A33-Input!$C$28*Input!$C$7)-ABS('Data Tanah'!$C$7:$C$47-(A33-Input!$C$28*Input!$C$7)))/2-(('Data Tanah'!$B$7:$B$47+MAX(Input!$C$22,Input!$C$27))+ABS('Data Tanah'!$B$7:$B$47-(MAX(Input!$C$22,Input!$C$27))))/2)+ABS((('Data Tanah'!$C$7:$C$47+A33-Input!$C$28*Input!$C$7)-ABS('Data Tanah'!$C$7:$C$47-(A33-Input!$C$28*Input!$C$7)))/2-(('Data Tanah'!$B$7:$B$47+MAX(Input!$C$22,Input!$C$27))+ABS('Data Tanah'!$B$7:$B$47-(MAX(Input!$C$22,Input!$C$27))))/2))/2))+IF(SUMPRODUCT(--('Data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Tanah'!$B$7:$B$47-(A33-1.5*Input!$C$7)))/2))/2))&gt;0,0,IFERROR(AVERAGEIFS('Data Tanah'!$N$7:$N$47,'Data Tanah'!$E$7:$E$47,"&gt;="&amp;(A33-Input!$C$36*Input!$C$7),'Data Tanah'!$E$7:$E$47,"&lt;="&amp;(A33+Input!$C$37*Input!$C$7)),INDEX('Data Tanah'!$N$7:$N$47,MATCH(A33,'Data Tanah'!$B$7:$B$47,1)))*Input!$C$9))</f>
      </c>
      <c r="F33" s="20">
        <f>Input!$C$9*(Input!$C$10*MAX(MIN(A33,Input!$C$14)-Input!$C$11,0)+(Input!$C$10-1)*MAX(A33-MAX(Input!$C$14,Input!$C$11),0))</f>
      </c>
      <c r="G33" s="31">
        <f t="shared" si="1"/>
      </c>
      <c r="H33" s="31">
        <f>IF(A33&lt;=Input!$C$22,NA(),E33/Input!$C$45-F33-G33)</f>
      </c>
      <c r="I33" s="32">
        <f t="shared" si="2"/>
      </c>
      <c r="J33" s="32">
        <f>Input!$C$50</f>
      </c>
      <c r="K33" s="33">
        <f t="shared" si="3"/>
      </c>
      <c r="L33" s="19">
        <f>IF(A33&lt;=Input!$C$22,IFERROR(INDEX('Data Tanah'!$M$7:$M$47,MATCH(A33,'Data Tanah'!$B$7:$B$47,1)),0),NA())</f>
      </c>
      <c r="M33" s="32">
        <f t="shared" si="4"/>
      </c>
      <c r="N33">
        <f t="shared" si="5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Tanah'!$M$7:$M$47,((((('Data Tanah'!$C$7:$C$47+MIN(A34,Input!$C$22))-ABS('Data Tanah'!$C$7:$C$47-(MIN(A34,Input!$C$22))))/2-(('Data Tanah'!$B$7:$B$47+Input!$C$11)+ABS('Data Tanah'!$B$7:$B$47-(Input!$C$11)))/2)+ABS((('Data Tanah'!$C$7:$C$47+MIN(A34,Input!$C$22))-ABS('Data Tanah'!$C$7:$C$47-(MIN(A34,Input!$C$22))))/2-(('Data Tanah'!$B$7:$B$47+Input!$C$11)+ABS('Data Tanah'!$B$7:$B$47-(Input!$C$11)))/2))/2))</f>
      </c>
      <c r="E34" s="30">
        <f>IF(A34&lt;=MAX(Input!$C$22,Input!$C$27),0,Input!$C$8*SUMPRODUCT('Data Tanah'!$L$7:$L$47,((((('Data Tanah'!$C$7:$C$47+A34-Input!$C$28*Input!$C$7)-ABS('Data Tanah'!$C$7:$C$47-(A34-Input!$C$28*Input!$C$7)))/2-(('Data Tanah'!$B$7:$B$47+MAX(Input!$C$22,Input!$C$27))+ABS('Data Tanah'!$B$7:$B$47-(MAX(Input!$C$22,Input!$C$27))))/2)+ABS((('Data Tanah'!$C$7:$C$47+A34-Input!$C$28*Input!$C$7)-ABS('Data Tanah'!$C$7:$C$47-(A34-Input!$C$28*Input!$C$7)))/2-(('Data Tanah'!$B$7:$B$47+MAX(Input!$C$22,Input!$C$27))+ABS('Data Tanah'!$B$7:$B$47-(MAX(Input!$C$22,Input!$C$27))))/2))/2))+IF(SUMPRODUCT(--('Data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Tanah'!$B$7:$B$47-(A34-1.5*Input!$C$7)))/2))/2))&gt;0,0,IFERROR(AVERAGEIFS('Data Tanah'!$N$7:$N$47,'Data Tanah'!$E$7:$E$47,"&gt;="&amp;(A34-Input!$C$36*Input!$C$7),'Data Tanah'!$E$7:$E$47,"&lt;="&amp;(A34+Input!$C$37*Input!$C$7)),INDEX('Data Tanah'!$N$7:$N$47,MATCH(A34,'Data Tanah'!$B$7:$B$47,1)))*Input!$C$9))</f>
      </c>
      <c r="F34" s="16">
        <f>Input!$C$9*(Input!$C$10*MAX(MIN(A34,Input!$C$14)-Input!$C$11,0)+(Input!$C$10-1)*MAX(A34-MAX(Input!$C$14,Input!$C$11),0))</f>
      </c>
      <c r="G34" s="30">
        <f t="shared" si="1"/>
      </c>
      <c r="H34" s="30">
        <f>IF(A34&lt;=Input!$C$22,NA(),E34/Input!$C$45-F34-G34)</f>
      </c>
      <c r="I34" s="25">
        <f t="shared" si="2"/>
      </c>
      <c r="J34" s="25">
        <f>Input!$C$50</f>
      </c>
      <c r="K34" s="13">
        <f t="shared" si="3"/>
      </c>
      <c r="L34" s="9">
        <f>IF(A34&lt;=Input!$C$22,IFERROR(INDEX('Data Tanah'!$M$7:$M$47,MATCH(A34,'Data Tanah'!$B$7:$B$47,1)),0),NA())</f>
      </c>
      <c r="M34" s="25">
        <f t="shared" si="4"/>
      </c>
      <c r="N34">
        <f t="shared" si="5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Tanah'!$M$7:$M$47,((((('Data Tanah'!$C$7:$C$47+MIN(A35,Input!$C$22))-ABS('Data Tanah'!$C$7:$C$47-(MIN(A35,Input!$C$22))))/2-(('Data Tanah'!$B$7:$B$47+Input!$C$11)+ABS('Data Tanah'!$B$7:$B$47-(Input!$C$11)))/2)+ABS((('Data Tanah'!$C$7:$C$47+MIN(A35,Input!$C$22))-ABS('Data Tanah'!$C$7:$C$47-(MIN(A35,Input!$C$22))))/2-(('Data Tanah'!$B$7:$B$47+Input!$C$11)+ABS('Data Tanah'!$B$7:$B$47-(Input!$C$11)))/2))/2))</f>
      </c>
      <c r="E35" s="31">
        <f>IF(A35&lt;=MAX(Input!$C$22,Input!$C$27),0,Input!$C$8*SUMPRODUCT('Data Tanah'!$L$7:$L$47,((((('Data Tanah'!$C$7:$C$47+A35-Input!$C$28*Input!$C$7)-ABS('Data Tanah'!$C$7:$C$47-(A35-Input!$C$28*Input!$C$7)))/2-(('Data Tanah'!$B$7:$B$47+MAX(Input!$C$22,Input!$C$27))+ABS('Data Tanah'!$B$7:$B$47-(MAX(Input!$C$22,Input!$C$27))))/2)+ABS((('Data Tanah'!$C$7:$C$47+A35-Input!$C$28*Input!$C$7)-ABS('Data Tanah'!$C$7:$C$47-(A35-Input!$C$28*Input!$C$7)))/2-(('Data Tanah'!$B$7:$B$47+MAX(Input!$C$22,Input!$C$27))+ABS('Data Tanah'!$B$7:$B$47-(MAX(Input!$C$22,Input!$C$27))))/2))/2))+IF(SUMPRODUCT(--('Data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Tanah'!$B$7:$B$47-(A35-1.5*Input!$C$7)))/2))/2))&gt;0,0,IFERROR(AVERAGEIFS('Data Tanah'!$N$7:$N$47,'Data Tanah'!$E$7:$E$47,"&gt;="&amp;(A35-Input!$C$36*Input!$C$7),'Data Tanah'!$E$7:$E$47,"&lt;="&amp;(A35+Input!$C$37*Input!$C$7)),INDEX('Data Tanah'!$N$7:$N$47,MATCH(A35,'Data Tanah'!$B$7:$B$47,1)))*Input!$C$9))</f>
      </c>
      <c r="F35" s="20">
        <f>Input!$C$9*(Input!$C$10*MAX(MIN(A35,Input!$C$14)-Input!$C$11,0)+(Input!$C$10-1)*MAX(A35-MAX(Input!$C$14,Input!$C$11),0))</f>
      </c>
      <c r="G35" s="31">
        <f t="shared" si="1"/>
      </c>
      <c r="H35" s="31">
        <f>IF(A35&lt;=Input!$C$22,NA(),E35/Input!$C$45-F35-G35)</f>
      </c>
      <c r="I35" s="32">
        <f t="shared" si="2"/>
      </c>
      <c r="J35" s="32">
        <f>Input!$C$50</f>
      </c>
      <c r="K35" s="33">
        <f t="shared" si="3"/>
      </c>
      <c r="L35" s="19">
        <f>IF(A35&lt;=Input!$C$22,IFERROR(INDEX('Data Tanah'!$M$7:$M$47,MATCH(A35,'Data Tanah'!$B$7:$B$47,1)),0),NA())</f>
      </c>
      <c r="M35" s="32">
        <f t="shared" si="4"/>
      </c>
      <c r="N35">
        <f t="shared" si="5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Tanah'!$M$7:$M$47,((((('Data Tanah'!$C$7:$C$47+MIN(A36,Input!$C$22))-ABS('Data Tanah'!$C$7:$C$47-(MIN(A36,Input!$C$22))))/2-(('Data Tanah'!$B$7:$B$47+Input!$C$11)+ABS('Data Tanah'!$B$7:$B$47-(Input!$C$11)))/2)+ABS((('Data Tanah'!$C$7:$C$47+MIN(A36,Input!$C$22))-ABS('Data Tanah'!$C$7:$C$47-(MIN(A36,Input!$C$22))))/2-(('Data Tanah'!$B$7:$B$47+Input!$C$11)+ABS('Data Tanah'!$B$7:$B$47-(Input!$C$11)))/2))/2))</f>
      </c>
      <c r="E36" s="30">
        <f>IF(A36&lt;=MAX(Input!$C$22,Input!$C$27),0,Input!$C$8*SUMPRODUCT('Data Tanah'!$L$7:$L$47,((((('Data Tanah'!$C$7:$C$47+A36-Input!$C$28*Input!$C$7)-ABS('Data Tanah'!$C$7:$C$47-(A36-Input!$C$28*Input!$C$7)))/2-(('Data Tanah'!$B$7:$B$47+MAX(Input!$C$22,Input!$C$27))+ABS('Data Tanah'!$B$7:$B$47-(MAX(Input!$C$22,Input!$C$27))))/2)+ABS((('Data Tanah'!$C$7:$C$47+A36-Input!$C$28*Input!$C$7)-ABS('Data Tanah'!$C$7:$C$47-(A36-Input!$C$28*Input!$C$7)))/2-(('Data Tanah'!$B$7:$B$47+MAX(Input!$C$22,Input!$C$27))+ABS('Data Tanah'!$B$7:$B$47-(MAX(Input!$C$22,Input!$C$27))))/2))/2))+IF(SUMPRODUCT(--('Data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Tanah'!$B$7:$B$47-(A36-1.5*Input!$C$7)))/2))/2))&gt;0,0,IFERROR(AVERAGEIFS('Data Tanah'!$N$7:$N$47,'Data Tanah'!$E$7:$E$47,"&gt;="&amp;(A36-Input!$C$36*Input!$C$7),'Data Tanah'!$E$7:$E$47,"&lt;="&amp;(A36+Input!$C$37*Input!$C$7)),INDEX('Data Tanah'!$N$7:$N$47,MATCH(A36,'Data Tanah'!$B$7:$B$47,1)))*Input!$C$9))</f>
      </c>
      <c r="F36" s="16">
        <f>Input!$C$9*(Input!$C$10*MAX(MIN(A36,Input!$C$14)-Input!$C$11,0)+(Input!$C$10-1)*MAX(A36-MAX(Input!$C$14,Input!$C$11),0))</f>
      </c>
      <c r="G36" s="30">
        <f t="shared" si="1"/>
      </c>
      <c r="H36" s="30">
        <f>IF(A36&lt;=Input!$C$22,NA(),E36/Input!$C$45-F36-G36)</f>
      </c>
      <c r="I36" s="25">
        <f t="shared" si="2"/>
      </c>
      <c r="J36" s="25">
        <f>Input!$C$50</f>
      </c>
      <c r="K36" s="13">
        <f t="shared" si="3"/>
      </c>
      <c r="L36" s="9">
        <f>IF(A36&lt;=Input!$C$22,IFERROR(INDEX('Data Tanah'!$M$7:$M$47,MATCH(A36,'Data Tanah'!$B$7:$B$47,1)),0),NA())</f>
      </c>
      <c r="M36" s="25">
        <f t="shared" si="4"/>
      </c>
      <c r="N36">
        <f t="shared" si="5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Tanah'!$M$7:$M$47,((((('Data Tanah'!$C$7:$C$47+MIN(A37,Input!$C$22))-ABS('Data Tanah'!$C$7:$C$47-(MIN(A37,Input!$C$22))))/2-(('Data Tanah'!$B$7:$B$47+Input!$C$11)+ABS('Data Tanah'!$B$7:$B$47-(Input!$C$11)))/2)+ABS((('Data Tanah'!$C$7:$C$47+MIN(A37,Input!$C$22))-ABS('Data Tanah'!$C$7:$C$47-(MIN(A37,Input!$C$22))))/2-(('Data Tanah'!$B$7:$B$47+Input!$C$11)+ABS('Data Tanah'!$B$7:$B$47-(Input!$C$11)))/2))/2))</f>
      </c>
      <c r="E37" s="31">
        <f>IF(A37&lt;=MAX(Input!$C$22,Input!$C$27),0,Input!$C$8*SUMPRODUCT('Data Tanah'!$L$7:$L$47,((((('Data Tanah'!$C$7:$C$47+A37-Input!$C$28*Input!$C$7)-ABS('Data Tanah'!$C$7:$C$47-(A37-Input!$C$28*Input!$C$7)))/2-(('Data Tanah'!$B$7:$B$47+MAX(Input!$C$22,Input!$C$27))+ABS('Data Tanah'!$B$7:$B$47-(MAX(Input!$C$22,Input!$C$27))))/2)+ABS((('Data Tanah'!$C$7:$C$47+A37-Input!$C$28*Input!$C$7)-ABS('Data Tanah'!$C$7:$C$47-(A37-Input!$C$28*Input!$C$7)))/2-(('Data Tanah'!$B$7:$B$47+MAX(Input!$C$22,Input!$C$27))+ABS('Data Tanah'!$B$7:$B$47-(MAX(Input!$C$22,Input!$C$27))))/2))/2))+IF(SUMPRODUCT(--('Data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Tanah'!$B$7:$B$47-(A37-1.5*Input!$C$7)))/2))/2))&gt;0,0,IFERROR(AVERAGEIFS('Data Tanah'!$N$7:$N$47,'Data Tanah'!$E$7:$E$47,"&gt;="&amp;(A37-Input!$C$36*Input!$C$7),'Data Tanah'!$E$7:$E$47,"&lt;="&amp;(A37+Input!$C$37*Input!$C$7)),INDEX('Data Tanah'!$N$7:$N$47,MATCH(A37,'Data Tanah'!$B$7:$B$47,1)))*Input!$C$9))</f>
      </c>
      <c r="F37" s="20">
        <f>Input!$C$9*(Input!$C$10*MAX(MIN(A37,Input!$C$14)-Input!$C$11,0)+(Input!$C$10-1)*MAX(A37-MAX(Input!$C$14,Input!$C$11),0))</f>
      </c>
      <c r="G37" s="31">
        <f t="shared" si="1"/>
      </c>
      <c r="H37" s="31">
        <f>IF(A37&lt;=Input!$C$22,NA(),E37/Input!$C$45-F37-G37)</f>
      </c>
      <c r="I37" s="32">
        <f t="shared" si="2"/>
      </c>
      <c r="J37" s="32">
        <f>Input!$C$50</f>
      </c>
      <c r="K37" s="33">
        <f t="shared" si="3"/>
      </c>
      <c r="L37" s="19">
        <f>IF(A37&lt;=Input!$C$22,IFERROR(INDEX('Data Tanah'!$M$7:$M$47,MATCH(A37,'Data Tanah'!$B$7:$B$47,1)),0),NA())</f>
      </c>
      <c r="M37" s="32">
        <f t="shared" si="4"/>
      </c>
      <c r="N37">
        <f t="shared" si="5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Tanah'!$M$7:$M$47,((((('Data Tanah'!$C$7:$C$47+MIN(A38,Input!$C$22))-ABS('Data Tanah'!$C$7:$C$47-(MIN(A38,Input!$C$22))))/2-(('Data Tanah'!$B$7:$B$47+Input!$C$11)+ABS('Data Tanah'!$B$7:$B$47-(Input!$C$11)))/2)+ABS((('Data Tanah'!$C$7:$C$47+MIN(A38,Input!$C$22))-ABS('Data Tanah'!$C$7:$C$47-(MIN(A38,Input!$C$22))))/2-(('Data Tanah'!$B$7:$B$47+Input!$C$11)+ABS('Data Tanah'!$B$7:$B$47-(Input!$C$11)))/2))/2))</f>
      </c>
      <c r="E38" s="30">
        <f>IF(A38&lt;=MAX(Input!$C$22,Input!$C$27),0,Input!$C$8*SUMPRODUCT('Data Tanah'!$L$7:$L$47,((((('Data Tanah'!$C$7:$C$47+A38-Input!$C$28*Input!$C$7)-ABS('Data Tanah'!$C$7:$C$47-(A38-Input!$C$28*Input!$C$7)))/2-(('Data Tanah'!$B$7:$B$47+MAX(Input!$C$22,Input!$C$27))+ABS('Data Tanah'!$B$7:$B$47-(MAX(Input!$C$22,Input!$C$27))))/2)+ABS((('Data Tanah'!$C$7:$C$47+A38-Input!$C$28*Input!$C$7)-ABS('Data Tanah'!$C$7:$C$47-(A38-Input!$C$28*Input!$C$7)))/2-(('Data Tanah'!$B$7:$B$47+MAX(Input!$C$22,Input!$C$27))+ABS('Data Tanah'!$B$7:$B$47-(MAX(Input!$C$22,Input!$C$27))))/2))/2))+IF(SUMPRODUCT(--('Data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Tanah'!$B$7:$B$47-(A38-1.5*Input!$C$7)))/2))/2))&gt;0,0,IFERROR(AVERAGEIFS('Data Tanah'!$N$7:$N$47,'Data Tanah'!$E$7:$E$47,"&gt;="&amp;(A38-Input!$C$36*Input!$C$7),'Data Tanah'!$E$7:$E$47,"&lt;="&amp;(A38+Input!$C$37*Input!$C$7)),INDEX('Data Tanah'!$N$7:$N$47,MATCH(A38,'Data Tanah'!$B$7:$B$47,1)))*Input!$C$9))</f>
      </c>
      <c r="F38" s="16">
        <f>Input!$C$9*(Input!$C$10*MAX(MIN(A38,Input!$C$14)-Input!$C$11,0)+(Input!$C$10-1)*MAX(A38-MAX(Input!$C$14,Input!$C$11),0))</f>
      </c>
      <c r="G38" s="30">
        <f t="shared" si="1"/>
      </c>
      <c r="H38" s="30">
        <f>IF(A38&lt;=Input!$C$22,NA(),E38/Input!$C$45-F38-G38)</f>
      </c>
      <c r="I38" s="25">
        <f t="shared" si="2"/>
      </c>
      <c r="J38" s="25">
        <f>Input!$C$50</f>
      </c>
      <c r="K38" s="13">
        <f t="shared" si="3"/>
      </c>
      <c r="L38" s="9">
        <f>IF(A38&lt;=Input!$C$22,IFERROR(INDEX('Data Tanah'!$M$7:$M$47,MATCH(A38,'Data Tanah'!$B$7:$B$47,1)),0),NA())</f>
      </c>
      <c r="M38" s="25">
        <f t="shared" si="4"/>
      </c>
      <c r="N38">
        <f t="shared" si="5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Tanah'!$M$7:$M$47,((((('Data Tanah'!$C$7:$C$47+MIN(A39,Input!$C$22))-ABS('Data Tanah'!$C$7:$C$47-(MIN(A39,Input!$C$22))))/2-(('Data Tanah'!$B$7:$B$47+Input!$C$11)+ABS('Data Tanah'!$B$7:$B$47-(Input!$C$11)))/2)+ABS((('Data Tanah'!$C$7:$C$47+MIN(A39,Input!$C$22))-ABS('Data Tanah'!$C$7:$C$47-(MIN(A39,Input!$C$22))))/2-(('Data Tanah'!$B$7:$B$47+Input!$C$11)+ABS('Data Tanah'!$B$7:$B$47-(Input!$C$11)))/2))/2))</f>
      </c>
      <c r="E39" s="31">
        <f>IF(A39&lt;=MAX(Input!$C$22,Input!$C$27),0,Input!$C$8*SUMPRODUCT('Data Tanah'!$L$7:$L$47,((((('Data Tanah'!$C$7:$C$47+A39-Input!$C$28*Input!$C$7)-ABS('Data Tanah'!$C$7:$C$47-(A39-Input!$C$28*Input!$C$7)))/2-(('Data Tanah'!$B$7:$B$47+MAX(Input!$C$22,Input!$C$27))+ABS('Data Tanah'!$B$7:$B$47-(MAX(Input!$C$22,Input!$C$27))))/2)+ABS((('Data Tanah'!$C$7:$C$47+A39-Input!$C$28*Input!$C$7)-ABS('Data Tanah'!$C$7:$C$47-(A39-Input!$C$28*Input!$C$7)))/2-(('Data Tanah'!$B$7:$B$47+MAX(Input!$C$22,Input!$C$27))+ABS('Data Tanah'!$B$7:$B$47-(MAX(Input!$C$22,Input!$C$27))))/2))/2))+IF(SUMPRODUCT(--('Data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Tanah'!$B$7:$B$47-(A39-1.5*Input!$C$7)))/2))/2))&gt;0,0,IFERROR(AVERAGEIFS('Data Tanah'!$N$7:$N$47,'Data Tanah'!$E$7:$E$47,"&gt;="&amp;(A39-Input!$C$36*Input!$C$7),'Data Tanah'!$E$7:$E$47,"&lt;="&amp;(A39+Input!$C$37*Input!$C$7)),INDEX('Data Tanah'!$N$7:$N$47,MATCH(A39,'Data Tanah'!$B$7:$B$47,1)))*Input!$C$9))</f>
      </c>
      <c r="F39" s="20">
        <f>Input!$C$9*(Input!$C$10*MAX(MIN(A39,Input!$C$14)-Input!$C$11,0)+(Input!$C$10-1)*MAX(A39-MAX(Input!$C$14,Input!$C$11),0))</f>
      </c>
      <c r="G39" s="31">
        <f t="shared" si="1"/>
      </c>
      <c r="H39" s="31">
        <f>IF(A39&lt;=Input!$C$22,NA(),E39/Input!$C$45-F39-G39)</f>
      </c>
      <c r="I39" s="32">
        <f t="shared" si="2"/>
      </c>
      <c r="J39" s="32">
        <f>Input!$C$50</f>
      </c>
      <c r="K39" s="33">
        <f t="shared" si="3"/>
      </c>
      <c r="L39" s="19">
        <f>IF(A39&lt;=Input!$C$22,IFERROR(INDEX('Data Tanah'!$M$7:$M$47,MATCH(A39,'Data Tanah'!$B$7:$B$47,1)),0),NA())</f>
      </c>
      <c r="M39" s="32">
        <f t="shared" si="4"/>
      </c>
      <c r="N39">
        <f t="shared" si="5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Tanah'!$M$7:$M$47,((((('Data Tanah'!$C$7:$C$47+MIN(A40,Input!$C$22))-ABS('Data Tanah'!$C$7:$C$47-(MIN(A40,Input!$C$22))))/2-(('Data Tanah'!$B$7:$B$47+Input!$C$11)+ABS('Data Tanah'!$B$7:$B$47-(Input!$C$11)))/2)+ABS((('Data Tanah'!$C$7:$C$47+MIN(A40,Input!$C$22))-ABS('Data Tanah'!$C$7:$C$47-(MIN(A40,Input!$C$22))))/2-(('Data Tanah'!$B$7:$B$47+Input!$C$11)+ABS('Data Tanah'!$B$7:$B$47-(Input!$C$11)))/2))/2))</f>
      </c>
      <c r="E40" s="30">
        <f>IF(A40&lt;=MAX(Input!$C$22,Input!$C$27),0,Input!$C$8*SUMPRODUCT('Data Tanah'!$L$7:$L$47,((((('Data Tanah'!$C$7:$C$47+A40-Input!$C$28*Input!$C$7)-ABS('Data Tanah'!$C$7:$C$47-(A40-Input!$C$28*Input!$C$7)))/2-(('Data Tanah'!$B$7:$B$47+MAX(Input!$C$22,Input!$C$27))+ABS('Data Tanah'!$B$7:$B$47-(MAX(Input!$C$22,Input!$C$27))))/2)+ABS((('Data Tanah'!$C$7:$C$47+A40-Input!$C$28*Input!$C$7)-ABS('Data Tanah'!$C$7:$C$47-(A40-Input!$C$28*Input!$C$7)))/2-(('Data Tanah'!$B$7:$B$47+MAX(Input!$C$22,Input!$C$27))+ABS('Data Tanah'!$B$7:$B$47-(MAX(Input!$C$22,Input!$C$27))))/2))/2))+IF(SUMPRODUCT(--('Data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Tanah'!$B$7:$B$47-(A40-1.5*Input!$C$7)))/2))/2))&gt;0,0,IFERROR(AVERAGEIFS('Data Tanah'!$N$7:$N$47,'Data Tanah'!$E$7:$E$47,"&gt;="&amp;(A40-Input!$C$36*Input!$C$7),'Data Tanah'!$E$7:$E$47,"&lt;="&amp;(A40+Input!$C$37*Input!$C$7)),INDEX('Data Tanah'!$N$7:$N$47,MATCH(A40,'Data Tanah'!$B$7:$B$47,1)))*Input!$C$9))</f>
      </c>
      <c r="F40" s="16">
        <f>Input!$C$9*(Input!$C$10*MAX(MIN(A40,Input!$C$14)-Input!$C$11,0)+(Input!$C$10-1)*MAX(A40-MAX(Input!$C$14,Input!$C$11),0))</f>
      </c>
      <c r="G40" s="30">
        <f t="shared" si="1"/>
      </c>
      <c r="H40" s="30">
        <f>IF(A40&lt;=Input!$C$22,NA(),E40/Input!$C$45-F40-G40)</f>
      </c>
      <c r="I40" s="25">
        <f t="shared" si="2"/>
      </c>
      <c r="J40" s="25">
        <f>Input!$C$50</f>
      </c>
      <c r="K40" s="13">
        <f t="shared" si="3"/>
      </c>
      <c r="L40" s="9">
        <f>IF(A40&lt;=Input!$C$22,IFERROR(INDEX('Data Tanah'!$M$7:$M$47,MATCH(A40,'Data Tanah'!$B$7:$B$47,1)),0),NA())</f>
      </c>
      <c r="M40" s="25">
        <f t="shared" si="4"/>
      </c>
      <c r="N40">
        <f t="shared" si="5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Tanah'!$M$7:$M$47,((((('Data Tanah'!$C$7:$C$47+MIN(A41,Input!$C$22))-ABS('Data Tanah'!$C$7:$C$47-(MIN(A41,Input!$C$22))))/2-(('Data Tanah'!$B$7:$B$47+Input!$C$11)+ABS('Data Tanah'!$B$7:$B$47-(Input!$C$11)))/2)+ABS((('Data Tanah'!$C$7:$C$47+MIN(A41,Input!$C$22))-ABS('Data Tanah'!$C$7:$C$47-(MIN(A41,Input!$C$22))))/2-(('Data Tanah'!$B$7:$B$47+Input!$C$11)+ABS('Data Tanah'!$B$7:$B$47-(Input!$C$11)))/2))/2))</f>
      </c>
      <c r="E41" s="31">
        <f>IF(A41&lt;=MAX(Input!$C$22,Input!$C$27),0,Input!$C$8*SUMPRODUCT('Data Tanah'!$L$7:$L$47,((((('Data Tanah'!$C$7:$C$47+A41-Input!$C$28*Input!$C$7)-ABS('Data Tanah'!$C$7:$C$47-(A41-Input!$C$28*Input!$C$7)))/2-(('Data Tanah'!$B$7:$B$47+MAX(Input!$C$22,Input!$C$27))+ABS('Data Tanah'!$B$7:$B$47-(MAX(Input!$C$22,Input!$C$27))))/2)+ABS((('Data Tanah'!$C$7:$C$47+A41-Input!$C$28*Input!$C$7)-ABS('Data Tanah'!$C$7:$C$47-(A41-Input!$C$28*Input!$C$7)))/2-(('Data Tanah'!$B$7:$B$47+MAX(Input!$C$22,Input!$C$27))+ABS('Data Tanah'!$B$7:$B$47-(MAX(Input!$C$22,Input!$C$27))))/2))/2))+IF(SUMPRODUCT(--('Data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Tanah'!$B$7:$B$47-(A41-1.5*Input!$C$7)))/2))/2))&gt;0,0,IFERROR(AVERAGEIFS('Data Tanah'!$N$7:$N$47,'Data Tanah'!$E$7:$E$47,"&gt;="&amp;(A41-Input!$C$36*Input!$C$7),'Data Tanah'!$E$7:$E$47,"&lt;="&amp;(A41+Input!$C$37*Input!$C$7)),INDEX('Data Tanah'!$N$7:$N$47,MATCH(A41,'Data Tanah'!$B$7:$B$47,1)))*Input!$C$9))</f>
      </c>
      <c r="F41" s="20">
        <f>Input!$C$9*(Input!$C$10*MAX(MIN(A41,Input!$C$14)-Input!$C$11,0)+(Input!$C$10-1)*MAX(A41-MAX(Input!$C$14,Input!$C$11),0))</f>
      </c>
      <c r="G41" s="31">
        <f t="shared" si="1"/>
      </c>
      <c r="H41" s="31">
        <f>IF(A41&lt;=Input!$C$22,NA(),E41/Input!$C$45-F41-G41)</f>
      </c>
      <c r="I41" s="32">
        <f t="shared" si="2"/>
      </c>
      <c r="J41" s="32">
        <f>Input!$C$50</f>
      </c>
      <c r="K41" s="33">
        <f t="shared" si="3"/>
      </c>
      <c r="L41" s="19">
        <f>IF(A41&lt;=Input!$C$22,IFERROR(INDEX('Data Tanah'!$M$7:$M$47,MATCH(A41,'Data Tanah'!$B$7:$B$47,1)),0),NA())</f>
      </c>
      <c r="M41" s="32">
        <f t="shared" si="4"/>
      </c>
      <c r="N41">
        <f t="shared" si="5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Tanah'!$M$7:$M$47,((((('Data Tanah'!$C$7:$C$47+MIN(A42,Input!$C$22))-ABS('Data Tanah'!$C$7:$C$47-(MIN(A42,Input!$C$22))))/2-(('Data Tanah'!$B$7:$B$47+Input!$C$11)+ABS('Data Tanah'!$B$7:$B$47-(Input!$C$11)))/2)+ABS((('Data Tanah'!$C$7:$C$47+MIN(A42,Input!$C$22))-ABS('Data Tanah'!$C$7:$C$47-(MIN(A42,Input!$C$22))))/2-(('Data Tanah'!$B$7:$B$47+Input!$C$11)+ABS('Data Tanah'!$B$7:$B$47-(Input!$C$11)))/2))/2))</f>
      </c>
      <c r="E42" s="30">
        <f>IF(A42&lt;=MAX(Input!$C$22,Input!$C$27),0,Input!$C$8*SUMPRODUCT('Data Tanah'!$L$7:$L$47,((((('Data Tanah'!$C$7:$C$47+A42-Input!$C$28*Input!$C$7)-ABS('Data Tanah'!$C$7:$C$47-(A42-Input!$C$28*Input!$C$7)))/2-(('Data Tanah'!$B$7:$B$47+MAX(Input!$C$22,Input!$C$27))+ABS('Data Tanah'!$B$7:$B$47-(MAX(Input!$C$22,Input!$C$27))))/2)+ABS((('Data Tanah'!$C$7:$C$47+A42-Input!$C$28*Input!$C$7)-ABS('Data Tanah'!$C$7:$C$47-(A42-Input!$C$28*Input!$C$7)))/2-(('Data Tanah'!$B$7:$B$47+MAX(Input!$C$22,Input!$C$27))+ABS('Data Tanah'!$B$7:$B$47-(MAX(Input!$C$22,Input!$C$27))))/2))/2))+IF(SUMPRODUCT(--('Data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Tanah'!$B$7:$B$47-(A42-1.5*Input!$C$7)))/2))/2))&gt;0,0,IFERROR(AVERAGEIFS('Data Tanah'!$N$7:$N$47,'Data Tanah'!$E$7:$E$47,"&gt;="&amp;(A42-Input!$C$36*Input!$C$7),'Data Tanah'!$E$7:$E$47,"&lt;="&amp;(A42+Input!$C$37*Input!$C$7)),INDEX('Data Tanah'!$N$7:$N$47,MATCH(A42,'Data Tanah'!$B$7:$B$47,1)))*Input!$C$9))</f>
      </c>
      <c r="F42" s="16">
        <f>Input!$C$9*(Input!$C$10*MAX(MIN(A42,Input!$C$14)-Input!$C$11,0)+(Input!$C$10-1)*MAX(A42-MAX(Input!$C$14,Input!$C$11),0))</f>
      </c>
      <c r="G42" s="30">
        <f t="shared" si="1"/>
      </c>
      <c r="H42" s="30">
        <f>IF(A42&lt;=Input!$C$22,NA(),E42/Input!$C$45-F42-G42)</f>
      </c>
      <c r="I42" s="25">
        <f t="shared" si="2"/>
      </c>
      <c r="J42" s="25">
        <f>Input!$C$50</f>
      </c>
      <c r="K42" s="13">
        <f t="shared" si="3"/>
      </c>
      <c r="L42" s="9">
        <f>IF(A42&lt;=Input!$C$22,IFERROR(INDEX('Data Tanah'!$M$7:$M$47,MATCH(A42,'Data Tanah'!$B$7:$B$47,1)),0),NA())</f>
      </c>
      <c r="M42" s="25">
        <f t="shared" si="4"/>
      </c>
      <c r="N42">
        <f t="shared" si="5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Tanah'!$M$7:$M$47,((((('Data Tanah'!$C$7:$C$47+MIN(A43,Input!$C$22))-ABS('Data Tanah'!$C$7:$C$47-(MIN(A43,Input!$C$22))))/2-(('Data Tanah'!$B$7:$B$47+Input!$C$11)+ABS('Data Tanah'!$B$7:$B$47-(Input!$C$11)))/2)+ABS((('Data Tanah'!$C$7:$C$47+MIN(A43,Input!$C$22))-ABS('Data Tanah'!$C$7:$C$47-(MIN(A43,Input!$C$22))))/2-(('Data Tanah'!$B$7:$B$47+Input!$C$11)+ABS('Data Tanah'!$B$7:$B$47-(Input!$C$11)))/2))/2))</f>
      </c>
      <c r="E43" s="31">
        <f>IF(A43&lt;=MAX(Input!$C$22,Input!$C$27),0,Input!$C$8*SUMPRODUCT('Data Tanah'!$L$7:$L$47,((((('Data Tanah'!$C$7:$C$47+A43-Input!$C$28*Input!$C$7)-ABS('Data Tanah'!$C$7:$C$47-(A43-Input!$C$28*Input!$C$7)))/2-(('Data Tanah'!$B$7:$B$47+MAX(Input!$C$22,Input!$C$27))+ABS('Data Tanah'!$B$7:$B$47-(MAX(Input!$C$22,Input!$C$27))))/2)+ABS((('Data Tanah'!$C$7:$C$47+A43-Input!$C$28*Input!$C$7)-ABS('Data Tanah'!$C$7:$C$47-(A43-Input!$C$28*Input!$C$7)))/2-(('Data Tanah'!$B$7:$B$47+MAX(Input!$C$22,Input!$C$27))+ABS('Data Tanah'!$B$7:$B$47-(MAX(Input!$C$22,Input!$C$27))))/2))/2))+IF(SUMPRODUCT(--('Data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Tanah'!$B$7:$B$47-(A43-1.5*Input!$C$7)))/2))/2))&gt;0,0,IFERROR(AVERAGEIFS('Data Tanah'!$N$7:$N$47,'Data Tanah'!$E$7:$E$47,"&gt;="&amp;(A43-Input!$C$36*Input!$C$7),'Data Tanah'!$E$7:$E$47,"&lt;="&amp;(A43+Input!$C$37*Input!$C$7)),INDEX('Data Tanah'!$N$7:$N$47,MATCH(A43,'Data Tanah'!$B$7:$B$47,1)))*Input!$C$9))</f>
      </c>
      <c r="F43" s="20">
        <f>Input!$C$9*(Input!$C$10*MAX(MIN(A43,Input!$C$14)-Input!$C$11,0)+(Input!$C$10-1)*MAX(A43-MAX(Input!$C$14,Input!$C$11),0))</f>
      </c>
      <c r="G43" s="31">
        <f t="shared" si="1"/>
      </c>
      <c r="H43" s="31">
        <f>IF(A43&lt;=Input!$C$22,NA(),E43/Input!$C$45-F43-G43)</f>
      </c>
      <c r="I43" s="32">
        <f t="shared" si="2"/>
      </c>
      <c r="J43" s="32">
        <f>Input!$C$50</f>
      </c>
      <c r="K43" s="33">
        <f t="shared" si="3"/>
      </c>
      <c r="L43" s="19">
        <f>IF(A43&lt;=Input!$C$22,IFERROR(INDEX('Data Tanah'!$M$7:$M$47,MATCH(A43,'Data Tanah'!$B$7:$B$47,1)),0),NA())</f>
      </c>
      <c r="M43" s="32">
        <f t="shared" si="4"/>
      </c>
      <c r="N43">
        <f t="shared" si="5"/>
      </c>
    </row>
    <row r="44" spans="1:14" x14ac:dyDescent="0.25">
      <c r="A44" s="16">
        <v>18</v>
      </c>
      <c r="B44" s="16">
        <f t="shared" ref="B44:B75" si="6">-A44</f>
      </c>
      <c r="C44" s="16">
        <f>A44-Input!$C$11</f>
      </c>
      <c r="D44" s="30">
        <f>Input!$C$8*SUMPRODUCT('Data Tanah'!$M$7:$M$47,((((('Data Tanah'!$C$7:$C$47+MIN(A44,Input!$C$22))-ABS('Data Tanah'!$C$7:$C$47-(MIN(A44,Input!$C$22))))/2-(('Data Tanah'!$B$7:$B$47+Input!$C$11)+ABS('Data Tanah'!$B$7:$B$47-(Input!$C$11)))/2)+ABS((('Data Tanah'!$C$7:$C$47+MIN(A44,Input!$C$22))-ABS('Data Tanah'!$C$7:$C$47-(MIN(A44,Input!$C$22))))/2-(('Data Tanah'!$B$7:$B$47+Input!$C$11)+ABS('Data Tanah'!$B$7:$B$47-(Input!$C$11)))/2))/2))</f>
      </c>
      <c r="E44" s="30">
        <f>IF(A44&lt;=MAX(Input!$C$22,Input!$C$27),0,Input!$C$8*SUMPRODUCT('Data Tanah'!$L$7:$L$47,((((('Data Tanah'!$C$7:$C$47+A44-Input!$C$28*Input!$C$7)-ABS('Data Tanah'!$C$7:$C$47-(A44-Input!$C$28*Input!$C$7)))/2-(('Data Tanah'!$B$7:$B$47+MAX(Input!$C$22,Input!$C$27))+ABS('Data Tanah'!$B$7:$B$47-(MAX(Input!$C$22,Input!$C$27))))/2)+ABS((('Data Tanah'!$C$7:$C$47+A44-Input!$C$28*Input!$C$7)-ABS('Data Tanah'!$C$7:$C$47-(A44-Input!$C$28*Input!$C$7)))/2-(('Data Tanah'!$B$7:$B$47+MAX(Input!$C$22,Input!$C$27))+ABS('Data Tanah'!$B$7:$B$47-(MAX(Input!$C$22,Input!$C$27))))/2))/2))+IF(SUMPRODUCT(--('Data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Tanah'!$B$7:$B$47-(A44-1.5*Input!$C$7)))/2))/2))&gt;0,0,IFERROR(AVERAGEIFS('Data Tanah'!$N$7:$N$47,'Data Tanah'!$E$7:$E$47,"&gt;="&amp;(A44-Input!$C$36*Input!$C$7),'Data Tanah'!$E$7:$E$47,"&lt;="&amp;(A44+Input!$C$37*Input!$C$7)),INDEX('Data Tanah'!$N$7:$N$47,MATCH(A44,'Data Tanah'!$B$7:$B$47,1)))*Input!$C$9))</f>
      </c>
      <c r="F44" s="16">
        <f>Input!$C$9*(Input!$C$10*MAX(MIN(A44,Input!$C$14)-Input!$C$11,0)+(Input!$C$10-1)*MAX(A44-MAX(Input!$C$14,Input!$C$11),0))</f>
      </c>
      <c r="G44" s="30">
        <f t="shared" ref="G44:G75" si="7">$D$127</f>
      </c>
      <c r="H44" s="30">
        <f>IF(A44&lt;=Input!$C$22,NA(),E44/Input!$C$45-F44-G44)</f>
      </c>
      <c r="I44" s="25">
        <f t="shared" ref="I44:I75" si="8">IFERROR(H44*9.81,NA())</f>
      </c>
      <c r="J44" s="25">
        <f>Input!$C$50</f>
      </c>
      <c r="K44" s="13">
        <f t="shared" ref="K44:K75" si="9">AND(IFERROR(I44&gt;=J44,FALSE),K45)</f>
      </c>
      <c r="L44" s="9">
        <f>IF(A44&lt;=Input!$C$22,IFERROR(INDEX('Data Tanah'!$M$7:$M$47,MATCH(A44,'Data Tanah'!$B$7:$B$47,1)),0),NA())</f>
      </c>
      <c r="M44" s="25">
        <f t="shared" ref="M44:M75" si="10">D44*9.81</f>
      </c>
      <c r="N44">
        <f t="shared" si="5"/>
      </c>
    </row>
    <row r="45" spans="1:14" x14ac:dyDescent="0.25">
      <c r="A45" s="20">
        <v>18.5</v>
      </c>
      <c r="B45" s="20">
        <f t="shared" si="6"/>
      </c>
      <c r="C45" s="20">
        <f>A45-Input!$C$11</f>
      </c>
      <c r="D45" s="31">
        <f>Input!$C$8*SUMPRODUCT('Data Tanah'!$M$7:$M$47,((((('Data Tanah'!$C$7:$C$47+MIN(A45,Input!$C$22))-ABS('Data Tanah'!$C$7:$C$47-(MIN(A45,Input!$C$22))))/2-(('Data Tanah'!$B$7:$B$47+Input!$C$11)+ABS('Data Tanah'!$B$7:$B$47-(Input!$C$11)))/2)+ABS((('Data Tanah'!$C$7:$C$47+MIN(A45,Input!$C$22))-ABS('Data Tanah'!$C$7:$C$47-(MIN(A45,Input!$C$22))))/2-(('Data Tanah'!$B$7:$B$47+Input!$C$11)+ABS('Data Tanah'!$B$7:$B$47-(Input!$C$11)))/2))/2))</f>
      </c>
      <c r="E45" s="31">
        <f>IF(A45&lt;=MAX(Input!$C$22,Input!$C$27),0,Input!$C$8*SUMPRODUCT('Data Tanah'!$L$7:$L$47,((((('Data Tanah'!$C$7:$C$47+A45-Input!$C$28*Input!$C$7)-ABS('Data Tanah'!$C$7:$C$47-(A45-Input!$C$28*Input!$C$7)))/2-(('Data Tanah'!$B$7:$B$47+MAX(Input!$C$22,Input!$C$27))+ABS('Data Tanah'!$B$7:$B$47-(MAX(Input!$C$22,Input!$C$27))))/2)+ABS((('Data Tanah'!$C$7:$C$47+A45-Input!$C$28*Input!$C$7)-ABS('Data Tanah'!$C$7:$C$47-(A45-Input!$C$28*Input!$C$7)))/2-(('Data Tanah'!$B$7:$B$47+MAX(Input!$C$22,Input!$C$27))+ABS('Data Tanah'!$B$7:$B$47-(MAX(Input!$C$22,Input!$C$27))))/2))/2))+IF(SUMPRODUCT(--('Data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Tanah'!$B$7:$B$47-(A45-1.5*Input!$C$7)))/2))/2))&gt;0,0,IFERROR(AVERAGEIFS('Data Tanah'!$N$7:$N$47,'Data Tanah'!$E$7:$E$47,"&gt;="&amp;(A45-Input!$C$36*Input!$C$7),'Data Tanah'!$E$7:$E$47,"&lt;="&amp;(A45+Input!$C$37*Input!$C$7)),INDEX('Data Tanah'!$N$7:$N$47,MATCH(A45,'Data Tanah'!$B$7:$B$47,1)))*Input!$C$9))</f>
      </c>
      <c r="F45" s="20">
        <f>Input!$C$9*(Input!$C$10*MAX(MIN(A45,Input!$C$14)-Input!$C$11,0)+(Input!$C$10-1)*MAX(A45-MAX(Input!$C$14,Input!$C$11),0))</f>
      </c>
      <c r="G45" s="31">
        <f t="shared" si="7"/>
      </c>
      <c r="H45" s="31">
        <f>IF(A45&lt;=Input!$C$22,NA(),E45/Input!$C$45-F45-G45)</f>
      </c>
      <c r="I45" s="32">
        <f t="shared" si="8"/>
      </c>
      <c r="J45" s="32">
        <f>Input!$C$50</f>
      </c>
      <c r="K45" s="33">
        <f t="shared" si="9"/>
      </c>
      <c r="L45" s="19">
        <f>IF(A45&lt;=Input!$C$22,IFERROR(INDEX('Data Tanah'!$M$7:$M$47,MATCH(A45,'Data Tanah'!$B$7:$B$47,1)),0),NA())</f>
      </c>
      <c r="M45" s="32">
        <f t="shared" si="10"/>
      </c>
      <c r="N45">
        <f t="shared" si="5"/>
      </c>
    </row>
    <row r="46" spans="1:14" x14ac:dyDescent="0.25">
      <c r="A46" s="16">
        <v>19</v>
      </c>
      <c r="B46" s="16">
        <f t="shared" si="6"/>
      </c>
      <c r="C46" s="16">
        <f>A46-Input!$C$11</f>
      </c>
      <c r="D46" s="30">
        <f>Input!$C$8*SUMPRODUCT('Data Tanah'!$M$7:$M$47,((((('Data Tanah'!$C$7:$C$47+MIN(A46,Input!$C$22))-ABS('Data Tanah'!$C$7:$C$47-(MIN(A46,Input!$C$22))))/2-(('Data Tanah'!$B$7:$B$47+Input!$C$11)+ABS('Data Tanah'!$B$7:$B$47-(Input!$C$11)))/2)+ABS((('Data Tanah'!$C$7:$C$47+MIN(A46,Input!$C$22))-ABS('Data Tanah'!$C$7:$C$47-(MIN(A46,Input!$C$22))))/2-(('Data Tanah'!$B$7:$B$47+Input!$C$11)+ABS('Data Tanah'!$B$7:$B$47-(Input!$C$11)))/2))/2))</f>
      </c>
      <c r="E46" s="30">
        <f>IF(A46&lt;=MAX(Input!$C$22,Input!$C$27),0,Input!$C$8*SUMPRODUCT('Data Tanah'!$L$7:$L$47,((((('Data Tanah'!$C$7:$C$47+A46-Input!$C$28*Input!$C$7)-ABS('Data Tanah'!$C$7:$C$47-(A46-Input!$C$28*Input!$C$7)))/2-(('Data Tanah'!$B$7:$B$47+MAX(Input!$C$22,Input!$C$27))+ABS('Data Tanah'!$B$7:$B$47-(MAX(Input!$C$22,Input!$C$27))))/2)+ABS((('Data Tanah'!$C$7:$C$47+A46-Input!$C$28*Input!$C$7)-ABS('Data Tanah'!$C$7:$C$47-(A46-Input!$C$28*Input!$C$7)))/2-(('Data Tanah'!$B$7:$B$47+MAX(Input!$C$22,Input!$C$27))+ABS('Data Tanah'!$B$7:$B$47-(MAX(Input!$C$22,Input!$C$27))))/2))/2))+IF(SUMPRODUCT(--('Data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Tanah'!$B$7:$B$47-(A46-1.5*Input!$C$7)))/2))/2))&gt;0,0,IFERROR(AVERAGEIFS('Data Tanah'!$N$7:$N$47,'Data Tanah'!$E$7:$E$47,"&gt;="&amp;(A46-Input!$C$36*Input!$C$7),'Data Tanah'!$E$7:$E$47,"&lt;="&amp;(A46+Input!$C$37*Input!$C$7)),INDEX('Data Tanah'!$N$7:$N$47,MATCH(A46,'Data Tanah'!$B$7:$B$47,1)))*Input!$C$9))</f>
      </c>
      <c r="F46" s="16">
        <f>Input!$C$9*(Input!$C$10*MAX(MIN(A46,Input!$C$14)-Input!$C$11,0)+(Input!$C$10-1)*MAX(A46-MAX(Input!$C$14,Input!$C$11),0))</f>
      </c>
      <c r="G46" s="30">
        <f t="shared" si="7"/>
      </c>
      <c r="H46" s="30">
        <f>IF(A46&lt;=Input!$C$22,NA(),E46/Input!$C$45-F46-G46)</f>
      </c>
      <c r="I46" s="25">
        <f t="shared" si="8"/>
      </c>
      <c r="J46" s="25">
        <f>Input!$C$50</f>
      </c>
      <c r="K46" s="13">
        <f t="shared" si="9"/>
      </c>
      <c r="L46" s="9">
        <f>IF(A46&lt;=Input!$C$22,IFERROR(INDEX('Data Tanah'!$M$7:$M$47,MATCH(A46,'Data Tanah'!$B$7:$B$47,1)),0),NA())</f>
      </c>
      <c r="M46" s="25">
        <f t="shared" si="10"/>
      </c>
      <c r="N46">
        <f t="shared" si="5"/>
      </c>
    </row>
    <row r="47" spans="1:14" x14ac:dyDescent="0.25">
      <c r="A47" s="20">
        <v>19.5</v>
      </c>
      <c r="B47" s="20">
        <f t="shared" si="6"/>
      </c>
      <c r="C47" s="20">
        <f>A47-Input!$C$11</f>
      </c>
      <c r="D47" s="31">
        <f>Input!$C$8*SUMPRODUCT('Data Tanah'!$M$7:$M$47,((((('Data Tanah'!$C$7:$C$47+MIN(A47,Input!$C$22))-ABS('Data Tanah'!$C$7:$C$47-(MIN(A47,Input!$C$22))))/2-(('Data Tanah'!$B$7:$B$47+Input!$C$11)+ABS('Data Tanah'!$B$7:$B$47-(Input!$C$11)))/2)+ABS((('Data Tanah'!$C$7:$C$47+MIN(A47,Input!$C$22))-ABS('Data Tanah'!$C$7:$C$47-(MIN(A47,Input!$C$22))))/2-(('Data Tanah'!$B$7:$B$47+Input!$C$11)+ABS('Data Tanah'!$B$7:$B$47-(Input!$C$11)))/2))/2))</f>
      </c>
      <c r="E47" s="31">
        <f>IF(A47&lt;=MAX(Input!$C$22,Input!$C$27),0,Input!$C$8*SUMPRODUCT('Data Tanah'!$L$7:$L$47,((((('Data Tanah'!$C$7:$C$47+A47-Input!$C$28*Input!$C$7)-ABS('Data Tanah'!$C$7:$C$47-(A47-Input!$C$28*Input!$C$7)))/2-(('Data Tanah'!$B$7:$B$47+MAX(Input!$C$22,Input!$C$27))+ABS('Data Tanah'!$B$7:$B$47-(MAX(Input!$C$22,Input!$C$27))))/2)+ABS((('Data Tanah'!$C$7:$C$47+A47-Input!$C$28*Input!$C$7)-ABS('Data Tanah'!$C$7:$C$47-(A47-Input!$C$28*Input!$C$7)))/2-(('Data Tanah'!$B$7:$B$47+MAX(Input!$C$22,Input!$C$27))+ABS('Data Tanah'!$B$7:$B$47-(MAX(Input!$C$22,Input!$C$27))))/2))/2))+IF(SUMPRODUCT(--('Data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Tanah'!$B$7:$B$47-(A47-1.5*Input!$C$7)))/2))/2))&gt;0,0,IFERROR(AVERAGEIFS('Data Tanah'!$N$7:$N$47,'Data Tanah'!$E$7:$E$47,"&gt;="&amp;(A47-Input!$C$36*Input!$C$7),'Data Tanah'!$E$7:$E$47,"&lt;="&amp;(A47+Input!$C$37*Input!$C$7)),INDEX('Data Tanah'!$N$7:$N$47,MATCH(A47,'Data Tanah'!$B$7:$B$47,1)))*Input!$C$9))</f>
      </c>
      <c r="F47" s="20">
        <f>Input!$C$9*(Input!$C$10*MAX(MIN(A47,Input!$C$14)-Input!$C$11,0)+(Input!$C$10-1)*MAX(A47-MAX(Input!$C$14,Input!$C$11),0))</f>
      </c>
      <c r="G47" s="31">
        <f t="shared" si="7"/>
      </c>
      <c r="H47" s="31">
        <f>IF(A47&lt;=Input!$C$22,NA(),E47/Input!$C$45-F47-G47)</f>
      </c>
      <c r="I47" s="32">
        <f t="shared" si="8"/>
      </c>
      <c r="J47" s="32">
        <f>Input!$C$50</f>
      </c>
      <c r="K47" s="33">
        <f t="shared" si="9"/>
      </c>
      <c r="L47" s="19">
        <f>IF(A47&lt;=Input!$C$22,IFERROR(INDEX('Data Tanah'!$M$7:$M$47,MATCH(A47,'Data Tanah'!$B$7:$B$47,1)),0),NA())</f>
      </c>
      <c r="M47" s="32">
        <f t="shared" si="10"/>
      </c>
      <c r="N47">
        <f t="shared" si="5"/>
      </c>
    </row>
    <row r="48" spans="1:14" x14ac:dyDescent="0.25">
      <c r="A48" s="16">
        <v>20</v>
      </c>
      <c r="B48" s="16">
        <f t="shared" si="6"/>
      </c>
      <c r="C48" s="16">
        <f>A48-Input!$C$11</f>
      </c>
      <c r="D48" s="30">
        <f>Input!$C$8*SUMPRODUCT('Data Tanah'!$M$7:$M$47,((((('Data Tanah'!$C$7:$C$47+MIN(A48,Input!$C$22))-ABS('Data Tanah'!$C$7:$C$47-(MIN(A48,Input!$C$22))))/2-(('Data Tanah'!$B$7:$B$47+Input!$C$11)+ABS('Data Tanah'!$B$7:$B$47-(Input!$C$11)))/2)+ABS((('Data Tanah'!$C$7:$C$47+MIN(A48,Input!$C$22))-ABS('Data Tanah'!$C$7:$C$47-(MIN(A48,Input!$C$22))))/2-(('Data Tanah'!$B$7:$B$47+Input!$C$11)+ABS('Data Tanah'!$B$7:$B$47-(Input!$C$11)))/2))/2))</f>
      </c>
      <c r="E48" s="30">
        <f>IF(A48&lt;=MAX(Input!$C$22,Input!$C$27),0,Input!$C$8*SUMPRODUCT('Data Tanah'!$L$7:$L$47,((((('Data Tanah'!$C$7:$C$47+A48-Input!$C$28*Input!$C$7)-ABS('Data Tanah'!$C$7:$C$47-(A48-Input!$C$28*Input!$C$7)))/2-(('Data Tanah'!$B$7:$B$47+MAX(Input!$C$22,Input!$C$27))+ABS('Data Tanah'!$B$7:$B$47-(MAX(Input!$C$22,Input!$C$27))))/2)+ABS((('Data Tanah'!$C$7:$C$47+A48-Input!$C$28*Input!$C$7)-ABS('Data Tanah'!$C$7:$C$47-(A48-Input!$C$28*Input!$C$7)))/2-(('Data Tanah'!$B$7:$B$47+MAX(Input!$C$22,Input!$C$27))+ABS('Data Tanah'!$B$7:$B$47-(MAX(Input!$C$22,Input!$C$27))))/2))/2))+IF(SUMPRODUCT(--('Data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Tanah'!$B$7:$B$47-(A48-1.5*Input!$C$7)))/2))/2))&gt;0,0,IFERROR(AVERAGEIFS('Data Tanah'!$N$7:$N$47,'Data Tanah'!$E$7:$E$47,"&gt;="&amp;(A48-Input!$C$36*Input!$C$7),'Data Tanah'!$E$7:$E$47,"&lt;="&amp;(A48+Input!$C$37*Input!$C$7)),INDEX('Data Tanah'!$N$7:$N$47,MATCH(A48,'Data Tanah'!$B$7:$B$47,1)))*Input!$C$9))</f>
      </c>
      <c r="F48" s="16">
        <f>Input!$C$9*(Input!$C$10*MAX(MIN(A48,Input!$C$14)-Input!$C$11,0)+(Input!$C$10-1)*MAX(A48-MAX(Input!$C$14,Input!$C$11),0))</f>
      </c>
      <c r="G48" s="30">
        <f t="shared" si="7"/>
      </c>
      <c r="H48" s="30">
        <f>IF(A48&lt;=Input!$C$22,NA(),E48/Input!$C$45-F48-G48)</f>
      </c>
      <c r="I48" s="25">
        <f t="shared" si="8"/>
      </c>
      <c r="J48" s="25">
        <f>Input!$C$50</f>
      </c>
      <c r="K48" s="13">
        <f t="shared" si="9"/>
      </c>
      <c r="L48" s="9">
        <f>IF(A48&lt;=Input!$C$22,IFERROR(INDEX('Data Tanah'!$M$7:$M$47,MATCH(A48,'Data Tanah'!$B$7:$B$47,1)),0),NA())</f>
      </c>
      <c r="M48" s="25">
        <f t="shared" si="10"/>
      </c>
      <c r="N48">
        <f t="shared" si="5"/>
      </c>
    </row>
    <row r="49" spans="1:14" x14ac:dyDescent="0.25">
      <c r="A49" s="20">
        <v>20.5</v>
      </c>
      <c r="B49" s="20">
        <f t="shared" si="6"/>
      </c>
      <c r="C49" s="20">
        <f>A49-Input!$C$11</f>
      </c>
      <c r="D49" s="31">
        <f>Input!$C$8*SUMPRODUCT('Data Tanah'!$M$7:$M$47,((((('Data Tanah'!$C$7:$C$47+MIN(A49,Input!$C$22))-ABS('Data Tanah'!$C$7:$C$47-(MIN(A49,Input!$C$22))))/2-(('Data Tanah'!$B$7:$B$47+Input!$C$11)+ABS('Data Tanah'!$B$7:$B$47-(Input!$C$11)))/2)+ABS((('Data Tanah'!$C$7:$C$47+MIN(A49,Input!$C$22))-ABS('Data Tanah'!$C$7:$C$47-(MIN(A49,Input!$C$22))))/2-(('Data Tanah'!$B$7:$B$47+Input!$C$11)+ABS('Data Tanah'!$B$7:$B$47-(Input!$C$11)))/2))/2))</f>
      </c>
      <c r="E49" s="31">
        <f>IF(A49&lt;=MAX(Input!$C$22,Input!$C$27),0,Input!$C$8*SUMPRODUCT('Data Tanah'!$L$7:$L$47,((((('Data Tanah'!$C$7:$C$47+A49-Input!$C$28*Input!$C$7)-ABS('Data Tanah'!$C$7:$C$47-(A49-Input!$C$28*Input!$C$7)))/2-(('Data Tanah'!$B$7:$B$47+MAX(Input!$C$22,Input!$C$27))+ABS('Data Tanah'!$B$7:$B$47-(MAX(Input!$C$22,Input!$C$27))))/2)+ABS((('Data Tanah'!$C$7:$C$47+A49-Input!$C$28*Input!$C$7)-ABS('Data Tanah'!$C$7:$C$47-(A49-Input!$C$28*Input!$C$7)))/2-(('Data Tanah'!$B$7:$B$47+MAX(Input!$C$22,Input!$C$27))+ABS('Data Tanah'!$B$7:$B$47-(MAX(Input!$C$22,Input!$C$27))))/2))/2))+IF(SUMPRODUCT(--('Data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Tanah'!$B$7:$B$47-(A49-1.5*Input!$C$7)))/2))/2))&gt;0,0,IFERROR(AVERAGEIFS('Data Tanah'!$N$7:$N$47,'Data Tanah'!$E$7:$E$47,"&gt;="&amp;(A49-Input!$C$36*Input!$C$7),'Data Tanah'!$E$7:$E$47,"&lt;="&amp;(A49+Input!$C$37*Input!$C$7)),INDEX('Data Tanah'!$N$7:$N$47,MATCH(A49,'Data Tanah'!$B$7:$B$47,1)))*Input!$C$9))</f>
      </c>
      <c r="F49" s="20">
        <f>Input!$C$9*(Input!$C$10*MAX(MIN(A49,Input!$C$14)-Input!$C$11,0)+(Input!$C$10-1)*MAX(A49-MAX(Input!$C$14,Input!$C$11),0))</f>
      </c>
      <c r="G49" s="31">
        <f t="shared" si="7"/>
      </c>
      <c r="H49" s="31">
        <f>IF(A49&lt;=Input!$C$22,NA(),E49/Input!$C$45-F49-G49)</f>
      </c>
      <c r="I49" s="32">
        <f t="shared" si="8"/>
      </c>
      <c r="J49" s="32">
        <f>Input!$C$50</f>
      </c>
      <c r="K49" s="33">
        <f t="shared" si="9"/>
      </c>
      <c r="L49" s="19">
        <f>IF(A49&lt;=Input!$C$22,IFERROR(INDEX('Data Tanah'!$M$7:$M$47,MATCH(A49,'Data Tanah'!$B$7:$B$47,1)),0),NA())</f>
      </c>
      <c r="M49" s="32">
        <f t="shared" si="10"/>
      </c>
      <c r="N49">
        <f t="shared" si="5"/>
      </c>
    </row>
    <row r="50" spans="1:14" x14ac:dyDescent="0.25">
      <c r="A50" s="16">
        <v>21</v>
      </c>
      <c r="B50" s="16">
        <f t="shared" si="6"/>
      </c>
      <c r="C50" s="16">
        <f>A50-Input!$C$11</f>
      </c>
      <c r="D50" s="30">
        <f>Input!$C$8*SUMPRODUCT('Data Tanah'!$M$7:$M$47,((((('Data Tanah'!$C$7:$C$47+MIN(A50,Input!$C$22))-ABS('Data Tanah'!$C$7:$C$47-(MIN(A50,Input!$C$22))))/2-(('Data Tanah'!$B$7:$B$47+Input!$C$11)+ABS('Data Tanah'!$B$7:$B$47-(Input!$C$11)))/2)+ABS((('Data Tanah'!$C$7:$C$47+MIN(A50,Input!$C$22))-ABS('Data Tanah'!$C$7:$C$47-(MIN(A50,Input!$C$22))))/2-(('Data Tanah'!$B$7:$B$47+Input!$C$11)+ABS('Data Tanah'!$B$7:$B$47-(Input!$C$11)))/2))/2))</f>
      </c>
      <c r="E50" s="30">
        <f>IF(A50&lt;=MAX(Input!$C$22,Input!$C$27),0,Input!$C$8*SUMPRODUCT('Data Tanah'!$L$7:$L$47,((((('Data Tanah'!$C$7:$C$47+A50-Input!$C$28*Input!$C$7)-ABS('Data Tanah'!$C$7:$C$47-(A50-Input!$C$28*Input!$C$7)))/2-(('Data Tanah'!$B$7:$B$47+MAX(Input!$C$22,Input!$C$27))+ABS('Data Tanah'!$B$7:$B$47-(MAX(Input!$C$22,Input!$C$27))))/2)+ABS((('Data Tanah'!$C$7:$C$47+A50-Input!$C$28*Input!$C$7)-ABS('Data Tanah'!$C$7:$C$47-(A50-Input!$C$28*Input!$C$7)))/2-(('Data Tanah'!$B$7:$B$47+MAX(Input!$C$22,Input!$C$27))+ABS('Data Tanah'!$B$7:$B$47-(MAX(Input!$C$22,Input!$C$27))))/2))/2))+IF(SUMPRODUCT(--('Data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Tanah'!$B$7:$B$47-(A50-1.5*Input!$C$7)))/2))/2))&gt;0,0,IFERROR(AVERAGEIFS('Data Tanah'!$N$7:$N$47,'Data Tanah'!$E$7:$E$47,"&gt;="&amp;(A50-Input!$C$36*Input!$C$7),'Data Tanah'!$E$7:$E$47,"&lt;="&amp;(A50+Input!$C$37*Input!$C$7)),INDEX('Data Tanah'!$N$7:$N$47,MATCH(A50,'Data Tanah'!$B$7:$B$47,1)))*Input!$C$9))</f>
      </c>
      <c r="F50" s="16">
        <f>Input!$C$9*(Input!$C$10*MAX(MIN(A50,Input!$C$14)-Input!$C$11,0)+(Input!$C$10-1)*MAX(A50-MAX(Input!$C$14,Input!$C$11),0))</f>
      </c>
      <c r="G50" s="30">
        <f t="shared" si="7"/>
      </c>
      <c r="H50" s="30">
        <f>IF(A50&lt;=Input!$C$22,NA(),E50/Input!$C$45-F50-G50)</f>
      </c>
      <c r="I50" s="25">
        <f t="shared" si="8"/>
      </c>
      <c r="J50" s="25">
        <f>Input!$C$50</f>
      </c>
      <c r="K50" s="13">
        <f t="shared" si="9"/>
      </c>
      <c r="L50" s="9">
        <f>IF(A50&lt;=Input!$C$22,IFERROR(INDEX('Data Tanah'!$M$7:$M$47,MATCH(A50,'Data Tanah'!$B$7:$B$47,1)),0),NA())</f>
      </c>
      <c r="M50" s="25">
        <f t="shared" si="10"/>
      </c>
      <c r="N50">
        <f t="shared" si="5"/>
      </c>
    </row>
    <row r="51" spans="1:14" x14ac:dyDescent="0.25">
      <c r="A51" s="20">
        <v>21.5</v>
      </c>
      <c r="B51" s="20">
        <f t="shared" si="6"/>
      </c>
      <c r="C51" s="20">
        <f>A51-Input!$C$11</f>
      </c>
      <c r="D51" s="31">
        <f>Input!$C$8*SUMPRODUCT('Data Tanah'!$M$7:$M$47,((((('Data Tanah'!$C$7:$C$47+MIN(A51,Input!$C$22))-ABS('Data Tanah'!$C$7:$C$47-(MIN(A51,Input!$C$22))))/2-(('Data Tanah'!$B$7:$B$47+Input!$C$11)+ABS('Data Tanah'!$B$7:$B$47-(Input!$C$11)))/2)+ABS((('Data Tanah'!$C$7:$C$47+MIN(A51,Input!$C$22))-ABS('Data Tanah'!$C$7:$C$47-(MIN(A51,Input!$C$22))))/2-(('Data Tanah'!$B$7:$B$47+Input!$C$11)+ABS('Data Tanah'!$B$7:$B$47-(Input!$C$11)))/2))/2))</f>
      </c>
      <c r="E51" s="31">
        <f>IF(A51&lt;=MAX(Input!$C$22,Input!$C$27),0,Input!$C$8*SUMPRODUCT('Data Tanah'!$L$7:$L$47,((((('Data Tanah'!$C$7:$C$47+A51-Input!$C$28*Input!$C$7)-ABS('Data Tanah'!$C$7:$C$47-(A51-Input!$C$28*Input!$C$7)))/2-(('Data Tanah'!$B$7:$B$47+MAX(Input!$C$22,Input!$C$27))+ABS('Data Tanah'!$B$7:$B$47-(MAX(Input!$C$22,Input!$C$27))))/2)+ABS((('Data Tanah'!$C$7:$C$47+A51-Input!$C$28*Input!$C$7)-ABS('Data Tanah'!$C$7:$C$47-(A51-Input!$C$28*Input!$C$7)))/2-(('Data Tanah'!$B$7:$B$47+MAX(Input!$C$22,Input!$C$27))+ABS('Data Tanah'!$B$7:$B$47-(MAX(Input!$C$22,Input!$C$27))))/2))/2))+IF(SUMPRODUCT(--('Data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Tanah'!$B$7:$B$47-(A51-1.5*Input!$C$7)))/2))/2))&gt;0,0,IFERROR(AVERAGEIFS('Data Tanah'!$N$7:$N$47,'Data Tanah'!$E$7:$E$47,"&gt;="&amp;(A51-Input!$C$36*Input!$C$7),'Data Tanah'!$E$7:$E$47,"&lt;="&amp;(A51+Input!$C$37*Input!$C$7)),INDEX('Data Tanah'!$N$7:$N$47,MATCH(A51,'Data Tanah'!$B$7:$B$47,1)))*Input!$C$9))</f>
      </c>
      <c r="F51" s="20">
        <f>Input!$C$9*(Input!$C$10*MAX(MIN(A51,Input!$C$14)-Input!$C$11,0)+(Input!$C$10-1)*MAX(A51-MAX(Input!$C$14,Input!$C$11),0))</f>
      </c>
      <c r="G51" s="31">
        <f t="shared" si="7"/>
      </c>
      <c r="H51" s="31">
        <f>IF(A51&lt;=Input!$C$22,NA(),E51/Input!$C$45-F51-G51)</f>
      </c>
      <c r="I51" s="32">
        <f t="shared" si="8"/>
      </c>
      <c r="J51" s="32">
        <f>Input!$C$50</f>
      </c>
      <c r="K51" s="33">
        <f t="shared" si="9"/>
      </c>
      <c r="L51" s="19">
        <f>IF(A51&lt;=Input!$C$22,IFERROR(INDEX('Data Tanah'!$M$7:$M$47,MATCH(A51,'Data Tanah'!$B$7:$B$47,1)),0),NA())</f>
      </c>
      <c r="M51" s="32">
        <f t="shared" si="10"/>
      </c>
      <c r="N51">
        <f t="shared" si="5"/>
      </c>
    </row>
    <row r="52" spans="1:14" x14ac:dyDescent="0.25">
      <c r="A52" s="16">
        <v>22</v>
      </c>
      <c r="B52" s="16">
        <f t="shared" si="6"/>
      </c>
      <c r="C52" s="16">
        <f>A52-Input!$C$11</f>
      </c>
      <c r="D52" s="30">
        <f>Input!$C$8*SUMPRODUCT('Data Tanah'!$M$7:$M$47,((((('Data Tanah'!$C$7:$C$47+MIN(A52,Input!$C$22))-ABS('Data Tanah'!$C$7:$C$47-(MIN(A52,Input!$C$22))))/2-(('Data Tanah'!$B$7:$B$47+Input!$C$11)+ABS('Data Tanah'!$B$7:$B$47-(Input!$C$11)))/2)+ABS((('Data Tanah'!$C$7:$C$47+MIN(A52,Input!$C$22))-ABS('Data Tanah'!$C$7:$C$47-(MIN(A52,Input!$C$22))))/2-(('Data Tanah'!$B$7:$B$47+Input!$C$11)+ABS('Data Tanah'!$B$7:$B$47-(Input!$C$11)))/2))/2))</f>
      </c>
      <c r="E52" s="30">
        <f>IF(A52&lt;=MAX(Input!$C$22,Input!$C$27),0,Input!$C$8*SUMPRODUCT('Data Tanah'!$L$7:$L$47,((((('Data Tanah'!$C$7:$C$47+A52-Input!$C$28*Input!$C$7)-ABS('Data Tanah'!$C$7:$C$47-(A52-Input!$C$28*Input!$C$7)))/2-(('Data Tanah'!$B$7:$B$47+MAX(Input!$C$22,Input!$C$27))+ABS('Data Tanah'!$B$7:$B$47-(MAX(Input!$C$22,Input!$C$27))))/2)+ABS((('Data Tanah'!$C$7:$C$47+A52-Input!$C$28*Input!$C$7)-ABS('Data Tanah'!$C$7:$C$47-(A52-Input!$C$28*Input!$C$7)))/2-(('Data Tanah'!$B$7:$B$47+MAX(Input!$C$22,Input!$C$27))+ABS('Data Tanah'!$B$7:$B$47-(MAX(Input!$C$22,Input!$C$27))))/2))/2))+IF(SUMPRODUCT(--('Data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Tanah'!$B$7:$B$47-(A52-1.5*Input!$C$7)))/2))/2))&gt;0,0,IFERROR(AVERAGEIFS('Data Tanah'!$N$7:$N$47,'Data Tanah'!$E$7:$E$47,"&gt;="&amp;(A52-Input!$C$36*Input!$C$7),'Data Tanah'!$E$7:$E$47,"&lt;="&amp;(A52+Input!$C$37*Input!$C$7)),INDEX('Data Tanah'!$N$7:$N$47,MATCH(A52,'Data Tanah'!$B$7:$B$47,1)))*Input!$C$9))</f>
      </c>
      <c r="F52" s="16">
        <f>Input!$C$9*(Input!$C$10*MAX(MIN(A52,Input!$C$14)-Input!$C$11,0)+(Input!$C$10-1)*MAX(A52-MAX(Input!$C$14,Input!$C$11),0))</f>
      </c>
      <c r="G52" s="30">
        <f t="shared" si="7"/>
      </c>
      <c r="H52" s="30">
        <f>IF(A52&lt;=Input!$C$22,NA(),E52/Input!$C$45-F52-G52)</f>
      </c>
      <c r="I52" s="25">
        <f t="shared" si="8"/>
      </c>
      <c r="J52" s="25">
        <f>Input!$C$50</f>
      </c>
      <c r="K52" s="13">
        <f t="shared" si="9"/>
      </c>
      <c r="L52" s="9">
        <f>IF(A52&lt;=Input!$C$22,IFERROR(INDEX('Data Tanah'!$M$7:$M$47,MATCH(A52,'Data Tanah'!$B$7:$B$47,1)),0),NA())</f>
      </c>
      <c r="M52" s="25">
        <f t="shared" si="10"/>
      </c>
      <c r="N52">
        <f t="shared" si="5"/>
      </c>
    </row>
    <row r="53" spans="1:14" x14ac:dyDescent="0.25">
      <c r="A53" s="20">
        <v>22.5</v>
      </c>
      <c r="B53" s="20">
        <f t="shared" si="6"/>
      </c>
      <c r="C53" s="20">
        <f>A53-Input!$C$11</f>
      </c>
      <c r="D53" s="31">
        <f>Input!$C$8*SUMPRODUCT('Data Tanah'!$M$7:$M$47,((((('Data Tanah'!$C$7:$C$47+MIN(A53,Input!$C$22))-ABS('Data Tanah'!$C$7:$C$47-(MIN(A53,Input!$C$22))))/2-(('Data Tanah'!$B$7:$B$47+Input!$C$11)+ABS('Data Tanah'!$B$7:$B$47-(Input!$C$11)))/2)+ABS((('Data Tanah'!$C$7:$C$47+MIN(A53,Input!$C$22))-ABS('Data Tanah'!$C$7:$C$47-(MIN(A53,Input!$C$22))))/2-(('Data Tanah'!$B$7:$B$47+Input!$C$11)+ABS('Data Tanah'!$B$7:$B$47-(Input!$C$11)))/2))/2))</f>
      </c>
      <c r="E53" s="31">
        <f>IF(A53&lt;=MAX(Input!$C$22,Input!$C$27),0,Input!$C$8*SUMPRODUCT('Data Tanah'!$L$7:$L$47,((((('Data Tanah'!$C$7:$C$47+A53-Input!$C$28*Input!$C$7)-ABS('Data Tanah'!$C$7:$C$47-(A53-Input!$C$28*Input!$C$7)))/2-(('Data Tanah'!$B$7:$B$47+MAX(Input!$C$22,Input!$C$27))+ABS('Data Tanah'!$B$7:$B$47-(MAX(Input!$C$22,Input!$C$27))))/2)+ABS((('Data Tanah'!$C$7:$C$47+A53-Input!$C$28*Input!$C$7)-ABS('Data Tanah'!$C$7:$C$47-(A53-Input!$C$28*Input!$C$7)))/2-(('Data Tanah'!$B$7:$B$47+MAX(Input!$C$22,Input!$C$27))+ABS('Data Tanah'!$B$7:$B$47-(MAX(Input!$C$22,Input!$C$27))))/2))/2))+IF(SUMPRODUCT(--('Data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Tanah'!$B$7:$B$47-(A53-1.5*Input!$C$7)))/2))/2))&gt;0,0,IFERROR(AVERAGEIFS('Data Tanah'!$N$7:$N$47,'Data Tanah'!$E$7:$E$47,"&gt;="&amp;(A53-Input!$C$36*Input!$C$7),'Data Tanah'!$E$7:$E$47,"&lt;="&amp;(A53+Input!$C$37*Input!$C$7)),INDEX('Data Tanah'!$N$7:$N$47,MATCH(A53,'Data Tanah'!$B$7:$B$47,1)))*Input!$C$9))</f>
      </c>
      <c r="F53" s="20">
        <f>Input!$C$9*(Input!$C$10*MAX(MIN(A53,Input!$C$14)-Input!$C$11,0)+(Input!$C$10-1)*MAX(A53-MAX(Input!$C$14,Input!$C$11),0))</f>
      </c>
      <c r="G53" s="31">
        <f t="shared" si="7"/>
      </c>
      <c r="H53" s="31">
        <f>IF(A53&lt;=Input!$C$22,NA(),E53/Input!$C$45-F53-G53)</f>
      </c>
      <c r="I53" s="32">
        <f t="shared" si="8"/>
      </c>
      <c r="J53" s="32">
        <f>Input!$C$50</f>
      </c>
      <c r="K53" s="33">
        <f t="shared" si="9"/>
      </c>
      <c r="L53" s="19">
        <f>IF(A53&lt;=Input!$C$22,IFERROR(INDEX('Data Tanah'!$M$7:$M$47,MATCH(A53,'Data Tanah'!$B$7:$B$47,1)),0),NA())</f>
      </c>
      <c r="M53" s="32">
        <f t="shared" si="10"/>
      </c>
      <c r="N53">
        <f t="shared" si="5"/>
      </c>
    </row>
    <row r="54" spans="1:14" x14ac:dyDescent="0.25">
      <c r="A54" s="16">
        <v>23</v>
      </c>
      <c r="B54" s="16">
        <f t="shared" si="6"/>
      </c>
      <c r="C54" s="16">
        <f>A54-Input!$C$11</f>
      </c>
      <c r="D54" s="30">
        <f>Input!$C$8*SUMPRODUCT('Data Tanah'!$M$7:$M$47,((((('Data Tanah'!$C$7:$C$47+MIN(A54,Input!$C$22))-ABS('Data Tanah'!$C$7:$C$47-(MIN(A54,Input!$C$22))))/2-(('Data Tanah'!$B$7:$B$47+Input!$C$11)+ABS('Data Tanah'!$B$7:$B$47-(Input!$C$11)))/2)+ABS((('Data Tanah'!$C$7:$C$47+MIN(A54,Input!$C$22))-ABS('Data Tanah'!$C$7:$C$47-(MIN(A54,Input!$C$22))))/2-(('Data Tanah'!$B$7:$B$47+Input!$C$11)+ABS('Data Tanah'!$B$7:$B$47-(Input!$C$11)))/2))/2))</f>
      </c>
      <c r="E54" s="30">
        <f>IF(A54&lt;=MAX(Input!$C$22,Input!$C$27),0,Input!$C$8*SUMPRODUCT('Data Tanah'!$L$7:$L$47,((((('Data Tanah'!$C$7:$C$47+A54-Input!$C$28*Input!$C$7)-ABS('Data Tanah'!$C$7:$C$47-(A54-Input!$C$28*Input!$C$7)))/2-(('Data Tanah'!$B$7:$B$47+MAX(Input!$C$22,Input!$C$27))+ABS('Data Tanah'!$B$7:$B$47-(MAX(Input!$C$22,Input!$C$27))))/2)+ABS((('Data Tanah'!$C$7:$C$47+A54-Input!$C$28*Input!$C$7)-ABS('Data Tanah'!$C$7:$C$47-(A54-Input!$C$28*Input!$C$7)))/2-(('Data Tanah'!$B$7:$B$47+MAX(Input!$C$22,Input!$C$27))+ABS('Data Tanah'!$B$7:$B$47-(MAX(Input!$C$22,Input!$C$27))))/2))/2))+IF(SUMPRODUCT(--('Data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Tanah'!$B$7:$B$47-(A54-1.5*Input!$C$7)))/2))/2))&gt;0,0,IFERROR(AVERAGEIFS('Data Tanah'!$N$7:$N$47,'Data Tanah'!$E$7:$E$47,"&gt;="&amp;(A54-Input!$C$36*Input!$C$7),'Data Tanah'!$E$7:$E$47,"&lt;="&amp;(A54+Input!$C$37*Input!$C$7)),INDEX('Data Tanah'!$N$7:$N$47,MATCH(A54,'Data Tanah'!$B$7:$B$47,1)))*Input!$C$9))</f>
      </c>
      <c r="F54" s="16">
        <f>Input!$C$9*(Input!$C$10*MAX(MIN(A54,Input!$C$14)-Input!$C$11,0)+(Input!$C$10-1)*MAX(A54-MAX(Input!$C$14,Input!$C$11),0))</f>
      </c>
      <c r="G54" s="30">
        <f t="shared" si="7"/>
      </c>
      <c r="H54" s="30">
        <f>IF(A54&lt;=Input!$C$22,NA(),E54/Input!$C$45-F54-G54)</f>
      </c>
      <c r="I54" s="25">
        <f t="shared" si="8"/>
      </c>
      <c r="J54" s="25">
        <f>Input!$C$50</f>
      </c>
      <c r="K54" s="13">
        <f t="shared" si="9"/>
      </c>
      <c r="L54" s="9">
        <f>IF(A54&lt;=Input!$C$22,IFERROR(INDEX('Data Tanah'!$M$7:$M$47,MATCH(A54,'Data Tanah'!$B$7:$B$47,1)),0),NA())</f>
      </c>
      <c r="M54" s="25">
        <f t="shared" si="10"/>
      </c>
      <c r="N54">
        <f t="shared" si="5"/>
      </c>
    </row>
    <row r="55" spans="1:14" x14ac:dyDescent="0.25">
      <c r="A55" s="20">
        <v>23.5</v>
      </c>
      <c r="B55" s="20">
        <f t="shared" si="6"/>
      </c>
      <c r="C55" s="20">
        <f>A55-Input!$C$11</f>
      </c>
      <c r="D55" s="31">
        <f>Input!$C$8*SUMPRODUCT('Data Tanah'!$M$7:$M$47,((((('Data Tanah'!$C$7:$C$47+MIN(A55,Input!$C$22))-ABS('Data Tanah'!$C$7:$C$47-(MIN(A55,Input!$C$22))))/2-(('Data Tanah'!$B$7:$B$47+Input!$C$11)+ABS('Data Tanah'!$B$7:$B$47-(Input!$C$11)))/2)+ABS((('Data Tanah'!$C$7:$C$47+MIN(A55,Input!$C$22))-ABS('Data Tanah'!$C$7:$C$47-(MIN(A55,Input!$C$22))))/2-(('Data Tanah'!$B$7:$B$47+Input!$C$11)+ABS('Data Tanah'!$B$7:$B$47-(Input!$C$11)))/2))/2))</f>
      </c>
      <c r="E55" s="31">
        <f>IF(A55&lt;=MAX(Input!$C$22,Input!$C$27),0,Input!$C$8*SUMPRODUCT('Data Tanah'!$L$7:$L$47,((((('Data Tanah'!$C$7:$C$47+A55-Input!$C$28*Input!$C$7)-ABS('Data Tanah'!$C$7:$C$47-(A55-Input!$C$28*Input!$C$7)))/2-(('Data Tanah'!$B$7:$B$47+MAX(Input!$C$22,Input!$C$27))+ABS('Data Tanah'!$B$7:$B$47-(MAX(Input!$C$22,Input!$C$27))))/2)+ABS((('Data Tanah'!$C$7:$C$47+A55-Input!$C$28*Input!$C$7)-ABS('Data Tanah'!$C$7:$C$47-(A55-Input!$C$28*Input!$C$7)))/2-(('Data Tanah'!$B$7:$B$47+MAX(Input!$C$22,Input!$C$27))+ABS('Data Tanah'!$B$7:$B$47-(MAX(Input!$C$22,Input!$C$27))))/2))/2))+IF(SUMPRODUCT(--('Data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Tanah'!$B$7:$B$47-(A55-1.5*Input!$C$7)))/2))/2))&gt;0,0,IFERROR(AVERAGEIFS('Data Tanah'!$N$7:$N$47,'Data Tanah'!$E$7:$E$47,"&gt;="&amp;(A55-Input!$C$36*Input!$C$7),'Data Tanah'!$E$7:$E$47,"&lt;="&amp;(A55+Input!$C$37*Input!$C$7)),INDEX('Data Tanah'!$N$7:$N$47,MATCH(A55,'Data Tanah'!$B$7:$B$47,1)))*Input!$C$9))</f>
      </c>
      <c r="F55" s="20">
        <f>Input!$C$9*(Input!$C$10*MAX(MIN(A55,Input!$C$14)-Input!$C$11,0)+(Input!$C$10-1)*MAX(A55-MAX(Input!$C$14,Input!$C$11),0))</f>
      </c>
      <c r="G55" s="31">
        <f t="shared" si="7"/>
      </c>
      <c r="H55" s="31">
        <f>IF(A55&lt;=Input!$C$22,NA(),E55/Input!$C$45-F55-G55)</f>
      </c>
      <c r="I55" s="32">
        <f t="shared" si="8"/>
      </c>
      <c r="J55" s="32">
        <f>Input!$C$50</f>
      </c>
      <c r="K55" s="33">
        <f t="shared" si="9"/>
      </c>
      <c r="L55" s="19">
        <f>IF(A55&lt;=Input!$C$22,IFERROR(INDEX('Data Tanah'!$M$7:$M$47,MATCH(A55,'Data Tanah'!$B$7:$B$47,1)),0),NA())</f>
      </c>
      <c r="M55" s="32">
        <f t="shared" si="10"/>
      </c>
      <c r="N55">
        <f t="shared" si="5"/>
      </c>
    </row>
    <row r="56" spans="1:14" x14ac:dyDescent="0.25">
      <c r="A56" s="16">
        <v>24</v>
      </c>
      <c r="B56" s="16">
        <f t="shared" si="6"/>
      </c>
      <c r="C56" s="16">
        <f>A56-Input!$C$11</f>
      </c>
      <c r="D56" s="30">
        <f>Input!$C$8*SUMPRODUCT('Data Tanah'!$M$7:$M$47,((((('Data Tanah'!$C$7:$C$47+MIN(A56,Input!$C$22))-ABS('Data Tanah'!$C$7:$C$47-(MIN(A56,Input!$C$22))))/2-(('Data Tanah'!$B$7:$B$47+Input!$C$11)+ABS('Data Tanah'!$B$7:$B$47-(Input!$C$11)))/2)+ABS((('Data Tanah'!$C$7:$C$47+MIN(A56,Input!$C$22))-ABS('Data Tanah'!$C$7:$C$47-(MIN(A56,Input!$C$22))))/2-(('Data Tanah'!$B$7:$B$47+Input!$C$11)+ABS('Data Tanah'!$B$7:$B$47-(Input!$C$11)))/2))/2))</f>
      </c>
      <c r="E56" s="30">
        <f>IF(A56&lt;=MAX(Input!$C$22,Input!$C$27),0,Input!$C$8*SUMPRODUCT('Data Tanah'!$L$7:$L$47,((((('Data Tanah'!$C$7:$C$47+A56-Input!$C$28*Input!$C$7)-ABS('Data Tanah'!$C$7:$C$47-(A56-Input!$C$28*Input!$C$7)))/2-(('Data Tanah'!$B$7:$B$47+MAX(Input!$C$22,Input!$C$27))+ABS('Data Tanah'!$B$7:$B$47-(MAX(Input!$C$22,Input!$C$27))))/2)+ABS((('Data Tanah'!$C$7:$C$47+A56-Input!$C$28*Input!$C$7)-ABS('Data Tanah'!$C$7:$C$47-(A56-Input!$C$28*Input!$C$7)))/2-(('Data Tanah'!$B$7:$B$47+MAX(Input!$C$22,Input!$C$27))+ABS('Data Tanah'!$B$7:$B$47-(MAX(Input!$C$22,Input!$C$27))))/2))/2))+IF(SUMPRODUCT(--('Data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Tanah'!$B$7:$B$47-(A56-1.5*Input!$C$7)))/2))/2))&gt;0,0,IFERROR(AVERAGEIFS('Data Tanah'!$N$7:$N$47,'Data Tanah'!$E$7:$E$47,"&gt;="&amp;(A56-Input!$C$36*Input!$C$7),'Data Tanah'!$E$7:$E$47,"&lt;="&amp;(A56+Input!$C$37*Input!$C$7)),INDEX('Data Tanah'!$N$7:$N$47,MATCH(A56,'Data Tanah'!$B$7:$B$47,1)))*Input!$C$9))</f>
      </c>
      <c r="F56" s="16">
        <f>Input!$C$9*(Input!$C$10*MAX(MIN(A56,Input!$C$14)-Input!$C$11,0)+(Input!$C$10-1)*MAX(A56-MAX(Input!$C$14,Input!$C$11),0))</f>
      </c>
      <c r="G56" s="30">
        <f t="shared" si="7"/>
      </c>
      <c r="H56" s="30">
        <f>IF(A56&lt;=Input!$C$22,NA(),E56/Input!$C$45-F56-G56)</f>
      </c>
      <c r="I56" s="25">
        <f t="shared" si="8"/>
      </c>
      <c r="J56" s="25">
        <f>Input!$C$50</f>
      </c>
      <c r="K56" s="13">
        <f t="shared" si="9"/>
      </c>
      <c r="L56" s="9">
        <f>IF(A56&lt;=Input!$C$22,IFERROR(INDEX('Data Tanah'!$M$7:$M$47,MATCH(A56,'Data Tanah'!$B$7:$B$47,1)),0),NA())</f>
      </c>
      <c r="M56" s="25">
        <f t="shared" si="10"/>
      </c>
      <c r="N56">
        <f t="shared" si="5"/>
      </c>
    </row>
    <row r="57" spans="1:14" x14ac:dyDescent="0.25">
      <c r="A57" s="20">
        <v>24.5</v>
      </c>
      <c r="B57" s="20">
        <f t="shared" si="6"/>
      </c>
      <c r="C57" s="20">
        <f>A57-Input!$C$11</f>
      </c>
      <c r="D57" s="31">
        <f>Input!$C$8*SUMPRODUCT('Data Tanah'!$M$7:$M$47,((((('Data Tanah'!$C$7:$C$47+MIN(A57,Input!$C$22))-ABS('Data Tanah'!$C$7:$C$47-(MIN(A57,Input!$C$22))))/2-(('Data Tanah'!$B$7:$B$47+Input!$C$11)+ABS('Data Tanah'!$B$7:$B$47-(Input!$C$11)))/2)+ABS((('Data Tanah'!$C$7:$C$47+MIN(A57,Input!$C$22))-ABS('Data Tanah'!$C$7:$C$47-(MIN(A57,Input!$C$22))))/2-(('Data Tanah'!$B$7:$B$47+Input!$C$11)+ABS('Data Tanah'!$B$7:$B$47-(Input!$C$11)))/2))/2))</f>
      </c>
      <c r="E57" s="31">
        <f>IF(A57&lt;=MAX(Input!$C$22,Input!$C$27),0,Input!$C$8*SUMPRODUCT('Data Tanah'!$L$7:$L$47,((((('Data Tanah'!$C$7:$C$47+A57-Input!$C$28*Input!$C$7)-ABS('Data Tanah'!$C$7:$C$47-(A57-Input!$C$28*Input!$C$7)))/2-(('Data Tanah'!$B$7:$B$47+MAX(Input!$C$22,Input!$C$27))+ABS('Data Tanah'!$B$7:$B$47-(MAX(Input!$C$22,Input!$C$27))))/2)+ABS((('Data Tanah'!$C$7:$C$47+A57-Input!$C$28*Input!$C$7)-ABS('Data Tanah'!$C$7:$C$47-(A57-Input!$C$28*Input!$C$7)))/2-(('Data Tanah'!$B$7:$B$47+MAX(Input!$C$22,Input!$C$27))+ABS('Data Tanah'!$B$7:$B$47-(MAX(Input!$C$22,Input!$C$27))))/2))/2))+IF(SUMPRODUCT(--('Data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Tanah'!$B$7:$B$47-(A57-1.5*Input!$C$7)))/2))/2))&gt;0,0,IFERROR(AVERAGEIFS('Data Tanah'!$N$7:$N$47,'Data Tanah'!$E$7:$E$47,"&gt;="&amp;(A57-Input!$C$36*Input!$C$7),'Data Tanah'!$E$7:$E$47,"&lt;="&amp;(A57+Input!$C$37*Input!$C$7)),INDEX('Data Tanah'!$N$7:$N$47,MATCH(A57,'Data Tanah'!$B$7:$B$47,1)))*Input!$C$9))</f>
      </c>
      <c r="F57" s="20">
        <f>Input!$C$9*(Input!$C$10*MAX(MIN(A57,Input!$C$14)-Input!$C$11,0)+(Input!$C$10-1)*MAX(A57-MAX(Input!$C$14,Input!$C$11),0))</f>
      </c>
      <c r="G57" s="31">
        <f t="shared" si="7"/>
      </c>
      <c r="H57" s="31">
        <f>IF(A57&lt;=Input!$C$22,NA(),E57/Input!$C$45-F57-G57)</f>
      </c>
      <c r="I57" s="32">
        <f t="shared" si="8"/>
      </c>
      <c r="J57" s="32">
        <f>Input!$C$50</f>
      </c>
      <c r="K57" s="33">
        <f t="shared" si="9"/>
      </c>
      <c r="L57" s="19">
        <f>IF(A57&lt;=Input!$C$22,IFERROR(INDEX('Data Tanah'!$M$7:$M$47,MATCH(A57,'Data Tanah'!$B$7:$B$47,1)),0),NA())</f>
      </c>
      <c r="M57" s="32">
        <f t="shared" si="10"/>
      </c>
      <c r="N57">
        <f t="shared" si="5"/>
      </c>
    </row>
    <row r="58" spans="1:14" x14ac:dyDescent="0.25">
      <c r="A58" s="16">
        <v>25</v>
      </c>
      <c r="B58" s="16">
        <f t="shared" si="6"/>
      </c>
      <c r="C58" s="16">
        <f>A58-Input!$C$11</f>
      </c>
      <c r="D58" s="30">
        <f>Input!$C$8*SUMPRODUCT('Data Tanah'!$M$7:$M$47,((((('Data Tanah'!$C$7:$C$47+MIN(A58,Input!$C$22))-ABS('Data Tanah'!$C$7:$C$47-(MIN(A58,Input!$C$22))))/2-(('Data Tanah'!$B$7:$B$47+Input!$C$11)+ABS('Data Tanah'!$B$7:$B$47-(Input!$C$11)))/2)+ABS((('Data Tanah'!$C$7:$C$47+MIN(A58,Input!$C$22))-ABS('Data Tanah'!$C$7:$C$47-(MIN(A58,Input!$C$22))))/2-(('Data Tanah'!$B$7:$B$47+Input!$C$11)+ABS('Data Tanah'!$B$7:$B$47-(Input!$C$11)))/2))/2))</f>
      </c>
      <c r="E58" s="30">
        <f>IF(A58&lt;=MAX(Input!$C$22,Input!$C$27),0,Input!$C$8*SUMPRODUCT('Data Tanah'!$L$7:$L$47,((((('Data Tanah'!$C$7:$C$47+A58-Input!$C$28*Input!$C$7)-ABS('Data Tanah'!$C$7:$C$47-(A58-Input!$C$28*Input!$C$7)))/2-(('Data Tanah'!$B$7:$B$47+MAX(Input!$C$22,Input!$C$27))+ABS('Data Tanah'!$B$7:$B$47-(MAX(Input!$C$22,Input!$C$27))))/2)+ABS((('Data Tanah'!$C$7:$C$47+A58-Input!$C$28*Input!$C$7)-ABS('Data Tanah'!$C$7:$C$47-(A58-Input!$C$28*Input!$C$7)))/2-(('Data Tanah'!$B$7:$B$47+MAX(Input!$C$22,Input!$C$27))+ABS('Data Tanah'!$B$7:$B$47-(MAX(Input!$C$22,Input!$C$27))))/2))/2))+IF(SUMPRODUCT(--('Data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Tanah'!$B$7:$B$47-(A58-1.5*Input!$C$7)))/2))/2))&gt;0,0,IFERROR(AVERAGEIFS('Data Tanah'!$N$7:$N$47,'Data Tanah'!$E$7:$E$47,"&gt;="&amp;(A58-Input!$C$36*Input!$C$7),'Data Tanah'!$E$7:$E$47,"&lt;="&amp;(A58+Input!$C$37*Input!$C$7)),INDEX('Data Tanah'!$N$7:$N$47,MATCH(A58,'Data Tanah'!$B$7:$B$47,1)))*Input!$C$9))</f>
      </c>
      <c r="F58" s="16">
        <f>Input!$C$9*(Input!$C$10*MAX(MIN(A58,Input!$C$14)-Input!$C$11,0)+(Input!$C$10-1)*MAX(A58-MAX(Input!$C$14,Input!$C$11),0))</f>
      </c>
      <c r="G58" s="30">
        <f t="shared" si="7"/>
      </c>
      <c r="H58" s="30">
        <f>IF(A58&lt;=Input!$C$22,NA(),E58/Input!$C$45-F58-G58)</f>
      </c>
      <c r="I58" s="25">
        <f t="shared" si="8"/>
      </c>
      <c r="J58" s="25">
        <f>Input!$C$50</f>
      </c>
      <c r="K58" s="13">
        <f t="shared" si="9"/>
      </c>
      <c r="L58" s="9">
        <f>IF(A58&lt;=Input!$C$22,IFERROR(INDEX('Data Tanah'!$M$7:$M$47,MATCH(A58,'Data Tanah'!$B$7:$B$47,1)),0),NA())</f>
      </c>
      <c r="M58" s="25">
        <f t="shared" si="10"/>
      </c>
      <c r="N58">
        <f t="shared" si="5"/>
      </c>
    </row>
    <row r="59" spans="1:14" x14ac:dyDescent="0.25">
      <c r="A59" s="20">
        <v>25.5</v>
      </c>
      <c r="B59" s="20">
        <f t="shared" si="6"/>
      </c>
      <c r="C59" s="20">
        <f>A59-Input!$C$11</f>
      </c>
      <c r="D59" s="31">
        <f>Input!$C$8*SUMPRODUCT('Data Tanah'!$M$7:$M$47,((((('Data Tanah'!$C$7:$C$47+MIN(A59,Input!$C$22))-ABS('Data Tanah'!$C$7:$C$47-(MIN(A59,Input!$C$22))))/2-(('Data Tanah'!$B$7:$B$47+Input!$C$11)+ABS('Data Tanah'!$B$7:$B$47-(Input!$C$11)))/2)+ABS((('Data Tanah'!$C$7:$C$47+MIN(A59,Input!$C$22))-ABS('Data Tanah'!$C$7:$C$47-(MIN(A59,Input!$C$22))))/2-(('Data Tanah'!$B$7:$B$47+Input!$C$11)+ABS('Data Tanah'!$B$7:$B$47-(Input!$C$11)))/2))/2))</f>
      </c>
      <c r="E59" s="31">
        <f>IF(A59&lt;=MAX(Input!$C$22,Input!$C$27),0,Input!$C$8*SUMPRODUCT('Data Tanah'!$L$7:$L$47,((((('Data Tanah'!$C$7:$C$47+A59-Input!$C$28*Input!$C$7)-ABS('Data Tanah'!$C$7:$C$47-(A59-Input!$C$28*Input!$C$7)))/2-(('Data Tanah'!$B$7:$B$47+MAX(Input!$C$22,Input!$C$27))+ABS('Data Tanah'!$B$7:$B$47-(MAX(Input!$C$22,Input!$C$27))))/2)+ABS((('Data Tanah'!$C$7:$C$47+A59-Input!$C$28*Input!$C$7)-ABS('Data Tanah'!$C$7:$C$47-(A59-Input!$C$28*Input!$C$7)))/2-(('Data Tanah'!$B$7:$B$47+MAX(Input!$C$22,Input!$C$27))+ABS('Data Tanah'!$B$7:$B$47-(MAX(Input!$C$22,Input!$C$27))))/2))/2))+IF(SUMPRODUCT(--('Data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Tanah'!$B$7:$B$47-(A59-1.5*Input!$C$7)))/2))/2))&gt;0,0,IFERROR(AVERAGEIFS('Data Tanah'!$N$7:$N$47,'Data Tanah'!$E$7:$E$47,"&gt;="&amp;(A59-Input!$C$36*Input!$C$7),'Data Tanah'!$E$7:$E$47,"&lt;="&amp;(A59+Input!$C$37*Input!$C$7)),INDEX('Data Tanah'!$N$7:$N$47,MATCH(A59,'Data Tanah'!$B$7:$B$47,1)))*Input!$C$9))</f>
      </c>
      <c r="F59" s="20">
        <f>Input!$C$9*(Input!$C$10*MAX(MIN(A59,Input!$C$14)-Input!$C$11,0)+(Input!$C$10-1)*MAX(A59-MAX(Input!$C$14,Input!$C$11),0))</f>
      </c>
      <c r="G59" s="31">
        <f t="shared" si="7"/>
      </c>
      <c r="H59" s="31">
        <f>IF(A59&lt;=Input!$C$22,NA(),E59/Input!$C$45-F59-G59)</f>
      </c>
      <c r="I59" s="32">
        <f t="shared" si="8"/>
      </c>
      <c r="J59" s="32">
        <f>Input!$C$50</f>
      </c>
      <c r="K59" s="33">
        <f t="shared" si="9"/>
      </c>
      <c r="L59" s="19">
        <f>IF(A59&lt;=Input!$C$22,IFERROR(INDEX('Data Tanah'!$M$7:$M$47,MATCH(A59,'Data Tanah'!$B$7:$B$47,1)),0),NA())</f>
      </c>
      <c r="M59" s="32">
        <f t="shared" si="10"/>
      </c>
      <c r="N59">
        <f t="shared" si="5"/>
      </c>
    </row>
    <row r="60" spans="1:14" x14ac:dyDescent="0.25">
      <c r="A60" s="16">
        <v>26</v>
      </c>
      <c r="B60" s="16">
        <f t="shared" si="6"/>
      </c>
      <c r="C60" s="16">
        <f>A60-Input!$C$11</f>
      </c>
      <c r="D60" s="30">
        <f>Input!$C$8*SUMPRODUCT('Data Tanah'!$M$7:$M$47,((((('Data Tanah'!$C$7:$C$47+MIN(A60,Input!$C$22))-ABS('Data Tanah'!$C$7:$C$47-(MIN(A60,Input!$C$22))))/2-(('Data Tanah'!$B$7:$B$47+Input!$C$11)+ABS('Data Tanah'!$B$7:$B$47-(Input!$C$11)))/2)+ABS((('Data Tanah'!$C$7:$C$47+MIN(A60,Input!$C$22))-ABS('Data Tanah'!$C$7:$C$47-(MIN(A60,Input!$C$22))))/2-(('Data Tanah'!$B$7:$B$47+Input!$C$11)+ABS('Data Tanah'!$B$7:$B$47-(Input!$C$11)))/2))/2))</f>
      </c>
      <c r="E60" s="30">
        <f>IF(A60&lt;=MAX(Input!$C$22,Input!$C$27),0,Input!$C$8*SUMPRODUCT('Data Tanah'!$L$7:$L$47,((((('Data Tanah'!$C$7:$C$47+A60-Input!$C$28*Input!$C$7)-ABS('Data Tanah'!$C$7:$C$47-(A60-Input!$C$28*Input!$C$7)))/2-(('Data Tanah'!$B$7:$B$47+MAX(Input!$C$22,Input!$C$27))+ABS('Data Tanah'!$B$7:$B$47-(MAX(Input!$C$22,Input!$C$27))))/2)+ABS((('Data Tanah'!$C$7:$C$47+A60-Input!$C$28*Input!$C$7)-ABS('Data Tanah'!$C$7:$C$47-(A60-Input!$C$28*Input!$C$7)))/2-(('Data Tanah'!$B$7:$B$47+MAX(Input!$C$22,Input!$C$27))+ABS('Data Tanah'!$B$7:$B$47-(MAX(Input!$C$22,Input!$C$27))))/2))/2))+IF(SUMPRODUCT(--('Data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Tanah'!$B$7:$B$47-(A60-1.5*Input!$C$7)))/2))/2))&gt;0,0,IFERROR(AVERAGEIFS('Data Tanah'!$N$7:$N$47,'Data Tanah'!$E$7:$E$47,"&gt;="&amp;(A60-Input!$C$36*Input!$C$7),'Data Tanah'!$E$7:$E$47,"&lt;="&amp;(A60+Input!$C$37*Input!$C$7)),INDEX('Data Tanah'!$N$7:$N$47,MATCH(A60,'Data Tanah'!$B$7:$B$47,1)))*Input!$C$9))</f>
      </c>
      <c r="F60" s="16">
        <f>Input!$C$9*(Input!$C$10*MAX(MIN(A60,Input!$C$14)-Input!$C$11,0)+(Input!$C$10-1)*MAX(A60-MAX(Input!$C$14,Input!$C$11),0))</f>
      </c>
      <c r="G60" s="30">
        <f t="shared" si="7"/>
      </c>
      <c r="H60" s="30">
        <f>IF(A60&lt;=Input!$C$22,NA(),E60/Input!$C$45-F60-G60)</f>
      </c>
      <c r="I60" s="25">
        <f t="shared" si="8"/>
      </c>
      <c r="J60" s="25">
        <f>Input!$C$50</f>
      </c>
      <c r="K60" s="13">
        <f t="shared" si="9"/>
      </c>
      <c r="L60" s="9">
        <f>IF(A60&lt;=Input!$C$22,IFERROR(INDEX('Data Tanah'!$M$7:$M$47,MATCH(A60,'Data Tanah'!$B$7:$B$47,1)),0),NA())</f>
      </c>
      <c r="M60" s="25">
        <f t="shared" si="10"/>
      </c>
      <c r="N60">
        <f t="shared" si="5"/>
      </c>
    </row>
    <row r="61" spans="1:14" x14ac:dyDescent="0.25">
      <c r="A61" s="20">
        <v>26.5</v>
      </c>
      <c r="B61" s="20">
        <f t="shared" si="6"/>
      </c>
      <c r="C61" s="20">
        <f>A61-Input!$C$11</f>
      </c>
      <c r="D61" s="31">
        <f>Input!$C$8*SUMPRODUCT('Data Tanah'!$M$7:$M$47,((((('Data Tanah'!$C$7:$C$47+MIN(A61,Input!$C$22))-ABS('Data Tanah'!$C$7:$C$47-(MIN(A61,Input!$C$22))))/2-(('Data Tanah'!$B$7:$B$47+Input!$C$11)+ABS('Data Tanah'!$B$7:$B$47-(Input!$C$11)))/2)+ABS((('Data Tanah'!$C$7:$C$47+MIN(A61,Input!$C$22))-ABS('Data Tanah'!$C$7:$C$47-(MIN(A61,Input!$C$22))))/2-(('Data Tanah'!$B$7:$B$47+Input!$C$11)+ABS('Data Tanah'!$B$7:$B$47-(Input!$C$11)))/2))/2))</f>
      </c>
      <c r="E61" s="31">
        <f>IF(A61&lt;=MAX(Input!$C$22,Input!$C$27),0,Input!$C$8*SUMPRODUCT('Data Tanah'!$L$7:$L$47,((((('Data Tanah'!$C$7:$C$47+A61-Input!$C$28*Input!$C$7)-ABS('Data Tanah'!$C$7:$C$47-(A61-Input!$C$28*Input!$C$7)))/2-(('Data Tanah'!$B$7:$B$47+MAX(Input!$C$22,Input!$C$27))+ABS('Data Tanah'!$B$7:$B$47-(MAX(Input!$C$22,Input!$C$27))))/2)+ABS((('Data Tanah'!$C$7:$C$47+A61-Input!$C$28*Input!$C$7)-ABS('Data Tanah'!$C$7:$C$47-(A61-Input!$C$28*Input!$C$7)))/2-(('Data Tanah'!$B$7:$B$47+MAX(Input!$C$22,Input!$C$27))+ABS('Data Tanah'!$B$7:$B$47-(MAX(Input!$C$22,Input!$C$27))))/2))/2))+IF(SUMPRODUCT(--('Data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Tanah'!$B$7:$B$47-(A61-1.5*Input!$C$7)))/2))/2))&gt;0,0,IFERROR(AVERAGEIFS('Data Tanah'!$N$7:$N$47,'Data Tanah'!$E$7:$E$47,"&gt;="&amp;(A61-Input!$C$36*Input!$C$7),'Data Tanah'!$E$7:$E$47,"&lt;="&amp;(A61+Input!$C$37*Input!$C$7)),INDEX('Data Tanah'!$N$7:$N$47,MATCH(A61,'Data Tanah'!$B$7:$B$47,1)))*Input!$C$9))</f>
      </c>
      <c r="F61" s="20">
        <f>Input!$C$9*(Input!$C$10*MAX(MIN(A61,Input!$C$14)-Input!$C$11,0)+(Input!$C$10-1)*MAX(A61-MAX(Input!$C$14,Input!$C$11),0))</f>
      </c>
      <c r="G61" s="31">
        <f t="shared" si="7"/>
      </c>
      <c r="H61" s="31">
        <f>IF(A61&lt;=Input!$C$22,NA(),E61/Input!$C$45-F61-G61)</f>
      </c>
      <c r="I61" s="32">
        <f t="shared" si="8"/>
      </c>
      <c r="J61" s="32">
        <f>Input!$C$50</f>
      </c>
      <c r="K61" s="33">
        <f t="shared" si="9"/>
      </c>
      <c r="L61" s="19">
        <f>IF(A61&lt;=Input!$C$22,IFERROR(INDEX('Data Tanah'!$M$7:$M$47,MATCH(A61,'Data Tanah'!$B$7:$B$47,1)),0),NA())</f>
      </c>
      <c r="M61" s="32">
        <f t="shared" si="10"/>
      </c>
      <c r="N61">
        <f t="shared" si="5"/>
      </c>
    </row>
    <row r="62" spans="1:14" x14ac:dyDescent="0.25">
      <c r="A62" s="16">
        <v>27</v>
      </c>
      <c r="B62" s="16">
        <f t="shared" si="6"/>
      </c>
      <c r="C62" s="16">
        <f>A62-Input!$C$11</f>
      </c>
      <c r="D62" s="30">
        <f>Input!$C$8*SUMPRODUCT('Data Tanah'!$M$7:$M$47,((((('Data Tanah'!$C$7:$C$47+MIN(A62,Input!$C$22))-ABS('Data Tanah'!$C$7:$C$47-(MIN(A62,Input!$C$22))))/2-(('Data Tanah'!$B$7:$B$47+Input!$C$11)+ABS('Data Tanah'!$B$7:$B$47-(Input!$C$11)))/2)+ABS((('Data Tanah'!$C$7:$C$47+MIN(A62,Input!$C$22))-ABS('Data Tanah'!$C$7:$C$47-(MIN(A62,Input!$C$22))))/2-(('Data Tanah'!$B$7:$B$47+Input!$C$11)+ABS('Data Tanah'!$B$7:$B$47-(Input!$C$11)))/2))/2))</f>
      </c>
      <c r="E62" s="30">
        <f>IF(A62&lt;=MAX(Input!$C$22,Input!$C$27),0,Input!$C$8*SUMPRODUCT('Data Tanah'!$L$7:$L$47,((((('Data Tanah'!$C$7:$C$47+A62-Input!$C$28*Input!$C$7)-ABS('Data Tanah'!$C$7:$C$47-(A62-Input!$C$28*Input!$C$7)))/2-(('Data Tanah'!$B$7:$B$47+MAX(Input!$C$22,Input!$C$27))+ABS('Data Tanah'!$B$7:$B$47-(MAX(Input!$C$22,Input!$C$27))))/2)+ABS((('Data Tanah'!$C$7:$C$47+A62-Input!$C$28*Input!$C$7)-ABS('Data Tanah'!$C$7:$C$47-(A62-Input!$C$28*Input!$C$7)))/2-(('Data Tanah'!$B$7:$B$47+MAX(Input!$C$22,Input!$C$27))+ABS('Data Tanah'!$B$7:$B$47-(MAX(Input!$C$22,Input!$C$27))))/2))/2))+IF(SUMPRODUCT(--('Data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Tanah'!$B$7:$B$47-(A62-1.5*Input!$C$7)))/2))/2))&gt;0,0,IFERROR(AVERAGEIFS('Data Tanah'!$N$7:$N$47,'Data Tanah'!$E$7:$E$47,"&gt;="&amp;(A62-Input!$C$36*Input!$C$7),'Data Tanah'!$E$7:$E$47,"&lt;="&amp;(A62+Input!$C$37*Input!$C$7)),INDEX('Data Tanah'!$N$7:$N$47,MATCH(A62,'Data Tanah'!$B$7:$B$47,1)))*Input!$C$9))</f>
      </c>
      <c r="F62" s="16">
        <f>Input!$C$9*(Input!$C$10*MAX(MIN(A62,Input!$C$14)-Input!$C$11,0)+(Input!$C$10-1)*MAX(A62-MAX(Input!$C$14,Input!$C$11),0))</f>
      </c>
      <c r="G62" s="30">
        <f t="shared" si="7"/>
      </c>
      <c r="H62" s="30">
        <f>IF(A62&lt;=Input!$C$22,NA(),E62/Input!$C$45-F62-G62)</f>
      </c>
      <c r="I62" s="25">
        <f t="shared" si="8"/>
      </c>
      <c r="J62" s="25">
        <f>Input!$C$50</f>
      </c>
      <c r="K62" s="13">
        <f t="shared" si="9"/>
      </c>
      <c r="L62" s="9">
        <f>IF(A62&lt;=Input!$C$22,IFERROR(INDEX('Data Tanah'!$M$7:$M$47,MATCH(A62,'Data Tanah'!$B$7:$B$47,1)),0),NA())</f>
      </c>
      <c r="M62" s="25">
        <f t="shared" si="10"/>
      </c>
      <c r="N62">
        <f t="shared" si="5"/>
      </c>
    </row>
    <row r="63" spans="1:14" x14ac:dyDescent="0.25">
      <c r="A63" s="20">
        <v>27.5</v>
      </c>
      <c r="B63" s="20">
        <f t="shared" si="6"/>
      </c>
      <c r="C63" s="20">
        <f>A63-Input!$C$11</f>
      </c>
      <c r="D63" s="31">
        <f>Input!$C$8*SUMPRODUCT('Data Tanah'!$M$7:$M$47,((((('Data Tanah'!$C$7:$C$47+MIN(A63,Input!$C$22))-ABS('Data Tanah'!$C$7:$C$47-(MIN(A63,Input!$C$22))))/2-(('Data Tanah'!$B$7:$B$47+Input!$C$11)+ABS('Data Tanah'!$B$7:$B$47-(Input!$C$11)))/2)+ABS((('Data Tanah'!$C$7:$C$47+MIN(A63,Input!$C$22))-ABS('Data Tanah'!$C$7:$C$47-(MIN(A63,Input!$C$22))))/2-(('Data Tanah'!$B$7:$B$47+Input!$C$11)+ABS('Data Tanah'!$B$7:$B$47-(Input!$C$11)))/2))/2))</f>
      </c>
      <c r="E63" s="31">
        <f>IF(A63&lt;=MAX(Input!$C$22,Input!$C$27),0,Input!$C$8*SUMPRODUCT('Data Tanah'!$L$7:$L$47,((((('Data Tanah'!$C$7:$C$47+A63-Input!$C$28*Input!$C$7)-ABS('Data Tanah'!$C$7:$C$47-(A63-Input!$C$28*Input!$C$7)))/2-(('Data Tanah'!$B$7:$B$47+MAX(Input!$C$22,Input!$C$27))+ABS('Data Tanah'!$B$7:$B$47-(MAX(Input!$C$22,Input!$C$27))))/2)+ABS((('Data Tanah'!$C$7:$C$47+A63-Input!$C$28*Input!$C$7)-ABS('Data Tanah'!$C$7:$C$47-(A63-Input!$C$28*Input!$C$7)))/2-(('Data Tanah'!$B$7:$B$47+MAX(Input!$C$22,Input!$C$27))+ABS('Data Tanah'!$B$7:$B$47-(MAX(Input!$C$22,Input!$C$27))))/2))/2))+IF(SUMPRODUCT(--('Data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Tanah'!$B$7:$B$47-(A63-1.5*Input!$C$7)))/2))/2))&gt;0,0,IFERROR(AVERAGEIFS('Data Tanah'!$N$7:$N$47,'Data Tanah'!$E$7:$E$47,"&gt;="&amp;(A63-Input!$C$36*Input!$C$7),'Data Tanah'!$E$7:$E$47,"&lt;="&amp;(A63+Input!$C$37*Input!$C$7)),INDEX('Data Tanah'!$N$7:$N$47,MATCH(A63,'Data Tanah'!$B$7:$B$47,1)))*Input!$C$9))</f>
      </c>
      <c r="F63" s="20">
        <f>Input!$C$9*(Input!$C$10*MAX(MIN(A63,Input!$C$14)-Input!$C$11,0)+(Input!$C$10-1)*MAX(A63-MAX(Input!$C$14,Input!$C$11),0))</f>
      </c>
      <c r="G63" s="31">
        <f t="shared" si="7"/>
      </c>
      <c r="H63" s="31">
        <f>IF(A63&lt;=Input!$C$22,NA(),E63/Input!$C$45-F63-G63)</f>
      </c>
      <c r="I63" s="32">
        <f t="shared" si="8"/>
      </c>
      <c r="J63" s="32">
        <f>Input!$C$50</f>
      </c>
      <c r="K63" s="33">
        <f t="shared" si="9"/>
      </c>
      <c r="L63" s="19">
        <f>IF(A63&lt;=Input!$C$22,IFERROR(INDEX('Data Tanah'!$M$7:$M$47,MATCH(A63,'Data Tanah'!$B$7:$B$47,1)),0),NA())</f>
      </c>
      <c r="M63" s="32">
        <f t="shared" si="10"/>
      </c>
      <c r="N63">
        <f t="shared" si="5"/>
      </c>
    </row>
    <row r="64" spans="1:14" x14ac:dyDescent="0.25">
      <c r="A64" s="16">
        <v>28</v>
      </c>
      <c r="B64" s="16">
        <f t="shared" si="6"/>
      </c>
      <c r="C64" s="16">
        <f>A64-Input!$C$11</f>
      </c>
      <c r="D64" s="30">
        <f>Input!$C$8*SUMPRODUCT('Data Tanah'!$M$7:$M$47,((((('Data Tanah'!$C$7:$C$47+MIN(A64,Input!$C$22))-ABS('Data Tanah'!$C$7:$C$47-(MIN(A64,Input!$C$22))))/2-(('Data Tanah'!$B$7:$B$47+Input!$C$11)+ABS('Data Tanah'!$B$7:$B$47-(Input!$C$11)))/2)+ABS((('Data Tanah'!$C$7:$C$47+MIN(A64,Input!$C$22))-ABS('Data Tanah'!$C$7:$C$47-(MIN(A64,Input!$C$22))))/2-(('Data Tanah'!$B$7:$B$47+Input!$C$11)+ABS('Data Tanah'!$B$7:$B$47-(Input!$C$11)))/2))/2))</f>
      </c>
      <c r="E64" s="30">
        <f>IF(A64&lt;=MAX(Input!$C$22,Input!$C$27),0,Input!$C$8*SUMPRODUCT('Data Tanah'!$L$7:$L$47,((((('Data Tanah'!$C$7:$C$47+A64-Input!$C$28*Input!$C$7)-ABS('Data Tanah'!$C$7:$C$47-(A64-Input!$C$28*Input!$C$7)))/2-(('Data Tanah'!$B$7:$B$47+MAX(Input!$C$22,Input!$C$27))+ABS('Data Tanah'!$B$7:$B$47-(MAX(Input!$C$22,Input!$C$27))))/2)+ABS((('Data Tanah'!$C$7:$C$47+A64-Input!$C$28*Input!$C$7)-ABS('Data Tanah'!$C$7:$C$47-(A64-Input!$C$28*Input!$C$7)))/2-(('Data Tanah'!$B$7:$B$47+MAX(Input!$C$22,Input!$C$27))+ABS('Data Tanah'!$B$7:$B$47-(MAX(Input!$C$22,Input!$C$27))))/2))/2))+IF(SUMPRODUCT(--('Data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Tanah'!$B$7:$B$47-(A64-1.5*Input!$C$7)))/2))/2))&gt;0,0,IFERROR(AVERAGEIFS('Data Tanah'!$N$7:$N$47,'Data Tanah'!$E$7:$E$47,"&gt;="&amp;(A64-Input!$C$36*Input!$C$7),'Data Tanah'!$E$7:$E$47,"&lt;="&amp;(A64+Input!$C$37*Input!$C$7)),INDEX('Data Tanah'!$N$7:$N$47,MATCH(A64,'Data Tanah'!$B$7:$B$47,1)))*Input!$C$9))</f>
      </c>
      <c r="F64" s="16">
        <f>Input!$C$9*(Input!$C$10*MAX(MIN(A64,Input!$C$14)-Input!$C$11,0)+(Input!$C$10-1)*MAX(A64-MAX(Input!$C$14,Input!$C$11),0))</f>
      </c>
      <c r="G64" s="30">
        <f t="shared" si="7"/>
      </c>
      <c r="H64" s="30">
        <f>IF(A64&lt;=Input!$C$22,NA(),E64/Input!$C$45-F64-G64)</f>
      </c>
      <c r="I64" s="25">
        <f t="shared" si="8"/>
      </c>
      <c r="J64" s="25">
        <f>Input!$C$50</f>
      </c>
      <c r="K64" s="13">
        <f t="shared" si="9"/>
      </c>
      <c r="L64" s="9">
        <f>IF(A64&lt;=Input!$C$22,IFERROR(INDEX('Data Tanah'!$M$7:$M$47,MATCH(A64,'Data Tanah'!$B$7:$B$47,1)),0),NA())</f>
      </c>
      <c r="M64" s="25">
        <f t="shared" si="10"/>
      </c>
      <c r="N64">
        <f t="shared" si="5"/>
      </c>
    </row>
    <row r="65" spans="1:14" x14ac:dyDescent="0.25">
      <c r="A65" s="20">
        <v>28.5</v>
      </c>
      <c r="B65" s="20">
        <f t="shared" si="6"/>
      </c>
      <c r="C65" s="20">
        <f>A65-Input!$C$11</f>
      </c>
      <c r="D65" s="31">
        <f>Input!$C$8*SUMPRODUCT('Data Tanah'!$M$7:$M$47,((((('Data Tanah'!$C$7:$C$47+MIN(A65,Input!$C$22))-ABS('Data Tanah'!$C$7:$C$47-(MIN(A65,Input!$C$22))))/2-(('Data Tanah'!$B$7:$B$47+Input!$C$11)+ABS('Data Tanah'!$B$7:$B$47-(Input!$C$11)))/2)+ABS((('Data Tanah'!$C$7:$C$47+MIN(A65,Input!$C$22))-ABS('Data Tanah'!$C$7:$C$47-(MIN(A65,Input!$C$22))))/2-(('Data Tanah'!$B$7:$B$47+Input!$C$11)+ABS('Data Tanah'!$B$7:$B$47-(Input!$C$11)))/2))/2))</f>
      </c>
      <c r="E65" s="31">
        <f>IF(A65&lt;=MAX(Input!$C$22,Input!$C$27),0,Input!$C$8*SUMPRODUCT('Data Tanah'!$L$7:$L$47,((((('Data Tanah'!$C$7:$C$47+A65-Input!$C$28*Input!$C$7)-ABS('Data Tanah'!$C$7:$C$47-(A65-Input!$C$28*Input!$C$7)))/2-(('Data Tanah'!$B$7:$B$47+MAX(Input!$C$22,Input!$C$27))+ABS('Data Tanah'!$B$7:$B$47-(MAX(Input!$C$22,Input!$C$27))))/2)+ABS((('Data Tanah'!$C$7:$C$47+A65-Input!$C$28*Input!$C$7)-ABS('Data Tanah'!$C$7:$C$47-(A65-Input!$C$28*Input!$C$7)))/2-(('Data Tanah'!$B$7:$B$47+MAX(Input!$C$22,Input!$C$27))+ABS('Data Tanah'!$B$7:$B$47-(MAX(Input!$C$22,Input!$C$27))))/2))/2))+IF(SUMPRODUCT(--('Data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Tanah'!$B$7:$B$47-(A65-1.5*Input!$C$7)))/2))/2))&gt;0,0,IFERROR(AVERAGEIFS('Data Tanah'!$N$7:$N$47,'Data Tanah'!$E$7:$E$47,"&gt;="&amp;(A65-Input!$C$36*Input!$C$7),'Data Tanah'!$E$7:$E$47,"&lt;="&amp;(A65+Input!$C$37*Input!$C$7)),INDEX('Data Tanah'!$N$7:$N$47,MATCH(A65,'Data Tanah'!$B$7:$B$47,1)))*Input!$C$9))</f>
      </c>
      <c r="F65" s="20">
        <f>Input!$C$9*(Input!$C$10*MAX(MIN(A65,Input!$C$14)-Input!$C$11,0)+(Input!$C$10-1)*MAX(A65-MAX(Input!$C$14,Input!$C$11),0))</f>
      </c>
      <c r="G65" s="31">
        <f t="shared" si="7"/>
      </c>
      <c r="H65" s="31">
        <f>IF(A65&lt;=Input!$C$22,NA(),E65/Input!$C$45-F65-G65)</f>
      </c>
      <c r="I65" s="32">
        <f t="shared" si="8"/>
      </c>
      <c r="J65" s="32">
        <f>Input!$C$50</f>
      </c>
      <c r="K65" s="33">
        <f t="shared" si="9"/>
      </c>
      <c r="L65" s="19">
        <f>IF(A65&lt;=Input!$C$22,IFERROR(INDEX('Data Tanah'!$M$7:$M$47,MATCH(A65,'Data Tanah'!$B$7:$B$47,1)),0),NA())</f>
      </c>
      <c r="M65" s="32">
        <f t="shared" si="10"/>
      </c>
      <c r="N65">
        <f t="shared" si="5"/>
      </c>
    </row>
    <row r="66" spans="1:14" x14ac:dyDescent="0.25">
      <c r="A66" s="16">
        <v>29</v>
      </c>
      <c r="B66" s="16">
        <f t="shared" si="6"/>
      </c>
      <c r="C66" s="16">
        <f>A66-Input!$C$11</f>
      </c>
      <c r="D66" s="30">
        <f>Input!$C$8*SUMPRODUCT('Data Tanah'!$M$7:$M$47,((((('Data Tanah'!$C$7:$C$47+MIN(A66,Input!$C$22))-ABS('Data Tanah'!$C$7:$C$47-(MIN(A66,Input!$C$22))))/2-(('Data Tanah'!$B$7:$B$47+Input!$C$11)+ABS('Data Tanah'!$B$7:$B$47-(Input!$C$11)))/2)+ABS((('Data Tanah'!$C$7:$C$47+MIN(A66,Input!$C$22))-ABS('Data Tanah'!$C$7:$C$47-(MIN(A66,Input!$C$22))))/2-(('Data Tanah'!$B$7:$B$47+Input!$C$11)+ABS('Data Tanah'!$B$7:$B$47-(Input!$C$11)))/2))/2))</f>
      </c>
      <c r="E66" s="30">
        <f>IF(A66&lt;=MAX(Input!$C$22,Input!$C$27),0,Input!$C$8*SUMPRODUCT('Data Tanah'!$L$7:$L$47,((((('Data Tanah'!$C$7:$C$47+A66-Input!$C$28*Input!$C$7)-ABS('Data Tanah'!$C$7:$C$47-(A66-Input!$C$28*Input!$C$7)))/2-(('Data Tanah'!$B$7:$B$47+MAX(Input!$C$22,Input!$C$27))+ABS('Data Tanah'!$B$7:$B$47-(MAX(Input!$C$22,Input!$C$27))))/2)+ABS((('Data Tanah'!$C$7:$C$47+A66-Input!$C$28*Input!$C$7)-ABS('Data Tanah'!$C$7:$C$47-(A66-Input!$C$28*Input!$C$7)))/2-(('Data Tanah'!$B$7:$B$47+MAX(Input!$C$22,Input!$C$27))+ABS('Data Tanah'!$B$7:$B$47-(MAX(Input!$C$22,Input!$C$27))))/2))/2))+IF(SUMPRODUCT(--('Data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Tanah'!$B$7:$B$47-(A66-1.5*Input!$C$7)))/2))/2))&gt;0,0,IFERROR(AVERAGEIFS('Data Tanah'!$N$7:$N$47,'Data Tanah'!$E$7:$E$47,"&gt;="&amp;(A66-Input!$C$36*Input!$C$7),'Data Tanah'!$E$7:$E$47,"&lt;="&amp;(A66+Input!$C$37*Input!$C$7)),INDEX('Data Tanah'!$N$7:$N$47,MATCH(A66,'Data Tanah'!$B$7:$B$47,1)))*Input!$C$9))</f>
      </c>
      <c r="F66" s="16">
        <f>Input!$C$9*(Input!$C$10*MAX(MIN(A66,Input!$C$14)-Input!$C$11,0)+(Input!$C$10-1)*MAX(A66-MAX(Input!$C$14,Input!$C$11),0))</f>
      </c>
      <c r="G66" s="30">
        <f t="shared" si="7"/>
      </c>
      <c r="H66" s="30">
        <f>IF(A66&lt;=Input!$C$22,NA(),E66/Input!$C$45-F66-G66)</f>
      </c>
      <c r="I66" s="25">
        <f t="shared" si="8"/>
      </c>
      <c r="J66" s="25">
        <f>Input!$C$50</f>
      </c>
      <c r="K66" s="13">
        <f t="shared" si="9"/>
      </c>
      <c r="L66" s="9">
        <f>IF(A66&lt;=Input!$C$22,IFERROR(INDEX('Data Tanah'!$M$7:$M$47,MATCH(A66,'Data Tanah'!$B$7:$B$47,1)),0),NA())</f>
      </c>
      <c r="M66" s="25">
        <f t="shared" si="10"/>
      </c>
      <c r="N66">
        <f t="shared" si="5"/>
      </c>
    </row>
    <row r="67" spans="1:14" x14ac:dyDescent="0.25">
      <c r="A67" s="20">
        <v>29.5</v>
      </c>
      <c r="B67" s="20">
        <f t="shared" si="6"/>
      </c>
      <c r="C67" s="20">
        <f>A67-Input!$C$11</f>
      </c>
      <c r="D67" s="31">
        <f>Input!$C$8*SUMPRODUCT('Data Tanah'!$M$7:$M$47,((((('Data Tanah'!$C$7:$C$47+MIN(A67,Input!$C$22))-ABS('Data Tanah'!$C$7:$C$47-(MIN(A67,Input!$C$22))))/2-(('Data Tanah'!$B$7:$B$47+Input!$C$11)+ABS('Data Tanah'!$B$7:$B$47-(Input!$C$11)))/2)+ABS((('Data Tanah'!$C$7:$C$47+MIN(A67,Input!$C$22))-ABS('Data Tanah'!$C$7:$C$47-(MIN(A67,Input!$C$22))))/2-(('Data Tanah'!$B$7:$B$47+Input!$C$11)+ABS('Data Tanah'!$B$7:$B$47-(Input!$C$11)))/2))/2))</f>
      </c>
      <c r="E67" s="31">
        <f>IF(A67&lt;=MAX(Input!$C$22,Input!$C$27),0,Input!$C$8*SUMPRODUCT('Data Tanah'!$L$7:$L$47,((((('Data Tanah'!$C$7:$C$47+A67-Input!$C$28*Input!$C$7)-ABS('Data Tanah'!$C$7:$C$47-(A67-Input!$C$28*Input!$C$7)))/2-(('Data Tanah'!$B$7:$B$47+MAX(Input!$C$22,Input!$C$27))+ABS('Data Tanah'!$B$7:$B$47-(MAX(Input!$C$22,Input!$C$27))))/2)+ABS((('Data Tanah'!$C$7:$C$47+A67-Input!$C$28*Input!$C$7)-ABS('Data Tanah'!$C$7:$C$47-(A67-Input!$C$28*Input!$C$7)))/2-(('Data Tanah'!$B$7:$B$47+MAX(Input!$C$22,Input!$C$27))+ABS('Data Tanah'!$B$7:$B$47-(MAX(Input!$C$22,Input!$C$27))))/2))/2))+IF(SUMPRODUCT(--('Data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Tanah'!$B$7:$B$47-(A67-1.5*Input!$C$7)))/2))/2))&gt;0,0,IFERROR(AVERAGEIFS('Data Tanah'!$N$7:$N$47,'Data Tanah'!$E$7:$E$47,"&gt;="&amp;(A67-Input!$C$36*Input!$C$7),'Data Tanah'!$E$7:$E$47,"&lt;="&amp;(A67+Input!$C$37*Input!$C$7)),INDEX('Data Tanah'!$N$7:$N$47,MATCH(A67,'Data Tanah'!$B$7:$B$47,1)))*Input!$C$9))</f>
      </c>
      <c r="F67" s="20">
        <f>Input!$C$9*(Input!$C$10*MAX(MIN(A67,Input!$C$14)-Input!$C$11,0)+(Input!$C$10-1)*MAX(A67-MAX(Input!$C$14,Input!$C$11),0))</f>
      </c>
      <c r="G67" s="31">
        <f t="shared" si="7"/>
      </c>
      <c r="H67" s="31">
        <f>IF(A67&lt;=Input!$C$22,NA(),E67/Input!$C$45-F67-G67)</f>
      </c>
      <c r="I67" s="32">
        <f t="shared" si="8"/>
      </c>
      <c r="J67" s="32">
        <f>Input!$C$50</f>
      </c>
      <c r="K67" s="33">
        <f t="shared" si="9"/>
      </c>
      <c r="L67" s="19">
        <f>IF(A67&lt;=Input!$C$22,IFERROR(INDEX('Data Tanah'!$M$7:$M$47,MATCH(A67,'Data Tanah'!$B$7:$B$47,1)),0),NA())</f>
      </c>
      <c r="M67" s="32">
        <f t="shared" si="10"/>
      </c>
      <c r="N67">
        <f t="shared" si="5"/>
      </c>
    </row>
    <row r="68" spans="1:14" x14ac:dyDescent="0.25">
      <c r="A68" s="16">
        <v>30</v>
      </c>
      <c r="B68" s="16">
        <f t="shared" si="6"/>
      </c>
      <c r="C68" s="16">
        <f>A68-Input!$C$11</f>
      </c>
      <c r="D68" s="30">
        <f>Input!$C$8*SUMPRODUCT('Data Tanah'!$M$7:$M$47,((((('Data Tanah'!$C$7:$C$47+MIN(A68,Input!$C$22))-ABS('Data Tanah'!$C$7:$C$47-(MIN(A68,Input!$C$22))))/2-(('Data Tanah'!$B$7:$B$47+Input!$C$11)+ABS('Data Tanah'!$B$7:$B$47-(Input!$C$11)))/2)+ABS((('Data Tanah'!$C$7:$C$47+MIN(A68,Input!$C$22))-ABS('Data Tanah'!$C$7:$C$47-(MIN(A68,Input!$C$22))))/2-(('Data Tanah'!$B$7:$B$47+Input!$C$11)+ABS('Data Tanah'!$B$7:$B$47-(Input!$C$11)))/2))/2))</f>
      </c>
      <c r="E68" s="30">
        <f>IF(A68&lt;=MAX(Input!$C$22,Input!$C$27),0,Input!$C$8*SUMPRODUCT('Data Tanah'!$L$7:$L$47,((((('Data Tanah'!$C$7:$C$47+A68-Input!$C$28*Input!$C$7)-ABS('Data Tanah'!$C$7:$C$47-(A68-Input!$C$28*Input!$C$7)))/2-(('Data Tanah'!$B$7:$B$47+MAX(Input!$C$22,Input!$C$27))+ABS('Data Tanah'!$B$7:$B$47-(MAX(Input!$C$22,Input!$C$27))))/2)+ABS((('Data Tanah'!$C$7:$C$47+A68-Input!$C$28*Input!$C$7)-ABS('Data Tanah'!$C$7:$C$47-(A68-Input!$C$28*Input!$C$7)))/2-(('Data Tanah'!$B$7:$B$47+MAX(Input!$C$22,Input!$C$27))+ABS('Data Tanah'!$B$7:$B$47-(MAX(Input!$C$22,Input!$C$27))))/2))/2))+IF(SUMPRODUCT(--('Data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Tanah'!$B$7:$B$47-(A68-1.5*Input!$C$7)))/2))/2))&gt;0,0,IFERROR(AVERAGEIFS('Data Tanah'!$N$7:$N$47,'Data Tanah'!$E$7:$E$47,"&gt;="&amp;(A68-Input!$C$36*Input!$C$7),'Data Tanah'!$E$7:$E$47,"&lt;="&amp;(A68+Input!$C$37*Input!$C$7)),INDEX('Data Tanah'!$N$7:$N$47,MATCH(A68,'Data Tanah'!$B$7:$B$47,1)))*Input!$C$9))</f>
      </c>
      <c r="F68" s="16">
        <f>Input!$C$9*(Input!$C$10*MAX(MIN(A68,Input!$C$14)-Input!$C$11,0)+(Input!$C$10-1)*MAX(A68-MAX(Input!$C$14,Input!$C$11),0))</f>
      </c>
      <c r="G68" s="30">
        <f t="shared" si="7"/>
      </c>
      <c r="H68" s="30">
        <f>IF(A68&lt;=Input!$C$22,NA(),E68/Input!$C$45-F68-G68)</f>
      </c>
      <c r="I68" s="25">
        <f t="shared" si="8"/>
      </c>
      <c r="J68" s="25">
        <f>Input!$C$50</f>
      </c>
      <c r="K68" s="13">
        <f t="shared" si="9"/>
      </c>
      <c r="L68" s="9">
        <f>IF(A68&lt;=Input!$C$22,IFERROR(INDEX('Data Tanah'!$M$7:$M$47,MATCH(A68,'Data Tanah'!$B$7:$B$47,1)),0),NA())</f>
      </c>
      <c r="M68" s="25">
        <f t="shared" si="10"/>
      </c>
      <c r="N68">
        <f t="shared" si="5"/>
      </c>
    </row>
    <row r="69" spans="1:14" x14ac:dyDescent="0.25">
      <c r="A69" s="20">
        <v>30.5</v>
      </c>
      <c r="B69" s="20">
        <f t="shared" si="6"/>
      </c>
      <c r="C69" s="20">
        <f>A69-Input!$C$11</f>
      </c>
      <c r="D69" s="31">
        <f>Input!$C$8*SUMPRODUCT('Data Tanah'!$M$7:$M$47,((((('Data Tanah'!$C$7:$C$47+MIN(A69,Input!$C$22))-ABS('Data Tanah'!$C$7:$C$47-(MIN(A69,Input!$C$22))))/2-(('Data Tanah'!$B$7:$B$47+Input!$C$11)+ABS('Data Tanah'!$B$7:$B$47-(Input!$C$11)))/2)+ABS((('Data Tanah'!$C$7:$C$47+MIN(A69,Input!$C$22))-ABS('Data Tanah'!$C$7:$C$47-(MIN(A69,Input!$C$22))))/2-(('Data Tanah'!$B$7:$B$47+Input!$C$11)+ABS('Data Tanah'!$B$7:$B$47-(Input!$C$11)))/2))/2))</f>
      </c>
      <c r="E69" s="31">
        <f>IF(A69&lt;=MAX(Input!$C$22,Input!$C$27),0,Input!$C$8*SUMPRODUCT('Data Tanah'!$L$7:$L$47,((((('Data Tanah'!$C$7:$C$47+A69-Input!$C$28*Input!$C$7)-ABS('Data Tanah'!$C$7:$C$47-(A69-Input!$C$28*Input!$C$7)))/2-(('Data Tanah'!$B$7:$B$47+MAX(Input!$C$22,Input!$C$27))+ABS('Data Tanah'!$B$7:$B$47-(MAX(Input!$C$22,Input!$C$27))))/2)+ABS((('Data Tanah'!$C$7:$C$47+A69-Input!$C$28*Input!$C$7)-ABS('Data Tanah'!$C$7:$C$47-(A69-Input!$C$28*Input!$C$7)))/2-(('Data Tanah'!$B$7:$B$47+MAX(Input!$C$22,Input!$C$27))+ABS('Data Tanah'!$B$7:$B$47-(MAX(Input!$C$22,Input!$C$27))))/2))/2))+IF(SUMPRODUCT(--('Data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Tanah'!$B$7:$B$47-(A69-1.5*Input!$C$7)))/2))/2))&gt;0,0,IFERROR(AVERAGEIFS('Data Tanah'!$N$7:$N$47,'Data Tanah'!$E$7:$E$47,"&gt;="&amp;(A69-Input!$C$36*Input!$C$7),'Data Tanah'!$E$7:$E$47,"&lt;="&amp;(A69+Input!$C$37*Input!$C$7)),INDEX('Data Tanah'!$N$7:$N$47,MATCH(A69,'Data Tanah'!$B$7:$B$47,1)))*Input!$C$9))</f>
      </c>
      <c r="F69" s="20">
        <f>Input!$C$9*(Input!$C$10*MAX(MIN(A69,Input!$C$14)-Input!$C$11,0)+(Input!$C$10-1)*MAX(A69-MAX(Input!$C$14,Input!$C$11),0))</f>
      </c>
      <c r="G69" s="31">
        <f t="shared" si="7"/>
      </c>
      <c r="H69" s="31">
        <f>IF(A69&lt;=Input!$C$22,NA(),E69/Input!$C$45-F69-G69)</f>
      </c>
      <c r="I69" s="32">
        <f t="shared" si="8"/>
      </c>
      <c r="J69" s="32">
        <f>Input!$C$50</f>
      </c>
      <c r="K69" s="33">
        <f t="shared" si="9"/>
      </c>
      <c r="L69" s="19">
        <f>IF(A69&lt;=Input!$C$22,IFERROR(INDEX('Data Tanah'!$M$7:$M$47,MATCH(A69,'Data Tanah'!$B$7:$B$47,1)),0),NA())</f>
      </c>
      <c r="M69" s="32">
        <f t="shared" si="10"/>
      </c>
      <c r="N69">
        <f t="shared" si="5"/>
      </c>
    </row>
    <row r="70" spans="1:14" x14ac:dyDescent="0.25">
      <c r="A70" s="16">
        <v>31</v>
      </c>
      <c r="B70" s="16">
        <f t="shared" si="6"/>
      </c>
      <c r="C70" s="16">
        <f>A70-Input!$C$11</f>
      </c>
      <c r="D70" s="30">
        <f>Input!$C$8*SUMPRODUCT('Data Tanah'!$M$7:$M$47,((((('Data Tanah'!$C$7:$C$47+MIN(A70,Input!$C$22))-ABS('Data Tanah'!$C$7:$C$47-(MIN(A70,Input!$C$22))))/2-(('Data Tanah'!$B$7:$B$47+Input!$C$11)+ABS('Data Tanah'!$B$7:$B$47-(Input!$C$11)))/2)+ABS((('Data Tanah'!$C$7:$C$47+MIN(A70,Input!$C$22))-ABS('Data Tanah'!$C$7:$C$47-(MIN(A70,Input!$C$22))))/2-(('Data Tanah'!$B$7:$B$47+Input!$C$11)+ABS('Data Tanah'!$B$7:$B$47-(Input!$C$11)))/2))/2))</f>
      </c>
      <c r="E70" s="30">
        <f>IF(A70&lt;=MAX(Input!$C$22,Input!$C$27),0,Input!$C$8*SUMPRODUCT('Data Tanah'!$L$7:$L$47,((((('Data Tanah'!$C$7:$C$47+A70-Input!$C$28*Input!$C$7)-ABS('Data Tanah'!$C$7:$C$47-(A70-Input!$C$28*Input!$C$7)))/2-(('Data Tanah'!$B$7:$B$47+MAX(Input!$C$22,Input!$C$27))+ABS('Data Tanah'!$B$7:$B$47-(MAX(Input!$C$22,Input!$C$27))))/2)+ABS((('Data Tanah'!$C$7:$C$47+A70-Input!$C$28*Input!$C$7)-ABS('Data Tanah'!$C$7:$C$47-(A70-Input!$C$28*Input!$C$7)))/2-(('Data Tanah'!$B$7:$B$47+MAX(Input!$C$22,Input!$C$27))+ABS('Data Tanah'!$B$7:$B$47-(MAX(Input!$C$22,Input!$C$27))))/2))/2))+IF(SUMPRODUCT(--('Data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Tanah'!$B$7:$B$47-(A70-1.5*Input!$C$7)))/2))/2))&gt;0,0,IFERROR(AVERAGEIFS('Data Tanah'!$N$7:$N$47,'Data Tanah'!$E$7:$E$47,"&gt;="&amp;(A70-Input!$C$36*Input!$C$7),'Data Tanah'!$E$7:$E$47,"&lt;="&amp;(A70+Input!$C$37*Input!$C$7)),INDEX('Data Tanah'!$N$7:$N$47,MATCH(A70,'Data Tanah'!$B$7:$B$47,1)))*Input!$C$9))</f>
      </c>
      <c r="F70" s="16">
        <f>Input!$C$9*(Input!$C$10*MAX(MIN(A70,Input!$C$14)-Input!$C$11,0)+(Input!$C$10-1)*MAX(A70-MAX(Input!$C$14,Input!$C$11),0))</f>
      </c>
      <c r="G70" s="30">
        <f t="shared" si="7"/>
      </c>
      <c r="H70" s="30">
        <f>IF(A70&lt;=Input!$C$22,NA(),E70/Input!$C$45-F70-G70)</f>
      </c>
      <c r="I70" s="25">
        <f t="shared" si="8"/>
      </c>
      <c r="J70" s="25">
        <f>Input!$C$50</f>
      </c>
      <c r="K70" s="13">
        <f t="shared" si="9"/>
      </c>
      <c r="L70" s="9">
        <f>IF(A70&lt;=Input!$C$22,IFERROR(INDEX('Data Tanah'!$M$7:$M$47,MATCH(A70,'Data Tanah'!$B$7:$B$47,1)),0),NA())</f>
      </c>
      <c r="M70" s="25">
        <f t="shared" si="10"/>
      </c>
      <c r="N70">
        <f t="shared" si="5"/>
      </c>
    </row>
    <row r="71" spans="1:14" x14ac:dyDescent="0.25">
      <c r="A71" s="20">
        <v>31.5</v>
      </c>
      <c r="B71" s="20">
        <f t="shared" si="6"/>
      </c>
      <c r="C71" s="20">
        <f>A71-Input!$C$11</f>
      </c>
      <c r="D71" s="31">
        <f>Input!$C$8*SUMPRODUCT('Data Tanah'!$M$7:$M$47,((((('Data Tanah'!$C$7:$C$47+MIN(A71,Input!$C$22))-ABS('Data Tanah'!$C$7:$C$47-(MIN(A71,Input!$C$22))))/2-(('Data Tanah'!$B$7:$B$47+Input!$C$11)+ABS('Data Tanah'!$B$7:$B$47-(Input!$C$11)))/2)+ABS((('Data Tanah'!$C$7:$C$47+MIN(A71,Input!$C$22))-ABS('Data Tanah'!$C$7:$C$47-(MIN(A71,Input!$C$22))))/2-(('Data Tanah'!$B$7:$B$47+Input!$C$11)+ABS('Data Tanah'!$B$7:$B$47-(Input!$C$11)))/2))/2))</f>
      </c>
      <c r="E71" s="31">
        <f>IF(A71&lt;=MAX(Input!$C$22,Input!$C$27),0,Input!$C$8*SUMPRODUCT('Data Tanah'!$L$7:$L$47,((((('Data Tanah'!$C$7:$C$47+A71-Input!$C$28*Input!$C$7)-ABS('Data Tanah'!$C$7:$C$47-(A71-Input!$C$28*Input!$C$7)))/2-(('Data Tanah'!$B$7:$B$47+MAX(Input!$C$22,Input!$C$27))+ABS('Data Tanah'!$B$7:$B$47-(MAX(Input!$C$22,Input!$C$27))))/2)+ABS((('Data Tanah'!$C$7:$C$47+A71-Input!$C$28*Input!$C$7)-ABS('Data Tanah'!$C$7:$C$47-(A71-Input!$C$28*Input!$C$7)))/2-(('Data Tanah'!$B$7:$B$47+MAX(Input!$C$22,Input!$C$27))+ABS('Data Tanah'!$B$7:$B$47-(MAX(Input!$C$22,Input!$C$27))))/2))/2))+IF(SUMPRODUCT(--('Data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Tanah'!$B$7:$B$47-(A71-1.5*Input!$C$7)))/2))/2))&gt;0,0,IFERROR(AVERAGEIFS('Data Tanah'!$N$7:$N$47,'Data Tanah'!$E$7:$E$47,"&gt;="&amp;(A71-Input!$C$36*Input!$C$7),'Data Tanah'!$E$7:$E$47,"&lt;="&amp;(A71+Input!$C$37*Input!$C$7)),INDEX('Data Tanah'!$N$7:$N$47,MATCH(A71,'Data Tanah'!$B$7:$B$47,1)))*Input!$C$9))</f>
      </c>
      <c r="F71" s="20">
        <f>Input!$C$9*(Input!$C$10*MAX(MIN(A71,Input!$C$14)-Input!$C$11,0)+(Input!$C$10-1)*MAX(A71-MAX(Input!$C$14,Input!$C$11),0))</f>
      </c>
      <c r="G71" s="31">
        <f t="shared" si="7"/>
      </c>
      <c r="H71" s="31">
        <f>IF(A71&lt;=Input!$C$22,NA(),E71/Input!$C$45-F71-G71)</f>
      </c>
      <c r="I71" s="32">
        <f t="shared" si="8"/>
      </c>
      <c r="J71" s="32">
        <f>Input!$C$50</f>
      </c>
      <c r="K71" s="33">
        <f t="shared" si="9"/>
      </c>
      <c r="L71" s="19">
        <f>IF(A71&lt;=Input!$C$22,IFERROR(INDEX('Data Tanah'!$M$7:$M$47,MATCH(A71,'Data Tanah'!$B$7:$B$47,1)),0),NA())</f>
      </c>
      <c r="M71" s="32">
        <f t="shared" si="10"/>
      </c>
      <c r="N71">
        <f t="shared" si="5"/>
      </c>
    </row>
    <row r="72" spans="1:14" x14ac:dyDescent="0.25">
      <c r="A72" s="16">
        <v>32</v>
      </c>
      <c r="B72" s="16">
        <f t="shared" si="6"/>
      </c>
      <c r="C72" s="16">
        <f>A72-Input!$C$11</f>
      </c>
      <c r="D72" s="30">
        <f>Input!$C$8*SUMPRODUCT('Data Tanah'!$M$7:$M$47,((((('Data Tanah'!$C$7:$C$47+MIN(A72,Input!$C$22))-ABS('Data Tanah'!$C$7:$C$47-(MIN(A72,Input!$C$22))))/2-(('Data Tanah'!$B$7:$B$47+Input!$C$11)+ABS('Data Tanah'!$B$7:$B$47-(Input!$C$11)))/2)+ABS((('Data Tanah'!$C$7:$C$47+MIN(A72,Input!$C$22))-ABS('Data Tanah'!$C$7:$C$47-(MIN(A72,Input!$C$22))))/2-(('Data Tanah'!$B$7:$B$47+Input!$C$11)+ABS('Data Tanah'!$B$7:$B$47-(Input!$C$11)))/2))/2))</f>
      </c>
      <c r="E72" s="30">
        <f>IF(A72&lt;=MAX(Input!$C$22,Input!$C$27),0,Input!$C$8*SUMPRODUCT('Data Tanah'!$L$7:$L$47,((((('Data Tanah'!$C$7:$C$47+A72-Input!$C$28*Input!$C$7)-ABS('Data Tanah'!$C$7:$C$47-(A72-Input!$C$28*Input!$C$7)))/2-(('Data Tanah'!$B$7:$B$47+MAX(Input!$C$22,Input!$C$27))+ABS('Data Tanah'!$B$7:$B$47-(MAX(Input!$C$22,Input!$C$27))))/2)+ABS((('Data Tanah'!$C$7:$C$47+A72-Input!$C$28*Input!$C$7)-ABS('Data Tanah'!$C$7:$C$47-(A72-Input!$C$28*Input!$C$7)))/2-(('Data Tanah'!$B$7:$B$47+MAX(Input!$C$22,Input!$C$27))+ABS('Data Tanah'!$B$7:$B$47-(MAX(Input!$C$22,Input!$C$27))))/2))/2))+IF(SUMPRODUCT(--('Data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Tanah'!$B$7:$B$47-(A72-1.5*Input!$C$7)))/2))/2))&gt;0,0,IFERROR(AVERAGEIFS('Data Tanah'!$N$7:$N$47,'Data Tanah'!$E$7:$E$47,"&gt;="&amp;(A72-Input!$C$36*Input!$C$7),'Data Tanah'!$E$7:$E$47,"&lt;="&amp;(A72+Input!$C$37*Input!$C$7)),INDEX('Data Tanah'!$N$7:$N$47,MATCH(A72,'Data Tanah'!$B$7:$B$47,1)))*Input!$C$9))</f>
      </c>
      <c r="F72" s="16">
        <f>Input!$C$9*(Input!$C$10*MAX(MIN(A72,Input!$C$14)-Input!$C$11,0)+(Input!$C$10-1)*MAX(A72-MAX(Input!$C$14,Input!$C$11),0))</f>
      </c>
      <c r="G72" s="30">
        <f t="shared" si="7"/>
      </c>
      <c r="H72" s="30">
        <f>IF(A72&lt;=Input!$C$22,NA(),E72/Input!$C$45-F72-G72)</f>
      </c>
      <c r="I72" s="25">
        <f t="shared" si="8"/>
      </c>
      <c r="J72" s="25">
        <f>Input!$C$50</f>
      </c>
      <c r="K72" s="13">
        <f t="shared" si="9"/>
      </c>
      <c r="L72" s="9">
        <f>IF(A72&lt;=Input!$C$22,IFERROR(INDEX('Data Tanah'!$M$7:$M$47,MATCH(A72,'Data Tanah'!$B$7:$B$47,1)),0),NA())</f>
      </c>
      <c r="M72" s="25">
        <f t="shared" si="10"/>
      </c>
      <c r="N72">
        <f t="shared" si="5"/>
      </c>
    </row>
    <row r="73" spans="1:14" x14ac:dyDescent="0.25">
      <c r="A73" s="20">
        <v>32.5</v>
      </c>
      <c r="B73" s="20">
        <f t="shared" si="6"/>
      </c>
      <c r="C73" s="20">
        <f>A73-Input!$C$11</f>
      </c>
      <c r="D73" s="31">
        <f>Input!$C$8*SUMPRODUCT('Data Tanah'!$M$7:$M$47,((((('Data Tanah'!$C$7:$C$47+MIN(A73,Input!$C$22))-ABS('Data Tanah'!$C$7:$C$47-(MIN(A73,Input!$C$22))))/2-(('Data Tanah'!$B$7:$B$47+Input!$C$11)+ABS('Data Tanah'!$B$7:$B$47-(Input!$C$11)))/2)+ABS((('Data Tanah'!$C$7:$C$47+MIN(A73,Input!$C$22))-ABS('Data Tanah'!$C$7:$C$47-(MIN(A73,Input!$C$22))))/2-(('Data Tanah'!$B$7:$B$47+Input!$C$11)+ABS('Data Tanah'!$B$7:$B$47-(Input!$C$11)))/2))/2))</f>
      </c>
      <c r="E73" s="31">
        <f>IF(A73&lt;=MAX(Input!$C$22,Input!$C$27),0,Input!$C$8*SUMPRODUCT('Data Tanah'!$L$7:$L$47,((((('Data Tanah'!$C$7:$C$47+A73-Input!$C$28*Input!$C$7)-ABS('Data Tanah'!$C$7:$C$47-(A73-Input!$C$28*Input!$C$7)))/2-(('Data Tanah'!$B$7:$B$47+MAX(Input!$C$22,Input!$C$27))+ABS('Data Tanah'!$B$7:$B$47-(MAX(Input!$C$22,Input!$C$27))))/2)+ABS((('Data Tanah'!$C$7:$C$47+A73-Input!$C$28*Input!$C$7)-ABS('Data Tanah'!$C$7:$C$47-(A73-Input!$C$28*Input!$C$7)))/2-(('Data Tanah'!$B$7:$B$47+MAX(Input!$C$22,Input!$C$27))+ABS('Data Tanah'!$B$7:$B$47-(MAX(Input!$C$22,Input!$C$27))))/2))/2))+IF(SUMPRODUCT(--('Data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Tanah'!$B$7:$B$47-(A73-1.5*Input!$C$7)))/2))/2))&gt;0,0,IFERROR(AVERAGEIFS('Data Tanah'!$N$7:$N$47,'Data Tanah'!$E$7:$E$47,"&gt;="&amp;(A73-Input!$C$36*Input!$C$7),'Data Tanah'!$E$7:$E$47,"&lt;="&amp;(A73+Input!$C$37*Input!$C$7)),INDEX('Data Tanah'!$N$7:$N$47,MATCH(A73,'Data Tanah'!$B$7:$B$47,1)))*Input!$C$9))</f>
      </c>
      <c r="F73" s="20">
        <f>Input!$C$9*(Input!$C$10*MAX(MIN(A73,Input!$C$14)-Input!$C$11,0)+(Input!$C$10-1)*MAX(A73-MAX(Input!$C$14,Input!$C$11),0))</f>
      </c>
      <c r="G73" s="31">
        <f t="shared" si="7"/>
      </c>
      <c r="H73" s="31">
        <f>IF(A73&lt;=Input!$C$22,NA(),E73/Input!$C$45-F73-G73)</f>
      </c>
      <c r="I73" s="32">
        <f t="shared" si="8"/>
      </c>
      <c r="J73" s="32">
        <f>Input!$C$50</f>
      </c>
      <c r="K73" s="33">
        <f t="shared" si="9"/>
      </c>
      <c r="L73" s="19">
        <f>IF(A73&lt;=Input!$C$22,IFERROR(INDEX('Data Tanah'!$M$7:$M$47,MATCH(A73,'Data Tanah'!$B$7:$B$47,1)),0),NA())</f>
      </c>
      <c r="M73" s="32">
        <f t="shared" si="10"/>
      </c>
      <c r="N73">
        <f t="shared" si="5"/>
      </c>
    </row>
    <row r="74" spans="1:14" x14ac:dyDescent="0.25">
      <c r="A74" s="16">
        <v>33</v>
      </c>
      <c r="B74" s="16">
        <f t="shared" si="6"/>
      </c>
      <c r="C74" s="16">
        <f>A74-Input!$C$11</f>
      </c>
      <c r="D74" s="30">
        <f>Input!$C$8*SUMPRODUCT('Data Tanah'!$M$7:$M$47,((((('Data Tanah'!$C$7:$C$47+MIN(A74,Input!$C$22))-ABS('Data Tanah'!$C$7:$C$47-(MIN(A74,Input!$C$22))))/2-(('Data Tanah'!$B$7:$B$47+Input!$C$11)+ABS('Data Tanah'!$B$7:$B$47-(Input!$C$11)))/2)+ABS((('Data Tanah'!$C$7:$C$47+MIN(A74,Input!$C$22))-ABS('Data Tanah'!$C$7:$C$47-(MIN(A74,Input!$C$22))))/2-(('Data Tanah'!$B$7:$B$47+Input!$C$11)+ABS('Data Tanah'!$B$7:$B$47-(Input!$C$11)))/2))/2))</f>
      </c>
      <c r="E74" s="30">
        <f>IF(A74&lt;=MAX(Input!$C$22,Input!$C$27),0,Input!$C$8*SUMPRODUCT('Data Tanah'!$L$7:$L$47,((((('Data Tanah'!$C$7:$C$47+A74-Input!$C$28*Input!$C$7)-ABS('Data Tanah'!$C$7:$C$47-(A74-Input!$C$28*Input!$C$7)))/2-(('Data Tanah'!$B$7:$B$47+MAX(Input!$C$22,Input!$C$27))+ABS('Data Tanah'!$B$7:$B$47-(MAX(Input!$C$22,Input!$C$27))))/2)+ABS((('Data Tanah'!$C$7:$C$47+A74-Input!$C$28*Input!$C$7)-ABS('Data Tanah'!$C$7:$C$47-(A74-Input!$C$28*Input!$C$7)))/2-(('Data Tanah'!$B$7:$B$47+MAX(Input!$C$22,Input!$C$27))+ABS('Data Tanah'!$B$7:$B$47-(MAX(Input!$C$22,Input!$C$27))))/2))/2))+IF(SUMPRODUCT(--('Data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Tanah'!$B$7:$B$47-(A74-1.5*Input!$C$7)))/2))/2))&gt;0,0,IFERROR(AVERAGEIFS('Data Tanah'!$N$7:$N$47,'Data Tanah'!$E$7:$E$47,"&gt;="&amp;(A74-Input!$C$36*Input!$C$7),'Data Tanah'!$E$7:$E$47,"&lt;="&amp;(A74+Input!$C$37*Input!$C$7)),INDEX('Data Tanah'!$N$7:$N$47,MATCH(A74,'Data Tanah'!$B$7:$B$47,1)))*Input!$C$9))</f>
      </c>
      <c r="F74" s="16">
        <f>Input!$C$9*(Input!$C$10*MAX(MIN(A74,Input!$C$14)-Input!$C$11,0)+(Input!$C$10-1)*MAX(A74-MAX(Input!$C$14,Input!$C$11),0))</f>
      </c>
      <c r="G74" s="30">
        <f t="shared" si="7"/>
      </c>
      <c r="H74" s="30">
        <f>IF(A74&lt;=Input!$C$22,NA(),E74/Input!$C$45-F74-G74)</f>
      </c>
      <c r="I74" s="25">
        <f t="shared" si="8"/>
      </c>
      <c r="J74" s="25">
        <f>Input!$C$50</f>
      </c>
      <c r="K74" s="13">
        <f t="shared" si="9"/>
      </c>
      <c r="L74" s="9">
        <f>IF(A74&lt;=Input!$C$22,IFERROR(INDEX('Data Tanah'!$M$7:$M$47,MATCH(A74,'Data Tanah'!$B$7:$B$47,1)),0),NA())</f>
      </c>
      <c r="M74" s="25">
        <f t="shared" si="10"/>
      </c>
      <c r="N74">
        <f t="shared" si="5"/>
      </c>
    </row>
    <row r="75" spans="1:14" x14ac:dyDescent="0.25">
      <c r="A75" s="20">
        <v>33.5</v>
      </c>
      <c r="B75" s="20">
        <f t="shared" si="6"/>
      </c>
      <c r="C75" s="20">
        <f>A75-Input!$C$11</f>
      </c>
      <c r="D75" s="31">
        <f>Input!$C$8*SUMPRODUCT('Data Tanah'!$M$7:$M$47,((((('Data Tanah'!$C$7:$C$47+MIN(A75,Input!$C$22))-ABS('Data Tanah'!$C$7:$C$47-(MIN(A75,Input!$C$22))))/2-(('Data Tanah'!$B$7:$B$47+Input!$C$11)+ABS('Data Tanah'!$B$7:$B$47-(Input!$C$11)))/2)+ABS((('Data Tanah'!$C$7:$C$47+MIN(A75,Input!$C$22))-ABS('Data Tanah'!$C$7:$C$47-(MIN(A75,Input!$C$22))))/2-(('Data Tanah'!$B$7:$B$47+Input!$C$11)+ABS('Data Tanah'!$B$7:$B$47-(Input!$C$11)))/2))/2))</f>
      </c>
      <c r="E75" s="31">
        <f>IF(A75&lt;=MAX(Input!$C$22,Input!$C$27),0,Input!$C$8*SUMPRODUCT('Data Tanah'!$L$7:$L$47,((((('Data Tanah'!$C$7:$C$47+A75-Input!$C$28*Input!$C$7)-ABS('Data Tanah'!$C$7:$C$47-(A75-Input!$C$28*Input!$C$7)))/2-(('Data Tanah'!$B$7:$B$47+MAX(Input!$C$22,Input!$C$27))+ABS('Data Tanah'!$B$7:$B$47-(MAX(Input!$C$22,Input!$C$27))))/2)+ABS((('Data Tanah'!$C$7:$C$47+A75-Input!$C$28*Input!$C$7)-ABS('Data Tanah'!$C$7:$C$47-(A75-Input!$C$28*Input!$C$7)))/2-(('Data Tanah'!$B$7:$B$47+MAX(Input!$C$22,Input!$C$27))+ABS('Data Tanah'!$B$7:$B$47-(MAX(Input!$C$22,Input!$C$27))))/2))/2))+IF(SUMPRODUCT(--('Data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Tanah'!$B$7:$B$47-(A75-1.5*Input!$C$7)))/2))/2))&gt;0,0,IFERROR(AVERAGEIFS('Data Tanah'!$N$7:$N$47,'Data Tanah'!$E$7:$E$47,"&gt;="&amp;(A75-Input!$C$36*Input!$C$7),'Data Tanah'!$E$7:$E$47,"&lt;="&amp;(A75+Input!$C$37*Input!$C$7)),INDEX('Data Tanah'!$N$7:$N$47,MATCH(A75,'Data Tanah'!$B$7:$B$47,1)))*Input!$C$9))</f>
      </c>
      <c r="F75" s="20">
        <f>Input!$C$9*(Input!$C$10*MAX(MIN(A75,Input!$C$14)-Input!$C$11,0)+(Input!$C$10-1)*MAX(A75-MAX(Input!$C$14,Input!$C$11),0))</f>
      </c>
      <c r="G75" s="31">
        <f t="shared" si="7"/>
      </c>
      <c r="H75" s="31">
        <f>IF(A75&lt;=Input!$C$22,NA(),E75/Input!$C$45-F75-G75)</f>
      </c>
      <c r="I75" s="32">
        <f t="shared" si="8"/>
      </c>
      <c r="J75" s="32">
        <f>Input!$C$50</f>
      </c>
      <c r="K75" s="33">
        <f t="shared" si="9"/>
      </c>
      <c r="L75" s="19">
        <f>IF(A75&lt;=Input!$C$22,IFERROR(INDEX('Data Tanah'!$M$7:$M$47,MATCH(A75,'Data Tanah'!$B$7:$B$47,1)),0),NA())</f>
      </c>
      <c r="M75" s="32">
        <f t="shared" si="10"/>
      </c>
      <c r="N75">
        <f t="shared" si="5"/>
      </c>
    </row>
    <row r="76" spans="1:14" x14ac:dyDescent="0.25">
      <c r="A76" s="16">
        <v>34</v>
      </c>
      <c r="B76" s="16">
        <f t="shared" ref="B76:B107" si="11">-A76</f>
      </c>
      <c r="C76" s="16">
        <f>A76-Input!$C$11</f>
      </c>
      <c r="D76" s="30">
        <f>Input!$C$8*SUMPRODUCT('Data Tanah'!$M$7:$M$47,((((('Data Tanah'!$C$7:$C$47+MIN(A76,Input!$C$22))-ABS('Data Tanah'!$C$7:$C$47-(MIN(A76,Input!$C$22))))/2-(('Data Tanah'!$B$7:$B$47+Input!$C$11)+ABS('Data Tanah'!$B$7:$B$47-(Input!$C$11)))/2)+ABS((('Data Tanah'!$C$7:$C$47+MIN(A76,Input!$C$22))-ABS('Data Tanah'!$C$7:$C$47-(MIN(A76,Input!$C$22))))/2-(('Data Tanah'!$B$7:$B$47+Input!$C$11)+ABS('Data Tanah'!$B$7:$B$47-(Input!$C$11)))/2))/2))</f>
      </c>
      <c r="E76" s="30">
        <f>IF(A76&lt;=MAX(Input!$C$22,Input!$C$27),0,Input!$C$8*SUMPRODUCT('Data Tanah'!$L$7:$L$47,((((('Data Tanah'!$C$7:$C$47+A76-Input!$C$28*Input!$C$7)-ABS('Data Tanah'!$C$7:$C$47-(A76-Input!$C$28*Input!$C$7)))/2-(('Data Tanah'!$B$7:$B$47+MAX(Input!$C$22,Input!$C$27))+ABS('Data Tanah'!$B$7:$B$47-(MAX(Input!$C$22,Input!$C$27))))/2)+ABS((('Data Tanah'!$C$7:$C$47+A76-Input!$C$28*Input!$C$7)-ABS('Data Tanah'!$C$7:$C$47-(A76-Input!$C$28*Input!$C$7)))/2-(('Data Tanah'!$B$7:$B$47+MAX(Input!$C$22,Input!$C$27))+ABS('Data Tanah'!$B$7:$B$47-(MAX(Input!$C$22,Input!$C$27))))/2))/2))+IF(SUMPRODUCT(--('Data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Tanah'!$B$7:$B$47-(A76-1.5*Input!$C$7)))/2))/2))&gt;0,0,IFERROR(AVERAGEIFS('Data Tanah'!$N$7:$N$47,'Data Tanah'!$E$7:$E$47,"&gt;="&amp;(A76-Input!$C$36*Input!$C$7),'Data Tanah'!$E$7:$E$47,"&lt;="&amp;(A76+Input!$C$37*Input!$C$7)),INDEX('Data Tanah'!$N$7:$N$47,MATCH(A76,'Data Tanah'!$B$7:$B$47,1)))*Input!$C$9))</f>
      </c>
      <c r="F76" s="16">
        <f>Input!$C$9*(Input!$C$10*MAX(MIN(A76,Input!$C$14)-Input!$C$11,0)+(Input!$C$10-1)*MAX(A76-MAX(Input!$C$14,Input!$C$11),0))</f>
      </c>
      <c r="G76" s="30">
        <f t="shared" ref="G76:G107" si="12">$D$127</f>
      </c>
      <c r="H76" s="30">
        <f>IF(A76&lt;=Input!$C$22,NA(),E76/Input!$C$45-F76-G76)</f>
      </c>
      <c r="I76" s="25">
        <f t="shared" ref="I76:I107" si="13">IFERROR(H76*9.81,NA())</f>
      </c>
      <c r="J76" s="25">
        <f>Input!$C$50</f>
      </c>
      <c r="K76" s="13">
        <f t="shared" ref="K76:K107" si="14">AND(IFERROR(I76&gt;=J76,FALSE),K77)</f>
      </c>
      <c r="L76" s="9">
        <f>IF(A76&lt;=Input!$C$22,IFERROR(INDEX('Data Tanah'!$M$7:$M$47,MATCH(A76,'Data Tanah'!$B$7:$B$47,1)),0),NA())</f>
      </c>
      <c r="M76" s="25">
        <f t="shared" ref="M76:M107" si="15">D76*9.81</f>
      </c>
      <c r="N76">
        <f t="shared" si="5"/>
      </c>
    </row>
    <row r="77" spans="1:14" x14ac:dyDescent="0.25">
      <c r="A77" s="20">
        <v>34.5</v>
      </c>
      <c r="B77" s="20">
        <f t="shared" si="11"/>
      </c>
      <c r="C77" s="20">
        <f>A77-Input!$C$11</f>
      </c>
      <c r="D77" s="31">
        <f>Input!$C$8*SUMPRODUCT('Data Tanah'!$M$7:$M$47,((((('Data Tanah'!$C$7:$C$47+MIN(A77,Input!$C$22))-ABS('Data Tanah'!$C$7:$C$47-(MIN(A77,Input!$C$22))))/2-(('Data Tanah'!$B$7:$B$47+Input!$C$11)+ABS('Data Tanah'!$B$7:$B$47-(Input!$C$11)))/2)+ABS((('Data Tanah'!$C$7:$C$47+MIN(A77,Input!$C$22))-ABS('Data Tanah'!$C$7:$C$47-(MIN(A77,Input!$C$22))))/2-(('Data Tanah'!$B$7:$B$47+Input!$C$11)+ABS('Data Tanah'!$B$7:$B$47-(Input!$C$11)))/2))/2))</f>
      </c>
      <c r="E77" s="31">
        <f>IF(A77&lt;=MAX(Input!$C$22,Input!$C$27),0,Input!$C$8*SUMPRODUCT('Data Tanah'!$L$7:$L$47,((((('Data Tanah'!$C$7:$C$47+A77-Input!$C$28*Input!$C$7)-ABS('Data Tanah'!$C$7:$C$47-(A77-Input!$C$28*Input!$C$7)))/2-(('Data Tanah'!$B$7:$B$47+MAX(Input!$C$22,Input!$C$27))+ABS('Data Tanah'!$B$7:$B$47-(MAX(Input!$C$22,Input!$C$27))))/2)+ABS((('Data Tanah'!$C$7:$C$47+A77-Input!$C$28*Input!$C$7)-ABS('Data Tanah'!$C$7:$C$47-(A77-Input!$C$28*Input!$C$7)))/2-(('Data Tanah'!$B$7:$B$47+MAX(Input!$C$22,Input!$C$27))+ABS('Data Tanah'!$B$7:$B$47-(MAX(Input!$C$22,Input!$C$27))))/2))/2))+IF(SUMPRODUCT(--('Data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Tanah'!$B$7:$B$47-(A77-1.5*Input!$C$7)))/2))/2))&gt;0,0,IFERROR(AVERAGEIFS('Data Tanah'!$N$7:$N$47,'Data Tanah'!$E$7:$E$47,"&gt;="&amp;(A77-Input!$C$36*Input!$C$7),'Data Tanah'!$E$7:$E$47,"&lt;="&amp;(A77+Input!$C$37*Input!$C$7)),INDEX('Data Tanah'!$N$7:$N$47,MATCH(A77,'Data Tanah'!$B$7:$B$47,1)))*Input!$C$9))</f>
      </c>
      <c r="F77" s="20">
        <f>Input!$C$9*(Input!$C$10*MAX(MIN(A77,Input!$C$14)-Input!$C$11,0)+(Input!$C$10-1)*MAX(A77-MAX(Input!$C$14,Input!$C$11),0))</f>
      </c>
      <c r="G77" s="31">
        <f t="shared" si="12"/>
      </c>
      <c r="H77" s="31">
        <f>IF(A77&lt;=Input!$C$22,NA(),E77/Input!$C$45-F77-G77)</f>
      </c>
      <c r="I77" s="32">
        <f t="shared" si="13"/>
      </c>
      <c r="J77" s="32">
        <f>Input!$C$50</f>
      </c>
      <c r="K77" s="33">
        <f t="shared" si="14"/>
      </c>
      <c r="L77" s="19">
        <f>IF(A77&lt;=Input!$C$22,IFERROR(INDEX('Data Tanah'!$M$7:$M$47,MATCH(A77,'Data Tanah'!$B$7:$B$47,1)),0),NA())</f>
      </c>
      <c r="M77" s="32">
        <f t="shared" si="15"/>
      </c>
      <c r="N77">
        <f t="shared" ref="N77:N127" si="16">M77*0.1019716213</f>
      </c>
    </row>
    <row r="78" spans="1:14" x14ac:dyDescent="0.25">
      <c r="A78" s="16">
        <v>35</v>
      </c>
      <c r="B78" s="16">
        <f t="shared" si="11"/>
      </c>
      <c r="C78" s="16">
        <f>A78-Input!$C$11</f>
      </c>
      <c r="D78" s="30">
        <f>Input!$C$8*SUMPRODUCT('Data Tanah'!$M$7:$M$47,((((('Data Tanah'!$C$7:$C$47+MIN(A78,Input!$C$22))-ABS('Data Tanah'!$C$7:$C$47-(MIN(A78,Input!$C$22))))/2-(('Data Tanah'!$B$7:$B$47+Input!$C$11)+ABS('Data Tanah'!$B$7:$B$47-(Input!$C$11)))/2)+ABS((('Data Tanah'!$C$7:$C$47+MIN(A78,Input!$C$22))-ABS('Data Tanah'!$C$7:$C$47-(MIN(A78,Input!$C$22))))/2-(('Data Tanah'!$B$7:$B$47+Input!$C$11)+ABS('Data Tanah'!$B$7:$B$47-(Input!$C$11)))/2))/2))</f>
      </c>
      <c r="E78" s="30">
        <f>IF(A78&lt;=MAX(Input!$C$22,Input!$C$27),0,Input!$C$8*SUMPRODUCT('Data Tanah'!$L$7:$L$47,((((('Data Tanah'!$C$7:$C$47+A78-Input!$C$28*Input!$C$7)-ABS('Data Tanah'!$C$7:$C$47-(A78-Input!$C$28*Input!$C$7)))/2-(('Data Tanah'!$B$7:$B$47+MAX(Input!$C$22,Input!$C$27))+ABS('Data Tanah'!$B$7:$B$47-(MAX(Input!$C$22,Input!$C$27))))/2)+ABS((('Data Tanah'!$C$7:$C$47+A78-Input!$C$28*Input!$C$7)-ABS('Data Tanah'!$C$7:$C$47-(A78-Input!$C$28*Input!$C$7)))/2-(('Data Tanah'!$B$7:$B$47+MAX(Input!$C$22,Input!$C$27))+ABS('Data Tanah'!$B$7:$B$47-(MAX(Input!$C$22,Input!$C$27))))/2))/2))+IF(SUMPRODUCT(--('Data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Tanah'!$B$7:$B$47-(A78-1.5*Input!$C$7)))/2))/2))&gt;0,0,IFERROR(AVERAGEIFS('Data Tanah'!$N$7:$N$47,'Data Tanah'!$E$7:$E$47,"&gt;="&amp;(A78-Input!$C$36*Input!$C$7),'Data Tanah'!$E$7:$E$47,"&lt;="&amp;(A78+Input!$C$37*Input!$C$7)),INDEX('Data Tanah'!$N$7:$N$47,MATCH(A78,'Data Tanah'!$B$7:$B$47,1)))*Input!$C$9))</f>
      </c>
      <c r="F78" s="16">
        <f>Input!$C$9*(Input!$C$10*MAX(MIN(A78,Input!$C$14)-Input!$C$11,0)+(Input!$C$10-1)*MAX(A78-MAX(Input!$C$14,Input!$C$11),0))</f>
      </c>
      <c r="G78" s="30">
        <f t="shared" si="12"/>
      </c>
      <c r="H78" s="30">
        <f>IF(A78&lt;=Input!$C$22,NA(),E78/Input!$C$45-F78-G78)</f>
      </c>
      <c r="I78" s="25">
        <f t="shared" si="13"/>
      </c>
      <c r="J78" s="25">
        <f>Input!$C$50</f>
      </c>
      <c r="K78" s="13">
        <f t="shared" si="14"/>
      </c>
      <c r="L78" s="9">
        <f>IF(A78&lt;=Input!$C$22,IFERROR(INDEX('Data Tanah'!$M$7:$M$47,MATCH(A78,'Data Tanah'!$B$7:$B$47,1)),0),NA())</f>
      </c>
      <c r="M78" s="25">
        <f t="shared" si="15"/>
      </c>
      <c r="N78">
        <f t="shared" si="16"/>
      </c>
    </row>
    <row r="79" spans="1:14" x14ac:dyDescent="0.25">
      <c r="A79" s="20">
        <v>35.5</v>
      </c>
      <c r="B79" s="20">
        <f t="shared" si="11"/>
      </c>
      <c r="C79" s="20">
        <f>A79-Input!$C$11</f>
      </c>
      <c r="D79" s="31">
        <f>Input!$C$8*SUMPRODUCT('Data Tanah'!$M$7:$M$47,((((('Data Tanah'!$C$7:$C$47+MIN(A79,Input!$C$22))-ABS('Data Tanah'!$C$7:$C$47-(MIN(A79,Input!$C$22))))/2-(('Data Tanah'!$B$7:$B$47+Input!$C$11)+ABS('Data Tanah'!$B$7:$B$47-(Input!$C$11)))/2)+ABS((('Data Tanah'!$C$7:$C$47+MIN(A79,Input!$C$22))-ABS('Data Tanah'!$C$7:$C$47-(MIN(A79,Input!$C$22))))/2-(('Data Tanah'!$B$7:$B$47+Input!$C$11)+ABS('Data Tanah'!$B$7:$B$47-(Input!$C$11)))/2))/2))</f>
      </c>
      <c r="E79" s="31">
        <f>IF(A79&lt;=MAX(Input!$C$22,Input!$C$27),0,Input!$C$8*SUMPRODUCT('Data Tanah'!$L$7:$L$47,((((('Data Tanah'!$C$7:$C$47+A79-Input!$C$28*Input!$C$7)-ABS('Data Tanah'!$C$7:$C$47-(A79-Input!$C$28*Input!$C$7)))/2-(('Data Tanah'!$B$7:$B$47+MAX(Input!$C$22,Input!$C$27))+ABS('Data Tanah'!$B$7:$B$47-(MAX(Input!$C$22,Input!$C$27))))/2)+ABS((('Data Tanah'!$C$7:$C$47+A79-Input!$C$28*Input!$C$7)-ABS('Data Tanah'!$C$7:$C$47-(A79-Input!$C$28*Input!$C$7)))/2-(('Data Tanah'!$B$7:$B$47+MAX(Input!$C$22,Input!$C$27))+ABS('Data Tanah'!$B$7:$B$47-(MAX(Input!$C$22,Input!$C$27))))/2))/2))+IF(SUMPRODUCT(--('Data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Tanah'!$B$7:$B$47-(A79-1.5*Input!$C$7)))/2))/2))&gt;0,0,IFERROR(AVERAGEIFS('Data Tanah'!$N$7:$N$47,'Data Tanah'!$E$7:$E$47,"&gt;="&amp;(A79-Input!$C$36*Input!$C$7),'Data Tanah'!$E$7:$E$47,"&lt;="&amp;(A79+Input!$C$37*Input!$C$7)),INDEX('Data Tanah'!$N$7:$N$47,MATCH(A79,'Data Tanah'!$B$7:$B$47,1)))*Input!$C$9))</f>
      </c>
      <c r="F79" s="20">
        <f>Input!$C$9*(Input!$C$10*MAX(MIN(A79,Input!$C$14)-Input!$C$11,0)+(Input!$C$10-1)*MAX(A79-MAX(Input!$C$14,Input!$C$11),0))</f>
      </c>
      <c r="G79" s="31">
        <f t="shared" si="12"/>
      </c>
      <c r="H79" s="31">
        <f>IF(A79&lt;=Input!$C$22,NA(),E79/Input!$C$45-F79-G79)</f>
      </c>
      <c r="I79" s="32">
        <f t="shared" si="13"/>
      </c>
      <c r="J79" s="32">
        <f>Input!$C$50</f>
      </c>
      <c r="K79" s="33">
        <f t="shared" si="14"/>
      </c>
      <c r="L79" s="19">
        <f>IF(A79&lt;=Input!$C$22,IFERROR(INDEX('Data Tanah'!$M$7:$M$47,MATCH(A79,'Data Tanah'!$B$7:$B$47,1)),0),NA())</f>
      </c>
      <c r="M79" s="32">
        <f t="shared" si="15"/>
      </c>
      <c r="N79">
        <f t="shared" si="16"/>
      </c>
    </row>
    <row r="80" spans="1:14" x14ac:dyDescent="0.25">
      <c r="A80" s="16">
        <v>36</v>
      </c>
      <c r="B80" s="16">
        <f t="shared" si="11"/>
      </c>
      <c r="C80" s="16">
        <f>A80-Input!$C$11</f>
      </c>
      <c r="D80" s="30">
        <f>Input!$C$8*SUMPRODUCT('Data Tanah'!$M$7:$M$47,((((('Data Tanah'!$C$7:$C$47+MIN(A80,Input!$C$22))-ABS('Data Tanah'!$C$7:$C$47-(MIN(A80,Input!$C$22))))/2-(('Data Tanah'!$B$7:$B$47+Input!$C$11)+ABS('Data Tanah'!$B$7:$B$47-(Input!$C$11)))/2)+ABS((('Data Tanah'!$C$7:$C$47+MIN(A80,Input!$C$22))-ABS('Data Tanah'!$C$7:$C$47-(MIN(A80,Input!$C$22))))/2-(('Data Tanah'!$B$7:$B$47+Input!$C$11)+ABS('Data Tanah'!$B$7:$B$47-(Input!$C$11)))/2))/2))</f>
      </c>
      <c r="E80" s="30">
        <f>IF(A80&lt;=MAX(Input!$C$22,Input!$C$27),0,Input!$C$8*SUMPRODUCT('Data Tanah'!$L$7:$L$47,((((('Data Tanah'!$C$7:$C$47+A80-Input!$C$28*Input!$C$7)-ABS('Data Tanah'!$C$7:$C$47-(A80-Input!$C$28*Input!$C$7)))/2-(('Data Tanah'!$B$7:$B$47+MAX(Input!$C$22,Input!$C$27))+ABS('Data Tanah'!$B$7:$B$47-(MAX(Input!$C$22,Input!$C$27))))/2)+ABS((('Data Tanah'!$C$7:$C$47+A80-Input!$C$28*Input!$C$7)-ABS('Data Tanah'!$C$7:$C$47-(A80-Input!$C$28*Input!$C$7)))/2-(('Data Tanah'!$B$7:$B$47+MAX(Input!$C$22,Input!$C$27))+ABS('Data Tanah'!$B$7:$B$47-(MAX(Input!$C$22,Input!$C$27))))/2))/2))+IF(SUMPRODUCT(--('Data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Tanah'!$B$7:$B$47-(A80-1.5*Input!$C$7)))/2))/2))&gt;0,0,IFERROR(AVERAGEIFS('Data Tanah'!$N$7:$N$47,'Data Tanah'!$E$7:$E$47,"&gt;="&amp;(A80-Input!$C$36*Input!$C$7),'Data Tanah'!$E$7:$E$47,"&lt;="&amp;(A80+Input!$C$37*Input!$C$7)),INDEX('Data Tanah'!$N$7:$N$47,MATCH(A80,'Data Tanah'!$B$7:$B$47,1)))*Input!$C$9))</f>
      </c>
      <c r="F80" s="16">
        <f>Input!$C$9*(Input!$C$10*MAX(MIN(A80,Input!$C$14)-Input!$C$11,0)+(Input!$C$10-1)*MAX(A80-MAX(Input!$C$14,Input!$C$11),0))</f>
      </c>
      <c r="G80" s="30">
        <f t="shared" si="12"/>
      </c>
      <c r="H80" s="30">
        <f>IF(A80&lt;=Input!$C$22,NA(),E80/Input!$C$45-F80-G80)</f>
      </c>
      <c r="I80" s="25">
        <f t="shared" si="13"/>
      </c>
      <c r="J80" s="25">
        <f>Input!$C$50</f>
      </c>
      <c r="K80" s="13">
        <f t="shared" si="14"/>
      </c>
      <c r="L80" s="9">
        <f>IF(A80&lt;=Input!$C$22,IFERROR(INDEX('Data Tanah'!$M$7:$M$47,MATCH(A80,'Data Tanah'!$B$7:$B$47,1)),0),NA())</f>
      </c>
      <c r="M80" s="25">
        <f t="shared" si="15"/>
      </c>
      <c r="N80">
        <f t="shared" si="16"/>
      </c>
    </row>
    <row r="81" spans="1:14" x14ac:dyDescent="0.25">
      <c r="A81" s="20">
        <v>36.5</v>
      </c>
      <c r="B81" s="20">
        <f t="shared" si="11"/>
      </c>
      <c r="C81" s="20">
        <f>A81-Input!$C$11</f>
      </c>
      <c r="D81" s="31">
        <f>Input!$C$8*SUMPRODUCT('Data Tanah'!$M$7:$M$47,((((('Data Tanah'!$C$7:$C$47+MIN(A81,Input!$C$22))-ABS('Data Tanah'!$C$7:$C$47-(MIN(A81,Input!$C$22))))/2-(('Data Tanah'!$B$7:$B$47+Input!$C$11)+ABS('Data Tanah'!$B$7:$B$47-(Input!$C$11)))/2)+ABS((('Data Tanah'!$C$7:$C$47+MIN(A81,Input!$C$22))-ABS('Data Tanah'!$C$7:$C$47-(MIN(A81,Input!$C$22))))/2-(('Data Tanah'!$B$7:$B$47+Input!$C$11)+ABS('Data Tanah'!$B$7:$B$47-(Input!$C$11)))/2))/2))</f>
      </c>
      <c r="E81" s="31">
        <f>IF(A81&lt;=MAX(Input!$C$22,Input!$C$27),0,Input!$C$8*SUMPRODUCT('Data Tanah'!$L$7:$L$47,((((('Data Tanah'!$C$7:$C$47+A81-Input!$C$28*Input!$C$7)-ABS('Data Tanah'!$C$7:$C$47-(A81-Input!$C$28*Input!$C$7)))/2-(('Data Tanah'!$B$7:$B$47+MAX(Input!$C$22,Input!$C$27))+ABS('Data Tanah'!$B$7:$B$47-(MAX(Input!$C$22,Input!$C$27))))/2)+ABS((('Data Tanah'!$C$7:$C$47+A81-Input!$C$28*Input!$C$7)-ABS('Data Tanah'!$C$7:$C$47-(A81-Input!$C$28*Input!$C$7)))/2-(('Data Tanah'!$B$7:$B$47+MAX(Input!$C$22,Input!$C$27))+ABS('Data Tanah'!$B$7:$B$47-(MAX(Input!$C$22,Input!$C$27))))/2))/2))+IF(SUMPRODUCT(--('Data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Tanah'!$B$7:$B$47-(A81-1.5*Input!$C$7)))/2))/2))&gt;0,0,IFERROR(AVERAGEIFS('Data Tanah'!$N$7:$N$47,'Data Tanah'!$E$7:$E$47,"&gt;="&amp;(A81-Input!$C$36*Input!$C$7),'Data Tanah'!$E$7:$E$47,"&lt;="&amp;(A81+Input!$C$37*Input!$C$7)),INDEX('Data Tanah'!$N$7:$N$47,MATCH(A81,'Data Tanah'!$B$7:$B$47,1)))*Input!$C$9))</f>
      </c>
      <c r="F81" s="20">
        <f>Input!$C$9*(Input!$C$10*MAX(MIN(A81,Input!$C$14)-Input!$C$11,0)+(Input!$C$10-1)*MAX(A81-MAX(Input!$C$14,Input!$C$11),0))</f>
      </c>
      <c r="G81" s="31">
        <f t="shared" si="12"/>
      </c>
      <c r="H81" s="31">
        <f>IF(A81&lt;=Input!$C$22,NA(),E81/Input!$C$45-F81-G81)</f>
      </c>
      <c r="I81" s="32">
        <f t="shared" si="13"/>
      </c>
      <c r="J81" s="32">
        <f>Input!$C$50</f>
      </c>
      <c r="K81" s="33">
        <f t="shared" si="14"/>
      </c>
      <c r="L81" s="19">
        <f>IF(A81&lt;=Input!$C$22,IFERROR(INDEX('Data Tanah'!$M$7:$M$47,MATCH(A81,'Data Tanah'!$B$7:$B$47,1)),0),NA())</f>
      </c>
      <c r="M81" s="32">
        <f t="shared" si="15"/>
      </c>
      <c r="N81">
        <f t="shared" si="16"/>
      </c>
    </row>
    <row r="82" spans="1:14" x14ac:dyDescent="0.25">
      <c r="A82" s="16">
        <v>37</v>
      </c>
      <c r="B82" s="16">
        <f t="shared" si="11"/>
      </c>
      <c r="C82" s="16">
        <f>A82-Input!$C$11</f>
      </c>
      <c r="D82" s="30">
        <f>Input!$C$8*SUMPRODUCT('Data Tanah'!$M$7:$M$47,((((('Data Tanah'!$C$7:$C$47+MIN(A82,Input!$C$22))-ABS('Data Tanah'!$C$7:$C$47-(MIN(A82,Input!$C$22))))/2-(('Data Tanah'!$B$7:$B$47+Input!$C$11)+ABS('Data Tanah'!$B$7:$B$47-(Input!$C$11)))/2)+ABS((('Data Tanah'!$C$7:$C$47+MIN(A82,Input!$C$22))-ABS('Data Tanah'!$C$7:$C$47-(MIN(A82,Input!$C$22))))/2-(('Data Tanah'!$B$7:$B$47+Input!$C$11)+ABS('Data Tanah'!$B$7:$B$47-(Input!$C$11)))/2))/2))</f>
      </c>
      <c r="E82" s="30">
        <f>IF(A82&lt;=MAX(Input!$C$22,Input!$C$27),0,Input!$C$8*SUMPRODUCT('Data Tanah'!$L$7:$L$47,((((('Data Tanah'!$C$7:$C$47+A82-Input!$C$28*Input!$C$7)-ABS('Data Tanah'!$C$7:$C$47-(A82-Input!$C$28*Input!$C$7)))/2-(('Data Tanah'!$B$7:$B$47+MAX(Input!$C$22,Input!$C$27))+ABS('Data Tanah'!$B$7:$B$47-(MAX(Input!$C$22,Input!$C$27))))/2)+ABS((('Data Tanah'!$C$7:$C$47+A82-Input!$C$28*Input!$C$7)-ABS('Data Tanah'!$C$7:$C$47-(A82-Input!$C$28*Input!$C$7)))/2-(('Data Tanah'!$B$7:$B$47+MAX(Input!$C$22,Input!$C$27))+ABS('Data Tanah'!$B$7:$B$47-(MAX(Input!$C$22,Input!$C$27))))/2))/2))+IF(SUMPRODUCT(--('Data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Tanah'!$B$7:$B$47-(A82-1.5*Input!$C$7)))/2))/2))&gt;0,0,IFERROR(AVERAGEIFS('Data Tanah'!$N$7:$N$47,'Data Tanah'!$E$7:$E$47,"&gt;="&amp;(A82-Input!$C$36*Input!$C$7),'Data Tanah'!$E$7:$E$47,"&lt;="&amp;(A82+Input!$C$37*Input!$C$7)),INDEX('Data Tanah'!$N$7:$N$47,MATCH(A82,'Data Tanah'!$B$7:$B$47,1)))*Input!$C$9))</f>
      </c>
      <c r="F82" s="16">
        <f>Input!$C$9*(Input!$C$10*MAX(MIN(A82,Input!$C$14)-Input!$C$11,0)+(Input!$C$10-1)*MAX(A82-MAX(Input!$C$14,Input!$C$11),0))</f>
      </c>
      <c r="G82" s="30">
        <f t="shared" si="12"/>
      </c>
      <c r="H82" s="30">
        <f>IF(A82&lt;=Input!$C$22,NA(),E82/Input!$C$45-F82-G82)</f>
      </c>
      <c r="I82" s="25">
        <f t="shared" si="13"/>
      </c>
      <c r="J82" s="25">
        <f>Input!$C$50</f>
      </c>
      <c r="K82" s="13">
        <f t="shared" si="14"/>
      </c>
      <c r="L82" s="9">
        <f>IF(A82&lt;=Input!$C$22,IFERROR(INDEX('Data Tanah'!$M$7:$M$47,MATCH(A82,'Data Tanah'!$B$7:$B$47,1)),0),NA())</f>
      </c>
      <c r="M82" s="25">
        <f t="shared" si="15"/>
      </c>
      <c r="N82">
        <f t="shared" si="16"/>
      </c>
    </row>
    <row r="83" spans="1:14" x14ac:dyDescent="0.25">
      <c r="A83" s="20">
        <v>37.5</v>
      </c>
      <c r="B83" s="20">
        <f t="shared" si="11"/>
      </c>
      <c r="C83" s="20">
        <f>A83-Input!$C$11</f>
      </c>
      <c r="D83" s="31">
        <f>Input!$C$8*SUMPRODUCT('Data Tanah'!$M$7:$M$47,((((('Data Tanah'!$C$7:$C$47+MIN(A83,Input!$C$22))-ABS('Data Tanah'!$C$7:$C$47-(MIN(A83,Input!$C$22))))/2-(('Data Tanah'!$B$7:$B$47+Input!$C$11)+ABS('Data Tanah'!$B$7:$B$47-(Input!$C$11)))/2)+ABS((('Data Tanah'!$C$7:$C$47+MIN(A83,Input!$C$22))-ABS('Data Tanah'!$C$7:$C$47-(MIN(A83,Input!$C$22))))/2-(('Data Tanah'!$B$7:$B$47+Input!$C$11)+ABS('Data Tanah'!$B$7:$B$47-(Input!$C$11)))/2))/2))</f>
      </c>
      <c r="E83" s="31">
        <f>IF(A83&lt;=MAX(Input!$C$22,Input!$C$27),0,Input!$C$8*SUMPRODUCT('Data Tanah'!$L$7:$L$47,((((('Data Tanah'!$C$7:$C$47+A83-Input!$C$28*Input!$C$7)-ABS('Data Tanah'!$C$7:$C$47-(A83-Input!$C$28*Input!$C$7)))/2-(('Data Tanah'!$B$7:$B$47+MAX(Input!$C$22,Input!$C$27))+ABS('Data Tanah'!$B$7:$B$47-(MAX(Input!$C$22,Input!$C$27))))/2)+ABS((('Data Tanah'!$C$7:$C$47+A83-Input!$C$28*Input!$C$7)-ABS('Data Tanah'!$C$7:$C$47-(A83-Input!$C$28*Input!$C$7)))/2-(('Data Tanah'!$B$7:$B$47+MAX(Input!$C$22,Input!$C$27))+ABS('Data Tanah'!$B$7:$B$47-(MAX(Input!$C$22,Input!$C$27))))/2))/2))+IF(SUMPRODUCT(--('Data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Tanah'!$B$7:$B$47-(A83-1.5*Input!$C$7)))/2))/2))&gt;0,0,IFERROR(AVERAGEIFS('Data Tanah'!$N$7:$N$47,'Data Tanah'!$E$7:$E$47,"&gt;="&amp;(A83-Input!$C$36*Input!$C$7),'Data Tanah'!$E$7:$E$47,"&lt;="&amp;(A83+Input!$C$37*Input!$C$7)),INDEX('Data Tanah'!$N$7:$N$47,MATCH(A83,'Data Tanah'!$B$7:$B$47,1)))*Input!$C$9))</f>
      </c>
      <c r="F83" s="20">
        <f>Input!$C$9*(Input!$C$10*MAX(MIN(A83,Input!$C$14)-Input!$C$11,0)+(Input!$C$10-1)*MAX(A83-MAX(Input!$C$14,Input!$C$11),0))</f>
      </c>
      <c r="G83" s="31">
        <f t="shared" si="12"/>
      </c>
      <c r="H83" s="31">
        <f>IF(A83&lt;=Input!$C$22,NA(),E83/Input!$C$45-F83-G83)</f>
      </c>
      <c r="I83" s="32">
        <f t="shared" si="13"/>
      </c>
      <c r="J83" s="32">
        <f>Input!$C$50</f>
      </c>
      <c r="K83" s="33">
        <f t="shared" si="14"/>
      </c>
      <c r="L83" s="19">
        <f>IF(A83&lt;=Input!$C$22,IFERROR(INDEX('Data Tanah'!$M$7:$M$47,MATCH(A83,'Data Tanah'!$B$7:$B$47,1)),0),NA())</f>
      </c>
      <c r="M83" s="32">
        <f t="shared" si="15"/>
      </c>
      <c r="N83">
        <f t="shared" si="16"/>
      </c>
    </row>
    <row r="84" spans="1:14" x14ac:dyDescent="0.25">
      <c r="A84" s="16">
        <v>38</v>
      </c>
      <c r="B84" s="16">
        <f t="shared" si="11"/>
      </c>
      <c r="C84" s="16">
        <f>A84-Input!$C$11</f>
      </c>
      <c r="D84" s="30">
        <f>Input!$C$8*SUMPRODUCT('Data Tanah'!$M$7:$M$47,((((('Data Tanah'!$C$7:$C$47+MIN(A84,Input!$C$22))-ABS('Data Tanah'!$C$7:$C$47-(MIN(A84,Input!$C$22))))/2-(('Data Tanah'!$B$7:$B$47+Input!$C$11)+ABS('Data Tanah'!$B$7:$B$47-(Input!$C$11)))/2)+ABS((('Data Tanah'!$C$7:$C$47+MIN(A84,Input!$C$22))-ABS('Data Tanah'!$C$7:$C$47-(MIN(A84,Input!$C$22))))/2-(('Data Tanah'!$B$7:$B$47+Input!$C$11)+ABS('Data Tanah'!$B$7:$B$47-(Input!$C$11)))/2))/2))</f>
      </c>
      <c r="E84" s="30">
        <f>IF(A84&lt;=MAX(Input!$C$22,Input!$C$27),0,Input!$C$8*SUMPRODUCT('Data Tanah'!$L$7:$L$47,((((('Data Tanah'!$C$7:$C$47+A84-Input!$C$28*Input!$C$7)-ABS('Data Tanah'!$C$7:$C$47-(A84-Input!$C$28*Input!$C$7)))/2-(('Data Tanah'!$B$7:$B$47+MAX(Input!$C$22,Input!$C$27))+ABS('Data Tanah'!$B$7:$B$47-(MAX(Input!$C$22,Input!$C$27))))/2)+ABS((('Data Tanah'!$C$7:$C$47+A84-Input!$C$28*Input!$C$7)-ABS('Data Tanah'!$C$7:$C$47-(A84-Input!$C$28*Input!$C$7)))/2-(('Data Tanah'!$B$7:$B$47+MAX(Input!$C$22,Input!$C$27))+ABS('Data Tanah'!$B$7:$B$47-(MAX(Input!$C$22,Input!$C$27))))/2))/2))+IF(SUMPRODUCT(--('Data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Tanah'!$B$7:$B$47-(A84-1.5*Input!$C$7)))/2))/2))&gt;0,0,IFERROR(AVERAGEIFS('Data Tanah'!$N$7:$N$47,'Data Tanah'!$E$7:$E$47,"&gt;="&amp;(A84-Input!$C$36*Input!$C$7),'Data Tanah'!$E$7:$E$47,"&lt;="&amp;(A84+Input!$C$37*Input!$C$7)),INDEX('Data Tanah'!$N$7:$N$47,MATCH(A84,'Data Tanah'!$B$7:$B$47,1)))*Input!$C$9))</f>
      </c>
      <c r="F84" s="16">
        <f>Input!$C$9*(Input!$C$10*MAX(MIN(A84,Input!$C$14)-Input!$C$11,0)+(Input!$C$10-1)*MAX(A84-MAX(Input!$C$14,Input!$C$11),0))</f>
      </c>
      <c r="G84" s="30">
        <f t="shared" si="12"/>
      </c>
      <c r="H84" s="30">
        <f>IF(A84&lt;=Input!$C$22,NA(),E84/Input!$C$45-F84-G84)</f>
      </c>
      <c r="I84" s="25">
        <f t="shared" si="13"/>
      </c>
      <c r="J84" s="25">
        <f>Input!$C$50</f>
      </c>
      <c r="K84" s="13">
        <f t="shared" si="14"/>
      </c>
      <c r="L84" s="9">
        <f>IF(A84&lt;=Input!$C$22,IFERROR(INDEX('Data Tanah'!$M$7:$M$47,MATCH(A84,'Data Tanah'!$B$7:$B$47,1)),0),NA())</f>
      </c>
      <c r="M84" s="25">
        <f t="shared" si="15"/>
      </c>
      <c r="N84">
        <f t="shared" si="16"/>
      </c>
    </row>
    <row r="85" spans="1:14" x14ac:dyDescent="0.25">
      <c r="A85" s="20">
        <v>38.5</v>
      </c>
      <c r="B85" s="20">
        <f t="shared" si="11"/>
      </c>
      <c r="C85" s="20">
        <f>A85-Input!$C$11</f>
      </c>
      <c r="D85" s="31">
        <f>Input!$C$8*SUMPRODUCT('Data Tanah'!$M$7:$M$47,((((('Data Tanah'!$C$7:$C$47+MIN(A85,Input!$C$22))-ABS('Data Tanah'!$C$7:$C$47-(MIN(A85,Input!$C$22))))/2-(('Data Tanah'!$B$7:$B$47+Input!$C$11)+ABS('Data Tanah'!$B$7:$B$47-(Input!$C$11)))/2)+ABS((('Data Tanah'!$C$7:$C$47+MIN(A85,Input!$C$22))-ABS('Data Tanah'!$C$7:$C$47-(MIN(A85,Input!$C$22))))/2-(('Data Tanah'!$B$7:$B$47+Input!$C$11)+ABS('Data Tanah'!$B$7:$B$47-(Input!$C$11)))/2))/2))</f>
      </c>
      <c r="E85" s="31">
        <f>IF(A85&lt;=MAX(Input!$C$22,Input!$C$27),0,Input!$C$8*SUMPRODUCT('Data Tanah'!$L$7:$L$47,((((('Data Tanah'!$C$7:$C$47+A85-Input!$C$28*Input!$C$7)-ABS('Data Tanah'!$C$7:$C$47-(A85-Input!$C$28*Input!$C$7)))/2-(('Data Tanah'!$B$7:$B$47+MAX(Input!$C$22,Input!$C$27))+ABS('Data Tanah'!$B$7:$B$47-(MAX(Input!$C$22,Input!$C$27))))/2)+ABS((('Data Tanah'!$C$7:$C$47+A85-Input!$C$28*Input!$C$7)-ABS('Data Tanah'!$C$7:$C$47-(A85-Input!$C$28*Input!$C$7)))/2-(('Data Tanah'!$B$7:$B$47+MAX(Input!$C$22,Input!$C$27))+ABS('Data Tanah'!$B$7:$B$47-(MAX(Input!$C$22,Input!$C$27))))/2))/2))+IF(SUMPRODUCT(--('Data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Tanah'!$B$7:$B$47-(A85-1.5*Input!$C$7)))/2))/2))&gt;0,0,IFERROR(AVERAGEIFS('Data Tanah'!$N$7:$N$47,'Data Tanah'!$E$7:$E$47,"&gt;="&amp;(A85-Input!$C$36*Input!$C$7),'Data Tanah'!$E$7:$E$47,"&lt;="&amp;(A85+Input!$C$37*Input!$C$7)),INDEX('Data Tanah'!$N$7:$N$47,MATCH(A85,'Data Tanah'!$B$7:$B$47,1)))*Input!$C$9))</f>
      </c>
      <c r="F85" s="20">
        <f>Input!$C$9*(Input!$C$10*MAX(MIN(A85,Input!$C$14)-Input!$C$11,0)+(Input!$C$10-1)*MAX(A85-MAX(Input!$C$14,Input!$C$11),0))</f>
      </c>
      <c r="G85" s="31">
        <f t="shared" si="12"/>
      </c>
      <c r="H85" s="31">
        <f>IF(A85&lt;=Input!$C$22,NA(),E85/Input!$C$45-F85-G85)</f>
      </c>
      <c r="I85" s="32">
        <f t="shared" si="13"/>
      </c>
      <c r="J85" s="32">
        <f>Input!$C$50</f>
      </c>
      <c r="K85" s="33">
        <f t="shared" si="14"/>
      </c>
      <c r="L85" s="19">
        <f>IF(A85&lt;=Input!$C$22,IFERROR(INDEX('Data Tanah'!$M$7:$M$47,MATCH(A85,'Data Tanah'!$B$7:$B$47,1)),0),NA())</f>
      </c>
      <c r="M85" s="32">
        <f t="shared" si="15"/>
      </c>
      <c r="N85">
        <f t="shared" si="16"/>
      </c>
    </row>
    <row r="86" spans="1:14" x14ac:dyDescent="0.25">
      <c r="A86" s="16">
        <v>39</v>
      </c>
      <c r="B86" s="16">
        <f t="shared" si="11"/>
      </c>
      <c r="C86" s="16">
        <f>A86-Input!$C$11</f>
      </c>
      <c r="D86" s="30">
        <f>Input!$C$8*SUMPRODUCT('Data Tanah'!$M$7:$M$47,((((('Data Tanah'!$C$7:$C$47+MIN(A86,Input!$C$22))-ABS('Data Tanah'!$C$7:$C$47-(MIN(A86,Input!$C$22))))/2-(('Data Tanah'!$B$7:$B$47+Input!$C$11)+ABS('Data Tanah'!$B$7:$B$47-(Input!$C$11)))/2)+ABS((('Data Tanah'!$C$7:$C$47+MIN(A86,Input!$C$22))-ABS('Data Tanah'!$C$7:$C$47-(MIN(A86,Input!$C$22))))/2-(('Data Tanah'!$B$7:$B$47+Input!$C$11)+ABS('Data Tanah'!$B$7:$B$47-(Input!$C$11)))/2))/2))</f>
      </c>
      <c r="E86" s="30">
        <f>IF(A86&lt;=MAX(Input!$C$22,Input!$C$27),0,Input!$C$8*SUMPRODUCT('Data Tanah'!$L$7:$L$47,((((('Data Tanah'!$C$7:$C$47+A86-Input!$C$28*Input!$C$7)-ABS('Data Tanah'!$C$7:$C$47-(A86-Input!$C$28*Input!$C$7)))/2-(('Data Tanah'!$B$7:$B$47+MAX(Input!$C$22,Input!$C$27))+ABS('Data Tanah'!$B$7:$B$47-(MAX(Input!$C$22,Input!$C$27))))/2)+ABS((('Data Tanah'!$C$7:$C$47+A86-Input!$C$28*Input!$C$7)-ABS('Data Tanah'!$C$7:$C$47-(A86-Input!$C$28*Input!$C$7)))/2-(('Data Tanah'!$B$7:$B$47+MAX(Input!$C$22,Input!$C$27))+ABS('Data Tanah'!$B$7:$B$47-(MAX(Input!$C$22,Input!$C$27))))/2))/2))+IF(SUMPRODUCT(--('Data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Tanah'!$B$7:$B$47-(A86-1.5*Input!$C$7)))/2))/2))&gt;0,0,IFERROR(AVERAGEIFS('Data Tanah'!$N$7:$N$47,'Data Tanah'!$E$7:$E$47,"&gt;="&amp;(A86-Input!$C$36*Input!$C$7),'Data Tanah'!$E$7:$E$47,"&lt;="&amp;(A86+Input!$C$37*Input!$C$7)),INDEX('Data Tanah'!$N$7:$N$47,MATCH(A86,'Data Tanah'!$B$7:$B$47,1)))*Input!$C$9))</f>
      </c>
      <c r="F86" s="16">
        <f>Input!$C$9*(Input!$C$10*MAX(MIN(A86,Input!$C$14)-Input!$C$11,0)+(Input!$C$10-1)*MAX(A86-MAX(Input!$C$14,Input!$C$11),0))</f>
      </c>
      <c r="G86" s="30">
        <f t="shared" si="12"/>
      </c>
      <c r="H86" s="30">
        <f>IF(A86&lt;=Input!$C$22,NA(),E86/Input!$C$45-F86-G86)</f>
      </c>
      <c r="I86" s="25">
        <f t="shared" si="13"/>
      </c>
      <c r="J86" s="25">
        <f>Input!$C$50</f>
      </c>
      <c r="K86" s="13">
        <f t="shared" si="14"/>
      </c>
      <c r="L86" s="9">
        <f>IF(A86&lt;=Input!$C$22,IFERROR(INDEX('Data Tanah'!$M$7:$M$47,MATCH(A86,'Data Tanah'!$B$7:$B$47,1)),0),NA())</f>
      </c>
      <c r="M86" s="25">
        <f t="shared" si="15"/>
      </c>
      <c r="N86">
        <f t="shared" si="16"/>
      </c>
    </row>
    <row r="87" spans="1:14" x14ac:dyDescent="0.25">
      <c r="A87" s="20">
        <v>39.5</v>
      </c>
      <c r="B87" s="20">
        <f t="shared" si="11"/>
      </c>
      <c r="C87" s="20">
        <f>A87-Input!$C$11</f>
      </c>
      <c r="D87" s="31">
        <f>Input!$C$8*SUMPRODUCT('Data Tanah'!$M$7:$M$47,((((('Data Tanah'!$C$7:$C$47+MIN(A87,Input!$C$22))-ABS('Data Tanah'!$C$7:$C$47-(MIN(A87,Input!$C$22))))/2-(('Data Tanah'!$B$7:$B$47+Input!$C$11)+ABS('Data Tanah'!$B$7:$B$47-(Input!$C$11)))/2)+ABS((('Data Tanah'!$C$7:$C$47+MIN(A87,Input!$C$22))-ABS('Data Tanah'!$C$7:$C$47-(MIN(A87,Input!$C$22))))/2-(('Data Tanah'!$B$7:$B$47+Input!$C$11)+ABS('Data Tanah'!$B$7:$B$47-(Input!$C$11)))/2))/2))</f>
      </c>
      <c r="E87" s="31">
        <f>IF(A87&lt;=MAX(Input!$C$22,Input!$C$27),0,Input!$C$8*SUMPRODUCT('Data Tanah'!$L$7:$L$47,((((('Data Tanah'!$C$7:$C$47+A87-Input!$C$28*Input!$C$7)-ABS('Data Tanah'!$C$7:$C$47-(A87-Input!$C$28*Input!$C$7)))/2-(('Data Tanah'!$B$7:$B$47+MAX(Input!$C$22,Input!$C$27))+ABS('Data Tanah'!$B$7:$B$47-(MAX(Input!$C$22,Input!$C$27))))/2)+ABS((('Data Tanah'!$C$7:$C$47+A87-Input!$C$28*Input!$C$7)-ABS('Data Tanah'!$C$7:$C$47-(A87-Input!$C$28*Input!$C$7)))/2-(('Data Tanah'!$B$7:$B$47+MAX(Input!$C$22,Input!$C$27))+ABS('Data Tanah'!$B$7:$B$47-(MAX(Input!$C$22,Input!$C$27))))/2))/2))+IF(SUMPRODUCT(--('Data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Tanah'!$B$7:$B$47-(A87-1.5*Input!$C$7)))/2))/2))&gt;0,0,IFERROR(AVERAGEIFS('Data Tanah'!$N$7:$N$47,'Data Tanah'!$E$7:$E$47,"&gt;="&amp;(A87-Input!$C$36*Input!$C$7),'Data Tanah'!$E$7:$E$47,"&lt;="&amp;(A87+Input!$C$37*Input!$C$7)),INDEX('Data Tanah'!$N$7:$N$47,MATCH(A87,'Data Tanah'!$B$7:$B$47,1)))*Input!$C$9))</f>
      </c>
      <c r="F87" s="20">
        <f>Input!$C$9*(Input!$C$10*MAX(MIN(A87,Input!$C$14)-Input!$C$11,0)+(Input!$C$10-1)*MAX(A87-MAX(Input!$C$14,Input!$C$11),0))</f>
      </c>
      <c r="G87" s="31">
        <f t="shared" si="12"/>
      </c>
      <c r="H87" s="31">
        <f>IF(A87&lt;=Input!$C$22,NA(),E87/Input!$C$45-F87-G87)</f>
      </c>
      <c r="I87" s="32">
        <f t="shared" si="13"/>
      </c>
      <c r="J87" s="32">
        <f>Input!$C$50</f>
      </c>
      <c r="K87" s="33">
        <f t="shared" si="14"/>
      </c>
      <c r="L87" s="19">
        <f>IF(A87&lt;=Input!$C$22,IFERROR(INDEX('Data Tanah'!$M$7:$M$47,MATCH(A87,'Data Tanah'!$B$7:$B$47,1)),0),NA())</f>
      </c>
      <c r="M87" s="32">
        <f t="shared" si="15"/>
      </c>
      <c r="N87">
        <f t="shared" si="16"/>
      </c>
    </row>
    <row r="88" spans="1:14" x14ac:dyDescent="0.25">
      <c r="A88" s="16">
        <v>40</v>
      </c>
      <c r="B88" s="16">
        <f t="shared" si="11"/>
      </c>
      <c r="C88" s="16">
        <f>A88-Input!$C$11</f>
      </c>
      <c r="D88" s="30">
        <f>Input!$C$8*SUMPRODUCT('Data Tanah'!$M$7:$M$47,((((('Data Tanah'!$C$7:$C$47+MIN(A88,Input!$C$22))-ABS('Data Tanah'!$C$7:$C$47-(MIN(A88,Input!$C$22))))/2-(('Data Tanah'!$B$7:$B$47+Input!$C$11)+ABS('Data Tanah'!$B$7:$B$47-(Input!$C$11)))/2)+ABS((('Data Tanah'!$C$7:$C$47+MIN(A88,Input!$C$22))-ABS('Data Tanah'!$C$7:$C$47-(MIN(A88,Input!$C$22))))/2-(('Data Tanah'!$B$7:$B$47+Input!$C$11)+ABS('Data Tanah'!$B$7:$B$47-(Input!$C$11)))/2))/2))</f>
      </c>
      <c r="E88" s="30">
        <f>IF(A88&lt;=MAX(Input!$C$22,Input!$C$27),0,Input!$C$8*SUMPRODUCT('Data Tanah'!$L$7:$L$47,((((('Data Tanah'!$C$7:$C$47+A88-Input!$C$28*Input!$C$7)-ABS('Data Tanah'!$C$7:$C$47-(A88-Input!$C$28*Input!$C$7)))/2-(('Data Tanah'!$B$7:$B$47+MAX(Input!$C$22,Input!$C$27))+ABS('Data Tanah'!$B$7:$B$47-(MAX(Input!$C$22,Input!$C$27))))/2)+ABS((('Data Tanah'!$C$7:$C$47+A88-Input!$C$28*Input!$C$7)-ABS('Data Tanah'!$C$7:$C$47-(A88-Input!$C$28*Input!$C$7)))/2-(('Data Tanah'!$B$7:$B$47+MAX(Input!$C$22,Input!$C$27))+ABS('Data Tanah'!$B$7:$B$47-(MAX(Input!$C$22,Input!$C$27))))/2))/2))+IF(SUMPRODUCT(--('Data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Tanah'!$B$7:$B$47-(A88-1.5*Input!$C$7)))/2))/2))&gt;0,0,IFERROR(AVERAGEIFS('Data Tanah'!$N$7:$N$47,'Data Tanah'!$E$7:$E$47,"&gt;="&amp;(A88-Input!$C$36*Input!$C$7),'Data Tanah'!$E$7:$E$47,"&lt;="&amp;(A88+Input!$C$37*Input!$C$7)),INDEX('Data Tanah'!$N$7:$N$47,MATCH(A88,'Data Tanah'!$B$7:$B$47,1)))*Input!$C$9))</f>
      </c>
      <c r="F88" s="16">
        <f>Input!$C$9*(Input!$C$10*MAX(MIN(A88,Input!$C$14)-Input!$C$11,0)+(Input!$C$10-1)*MAX(A88-MAX(Input!$C$14,Input!$C$11),0))</f>
      </c>
      <c r="G88" s="30">
        <f t="shared" si="12"/>
      </c>
      <c r="H88" s="30">
        <f>IF(A88&lt;=Input!$C$22,NA(),E88/Input!$C$45-F88-G88)</f>
      </c>
      <c r="I88" s="25">
        <f t="shared" si="13"/>
      </c>
      <c r="J88" s="25">
        <f>Input!$C$50</f>
      </c>
      <c r="K88" s="13">
        <f t="shared" si="14"/>
      </c>
      <c r="L88" s="9">
        <f>IF(A88&lt;=Input!$C$22,IFERROR(INDEX('Data Tanah'!$M$7:$M$47,MATCH(A88,'Data Tanah'!$B$7:$B$47,1)),0),NA())</f>
      </c>
      <c r="M88" s="25">
        <f t="shared" si="15"/>
      </c>
      <c r="N88">
        <f t="shared" si="16"/>
      </c>
    </row>
    <row r="89" spans="1:14" x14ac:dyDescent="0.25">
      <c r="A89" s="20">
        <v>40.5</v>
      </c>
      <c r="B89" s="20">
        <f t="shared" si="11"/>
      </c>
      <c r="C89" s="20">
        <f>A89-Input!$C$11</f>
      </c>
      <c r="D89" s="31">
        <f>Input!$C$8*SUMPRODUCT('Data Tanah'!$M$7:$M$47,((((('Data Tanah'!$C$7:$C$47+MIN(A89,Input!$C$22))-ABS('Data Tanah'!$C$7:$C$47-(MIN(A89,Input!$C$22))))/2-(('Data Tanah'!$B$7:$B$47+Input!$C$11)+ABS('Data Tanah'!$B$7:$B$47-(Input!$C$11)))/2)+ABS((('Data Tanah'!$C$7:$C$47+MIN(A89,Input!$C$22))-ABS('Data Tanah'!$C$7:$C$47-(MIN(A89,Input!$C$22))))/2-(('Data Tanah'!$B$7:$B$47+Input!$C$11)+ABS('Data Tanah'!$B$7:$B$47-(Input!$C$11)))/2))/2))</f>
      </c>
      <c r="E89" s="31">
        <f>IF(A89&lt;=MAX(Input!$C$22,Input!$C$27),0,Input!$C$8*SUMPRODUCT('Data Tanah'!$L$7:$L$47,((((('Data Tanah'!$C$7:$C$47+A89-Input!$C$28*Input!$C$7)-ABS('Data Tanah'!$C$7:$C$47-(A89-Input!$C$28*Input!$C$7)))/2-(('Data Tanah'!$B$7:$B$47+MAX(Input!$C$22,Input!$C$27))+ABS('Data Tanah'!$B$7:$B$47-(MAX(Input!$C$22,Input!$C$27))))/2)+ABS((('Data Tanah'!$C$7:$C$47+A89-Input!$C$28*Input!$C$7)-ABS('Data Tanah'!$C$7:$C$47-(A89-Input!$C$28*Input!$C$7)))/2-(('Data Tanah'!$B$7:$B$47+MAX(Input!$C$22,Input!$C$27))+ABS('Data Tanah'!$B$7:$B$47-(MAX(Input!$C$22,Input!$C$27))))/2))/2))+IF(SUMPRODUCT(--('Data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Tanah'!$B$7:$B$47-(A89-1.5*Input!$C$7)))/2))/2))&gt;0,0,IFERROR(AVERAGEIFS('Data Tanah'!$N$7:$N$47,'Data Tanah'!$E$7:$E$47,"&gt;="&amp;(A89-Input!$C$36*Input!$C$7),'Data Tanah'!$E$7:$E$47,"&lt;="&amp;(A89+Input!$C$37*Input!$C$7)),INDEX('Data Tanah'!$N$7:$N$47,MATCH(A89,'Data Tanah'!$B$7:$B$47,1)))*Input!$C$9))</f>
      </c>
      <c r="F89" s="20">
        <f>Input!$C$9*(Input!$C$10*MAX(MIN(A89,Input!$C$14)-Input!$C$11,0)+(Input!$C$10-1)*MAX(A89-MAX(Input!$C$14,Input!$C$11),0))</f>
      </c>
      <c r="G89" s="31">
        <f t="shared" si="12"/>
      </c>
      <c r="H89" s="31">
        <f>IF(A89&lt;=Input!$C$22,NA(),E89/Input!$C$45-F89-G89)</f>
      </c>
      <c r="I89" s="32">
        <f t="shared" si="13"/>
      </c>
      <c r="J89" s="32">
        <f>Input!$C$50</f>
      </c>
      <c r="K89" s="33">
        <f t="shared" si="14"/>
      </c>
      <c r="L89" s="19">
        <f>IF(A89&lt;=Input!$C$22,IFERROR(INDEX('Data Tanah'!$M$7:$M$47,MATCH(A89,'Data Tanah'!$B$7:$B$47,1)),0),NA())</f>
      </c>
      <c r="M89" s="32">
        <f t="shared" si="15"/>
      </c>
      <c r="N89">
        <f t="shared" si="16"/>
      </c>
    </row>
    <row r="90" spans="1:14" x14ac:dyDescent="0.25">
      <c r="A90" s="16">
        <v>41</v>
      </c>
      <c r="B90" s="16">
        <f t="shared" si="11"/>
      </c>
      <c r="C90" s="16">
        <f>A90-Input!$C$11</f>
      </c>
      <c r="D90" s="30">
        <f>Input!$C$8*SUMPRODUCT('Data Tanah'!$M$7:$M$47,((((('Data Tanah'!$C$7:$C$47+MIN(A90,Input!$C$22))-ABS('Data Tanah'!$C$7:$C$47-(MIN(A90,Input!$C$22))))/2-(('Data Tanah'!$B$7:$B$47+Input!$C$11)+ABS('Data Tanah'!$B$7:$B$47-(Input!$C$11)))/2)+ABS((('Data Tanah'!$C$7:$C$47+MIN(A90,Input!$C$22))-ABS('Data Tanah'!$C$7:$C$47-(MIN(A90,Input!$C$22))))/2-(('Data Tanah'!$B$7:$B$47+Input!$C$11)+ABS('Data Tanah'!$B$7:$B$47-(Input!$C$11)))/2))/2))</f>
      </c>
      <c r="E90" s="30">
        <f>IF(A90&lt;=MAX(Input!$C$22,Input!$C$27),0,Input!$C$8*SUMPRODUCT('Data Tanah'!$L$7:$L$47,((((('Data Tanah'!$C$7:$C$47+A90-Input!$C$28*Input!$C$7)-ABS('Data Tanah'!$C$7:$C$47-(A90-Input!$C$28*Input!$C$7)))/2-(('Data Tanah'!$B$7:$B$47+MAX(Input!$C$22,Input!$C$27))+ABS('Data Tanah'!$B$7:$B$47-(MAX(Input!$C$22,Input!$C$27))))/2)+ABS((('Data Tanah'!$C$7:$C$47+A90-Input!$C$28*Input!$C$7)-ABS('Data Tanah'!$C$7:$C$47-(A90-Input!$C$28*Input!$C$7)))/2-(('Data Tanah'!$B$7:$B$47+MAX(Input!$C$22,Input!$C$27))+ABS('Data Tanah'!$B$7:$B$47-(MAX(Input!$C$22,Input!$C$27))))/2))/2))+IF(SUMPRODUCT(--('Data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Tanah'!$B$7:$B$47-(A90-1.5*Input!$C$7)))/2))/2))&gt;0,0,IFERROR(AVERAGEIFS('Data Tanah'!$N$7:$N$47,'Data Tanah'!$E$7:$E$47,"&gt;="&amp;(A90-Input!$C$36*Input!$C$7),'Data Tanah'!$E$7:$E$47,"&lt;="&amp;(A90+Input!$C$37*Input!$C$7)),INDEX('Data Tanah'!$N$7:$N$47,MATCH(A90,'Data Tanah'!$B$7:$B$47,1)))*Input!$C$9))</f>
      </c>
      <c r="F90" s="16">
        <f>Input!$C$9*(Input!$C$10*MAX(MIN(A90,Input!$C$14)-Input!$C$11,0)+(Input!$C$10-1)*MAX(A90-MAX(Input!$C$14,Input!$C$11),0))</f>
      </c>
      <c r="G90" s="30">
        <f t="shared" si="12"/>
      </c>
      <c r="H90" s="30">
        <f>IF(A90&lt;=Input!$C$22,NA(),E90/Input!$C$45-F90-G90)</f>
      </c>
      <c r="I90" s="25">
        <f t="shared" si="13"/>
      </c>
      <c r="J90" s="25">
        <f>Input!$C$50</f>
      </c>
      <c r="K90" s="13">
        <f t="shared" si="14"/>
      </c>
      <c r="L90" s="9">
        <f>IF(A90&lt;=Input!$C$22,IFERROR(INDEX('Data Tanah'!$M$7:$M$47,MATCH(A90,'Data Tanah'!$B$7:$B$47,1)),0),NA())</f>
      </c>
      <c r="M90" s="25">
        <f t="shared" si="15"/>
      </c>
      <c r="N90">
        <f t="shared" si="16"/>
      </c>
    </row>
    <row r="91" spans="1:14" x14ac:dyDescent="0.25">
      <c r="A91" s="20">
        <v>41.5</v>
      </c>
      <c r="B91" s="20">
        <f t="shared" si="11"/>
      </c>
      <c r="C91" s="20">
        <f>A91-Input!$C$11</f>
      </c>
      <c r="D91" s="31">
        <f>Input!$C$8*SUMPRODUCT('Data Tanah'!$M$7:$M$47,((((('Data Tanah'!$C$7:$C$47+MIN(A91,Input!$C$22))-ABS('Data Tanah'!$C$7:$C$47-(MIN(A91,Input!$C$22))))/2-(('Data Tanah'!$B$7:$B$47+Input!$C$11)+ABS('Data Tanah'!$B$7:$B$47-(Input!$C$11)))/2)+ABS((('Data Tanah'!$C$7:$C$47+MIN(A91,Input!$C$22))-ABS('Data Tanah'!$C$7:$C$47-(MIN(A91,Input!$C$22))))/2-(('Data Tanah'!$B$7:$B$47+Input!$C$11)+ABS('Data Tanah'!$B$7:$B$47-(Input!$C$11)))/2))/2))</f>
      </c>
      <c r="E91" s="31">
        <f>IF(A91&lt;=MAX(Input!$C$22,Input!$C$27),0,Input!$C$8*SUMPRODUCT('Data Tanah'!$L$7:$L$47,((((('Data Tanah'!$C$7:$C$47+A91-Input!$C$28*Input!$C$7)-ABS('Data Tanah'!$C$7:$C$47-(A91-Input!$C$28*Input!$C$7)))/2-(('Data Tanah'!$B$7:$B$47+MAX(Input!$C$22,Input!$C$27))+ABS('Data Tanah'!$B$7:$B$47-(MAX(Input!$C$22,Input!$C$27))))/2)+ABS((('Data Tanah'!$C$7:$C$47+A91-Input!$C$28*Input!$C$7)-ABS('Data Tanah'!$C$7:$C$47-(A91-Input!$C$28*Input!$C$7)))/2-(('Data Tanah'!$B$7:$B$47+MAX(Input!$C$22,Input!$C$27))+ABS('Data Tanah'!$B$7:$B$47-(MAX(Input!$C$22,Input!$C$27))))/2))/2))+IF(SUMPRODUCT(--('Data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Tanah'!$B$7:$B$47-(A91-1.5*Input!$C$7)))/2))/2))&gt;0,0,IFERROR(AVERAGEIFS('Data Tanah'!$N$7:$N$47,'Data Tanah'!$E$7:$E$47,"&gt;="&amp;(A91-Input!$C$36*Input!$C$7),'Data Tanah'!$E$7:$E$47,"&lt;="&amp;(A91+Input!$C$37*Input!$C$7)),INDEX('Data Tanah'!$N$7:$N$47,MATCH(A91,'Data Tanah'!$B$7:$B$47,1)))*Input!$C$9))</f>
      </c>
      <c r="F91" s="20">
        <f>Input!$C$9*(Input!$C$10*MAX(MIN(A91,Input!$C$14)-Input!$C$11,0)+(Input!$C$10-1)*MAX(A91-MAX(Input!$C$14,Input!$C$11),0))</f>
      </c>
      <c r="G91" s="31">
        <f t="shared" si="12"/>
      </c>
      <c r="H91" s="31">
        <f>IF(A91&lt;=Input!$C$22,NA(),E91/Input!$C$45-F91-G91)</f>
      </c>
      <c r="I91" s="32">
        <f t="shared" si="13"/>
      </c>
      <c r="J91" s="32">
        <f>Input!$C$50</f>
      </c>
      <c r="K91" s="33">
        <f t="shared" si="14"/>
      </c>
      <c r="L91" s="19">
        <f>IF(A91&lt;=Input!$C$22,IFERROR(INDEX('Data Tanah'!$M$7:$M$47,MATCH(A91,'Data Tanah'!$B$7:$B$47,1)),0),NA())</f>
      </c>
      <c r="M91" s="32">
        <f t="shared" si="15"/>
      </c>
      <c r="N91">
        <f t="shared" si="16"/>
      </c>
    </row>
    <row r="92" spans="1:14" x14ac:dyDescent="0.25">
      <c r="A92" s="16">
        <v>42</v>
      </c>
      <c r="B92" s="16">
        <f t="shared" si="11"/>
      </c>
      <c r="C92" s="16">
        <f>A92-Input!$C$11</f>
      </c>
      <c r="D92" s="30">
        <f>Input!$C$8*SUMPRODUCT('Data Tanah'!$M$7:$M$47,((((('Data Tanah'!$C$7:$C$47+MIN(A92,Input!$C$22))-ABS('Data Tanah'!$C$7:$C$47-(MIN(A92,Input!$C$22))))/2-(('Data Tanah'!$B$7:$B$47+Input!$C$11)+ABS('Data Tanah'!$B$7:$B$47-(Input!$C$11)))/2)+ABS((('Data Tanah'!$C$7:$C$47+MIN(A92,Input!$C$22))-ABS('Data Tanah'!$C$7:$C$47-(MIN(A92,Input!$C$22))))/2-(('Data Tanah'!$B$7:$B$47+Input!$C$11)+ABS('Data Tanah'!$B$7:$B$47-(Input!$C$11)))/2))/2))</f>
      </c>
      <c r="E92" s="30">
        <f>IF(A92&lt;=MAX(Input!$C$22,Input!$C$27),0,Input!$C$8*SUMPRODUCT('Data Tanah'!$L$7:$L$47,((((('Data Tanah'!$C$7:$C$47+A92-Input!$C$28*Input!$C$7)-ABS('Data Tanah'!$C$7:$C$47-(A92-Input!$C$28*Input!$C$7)))/2-(('Data Tanah'!$B$7:$B$47+MAX(Input!$C$22,Input!$C$27))+ABS('Data Tanah'!$B$7:$B$47-(MAX(Input!$C$22,Input!$C$27))))/2)+ABS((('Data Tanah'!$C$7:$C$47+A92-Input!$C$28*Input!$C$7)-ABS('Data Tanah'!$C$7:$C$47-(A92-Input!$C$28*Input!$C$7)))/2-(('Data Tanah'!$B$7:$B$47+MAX(Input!$C$22,Input!$C$27))+ABS('Data Tanah'!$B$7:$B$47-(MAX(Input!$C$22,Input!$C$27))))/2))/2))+IF(SUMPRODUCT(--('Data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Tanah'!$B$7:$B$47-(A92-1.5*Input!$C$7)))/2))/2))&gt;0,0,IFERROR(AVERAGEIFS('Data Tanah'!$N$7:$N$47,'Data Tanah'!$E$7:$E$47,"&gt;="&amp;(A92-Input!$C$36*Input!$C$7),'Data Tanah'!$E$7:$E$47,"&lt;="&amp;(A92+Input!$C$37*Input!$C$7)),INDEX('Data Tanah'!$N$7:$N$47,MATCH(A92,'Data Tanah'!$B$7:$B$47,1)))*Input!$C$9))</f>
      </c>
      <c r="F92" s="16">
        <f>Input!$C$9*(Input!$C$10*MAX(MIN(A92,Input!$C$14)-Input!$C$11,0)+(Input!$C$10-1)*MAX(A92-MAX(Input!$C$14,Input!$C$11),0))</f>
      </c>
      <c r="G92" s="30">
        <f t="shared" si="12"/>
      </c>
      <c r="H92" s="30">
        <f>IF(A92&lt;=Input!$C$22,NA(),E92/Input!$C$45-F92-G92)</f>
      </c>
      <c r="I92" s="25">
        <f t="shared" si="13"/>
      </c>
      <c r="J92" s="25">
        <f>Input!$C$50</f>
      </c>
      <c r="K92" s="13">
        <f t="shared" si="14"/>
      </c>
      <c r="L92" s="9">
        <f>IF(A92&lt;=Input!$C$22,IFERROR(INDEX('Data Tanah'!$M$7:$M$47,MATCH(A92,'Data Tanah'!$B$7:$B$47,1)),0),NA())</f>
      </c>
      <c r="M92" s="25">
        <f t="shared" si="15"/>
      </c>
      <c r="N92">
        <f t="shared" si="16"/>
      </c>
    </row>
    <row r="93" spans="1:14" x14ac:dyDescent="0.25">
      <c r="A93" s="20">
        <v>42.5</v>
      </c>
      <c r="B93" s="20">
        <f t="shared" si="11"/>
      </c>
      <c r="C93" s="20">
        <f>A93-Input!$C$11</f>
      </c>
      <c r="D93" s="31">
        <f>Input!$C$8*SUMPRODUCT('Data Tanah'!$M$7:$M$47,((((('Data Tanah'!$C$7:$C$47+MIN(A93,Input!$C$22))-ABS('Data Tanah'!$C$7:$C$47-(MIN(A93,Input!$C$22))))/2-(('Data Tanah'!$B$7:$B$47+Input!$C$11)+ABS('Data Tanah'!$B$7:$B$47-(Input!$C$11)))/2)+ABS((('Data Tanah'!$C$7:$C$47+MIN(A93,Input!$C$22))-ABS('Data Tanah'!$C$7:$C$47-(MIN(A93,Input!$C$22))))/2-(('Data Tanah'!$B$7:$B$47+Input!$C$11)+ABS('Data Tanah'!$B$7:$B$47-(Input!$C$11)))/2))/2))</f>
      </c>
      <c r="E93" s="31">
        <f>IF(A93&lt;=MAX(Input!$C$22,Input!$C$27),0,Input!$C$8*SUMPRODUCT('Data Tanah'!$L$7:$L$47,((((('Data Tanah'!$C$7:$C$47+A93-Input!$C$28*Input!$C$7)-ABS('Data Tanah'!$C$7:$C$47-(A93-Input!$C$28*Input!$C$7)))/2-(('Data Tanah'!$B$7:$B$47+MAX(Input!$C$22,Input!$C$27))+ABS('Data Tanah'!$B$7:$B$47-(MAX(Input!$C$22,Input!$C$27))))/2)+ABS((('Data Tanah'!$C$7:$C$47+A93-Input!$C$28*Input!$C$7)-ABS('Data Tanah'!$C$7:$C$47-(A93-Input!$C$28*Input!$C$7)))/2-(('Data Tanah'!$B$7:$B$47+MAX(Input!$C$22,Input!$C$27))+ABS('Data Tanah'!$B$7:$B$47-(MAX(Input!$C$22,Input!$C$27))))/2))/2))+IF(SUMPRODUCT(--('Data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Tanah'!$B$7:$B$47-(A93-1.5*Input!$C$7)))/2))/2))&gt;0,0,IFERROR(AVERAGEIFS('Data Tanah'!$N$7:$N$47,'Data Tanah'!$E$7:$E$47,"&gt;="&amp;(A93-Input!$C$36*Input!$C$7),'Data Tanah'!$E$7:$E$47,"&lt;="&amp;(A93+Input!$C$37*Input!$C$7)),INDEX('Data Tanah'!$N$7:$N$47,MATCH(A93,'Data Tanah'!$B$7:$B$47,1)))*Input!$C$9))</f>
      </c>
      <c r="F93" s="20">
        <f>Input!$C$9*(Input!$C$10*MAX(MIN(A93,Input!$C$14)-Input!$C$11,0)+(Input!$C$10-1)*MAX(A93-MAX(Input!$C$14,Input!$C$11),0))</f>
      </c>
      <c r="G93" s="31">
        <f t="shared" si="12"/>
      </c>
      <c r="H93" s="31">
        <f>IF(A93&lt;=Input!$C$22,NA(),E93/Input!$C$45-F93-G93)</f>
      </c>
      <c r="I93" s="32">
        <f t="shared" si="13"/>
      </c>
      <c r="J93" s="32">
        <f>Input!$C$50</f>
      </c>
      <c r="K93" s="33">
        <f t="shared" si="14"/>
      </c>
      <c r="L93" s="19">
        <f>IF(A93&lt;=Input!$C$22,IFERROR(INDEX('Data Tanah'!$M$7:$M$47,MATCH(A93,'Data Tanah'!$B$7:$B$47,1)),0),NA())</f>
      </c>
      <c r="M93" s="32">
        <f t="shared" si="15"/>
      </c>
      <c r="N93">
        <f t="shared" si="16"/>
      </c>
    </row>
    <row r="94" spans="1:14" x14ac:dyDescent="0.25">
      <c r="A94" s="16">
        <v>43</v>
      </c>
      <c r="B94" s="16">
        <f t="shared" si="11"/>
      </c>
      <c r="C94" s="16">
        <f>A94-Input!$C$11</f>
      </c>
      <c r="D94" s="30">
        <f>Input!$C$8*SUMPRODUCT('Data Tanah'!$M$7:$M$47,((((('Data Tanah'!$C$7:$C$47+MIN(A94,Input!$C$22))-ABS('Data Tanah'!$C$7:$C$47-(MIN(A94,Input!$C$22))))/2-(('Data Tanah'!$B$7:$B$47+Input!$C$11)+ABS('Data Tanah'!$B$7:$B$47-(Input!$C$11)))/2)+ABS((('Data Tanah'!$C$7:$C$47+MIN(A94,Input!$C$22))-ABS('Data Tanah'!$C$7:$C$47-(MIN(A94,Input!$C$22))))/2-(('Data Tanah'!$B$7:$B$47+Input!$C$11)+ABS('Data Tanah'!$B$7:$B$47-(Input!$C$11)))/2))/2))</f>
      </c>
      <c r="E94" s="30">
        <f>IF(A94&lt;=MAX(Input!$C$22,Input!$C$27),0,Input!$C$8*SUMPRODUCT('Data Tanah'!$L$7:$L$47,((((('Data Tanah'!$C$7:$C$47+A94-Input!$C$28*Input!$C$7)-ABS('Data Tanah'!$C$7:$C$47-(A94-Input!$C$28*Input!$C$7)))/2-(('Data Tanah'!$B$7:$B$47+MAX(Input!$C$22,Input!$C$27))+ABS('Data Tanah'!$B$7:$B$47-(MAX(Input!$C$22,Input!$C$27))))/2)+ABS((('Data Tanah'!$C$7:$C$47+A94-Input!$C$28*Input!$C$7)-ABS('Data Tanah'!$C$7:$C$47-(A94-Input!$C$28*Input!$C$7)))/2-(('Data Tanah'!$B$7:$B$47+MAX(Input!$C$22,Input!$C$27))+ABS('Data Tanah'!$B$7:$B$47-(MAX(Input!$C$22,Input!$C$27))))/2))/2))+IF(SUMPRODUCT(--('Data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Tanah'!$B$7:$B$47-(A94-1.5*Input!$C$7)))/2))/2))&gt;0,0,IFERROR(AVERAGEIFS('Data Tanah'!$N$7:$N$47,'Data Tanah'!$E$7:$E$47,"&gt;="&amp;(A94-Input!$C$36*Input!$C$7),'Data Tanah'!$E$7:$E$47,"&lt;="&amp;(A94+Input!$C$37*Input!$C$7)),INDEX('Data Tanah'!$N$7:$N$47,MATCH(A94,'Data Tanah'!$B$7:$B$47,1)))*Input!$C$9))</f>
      </c>
      <c r="F94" s="16">
        <f>Input!$C$9*(Input!$C$10*MAX(MIN(A94,Input!$C$14)-Input!$C$11,0)+(Input!$C$10-1)*MAX(A94-MAX(Input!$C$14,Input!$C$11),0))</f>
      </c>
      <c r="G94" s="30">
        <f t="shared" si="12"/>
      </c>
      <c r="H94" s="30">
        <f>IF(A94&lt;=Input!$C$22,NA(),E94/Input!$C$45-F94-G94)</f>
      </c>
      <c r="I94" s="25">
        <f t="shared" si="13"/>
      </c>
      <c r="J94" s="25">
        <f>Input!$C$50</f>
      </c>
      <c r="K94" s="13">
        <f t="shared" si="14"/>
      </c>
      <c r="L94" s="9">
        <f>IF(A94&lt;=Input!$C$22,IFERROR(INDEX('Data Tanah'!$M$7:$M$47,MATCH(A94,'Data Tanah'!$B$7:$B$47,1)),0),NA())</f>
      </c>
      <c r="M94" s="25">
        <f t="shared" si="15"/>
      </c>
      <c r="N94">
        <f t="shared" si="16"/>
      </c>
    </row>
    <row r="95" spans="1:14" x14ac:dyDescent="0.25">
      <c r="A95" s="20">
        <v>43.5</v>
      </c>
      <c r="B95" s="20">
        <f t="shared" si="11"/>
      </c>
      <c r="C95" s="20">
        <f>A95-Input!$C$11</f>
      </c>
      <c r="D95" s="31">
        <f>Input!$C$8*SUMPRODUCT('Data Tanah'!$M$7:$M$47,((((('Data Tanah'!$C$7:$C$47+MIN(A95,Input!$C$22))-ABS('Data Tanah'!$C$7:$C$47-(MIN(A95,Input!$C$22))))/2-(('Data Tanah'!$B$7:$B$47+Input!$C$11)+ABS('Data Tanah'!$B$7:$B$47-(Input!$C$11)))/2)+ABS((('Data Tanah'!$C$7:$C$47+MIN(A95,Input!$C$22))-ABS('Data Tanah'!$C$7:$C$47-(MIN(A95,Input!$C$22))))/2-(('Data Tanah'!$B$7:$B$47+Input!$C$11)+ABS('Data Tanah'!$B$7:$B$47-(Input!$C$11)))/2))/2))</f>
      </c>
      <c r="E95" s="31">
        <f>IF(A95&lt;=MAX(Input!$C$22,Input!$C$27),0,Input!$C$8*SUMPRODUCT('Data Tanah'!$L$7:$L$47,((((('Data Tanah'!$C$7:$C$47+A95-Input!$C$28*Input!$C$7)-ABS('Data Tanah'!$C$7:$C$47-(A95-Input!$C$28*Input!$C$7)))/2-(('Data Tanah'!$B$7:$B$47+MAX(Input!$C$22,Input!$C$27))+ABS('Data Tanah'!$B$7:$B$47-(MAX(Input!$C$22,Input!$C$27))))/2)+ABS((('Data Tanah'!$C$7:$C$47+A95-Input!$C$28*Input!$C$7)-ABS('Data Tanah'!$C$7:$C$47-(A95-Input!$C$28*Input!$C$7)))/2-(('Data Tanah'!$B$7:$B$47+MAX(Input!$C$22,Input!$C$27))+ABS('Data Tanah'!$B$7:$B$47-(MAX(Input!$C$22,Input!$C$27))))/2))/2))+IF(SUMPRODUCT(--('Data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Tanah'!$B$7:$B$47-(A95-1.5*Input!$C$7)))/2))/2))&gt;0,0,IFERROR(AVERAGEIFS('Data Tanah'!$N$7:$N$47,'Data Tanah'!$E$7:$E$47,"&gt;="&amp;(A95-Input!$C$36*Input!$C$7),'Data Tanah'!$E$7:$E$47,"&lt;="&amp;(A95+Input!$C$37*Input!$C$7)),INDEX('Data Tanah'!$N$7:$N$47,MATCH(A95,'Data Tanah'!$B$7:$B$47,1)))*Input!$C$9))</f>
      </c>
      <c r="F95" s="20">
        <f>Input!$C$9*(Input!$C$10*MAX(MIN(A95,Input!$C$14)-Input!$C$11,0)+(Input!$C$10-1)*MAX(A95-MAX(Input!$C$14,Input!$C$11),0))</f>
      </c>
      <c r="G95" s="31">
        <f t="shared" si="12"/>
      </c>
      <c r="H95" s="31">
        <f>IF(A95&lt;=Input!$C$22,NA(),E95/Input!$C$45-F95-G95)</f>
      </c>
      <c r="I95" s="32">
        <f t="shared" si="13"/>
      </c>
      <c r="J95" s="32">
        <f>Input!$C$50</f>
      </c>
      <c r="K95" s="33">
        <f t="shared" si="14"/>
      </c>
      <c r="L95" s="19">
        <f>IF(A95&lt;=Input!$C$22,IFERROR(INDEX('Data Tanah'!$M$7:$M$47,MATCH(A95,'Data Tanah'!$B$7:$B$47,1)),0),NA())</f>
      </c>
      <c r="M95" s="32">
        <f t="shared" si="15"/>
      </c>
      <c r="N95">
        <f t="shared" si="16"/>
      </c>
    </row>
    <row r="96" spans="1:14" x14ac:dyDescent="0.25">
      <c r="A96" s="16">
        <v>44</v>
      </c>
      <c r="B96" s="16">
        <f t="shared" si="11"/>
      </c>
      <c r="C96" s="16">
        <f>A96-Input!$C$11</f>
      </c>
      <c r="D96" s="30">
        <f>Input!$C$8*SUMPRODUCT('Data Tanah'!$M$7:$M$47,((((('Data Tanah'!$C$7:$C$47+MIN(A96,Input!$C$22))-ABS('Data Tanah'!$C$7:$C$47-(MIN(A96,Input!$C$22))))/2-(('Data Tanah'!$B$7:$B$47+Input!$C$11)+ABS('Data Tanah'!$B$7:$B$47-(Input!$C$11)))/2)+ABS((('Data Tanah'!$C$7:$C$47+MIN(A96,Input!$C$22))-ABS('Data Tanah'!$C$7:$C$47-(MIN(A96,Input!$C$22))))/2-(('Data Tanah'!$B$7:$B$47+Input!$C$11)+ABS('Data Tanah'!$B$7:$B$47-(Input!$C$11)))/2))/2))</f>
      </c>
      <c r="E96" s="30">
        <f>IF(A96&lt;=MAX(Input!$C$22,Input!$C$27),0,Input!$C$8*SUMPRODUCT('Data Tanah'!$L$7:$L$47,((((('Data Tanah'!$C$7:$C$47+A96-Input!$C$28*Input!$C$7)-ABS('Data Tanah'!$C$7:$C$47-(A96-Input!$C$28*Input!$C$7)))/2-(('Data Tanah'!$B$7:$B$47+MAX(Input!$C$22,Input!$C$27))+ABS('Data Tanah'!$B$7:$B$47-(MAX(Input!$C$22,Input!$C$27))))/2)+ABS((('Data Tanah'!$C$7:$C$47+A96-Input!$C$28*Input!$C$7)-ABS('Data Tanah'!$C$7:$C$47-(A96-Input!$C$28*Input!$C$7)))/2-(('Data Tanah'!$B$7:$B$47+MAX(Input!$C$22,Input!$C$27))+ABS('Data Tanah'!$B$7:$B$47-(MAX(Input!$C$22,Input!$C$27))))/2))/2))+IF(SUMPRODUCT(--('Data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Tanah'!$B$7:$B$47-(A96-1.5*Input!$C$7)))/2))/2))&gt;0,0,IFERROR(AVERAGEIFS('Data Tanah'!$N$7:$N$47,'Data Tanah'!$E$7:$E$47,"&gt;="&amp;(A96-Input!$C$36*Input!$C$7),'Data Tanah'!$E$7:$E$47,"&lt;="&amp;(A96+Input!$C$37*Input!$C$7)),INDEX('Data Tanah'!$N$7:$N$47,MATCH(A96,'Data Tanah'!$B$7:$B$47,1)))*Input!$C$9))</f>
      </c>
      <c r="F96" s="16">
        <f>Input!$C$9*(Input!$C$10*MAX(MIN(A96,Input!$C$14)-Input!$C$11,0)+(Input!$C$10-1)*MAX(A96-MAX(Input!$C$14,Input!$C$11),0))</f>
      </c>
      <c r="G96" s="30">
        <f t="shared" si="12"/>
      </c>
      <c r="H96" s="30">
        <f>IF(A96&lt;=Input!$C$22,NA(),E96/Input!$C$45-F96-G96)</f>
      </c>
      <c r="I96" s="25">
        <f t="shared" si="13"/>
      </c>
      <c r="J96" s="25">
        <f>Input!$C$50</f>
      </c>
      <c r="K96" s="13">
        <f t="shared" si="14"/>
      </c>
      <c r="L96" s="9">
        <f>IF(A96&lt;=Input!$C$22,IFERROR(INDEX('Data Tanah'!$M$7:$M$47,MATCH(A96,'Data Tanah'!$B$7:$B$47,1)),0),NA())</f>
      </c>
      <c r="M96" s="25">
        <f t="shared" si="15"/>
      </c>
      <c r="N96">
        <f t="shared" si="16"/>
      </c>
    </row>
    <row r="97" spans="1:14" x14ac:dyDescent="0.25">
      <c r="A97" s="20">
        <v>44.5</v>
      </c>
      <c r="B97" s="20">
        <f t="shared" si="11"/>
      </c>
      <c r="C97" s="20">
        <f>A97-Input!$C$11</f>
      </c>
      <c r="D97" s="31">
        <f>Input!$C$8*SUMPRODUCT('Data Tanah'!$M$7:$M$47,((((('Data Tanah'!$C$7:$C$47+MIN(A97,Input!$C$22))-ABS('Data Tanah'!$C$7:$C$47-(MIN(A97,Input!$C$22))))/2-(('Data Tanah'!$B$7:$B$47+Input!$C$11)+ABS('Data Tanah'!$B$7:$B$47-(Input!$C$11)))/2)+ABS((('Data Tanah'!$C$7:$C$47+MIN(A97,Input!$C$22))-ABS('Data Tanah'!$C$7:$C$47-(MIN(A97,Input!$C$22))))/2-(('Data Tanah'!$B$7:$B$47+Input!$C$11)+ABS('Data Tanah'!$B$7:$B$47-(Input!$C$11)))/2))/2))</f>
      </c>
      <c r="E97" s="31">
        <f>IF(A97&lt;=MAX(Input!$C$22,Input!$C$27),0,Input!$C$8*SUMPRODUCT('Data Tanah'!$L$7:$L$47,((((('Data Tanah'!$C$7:$C$47+A97-Input!$C$28*Input!$C$7)-ABS('Data Tanah'!$C$7:$C$47-(A97-Input!$C$28*Input!$C$7)))/2-(('Data Tanah'!$B$7:$B$47+MAX(Input!$C$22,Input!$C$27))+ABS('Data Tanah'!$B$7:$B$47-(MAX(Input!$C$22,Input!$C$27))))/2)+ABS((('Data Tanah'!$C$7:$C$47+A97-Input!$C$28*Input!$C$7)-ABS('Data Tanah'!$C$7:$C$47-(A97-Input!$C$28*Input!$C$7)))/2-(('Data Tanah'!$B$7:$B$47+MAX(Input!$C$22,Input!$C$27))+ABS('Data Tanah'!$B$7:$B$47-(MAX(Input!$C$22,Input!$C$27))))/2))/2))+IF(SUMPRODUCT(--('Data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Tanah'!$B$7:$B$47-(A97-1.5*Input!$C$7)))/2))/2))&gt;0,0,IFERROR(AVERAGEIFS('Data Tanah'!$N$7:$N$47,'Data Tanah'!$E$7:$E$47,"&gt;="&amp;(A97-Input!$C$36*Input!$C$7),'Data Tanah'!$E$7:$E$47,"&lt;="&amp;(A97+Input!$C$37*Input!$C$7)),INDEX('Data Tanah'!$N$7:$N$47,MATCH(A97,'Data Tanah'!$B$7:$B$47,1)))*Input!$C$9))</f>
      </c>
      <c r="F97" s="20">
        <f>Input!$C$9*(Input!$C$10*MAX(MIN(A97,Input!$C$14)-Input!$C$11,0)+(Input!$C$10-1)*MAX(A97-MAX(Input!$C$14,Input!$C$11),0))</f>
      </c>
      <c r="G97" s="31">
        <f t="shared" si="12"/>
      </c>
      <c r="H97" s="31">
        <f>IF(A97&lt;=Input!$C$22,NA(),E97/Input!$C$45-F97-G97)</f>
      </c>
      <c r="I97" s="32">
        <f t="shared" si="13"/>
      </c>
      <c r="J97" s="32">
        <f>Input!$C$50</f>
      </c>
      <c r="K97" s="33">
        <f t="shared" si="14"/>
      </c>
      <c r="L97" s="19">
        <f>IF(A97&lt;=Input!$C$22,IFERROR(INDEX('Data Tanah'!$M$7:$M$47,MATCH(A97,'Data Tanah'!$B$7:$B$47,1)),0),NA())</f>
      </c>
      <c r="M97" s="32">
        <f t="shared" si="15"/>
      </c>
      <c r="N97">
        <f t="shared" si="16"/>
      </c>
    </row>
    <row r="98" spans="1:14" x14ac:dyDescent="0.25">
      <c r="A98" s="16">
        <v>45</v>
      </c>
      <c r="B98" s="16">
        <f t="shared" si="11"/>
      </c>
      <c r="C98" s="16">
        <f>A98-Input!$C$11</f>
      </c>
      <c r="D98" s="30">
        <f>Input!$C$8*SUMPRODUCT('Data Tanah'!$M$7:$M$47,((((('Data Tanah'!$C$7:$C$47+MIN(A98,Input!$C$22))-ABS('Data Tanah'!$C$7:$C$47-(MIN(A98,Input!$C$22))))/2-(('Data Tanah'!$B$7:$B$47+Input!$C$11)+ABS('Data Tanah'!$B$7:$B$47-(Input!$C$11)))/2)+ABS((('Data Tanah'!$C$7:$C$47+MIN(A98,Input!$C$22))-ABS('Data Tanah'!$C$7:$C$47-(MIN(A98,Input!$C$22))))/2-(('Data Tanah'!$B$7:$B$47+Input!$C$11)+ABS('Data Tanah'!$B$7:$B$47-(Input!$C$11)))/2))/2))</f>
      </c>
      <c r="E98" s="30">
        <f>IF(A98&lt;=MAX(Input!$C$22,Input!$C$27),0,Input!$C$8*SUMPRODUCT('Data Tanah'!$L$7:$L$47,((((('Data Tanah'!$C$7:$C$47+A98-Input!$C$28*Input!$C$7)-ABS('Data Tanah'!$C$7:$C$47-(A98-Input!$C$28*Input!$C$7)))/2-(('Data Tanah'!$B$7:$B$47+MAX(Input!$C$22,Input!$C$27))+ABS('Data Tanah'!$B$7:$B$47-(MAX(Input!$C$22,Input!$C$27))))/2)+ABS((('Data Tanah'!$C$7:$C$47+A98-Input!$C$28*Input!$C$7)-ABS('Data Tanah'!$C$7:$C$47-(A98-Input!$C$28*Input!$C$7)))/2-(('Data Tanah'!$B$7:$B$47+MAX(Input!$C$22,Input!$C$27))+ABS('Data Tanah'!$B$7:$B$47-(MAX(Input!$C$22,Input!$C$27))))/2))/2))+IF(SUMPRODUCT(--('Data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Tanah'!$B$7:$B$47-(A98-1.5*Input!$C$7)))/2))/2))&gt;0,0,IFERROR(AVERAGEIFS('Data Tanah'!$N$7:$N$47,'Data Tanah'!$E$7:$E$47,"&gt;="&amp;(A98-Input!$C$36*Input!$C$7),'Data Tanah'!$E$7:$E$47,"&lt;="&amp;(A98+Input!$C$37*Input!$C$7)),INDEX('Data Tanah'!$N$7:$N$47,MATCH(A98,'Data Tanah'!$B$7:$B$47,1)))*Input!$C$9))</f>
      </c>
      <c r="F98" s="16">
        <f>Input!$C$9*(Input!$C$10*MAX(MIN(A98,Input!$C$14)-Input!$C$11,0)+(Input!$C$10-1)*MAX(A98-MAX(Input!$C$14,Input!$C$11),0))</f>
      </c>
      <c r="G98" s="30">
        <f t="shared" si="12"/>
      </c>
      <c r="H98" s="30">
        <f>IF(A98&lt;=Input!$C$22,NA(),E98/Input!$C$45-F98-G98)</f>
      </c>
      <c r="I98" s="25">
        <f t="shared" si="13"/>
      </c>
      <c r="J98" s="25">
        <f>Input!$C$50</f>
      </c>
      <c r="K98" s="13">
        <f t="shared" si="14"/>
      </c>
      <c r="L98" s="9">
        <f>IF(A98&lt;=Input!$C$22,IFERROR(INDEX('Data Tanah'!$M$7:$M$47,MATCH(A98,'Data Tanah'!$B$7:$B$47,1)),0),NA())</f>
      </c>
      <c r="M98" s="25">
        <f t="shared" si="15"/>
      </c>
      <c r="N98">
        <f t="shared" si="16"/>
      </c>
    </row>
    <row r="99" spans="1:14" x14ac:dyDescent="0.25">
      <c r="A99" s="20">
        <v>45.5</v>
      </c>
      <c r="B99" s="20">
        <f t="shared" si="11"/>
      </c>
      <c r="C99" s="20">
        <f>A99-Input!$C$11</f>
      </c>
      <c r="D99" s="31">
        <f>Input!$C$8*SUMPRODUCT('Data Tanah'!$M$7:$M$47,((((('Data Tanah'!$C$7:$C$47+MIN(A99,Input!$C$22))-ABS('Data Tanah'!$C$7:$C$47-(MIN(A99,Input!$C$22))))/2-(('Data Tanah'!$B$7:$B$47+Input!$C$11)+ABS('Data Tanah'!$B$7:$B$47-(Input!$C$11)))/2)+ABS((('Data Tanah'!$C$7:$C$47+MIN(A99,Input!$C$22))-ABS('Data Tanah'!$C$7:$C$47-(MIN(A99,Input!$C$22))))/2-(('Data Tanah'!$B$7:$B$47+Input!$C$11)+ABS('Data Tanah'!$B$7:$B$47-(Input!$C$11)))/2))/2))</f>
      </c>
      <c r="E99" s="31">
        <f>IF(A99&lt;=MAX(Input!$C$22,Input!$C$27),0,Input!$C$8*SUMPRODUCT('Data Tanah'!$L$7:$L$47,((((('Data Tanah'!$C$7:$C$47+A99-Input!$C$28*Input!$C$7)-ABS('Data Tanah'!$C$7:$C$47-(A99-Input!$C$28*Input!$C$7)))/2-(('Data Tanah'!$B$7:$B$47+MAX(Input!$C$22,Input!$C$27))+ABS('Data Tanah'!$B$7:$B$47-(MAX(Input!$C$22,Input!$C$27))))/2)+ABS((('Data Tanah'!$C$7:$C$47+A99-Input!$C$28*Input!$C$7)-ABS('Data Tanah'!$C$7:$C$47-(A99-Input!$C$28*Input!$C$7)))/2-(('Data Tanah'!$B$7:$B$47+MAX(Input!$C$22,Input!$C$27))+ABS('Data Tanah'!$B$7:$B$47-(MAX(Input!$C$22,Input!$C$27))))/2))/2))+IF(SUMPRODUCT(--('Data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Tanah'!$B$7:$B$47-(A99-1.5*Input!$C$7)))/2))/2))&gt;0,0,IFERROR(AVERAGEIFS('Data Tanah'!$N$7:$N$47,'Data Tanah'!$E$7:$E$47,"&gt;="&amp;(A99-Input!$C$36*Input!$C$7),'Data Tanah'!$E$7:$E$47,"&lt;="&amp;(A99+Input!$C$37*Input!$C$7)),INDEX('Data Tanah'!$N$7:$N$47,MATCH(A99,'Data Tanah'!$B$7:$B$47,1)))*Input!$C$9))</f>
      </c>
      <c r="F99" s="20">
        <f>Input!$C$9*(Input!$C$10*MAX(MIN(A99,Input!$C$14)-Input!$C$11,0)+(Input!$C$10-1)*MAX(A99-MAX(Input!$C$14,Input!$C$11),0))</f>
      </c>
      <c r="G99" s="31">
        <f t="shared" si="12"/>
      </c>
      <c r="H99" s="31">
        <f>IF(A99&lt;=Input!$C$22,NA(),E99/Input!$C$45-F99-G99)</f>
      </c>
      <c r="I99" s="32">
        <f t="shared" si="13"/>
      </c>
      <c r="J99" s="32">
        <f>Input!$C$50</f>
      </c>
      <c r="K99" s="33">
        <f t="shared" si="14"/>
      </c>
      <c r="L99" s="19">
        <f>IF(A99&lt;=Input!$C$22,IFERROR(INDEX('Data Tanah'!$M$7:$M$47,MATCH(A99,'Data Tanah'!$B$7:$B$47,1)),0),NA())</f>
      </c>
      <c r="M99" s="32">
        <f t="shared" si="15"/>
      </c>
      <c r="N99">
        <f t="shared" si="16"/>
      </c>
    </row>
    <row r="100" spans="1:14" x14ac:dyDescent="0.25">
      <c r="A100" s="16">
        <v>46</v>
      </c>
      <c r="B100" s="16">
        <f t="shared" si="11"/>
      </c>
      <c r="C100" s="16">
        <f>A100-Input!$C$11</f>
      </c>
      <c r="D100" s="30">
        <f>Input!$C$8*SUMPRODUCT('Data Tanah'!$M$7:$M$47,((((('Data Tanah'!$C$7:$C$47+MIN(A100,Input!$C$22))-ABS('Data Tanah'!$C$7:$C$47-(MIN(A100,Input!$C$22))))/2-(('Data Tanah'!$B$7:$B$47+Input!$C$11)+ABS('Data Tanah'!$B$7:$B$47-(Input!$C$11)))/2)+ABS((('Data Tanah'!$C$7:$C$47+MIN(A100,Input!$C$22))-ABS('Data Tanah'!$C$7:$C$47-(MIN(A100,Input!$C$22))))/2-(('Data Tanah'!$B$7:$B$47+Input!$C$11)+ABS('Data Tanah'!$B$7:$B$47-(Input!$C$11)))/2))/2))</f>
      </c>
      <c r="E100" s="30">
        <f>IF(A100&lt;=MAX(Input!$C$22,Input!$C$27),0,Input!$C$8*SUMPRODUCT('Data Tanah'!$L$7:$L$47,((((('Data Tanah'!$C$7:$C$47+A100-Input!$C$28*Input!$C$7)-ABS('Data Tanah'!$C$7:$C$47-(A100-Input!$C$28*Input!$C$7)))/2-(('Data Tanah'!$B$7:$B$47+MAX(Input!$C$22,Input!$C$27))+ABS('Data Tanah'!$B$7:$B$47-(MAX(Input!$C$22,Input!$C$27))))/2)+ABS((('Data Tanah'!$C$7:$C$47+A100-Input!$C$28*Input!$C$7)-ABS('Data Tanah'!$C$7:$C$47-(A100-Input!$C$28*Input!$C$7)))/2-(('Data Tanah'!$B$7:$B$47+MAX(Input!$C$22,Input!$C$27))+ABS('Data Tanah'!$B$7:$B$47-(MAX(Input!$C$22,Input!$C$27))))/2))/2))+IF(SUMPRODUCT(--('Data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Tanah'!$B$7:$B$47-(A100-1.5*Input!$C$7)))/2))/2))&gt;0,0,IFERROR(AVERAGEIFS('Data Tanah'!$N$7:$N$47,'Data Tanah'!$E$7:$E$47,"&gt;="&amp;(A100-Input!$C$36*Input!$C$7),'Data Tanah'!$E$7:$E$47,"&lt;="&amp;(A100+Input!$C$37*Input!$C$7)),INDEX('Data Tanah'!$N$7:$N$47,MATCH(A100,'Data Tanah'!$B$7:$B$47,1)))*Input!$C$9))</f>
      </c>
      <c r="F100" s="16">
        <f>Input!$C$9*(Input!$C$10*MAX(MIN(A100,Input!$C$14)-Input!$C$11,0)+(Input!$C$10-1)*MAX(A100-MAX(Input!$C$14,Input!$C$11),0))</f>
      </c>
      <c r="G100" s="30">
        <f t="shared" si="12"/>
      </c>
      <c r="H100" s="30">
        <f>IF(A100&lt;=Input!$C$22,NA(),E100/Input!$C$45-F100-G100)</f>
      </c>
      <c r="I100" s="25">
        <f t="shared" si="13"/>
      </c>
      <c r="J100" s="25">
        <f>Input!$C$50</f>
      </c>
      <c r="K100" s="13">
        <f t="shared" si="14"/>
      </c>
      <c r="L100" s="9">
        <f>IF(A100&lt;=Input!$C$22,IFERROR(INDEX('Data Tanah'!$M$7:$M$47,MATCH(A100,'Data Tanah'!$B$7:$B$47,1)),0),NA())</f>
      </c>
      <c r="M100" s="25">
        <f t="shared" si="15"/>
      </c>
      <c r="N100">
        <f t="shared" si="16"/>
      </c>
    </row>
    <row r="101" spans="1:14" x14ac:dyDescent="0.25">
      <c r="A101" s="20">
        <v>46.5</v>
      </c>
      <c r="B101" s="20">
        <f t="shared" si="11"/>
      </c>
      <c r="C101" s="20">
        <f>A101-Input!$C$11</f>
      </c>
      <c r="D101" s="31">
        <f>Input!$C$8*SUMPRODUCT('Data Tanah'!$M$7:$M$47,((((('Data Tanah'!$C$7:$C$47+MIN(A101,Input!$C$22))-ABS('Data Tanah'!$C$7:$C$47-(MIN(A101,Input!$C$22))))/2-(('Data Tanah'!$B$7:$B$47+Input!$C$11)+ABS('Data Tanah'!$B$7:$B$47-(Input!$C$11)))/2)+ABS((('Data Tanah'!$C$7:$C$47+MIN(A101,Input!$C$22))-ABS('Data Tanah'!$C$7:$C$47-(MIN(A101,Input!$C$22))))/2-(('Data Tanah'!$B$7:$B$47+Input!$C$11)+ABS('Data Tanah'!$B$7:$B$47-(Input!$C$11)))/2))/2))</f>
      </c>
      <c r="E101" s="31">
        <f>IF(A101&lt;=MAX(Input!$C$22,Input!$C$27),0,Input!$C$8*SUMPRODUCT('Data Tanah'!$L$7:$L$47,((((('Data Tanah'!$C$7:$C$47+A101-Input!$C$28*Input!$C$7)-ABS('Data Tanah'!$C$7:$C$47-(A101-Input!$C$28*Input!$C$7)))/2-(('Data Tanah'!$B$7:$B$47+MAX(Input!$C$22,Input!$C$27))+ABS('Data Tanah'!$B$7:$B$47-(MAX(Input!$C$22,Input!$C$27))))/2)+ABS((('Data Tanah'!$C$7:$C$47+A101-Input!$C$28*Input!$C$7)-ABS('Data Tanah'!$C$7:$C$47-(A101-Input!$C$28*Input!$C$7)))/2-(('Data Tanah'!$B$7:$B$47+MAX(Input!$C$22,Input!$C$27))+ABS('Data Tanah'!$B$7:$B$47-(MAX(Input!$C$22,Input!$C$27))))/2))/2))+IF(SUMPRODUCT(--('Data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Tanah'!$B$7:$B$47-(A101-1.5*Input!$C$7)))/2))/2))&gt;0,0,IFERROR(AVERAGEIFS('Data Tanah'!$N$7:$N$47,'Data Tanah'!$E$7:$E$47,"&gt;="&amp;(A101-Input!$C$36*Input!$C$7),'Data Tanah'!$E$7:$E$47,"&lt;="&amp;(A101+Input!$C$37*Input!$C$7)),INDEX('Data Tanah'!$N$7:$N$47,MATCH(A101,'Data Tanah'!$B$7:$B$47,1)))*Input!$C$9))</f>
      </c>
      <c r="F101" s="20">
        <f>Input!$C$9*(Input!$C$10*MAX(MIN(A101,Input!$C$14)-Input!$C$11,0)+(Input!$C$10-1)*MAX(A101-MAX(Input!$C$14,Input!$C$11),0))</f>
      </c>
      <c r="G101" s="31">
        <f t="shared" si="12"/>
      </c>
      <c r="H101" s="31">
        <f>IF(A101&lt;=Input!$C$22,NA(),E101/Input!$C$45-F101-G101)</f>
      </c>
      <c r="I101" s="32">
        <f t="shared" si="13"/>
      </c>
      <c r="J101" s="32">
        <f>Input!$C$50</f>
      </c>
      <c r="K101" s="33">
        <f t="shared" si="14"/>
      </c>
      <c r="L101" s="19">
        <f>IF(A101&lt;=Input!$C$22,IFERROR(INDEX('Data Tanah'!$M$7:$M$47,MATCH(A101,'Data Tanah'!$B$7:$B$47,1)),0),NA())</f>
      </c>
      <c r="M101" s="32">
        <f t="shared" si="15"/>
      </c>
      <c r="N101">
        <f t="shared" si="16"/>
      </c>
    </row>
    <row r="102" spans="1:14" x14ac:dyDescent="0.25">
      <c r="A102" s="16">
        <v>47</v>
      </c>
      <c r="B102" s="16">
        <f t="shared" si="11"/>
      </c>
      <c r="C102" s="16">
        <f>A102-Input!$C$11</f>
      </c>
      <c r="D102" s="30">
        <f>Input!$C$8*SUMPRODUCT('Data Tanah'!$M$7:$M$47,((((('Data Tanah'!$C$7:$C$47+MIN(A102,Input!$C$22))-ABS('Data Tanah'!$C$7:$C$47-(MIN(A102,Input!$C$22))))/2-(('Data Tanah'!$B$7:$B$47+Input!$C$11)+ABS('Data Tanah'!$B$7:$B$47-(Input!$C$11)))/2)+ABS((('Data Tanah'!$C$7:$C$47+MIN(A102,Input!$C$22))-ABS('Data Tanah'!$C$7:$C$47-(MIN(A102,Input!$C$22))))/2-(('Data Tanah'!$B$7:$B$47+Input!$C$11)+ABS('Data Tanah'!$B$7:$B$47-(Input!$C$11)))/2))/2))</f>
      </c>
      <c r="E102" s="30">
        <f>IF(A102&lt;=MAX(Input!$C$22,Input!$C$27),0,Input!$C$8*SUMPRODUCT('Data Tanah'!$L$7:$L$47,((((('Data Tanah'!$C$7:$C$47+A102-Input!$C$28*Input!$C$7)-ABS('Data Tanah'!$C$7:$C$47-(A102-Input!$C$28*Input!$C$7)))/2-(('Data Tanah'!$B$7:$B$47+MAX(Input!$C$22,Input!$C$27))+ABS('Data Tanah'!$B$7:$B$47-(MAX(Input!$C$22,Input!$C$27))))/2)+ABS((('Data Tanah'!$C$7:$C$47+A102-Input!$C$28*Input!$C$7)-ABS('Data Tanah'!$C$7:$C$47-(A102-Input!$C$28*Input!$C$7)))/2-(('Data Tanah'!$B$7:$B$47+MAX(Input!$C$22,Input!$C$27))+ABS('Data Tanah'!$B$7:$B$47-(MAX(Input!$C$22,Input!$C$27))))/2))/2))+IF(SUMPRODUCT(--('Data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Tanah'!$B$7:$B$47-(A102-1.5*Input!$C$7)))/2))/2))&gt;0,0,IFERROR(AVERAGEIFS('Data Tanah'!$N$7:$N$47,'Data Tanah'!$E$7:$E$47,"&gt;="&amp;(A102-Input!$C$36*Input!$C$7),'Data Tanah'!$E$7:$E$47,"&lt;="&amp;(A102+Input!$C$37*Input!$C$7)),INDEX('Data Tanah'!$N$7:$N$47,MATCH(A102,'Data Tanah'!$B$7:$B$47,1)))*Input!$C$9))</f>
      </c>
      <c r="F102" s="16">
        <f>Input!$C$9*(Input!$C$10*MAX(MIN(A102,Input!$C$14)-Input!$C$11,0)+(Input!$C$10-1)*MAX(A102-MAX(Input!$C$14,Input!$C$11),0))</f>
      </c>
      <c r="G102" s="30">
        <f t="shared" si="12"/>
      </c>
      <c r="H102" s="30">
        <f>IF(A102&lt;=Input!$C$22,NA(),E102/Input!$C$45-F102-G102)</f>
      </c>
      <c r="I102" s="25">
        <f t="shared" si="13"/>
      </c>
      <c r="J102" s="25">
        <f>Input!$C$50</f>
      </c>
      <c r="K102" s="13">
        <f t="shared" si="14"/>
      </c>
      <c r="L102" s="9">
        <f>IF(A102&lt;=Input!$C$22,IFERROR(INDEX('Data Tanah'!$M$7:$M$47,MATCH(A102,'Data Tanah'!$B$7:$B$47,1)),0),NA())</f>
      </c>
      <c r="M102" s="25">
        <f t="shared" si="15"/>
      </c>
      <c r="N102">
        <f t="shared" si="16"/>
      </c>
    </row>
    <row r="103" spans="1:14" x14ac:dyDescent="0.25">
      <c r="A103" s="20">
        <v>47.5</v>
      </c>
      <c r="B103" s="20">
        <f t="shared" si="11"/>
      </c>
      <c r="C103" s="20">
        <f>A103-Input!$C$11</f>
      </c>
      <c r="D103" s="31">
        <f>Input!$C$8*SUMPRODUCT('Data Tanah'!$M$7:$M$47,((((('Data Tanah'!$C$7:$C$47+MIN(A103,Input!$C$22))-ABS('Data Tanah'!$C$7:$C$47-(MIN(A103,Input!$C$22))))/2-(('Data Tanah'!$B$7:$B$47+Input!$C$11)+ABS('Data Tanah'!$B$7:$B$47-(Input!$C$11)))/2)+ABS((('Data Tanah'!$C$7:$C$47+MIN(A103,Input!$C$22))-ABS('Data Tanah'!$C$7:$C$47-(MIN(A103,Input!$C$22))))/2-(('Data Tanah'!$B$7:$B$47+Input!$C$11)+ABS('Data Tanah'!$B$7:$B$47-(Input!$C$11)))/2))/2))</f>
      </c>
      <c r="E103" s="31">
        <f>IF(A103&lt;=MAX(Input!$C$22,Input!$C$27),0,Input!$C$8*SUMPRODUCT('Data Tanah'!$L$7:$L$47,((((('Data Tanah'!$C$7:$C$47+A103-Input!$C$28*Input!$C$7)-ABS('Data Tanah'!$C$7:$C$47-(A103-Input!$C$28*Input!$C$7)))/2-(('Data Tanah'!$B$7:$B$47+MAX(Input!$C$22,Input!$C$27))+ABS('Data Tanah'!$B$7:$B$47-(MAX(Input!$C$22,Input!$C$27))))/2)+ABS((('Data Tanah'!$C$7:$C$47+A103-Input!$C$28*Input!$C$7)-ABS('Data Tanah'!$C$7:$C$47-(A103-Input!$C$28*Input!$C$7)))/2-(('Data Tanah'!$B$7:$B$47+MAX(Input!$C$22,Input!$C$27))+ABS('Data Tanah'!$B$7:$B$47-(MAX(Input!$C$22,Input!$C$27))))/2))/2))+IF(SUMPRODUCT(--('Data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Tanah'!$B$7:$B$47-(A103-1.5*Input!$C$7)))/2))/2))&gt;0,0,IFERROR(AVERAGEIFS('Data Tanah'!$N$7:$N$47,'Data Tanah'!$E$7:$E$47,"&gt;="&amp;(A103-Input!$C$36*Input!$C$7),'Data Tanah'!$E$7:$E$47,"&lt;="&amp;(A103+Input!$C$37*Input!$C$7)),INDEX('Data Tanah'!$N$7:$N$47,MATCH(A103,'Data Tanah'!$B$7:$B$47,1)))*Input!$C$9))</f>
      </c>
      <c r="F103" s="20">
        <f>Input!$C$9*(Input!$C$10*MAX(MIN(A103,Input!$C$14)-Input!$C$11,0)+(Input!$C$10-1)*MAX(A103-MAX(Input!$C$14,Input!$C$11),0))</f>
      </c>
      <c r="G103" s="31">
        <f t="shared" si="12"/>
      </c>
      <c r="H103" s="31">
        <f>IF(A103&lt;=Input!$C$22,NA(),E103/Input!$C$45-F103-G103)</f>
      </c>
      <c r="I103" s="32">
        <f t="shared" si="13"/>
      </c>
      <c r="J103" s="32">
        <f>Input!$C$50</f>
      </c>
      <c r="K103" s="33">
        <f t="shared" si="14"/>
      </c>
      <c r="L103" s="19">
        <f>IF(A103&lt;=Input!$C$22,IFERROR(INDEX('Data Tanah'!$M$7:$M$47,MATCH(A103,'Data Tanah'!$B$7:$B$47,1)),0),NA())</f>
      </c>
      <c r="M103" s="32">
        <f t="shared" si="15"/>
      </c>
      <c r="N103">
        <f t="shared" si="16"/>
      </c>
    </row>
    <row r="104" spans="1:14" x14ac:dyDescent="0.25">
      <c r="A104" s="16">
        <v>48</v>
      </c>
      <c r="B104" s="16">
        <f t="shared" si="11"/>
      </c>
      <c r="C104" s="16">
        <f>A104-Input!$C$11</f>
      </c>
      <c r="D104" s="30">
        <f>Input!$C$8*SUMPRODUCT('Data Tanah'!$M$7:$M$47,((((('Data Tanah'!$C$7:$C$47+MIN(A104,Input!$C$22))-ABS('Data Tanah'!$C$7:$C$47-(MIN(A104,Input!$C$22))))/2-(('Data Tanah'!$B$7:$B$47+Input!$C$11)+ABS('Data Tanah'!$B$7:$B$47-(Input!$C$11)))/2)+ABS((('Data Tanah'!$C$7:$C$47+MIN(A104,Input!$C$22))-ABS('Data Tanah'!$C$7:$C$47-(MIN(A104,Input!$C$22))))/2-(('Data Tanah'!$B$7:$B$47+Input!$C$11)+ABS('Data Tanah'!$B$7:$B$47-(Input!$C$11)))/2))/2))</f>
      </c>
      <c r="E104" s="30">
        <f>IF(A104&lt;=MAX(Input!$C$22,Input!$C$27),0,Input!$C$8*SUMPRODUCT('Data Tanah'!$L$7:$L$47,((((('Data Tanah'!$C$7:$C$47+A104-Input!$C$28*Input!$C$7)-ABS('Data Tanah'!$C$7:$C$47-(A104-Input!$C$28*Input!$C$7)))/2-(('Data Tanah'!$B$7:$B$47+MAX(Input!$C$22,Input!$C$27))+ABS('Data Tanah'!$B$7:$B$47-(MAX(Input!$C$22,Input!$C$27))))/2)+ABS((('Data Tanah'!$C$7:$C$47+A104-Input!$C$28*Input!$C$7)-ABS('Data Tanah'!$C$7:$C$47-(A104-Input!$C$28*Input!$C$7)))/2-(('Data Tanah'!$B$7:$B$47+MAX(Input!$C$22,Input!$C$27))+ABS('Data Tanah'!$B$7:$B$47-(MAX(Input!$C$22,Input!$C$27))))/2))/2))+IF(SUMPRODUCT(--('Data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Tanah'!$B$7:$B$47-(A104-1.5*Input!$C$7)))/2))/2))&gt;0,0,IFERROR(AVERAGEIFS('Data Tanah'!$N$7:$N$47,'Data Tanah'!$E$7:$E$47,"&gt;="&amp;(A104-Input!$C$36*Input!$C$7),'Data Tanah'!$E$7:$E$47,"&lt;="&amp;(A104+Input!$C$37*Input!$C$7)),INDEX('Data Tanah'!$N$7:$N$47,MATCH(A104,'Data Tanah'!$B$7:$B$47,1)))*Input!$C$9))</f>
      </c>
      <c r="F104" s="16">
        <f>Input!$C$9*(Input!$C$10*MAX(MIN(A104,Input!$C$14)-Input!$C$11,0)+(Input!$C$10-1)*MAX(A104-MAX(Input!$C$14,Input!$C$11),0))</f>
      </c>
      <c r="G104" s="30">
        <f t="shared" si="12"/>
      </c>
      <c r="H104" s="30">
        <f>IF(A104&lt;=Input!$C$22,NA(),E104/Input!$C$45-F104-G104)</f>
      </c>
      <c r="I104" s="25">
        <f t="shared" si="13"/>
      </c>
      <c r="J104" s="25">
        <f>Input!$C$50</f>
      </c>
      <c r="K104" s="13">
        <f t="shared" si="14"/>
      </c>
      <c r="L104" s="9">
        <f>IF(A104&lt;=Input!$C$22,IFERROR(INDEX('Data Tanah'!$M$7:$M$47,MATCH(A104,'Data Tanah'!$B$7:$B$47,1)),0),NA())</f>
      </c>
      <c r="M104" s="25">
        <f t="shared" si="15"/>
      </c>
      <c r="N104">
        <f t="shared" si="16"/>
      </c>
    </row>
    <row r="105" spans="1:14" x14ac:dyDescent="0.25">
      <c r="A105" s="20">
        <v>48.5</v>
      </c>
      <c r="B105" s="20">
        <f t="shared" si="11"/>
      </c>
      <c r="C105" s="20">
        <f>A105-Input!$C$11</f>
      </c>
      <c r="D105" s="31">
        <f>Input!$C$8*SUMPRODUCT('Data Tanah'!$M$7:$M$47,((((('Data Tanah'!$C$7:$C$47+MIN(A105,Input!$C$22))-ABS('Data Tanah'!$C$7:$C$47-(MIN(A105,Input!$C$22))))/2-(('Data Tanah'!$B$7:$B$47+Input!$C$11)+ABS('Data Tanah'!$B$7:$B$47-(Input!$C$11)))/2)+ABS((('Data Tanah'!$C$7:$C$47+MIN(A105,Input!$C$22))-ABS('Data Tanah'!$C$7:$C$47-(MIN(A105,Input!$C$22))))/2-(('Data Tanah'!$B$7:$B$47+Input!$C$11)+ABS('Data Tanah'!$B$7:$B$47-(Input!$C$11)))/2))/2))</f>
      </c>
      <c r="E105" s="31">
        <f>IF(A105&lt;=MAX(Input!$C$22,Input!$C$27),0,Input!$C$8*SUMPRODUCT('Data Tanah'!$L$7:$L$47,((((('Data Tanah'!$C$7:$C$47+A105-Input!$C$28*Input!$C$7)-ABS('Data Tanah'!$C$7:$C$47-(A105-Input!$C$28*Input!$C$7)))/2-(('Data Tanah'!$B$7:$B$47+MAX(Input!$C$22,Input!$C$27))+ABS('Data Tanah'!$B$7:$B$47-(MAX(Input!$C$22,Input!$C$27))))/2)+ABS((('Data Tanah'!$C$7:$C$47+A105-Input!$C$28*Input!$C$7)-ABS('Data Tanah'!$C$7:$C$47-(A105-Input!$C$28*Input!$C$7)))/2-(('Data Tanah'!$B$7:$B$47+MAX(Input!$C$22,Input!$C$27))+ABS('Data Tanah'!$B$7:$B$47-(MAX(Input!$C$22,Input!$C$27))))/2))/2))+IF(SUMPRODUCT(--('Data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Tanah'!$B$7:$B$47-(A105-1.5*Input!$C$7)))/2))/2))&gt;0,0,IFERROR(AVERAGEIFS('Data Tanah'!$N$7:$N$47,'Data Tanah'!$E$7:$E$47,"&gt;="&amp;(A105-Input!$C$36*Input!$C$7),'Data Tanah'!$E$7:$E$47,"&lt;="&amp;(A105+Input!$C$37*Input!$C$7)),INDEX('Data Tanah'!$N$7:$N$47,MATCH(A105,'Data Tanah'!$B$7:$B$47,1)))*Input!$C$9))</f>
      </c>
      <c r="F105" s="20">
        <f>Input!$C$9*(Input!$C$10*MAX(MIN(A105,Input!$C$14)-Input!$C$11,0)+(Input!$C$10-1)*MAX(A105-MAX(Input!$C$14,Input!$C$11),0))</f>
      </c>
      <c r="G105" s="31">
        <f t="shared" si="12"/>
      </c>
      <c r="H105" s="31">
        <f>IF(A105&lt;=Input!$C$22,NA(),E105/Input!$C$45-F105-G105)</f>
      </c>
      <c r="I105" s="32">
        <f t="shared" si="13"/>
      </c>
      <c r="J105" s="32">
        <f>Input!$C$50</f>
      </c>
      <c r="K105" s="33">
        <f t="shared" si="14"/>
      </c>
      <c r="L105" s="19">
        <f>IF(A105&lt;=Input!$C$22,IFERROR(INDEX('Data Tanah'!$M$7:$M$47,MATCH(A105,'Data Tanah'!$B$7:$B$47,1)),0),NA())</f>
      </c>
      <c r="M105" s="32">
        <f t="shared" si="15"/>
      </c>
      <c r="N105">
        <f t="shared" si="16"/>
      </c>
    </row>
    <row r="106" spans="1:14" x14ac:dyDescent="0.25">
      <c r="A106" s="16">
        <v>49</v>
      </c>
      <c r="B106" s="16">
        <f t="shared" si="11"/>
      </c>
      <c r="C106" s="16">
        <f>A106-Input!$C$11</f>
      </c>
      <c r="D106" s="30">
        <f>Input!$C$8*SUMPRODUCT('Data Tanah'!$M$7:$M$47,((((('Data Tanah'!$C$7:$C$47+MIN(A106,Input!$C$22))-ABS('Data Tanah'!$C$7:$C$47-(MIN(A106,Input!$C$22))))/2-(('Data Tanah'!$B$7:$B$47+Input!$C$11)+ABS('Data Tanah'!$B$7:$B$47-(Input!$C$11)))/2)+ABS((('Data Tanah'!$C$7:$C$47+MIN(A106,Input!$C$22))-ABS('Data Tanah'!$C$7:$C$47-(MIN(A106,Input!$C$22))))/2-(('Data Tanah'!$B$7:$B$47+Input!$C$11)+ABS('Data Tanah'!$B$7:$B$47-(Input!$C$11)))/2))/2))</f>
      </c>
      <c r="E106" s="30">
        <f>IF(A106&lt;=MAX(Input!$C$22,Input!$C$27),0,Input!$C$8*SUMPRODUCT('Data Tanah'!$L$7:$L$47,((((('Data Tanah'!$C$7:$C$47+A106-Input!$C$28*Input!$C$7)-ABS('Data Tanah'!$C$7:$C$47-(A106-Input!$C$28*Input!$C$7)))/2-(('Data Tanah'!$B$7:$B$47+MAX(Input!$C$22,Input!$C$27))+ABS('Data Tanah'!$B$7:$B$47-(MAX(Input!$C$22,Input!$C$27))))/2)+ABS((('Data Tanah'!$C$7:$C$47+A106-Input!$C$28*Input!$C$7)-ABS('Data Tanah'!$C$7:$C$47-(A106-Input!$C$28*Input!$C$7)))/2-(('Data Tanah'!$B$7:$B$47+MAX(Input!$C$22,Input!$C$27))+ABS('Data Tanah'!$B$7:$B$47-(MAX(Input!$C$22,Input!$C$27))))/2))/2))+IF(SUMPRODUCT(--('Data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Tanah'!$B$7:$B$47-(A106-1.5*Input!$C$7)))/2))/2))&gt;0,0,IFERROR(AVERAGEIFS('Data Tanah'!$N$7:$N$47,'Data Tanah'!$E$7:$E$47,"&gt;="&amp;(A106-Input!$C$36*Input!$C$7),'Data Tanah'!$E$7:$E$47,"&lt;="&amp;(A106+Input!$C$37*Input!$C$7)),INDEX('Data Tanah'!$N$7:$N$47,MATCH(A106,'Data Tanah'!$B$7:$B$47,1)))*Input!$C$9))</f>
      </c>
      <c r="F106" s="16">
        <f>Input!$C$9*(Input!$C$10*MAX(MIN(A106,Input!$C$14)-Input!$C$11,0)+(Input!$C$10-1)*MAX(A106-MAX(Input!$C$14,Input!$C$11),0))</f>
      </c>
      <c r="G106" s="30">
        <f t="shared" si="12"/>
      </c>
      <c r="H106" s="30">
        <f>IF(A106&lt;=Input!$C$22,NA(),E106/Input!$C$45-F106-G106)</f>
      </c>
      <c r="I106" s="25">
        <f t="shared" si="13"/>
      </c>
      <c r="J106" s="25">
        <f>Input!$C$50</f>
      </c>
      <c r="K106" s="13">
        <f t="shared" si="14"/>
      </c>
      <c r="L106" s="9">
        <f>IF(A106&lt;=Input!$C$22,IFERROR(INDEX('Data Tanah'!$M$7:$M$47,MATCH(A106,'Data Tanah'!$B$7:$B$47,1)),0),NA())</f>
      </c>
      <c r="M106" s="25">
        <f t="shared" si="15"/>
      </c>
      <c r="N106">
        <f t="shared" si="16"/>
      </c>
    </row>
    <row r="107" spans="1:14" x14ac:dyDescent="0.25">
      <c r="A107" s="20">
        <v>49.5</v>
      </c>
      <c r="B107" s="20">
        <f t="shared" si="11"/>
      </c>
      <c r="C107" s="20">
        <f>A107-Input!$C$11</f>
      </c>
      <c r="D107" s="31">
        <f>Input!$C$8*SUMPRODUCT('Data Tanah'!$M$7:$M$47,((((('Data Tanah'!$C$7:$C$47+MIN(A107,Input!$C$22))-ABS('Data Tanah'!$C$7:$C$47-(MIN(A107,Input!$C$22))))/2-(('Data Tanah'!$B$7:$B$47+Input!$C$11)+ABS('Data Tanah'!$B$7:$B$47-(Input!$C$11)))/2)+ABS((('Data Tanah'!$C$7:$C$47+MIN(A107,Input!$C$22))-ABS('Data Tanah'!$C$7:$C$47-(MIN(A107,Input!$C$22))))/2-(('Data Tanah'!$B$7:$B$47+Input!$C$11)+ABS('Data Tanah'!$B$7:$B$47-(Input!$C$11)))/2))/2))</f>
      </c>
      <c r="E107" s="31">
        <f>IF(A107&lt;=MAX(Input!$C$22,Input!$C$27),0,Input!$C$8*SUMPRODUCT('Data Tanah'!$L$7:$L$47,((((('Data Tanah'!$C$7:$C$47+A107-Input!$C$28*Input!$C$7)-ABS('Data Tanah'!$C$7:$C$47-(A107-Input!$C$28*Input!$C$7)))/2-(('Data Tanah'!$B$7:$B$47+MAX(Input!$C$22,Input!$C$27))+ABS('Data Tanah'!$B$7:$B$47-(MAX(Input!$C$22,Input!$C$27))))/2)+ABS((('Data Tanah'!$C$7:$C$47+A107-Input!$C$28*Input!$C$7)-ABS('Data Tanah'!$C$7:$C$47-(A107-Input!$C$28*Input!$C$7)))/2-(('Data Tanah'!$B$7:$B$47+MAX(Input!$C$22,Input!$C$27))+ABS('Data Tanah'!$B$7:$B$47-(MAX(Input!$C$22,Input!$C$27))))/2))/2))+IF(SUMPRODUCT(--('Data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Tanah'!$B$7:$B$47-(A107-1.5*Input!$C$7)))/2))/2))&gt;0,0,IFERROR(AVERAGEIFS('Data Tanah'!$N$7:$N$47,'Data Tanah'!$E$7:$E$47,"&gt;="&amp;(A107-Input!$C$36*Input!$C$7),'Data Tanah'!$E$7:$E$47,"&lt;="&amp;(A107+Input!$C$37*Input!$C$7)),INDEX('Data Tanah'!$N$7:$N$47,MATCH(A107,'Data Tanah'!$B$7:$B$47,1)))*Input!$C$9))</f>
      </c>
      <c r="F107" s="20">
        <f>Input!$C$9*(Input!$C$10*MAX(MIN(A107,Input!$C$14)-Input!$C$11,0)+(Input!$C$10-1)*MAX(A107-MAX(Input!$C$14,Input!$C$11),0))</f>
      </c>
      <c r="G107" s="31">
        <f t="shared" si="12"/>
      </c>
      <c r="H107" s="31">
        <f>IF(A107&lt;=Input!$C$22,NA(),E107/Input!$C$45-F107-G107)</f>
      </c>
      <c r="I107" s="32">
        <f t="shared" si="13"/>
      </c>
      <c r="J107" s="32">
        <f>Input!$C$50</f>
      </c>
      <c r="K107" s="33">
        <f t="shared" si="14"/>
      </c>
      <c r="L107" s="19">
        <f>IF(A107&lt;=Input!$C$22,IFERROR(INDEX('Data Tanah'!$M$7:$M$47,MATCH(A107,'Data Tanah'!$B$7:$B$47,1)),0),NA())</f>
      </c>
      <c r="M107" s="32">
        <f t="shared" si="15"/>
      </c>
      <c r="N107">
        <f t="shared" si="16"/>
      </c>
    </row>
    <row r="108" spans="1:14" x14ac:dyDescent="0.25">
      <c r="A108" s="16">
        <v>50</v>
      </c>
      <c r="B108" s="16">
        <f t="shared" ref="B108:B127" si="17">-A108</f>
      </c>
      <c r="C108" s="16">
        <f>A108-Input!$C$11</f>
      </c>
      <c r="D108" s="30">
        <f>Input!$C$8*SUMPRODUCT('Data Tanah'!$M$7:$M$47,((((('Data Tanah'!$C$7:$C$47+MIN(A108,Input!$C$22))-ABS('Data Tanah'!$C$7:$C$47-(MIN(A108,Input!$C$22))))/2-(('Data Tanah'!$B$7:$B$47+Input!$C$11)+ABS('Data Tanah'!$B$7:$B$47-(Input!$C$11)))/2)+ABS((('Data Tanah'!$C$7:$C$47+MIN(A108,Input!$C$22))-ABS('Data Tanah'!$C$7:$C$47-(MIN(A108,Input!$C$22))))/2-(('Data Tanah'!$B$7:$B$47+Input!$C$11)+ABS('Data Tanah'!$B$7:$B$47-(Input!$C$11)))/2))/2))</f>
      </c>
      <c r="E108" s="30">
        <f>IF(A108&lt;=MAX(Input!$C$22,Input!$C$27),0,Input!$C$8*SUMPRODUCT('Data Tanah'!$L$7:$L$47,((((('Data Tanah'!$C$7:$C$47+A108-Input!$C$28*Input!$C$7)-ABS('Data Tanah'!$C$7:$C$47-(A108-Input!$C$28*Input!$C$7)))/2-(('Data Tanah'!$B$7:$B$47+MAX(Input!$C$22,Input!$C$27))+ABS('Data Tanah'!$B$7:$B$47-(MAX(Input!$C$22,Input!$C$27))))/2)+ABS((('Data Tanah'!$C$7:$C$47+A108-Input!$C$28*Input!$C$7)-ABS('Data Tanah'!$C$7:$C$47-(A108-Input!$C$28*Input!$C$7)))/2-(('Data Tanah'!$B$7:$B$47+MAX(Input!$C$22,Input!$C$27))+ABS('Data Tanah'!$B$7:$B$47-(MAX(Input!$C$22,Input!$C$27))))/2))/2))+IF(SUMPRODUCT(--('Data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Tanah'!$B$7:$B$47-(A108-1.5*Input!$C$7)))/2))/2))&gt;0,0,IFERROR(AVERAGEIFS('Data Tanah'!$N$7:$N$47,'Data Tanah'!$E$7:$E$47,"&gt;="&amp;(A108-Input!$C$36*Input!$C$7),'Data Tanah'!$E$7:$E$47,"&lt;="&amp;(A108+Input!$C$37*Input!$C$7)),INDEX('Data Tanah'!$N$7:$N$47,MATCH(A108,'Data Tanah'!$B$7:$B$47,1)))*Input!$C$9))</f>
      </c>
      <c r="F108" s="16">
        <f>Input!$C$9*(Input!$C$10*MAX(MIN(A108,Input!$C$14)-Input!$C$11,0)+(Input!$C$10-1)*MAX(A108-MAX(Input!$C$14,Input!$C$11),0))</f>
      </c>
      <c r="G108" s="30">
        <f t="shared" ref="G108:G127" si="18">$D$127</f>
      </c>
      <c r="H108" s="30">
        <f>IF(A108&lt;=Input!$C$22,NA(),E108/Input!$C$45-F108-G108)</f>
      </c>
      <c r="I108" s="25">
        <f t="shared" ref="I108:I127" si="19">IFERROR(H108*9.81,NA())</f>
      </c>
      <c r="J108" s="25">
        <f>Input!$C$50</f>
      </c>
      <c r="K108" s="13">
        <f t="shared" ref="K108:K126" si="20">AND(IFERROR(I108&gt;=J108,FALSE),K109)</f>
      </c>
      <c r="L108" s="9">
        <f>IF(A108&lt;=Input!$C$22,IFERROR(INDEX('Data Tanah'!$M$7:$M$47,MATCH(A108,'Data Tanah'!$B$7:$B$47,1)),0),NA())</f>
      </c>
      <c r="M108" s="25">
        <f t="shared" ref="M108:M127" si="21">D108*9.81</f>
      </c>
      <c r="N108">
        <f t="shared" si="16"/>
      </c>
    </row>
    <row r="109" spans="1:14" x14ac:dyDescent="0.25">
      <c r="A109" s="20">
        <v>50.5</v>
      </c>
      <c r="B109" s="20">
        <f t="shared" si="17"/>
      </c>
      <c r="C109" s="20">
        <f>A109-Input!$C$11</f>
      </c>
      <c r="D109" s="31">
        <f>Input!$C$8*SUMPRODUCT('Data Tanah'!$M$7:$M$47,((((('Data Tanah'!$C$7:$C$47+MIN(A109,Input!$C$22))-ABS('Data Tanah'!$C$7:$C$47-(MIN(A109,Input!$C$22))))/2-(('Data Tanah'!$B$7:$B$47+Input!$C$11)+ABS('Data Tanah'!$B$7:$B$47-(Input!$C$11)))/2)+ABS((('Data Tanah'!$C$7:$C$47+MIN(A109,Input!$C$22))-ABS('Data Tanah'!$C$7:$C$47-(MIN(A109,Input!$C$22))))/2-(('Data Tanah'!$B$7:$B$47+Input!$C$11)+ABS('Data Tanah'!$B$7:$B$47-(Input!$C$11)))/2))/2))</f>
      </c>
      <c r="E109" s="31">
        <f>IF(A109&lt;=MAX(Input!$C$22,Input!$C$27),0,Input!$C$8*SUMPRODUCT('Data Tanah'!$L$7:$L$47,((((('Data Tanah'!$C$7:$C$47+A109-Input!$C$28*Input!$C$7)-ABS('Data Tanah'!$C$7:$C$47-(A109-Input!$C$28*Input!$C$7)))/2-(('Data Tanah'!$B$7:$B$47+MAX(Input!$C$22,Input!$C$27))+ABS('Data Tanah'!$B$7:$B$47-(MAX(Input!$C$22,Input!$C$27))))/2)+ABS((('Data Tanah'!$C$7:$C$47+A109-Input!$C$28*Input!$C$7)-ABS('Data Tanah'!$C$7:$C$47-(A109-Input!$C$28*Input!$C$7)))/2-(('Data Tanah'!$B$7:$B$47+MAX(Input!$C$22,Input!$C$27))+ABS('Data Tanah'!$B$7:$B$47-(MAX(Input!$C$22,Input!$C$27))))/2))/2))+IF(SUMPRODUCT(--('Data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Tanah'!$B$7:$B$47-(A109-1.5*Input!$C$7)))/2))/2))&gt;0,0,IFERROR(AVERAGEIFS('Data Tanah'!$N$7:$N$47,'Data Tanah'!$E$7:$E$47,"&gt;="&amp;(A109-Input!$C$36*Input!$C$7),'Data Tanah'!$E$7:$E$47,"&lt;="&amp;(A109+Input!$C$37*Input!$C$7)),INDEX('Data Tanah'!$N$7:$N$47,MATCH(A109,'Data Tanah'!$B$7:$B$47,1)))*Input!$C$9))</f>
      </c>
      <c r="F109" s="20">
        <f>Input!$C$9*(Input!$C$10*MAX(MIN(A109,Input!$C$14)-Input!$C$11,0)+(Input!$C$10-1)*MAX(A109-MAX(Input!$C$14,Input!$C$11),0))</f>
      </c>
      <c r="G109" s="31">
        <f t="shared" si="18"/>
      </c>
      <c r="H109" s="31">
        <f>IF(A109&lt;=Input!$C$22,NA(),E109/Input!$C$45-F109-G109)</f>
      </c>
      <c r="I109" s="32">
        <f t="shared" si="19"/>
      </c>
      <c r="J109" s="32">
        <f>Input!$C$50</f>
      </c>
      <c r="K109" s="33">
        <f t="shared" si="20"/>
      </c>
      <c r="L109" s="19">
        <f>IF(A109&lt;=Input!$C$22,IFERROR(INDEX('Data Tanah'!$M$7:$M$47,MATCH(A109,'Data Tanah'!$B$7:$B$47,1)),0),NA())</f>
      </c>
      <c r="M109" s="32">
        <f t="shared" si="21"/>
      </c>
      <c r="N109">
        <f t="shared" si="16"/>
      </c>
    </row>
    <row r="110" spans="1:14" x14ac:dyDescent="0.25">
      <c r="A110" s="16">
        <v>51</v>
      </c>
      <c r="B110" s="16">
        <f t="shared" si="17"/>
      </c>
      <c r="C110" s="16">
        <f>A110-Input!$C$11</f>
      </c>
      <c r="D110" s="30">
        <f>Input!$C$8*SUMPRODUCT('Data Tanah'!$M$7:$M$47,((((('Data Tanah'!$C$7:$C$47+MIN(A110,Input!$C$22))-ABS('Data Tanah'!$C$7:$C$47-(MIN(A110,Input!$C$22))))/2-(('Data Tanah'!$B$7:$B$47+Input!$C$11)+ABS('Data Tanah'!$B$7:$B$47-(Input!$C$11)))/2)+ABS((('Data Tanah'!$C$7:$C$47+MIN(A110,Input!$C$22))-ABS('Data Tanah'!$C$7:$C$47-(MIN(A110,Input!$C$22))))/2-(('Data Tanah'!$B$7:$B$47+Input!$C$11)+ABS('Data Tanah'!$B$7:$B$47-(Input!$C$11)))/2))/2))</f>
      </c>
      <c r="E110" s="30">
        <f>IF(A110&lt;=MAX(Input!$C$22,Input!$C$27),0,Input!$C$8*SUMPRODUCT('Data Tanah'!$L$7:$L$47,((((('Data Tanah'!$C$7:$C$47+A110-Input!$C$28*Input!$C$7)-ABS('Data Tanah'!$C$7:$C$47-(A110-Input!$C$28*Input!$C$7)))/2-(('Data Tanah'!$B$7:$B$47+MAX(Input!$C$22,Input!$C$27))+ABS('Data Tanah'!$B$7:$B$47-(MAX(Input!$C$22,Input!$C$27))))/2)+ABS((('Data Tanah'!$C$7:$C$47+A110-Input!$C$28*Input!$C$7)-ABS('Data Tanah'!$C$7:$C$47-(A110-Input!$C$28*Input!$C$7)))/2-(('Data Tanah'!$B$7:$B$47+MAX(Input!$C$22,Input!$C$27))+ABS('Data Tanah'!$B$7:$B$47-(MAX(Input!$C$22,Input!$C$27))))/2))/2))+IF(SUMPRODUCT(--('Data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Tanah'!$B$7:$B$47-(A110-1.5*Input!$C$7)))/2))/2))&gt;0,0,IFERROR(AVERAGEIFS('Data Tanah'!$N$7:$N$47,'Data Tanah'!$E$7:$E$47,"&gt;="&amp;(A110-Input!$C$36*Input!$C$7),'Data Tanah'!$E$7:$E$47,"&lt;="&amp;(A110+Input!$C$37*Input!$C$7)),INDEX('Data Tanah'!$N$7:$N$47,MATCH(A110,'Data Tanah'!$B$7:$B$47,1)))*Input!$C$9))</f>
      </c>
      <c r="F110" s="16">
        <f>Input!$C$9*(Input!$C$10*MAX(MIN(A110,Input!$C$14)-Input!$C$11,0)+(Input!$C$10-1)*MAX(A110-MAX(Input!$C$14,Input!$C$11),0))</f>
      </c>
      <c r="G110" s="30">
        <f t="shared" si="18"/>
      </c>
      <c r="H110" s="30">
        <f>IF(A110&lt;=Input!$C$22,NA(),E110/Input!$C$45-F110-G110)</f>
      </c>
      <c r="I110" s="25">
        <f t="shared" si="19"/>
      </c>
      <c r="J110" s="25">
        <f>Input!$C$50</f>
      </c>
      <c r="K110" s="13">
        <f t="shared" si="20"/>
      </c>
      <c r="L110" s="9">
        <f>IF(A110&lt;=Input!$C$22,IFERROR(INDEX('Data Tanah'!$M$7:$M$47,MATCH(A110,'Data Tanah'!$B$7:$B$47,1)),0),NA())</f>
      </c>
      <c r="M110" s="25">
        <f t="shared" si="21"/>
      </c>
      <c r="N110">
        <f t="shared" si="16"/>
      </c>
    </row>
    <row r="111" spans="1:14" x14ac:dyDescent="0.25">
      <c r="A111" s="20">
        <v>51.5</v>
      </c>
      <c r="B111" s="20">
        <f t="shared" si="17"/>
      </c>
      <c r="C111" s="20">
        <f>A111-Input!$C$11</f>
      </c>
      <c r="D111" s="31">
        <f>Input!$C$8*SUMPRODUCT('Data Tanah'!$M$7:$M$47,((((('Data Tanah'!$C$7:$C$47+MIN(A111,Input!$C$22))-ABS('Data Tanah'!$C$7:$C$47-(MIN(A111,Input!$C$22))))/2-(('Data Tanah'!$B$7:$B$47+Input!$C$11)+ABS('Data Tanah'!$B$7:$B$47-(Input!$C$11)))/2)+ABS((('Data Tanah'!$C$7:$C$47+MIN(A111,Input!$C$22))-ABS('Data Tanah'!$C$7:$C$47-(MIN(A111,Input!$C$22))))/2-(('Data Tanah'!$B$7:$B$47+Input!$C$11)+ABS('Data Tanah'!$B$7:$B$47-(Input!$C$11)))/2))/2))</f>
      </c>
      <c r="E111" s="31">
        <f>IF(A111&lt;=MAX(Input!$C$22,Input!$C$27),0,Input!$C$8*SUMPRODUCT('Data Tanah'!$L$7:$L$47,((((('Data Tanah'!$C$7:$C$47+A111-Input!$C$28*Input!$C$7)-ABS('Data Tanah'!$C$7:$C$47-(A111-Input!$C$28*Input!$C$7)))/2-(('Data Tanah'!$B$7:$B$47+MAX(Input!$C$22,Input!$C$27))+ABS('Data Tanah'!$B$7:$B$47-(MAX(Input!$C$22,Input!$C$27))))/2)+ABS((('Data Tanah'!$C$7:$C$47+A111-Input!$C$28*Input!$C$7)-ABS('Data Tanah'!$C$7:$C$47-(A111-Input!$C$28*Input!$C$7)))/2-(('Data Tanah'!$B$7:$B$47+MAX(Input!$C$22,Input!$C$27))+ABS('Data Tanah'!$B$7:$B$47-(MAX(Input!$C$22,Input!$C$27))))/2))/2))+IF(SUMPRODUCT(--('Data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Tanah'!$B$7:$B$47-(A111-1.5*Input!$C$7)))/2))/2))&gt;0,0,IFERROR(AVERAGEIFS('Data Tanah'!$N$7:$N$47,'Data Tanah'!$E$7:$E$47,"&gt;="&amp;(A111-Input!$C$36*Input!$C$7),'Data Tanah'!$E$7:$E$47,"&lt;="&amp;(A111+Input!$C$37*Input!$C$7)),INDEX('Data Tanah'!$N$7:$N$47,MATCH(A111,'Data Tanah'!$B$7:$B$47,1)))*Input!$C$9))</f>
      </c>
      <c r="F111" s="20">
        <f>Input!$C$9*(Input!$C$10*MAX(MIN(A111,Input!$C$14)-Input!$C$11,0)+(Input!$C$10-1)*MAX(A111-MAX(Input!$C$14,Input!$C$11),0))</f>
      </c>
      <c r="G111" s="31">
        <f t="shared" si="18"/>
      </c>
      <c r="H111" s="31">
        <f>IF(A111&lt;=Input!$C$22,NA(),E111/Input!$C$45-F111-G111)</f>
      </c>
      <c r="I111" s="32">
        <f t="shared" si="19"/>
      </c>
      <c r="J111" s="32">
        <f>Input!$C$50</f>
      </c>
      <c r="K111" s="33">
        <f t="shared" si="20"/>
      </c>
      <c r="L111" s="19">
        <f>IF(A111&lt;=Input!$C$22,IFERROR(INDEX('Data Tanah'!$M$7:$M$47,MATCH(A111,'Data Tanah'!$B$7:$B$47,1)),0),NA())</f>
      </c>
      <c r="M111" s="32">
        <f t="shared" si="21"/>
      </c>
      <c r="N111">
        <f t="shared" si="16"/>
      </c>
    </row>
    <row r="112" spans="1:14" x14ac:dyDescent="0.25">
      <c r="A112" s="16">
        <v>52</v>
      </c>
      <c r="B112" s="16">
        <f t="shared" si="17"/>
      </c>
      <c r="C112" s="16">
        <f>A112-Input!$C$11</f>
      </c>
      <c r="D112" s="30">
        <f>Input!$C$8*SUMPRODUCT('Data Tanah'!$M$7:$M$47,((((('Data Tanah'!$C$7:$C$47+MIN(A112,Input!$C$22))-ABS('Data Tanah'!$C$7:$C$47-(MIN(A112,Input!$C$22))))/2-(('Data Tanah'!$B$7:$B$47+Input!$C$11)+ABS('Data Tanah'!$B$7:$B$47-(Input!$C$11)))/2)+ABS((('Data Tanah'!$C$7:$C$47+MIN(A112,Input!$C$22))-ABS('Data Tanah'!$C$7:$C$47-(MIN(A112,Input!$C$22))))/2-(('Data Tanah'!$B$7:$B$47+Input!$C$11)+ABS('Data Tanah'!$B$7:$B$47-(Input!$C$11)))/2))/2))</f>
      </c>
      <c r="E112" s="30">
        <f>IF(A112&lt;=MAX(Input!$C$22,Input!$C$27),0,Input!$C$8*SUMPRODUCT('Data Tanah'!$L$7:$L$47,((((('Data Tanah'!$C$7:$C$47+A112-Input!$C$28*Input!$C$7)-ABS('Data Tanah'!$C$7:$C$47-(A112-Input!$C$28*Input!$C$7)))/2-(('Data Tanah'!$B$7:$B$47+MAX(Input!$C$22,Input!$C$27))+ABS('Data Tanah'!$B$7:$B$47-(MAX(Input!$C$22,Input!$C$27))))/2)+ABS((('Data Tanah'!$C$7:$C$47+A112-Input!$C$28*Input!$C$7)-ABS('Data Tanah'!$C$7:$C$47-(A112-Input!$C$28*Input!$C$7)))/2-(('Data Tanah'!$B$7:$B$47+MAX(Input!$C$22,Input!$C$27))+ABS('Data Tanah'!$B$7:$B$47-(MAX(Input!$C$22,Input!$C$27))))/2))/2))+IF(SUMPRODUCT(--('Data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Tanah'!$B$7:$B$47-(A112-1.5*Input!$C$7)))/2))/2))&gt;0,0,IFERROR(AVERAGEIFS('Data Tanah'!$N$7:$N$47,'Data Tanah'!$E$7:$E$47,"&gt;="&amp;(A112-Input!$C$36*Input!$C$7),'Data Tanah'!$E$7:$E$47,"&lt;="&amp;(A112+Input!$C$37*Input!$C$7)),INDEX('Data Tanah'!$N$7:$N$47,MATCH(A112,'Data Tanah'!$B$7:$B$47,1)))*Input!$C$9))</f>
      </c>
      <c r="F112" s="16">
        <f>Input!$C$9*(Input!$C$10*MAX(MIN(A112,Input!$C$14)-Input!$C$11,0)+(Input!$C$10-1)*MAX(A112-MAX(Input!$C$14,Input!$C$11),0))</f>
      </c>
      <c r="G112" s="30">
        <f t="shared" si="18"/>
      </c>
      <c r="H112" s="30">
        <f>IF(A112&lt;=Input!$C$22,NA(),E112/Input!$C$45-F112-G112)</f>
      </c>
      <c r="I112" s="25">
        <f t="shared" si="19"/>
      </c>
      <c r="J112" s="25">
        <f>Input!$C$50</f>
      </c>
      <c r="K112" s="13">
        <f t="shared" si="20"/>
      </c>
      <c r="L112" s="9">
        <f>IF(A112&lt;=Input!$C$22,IFERROR(INDEX('Data Tanah'!$M$7:$M$47,MATCH(A112,'Data Tanah'!$B$7:$B$47,1)),0),NA())</f>
      </c>
      <c r="M112" s="25">
        <f t="shared" si="21"/>
      </c>
      <c r="N112">
        <f t="shared" si="16"/>
      </c>
    </row>
    <row r="113" spans="1:14" x14ac:dyDescent="0.25">
      <c r="A113" s="20">
        <v>52.5</v>
      </c>
      <c r="B113" s="20">
        <f t="shared" si="17"/>
      </c>
      <c r="C113" s="20">
        <f>A113-Input!$C$11</f>
      </c>
      <c r="D113" s="31">
        <f>Input!$C$8*SUMPRODUCT('Data Tanah'!$M$7:$M$47,((((('Data Tanah'!$C$7:$C$47+MIN(A113,Input!$C$22))-ABS('Data Tanah'!$C$7:$C$47-(MIN(A113,Input!$C$22))))/2-(('Data Tanah'!$B$7:$B$47+Input!$C$11)+ABS('Data Tanah'!$B$7:$B$47-(Input!$C$11)))/2)+ABS((('Data Tanah'!$C$7:$C$47+MIN(A113,Input!$C$22))-ABS('Data Tanah'!$C$7:$C$47-(MIN(A113,Input!$C$22))))/2-(('Data Tanah'!$B$7:$B$47+Input!$C$11)+ABS('Data Tanah'!$B$7:$B$47-(Input!$C$11)))/2))/2))</f>
      </c>
      <c r="E113" s="31">
        <f>IF(A113&lt;=MAX(Input!$C$22,Input!$C$27),0,Input!$C$8*SUMPRODUCT('Data Tanah'!$L$7:$L$47,((((('Data Tanah'!$C$7:$C$47+A113-Input!$C$28*Input!$C$7)-ABS('Data Tanah'!$C$7:$C$47-(A113-Input!$C$28*Input!$C$7)))/2-(('Data Tanah'!$B$7:$B$47+MAX(Input!$C$22,Input!$C$27))+ABS('Data Tanah'!$B$7:$B$47-(MAX(Input!$C$22,Input!$C$27))))/2)+ABS((('Data Tanah'!$C$7:$C$47+A113-Input!$C$28*Input!$C$7)-ABS('Data Tanah'!$C$7:$C$47-(A113-Input!$C$28*Input!$C$7)))/2-(('Data Tanah'!$B$7:$B$47+MAX(Input!$C$22,Input!$C$27))+ABS('Data Tanah'!$B$7:$B$47-(MAX(Input!$C$22,Input!$C$27))))/2))/2))+IF(SUMPRODUCT(--('Data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Tanah'!$B$7:$B$47-(A113-1.5*Input!$C$7)))/2))/2))&gt;0,0,IFERROR(AVERAGEIFS('Data Tanah'!$N$7:$N$47,'Data Tanah'!$E$7:$E$47,"&gt;="&amp;(A113-Input!$C$36*Input!$C$7),'Data Tanah'!$E$7:$E$47,"&lt;="&amp;(A113+Input!$C$37*Input!$C$7)),INDEX('Data Tanah'!$N$7:$N$47,MATCH(A113,'Data Tanah'!$B$7:$B$47,1)))*Input!$C$9))</f>
      </c>
      <c r="F113" s="20">
        <f>Input!$C$9*(Input!$C$10*MAX(MIN(A113,Input!$C$14)-Input!$C$11,0)+(Input!$C$10-1)*MAX(A113-MAX(Input!$C$14,Input!$C$11),0))</f>
      </c>
      <c r="G113" s="31">
        <f t="shared" si="18"/>
      </c>
      <c r="H113" s="31">
        <f>IF(A113&lt;=Input!$C$22,NA(),E113/Input!$C$45-F113-G113)</f>
      </c>
      <c r="I113" s="32">
        <f t="shared" si="19"/>
      </c>
      <c r="J113" s="32">
        <f>Input!$C$50</f>
      </c>
      <c r="K113" s="33">
        <f t="shared" si="20"/>
      </c>
      <c r="L113" s="19">
        <f>IF(A113&lt;=Input!$C$22,IFERROR(INDEX('Data Tanah'!$M$7:$M$47,MATCH(A113,'Data Tanah'!$B$7:$B$47,1)),0),NA())</f>
      </c>
      <c r="M113" s="32">
        <f t="shared" si="21"/>
      </c>
      <c r="N113">
        <f t="shared" si="16"/>
      </c>
    </row>
    <row r="114" spans="1:14" x14ac:dyDescent="0.25">
      <c r="A114" s="16">
        <v>53</v>
      </c>
      <c r="B114" s="16">
        <f t="shared" si="17"/>
      </c>
      <c r="C114" s="16">
        <f>A114-Input!$C$11</f>
      </c>
      <c r="D114" s="30">
        <f>Input!$C$8*SUMPRODUCT('Data Tanah'!$M$7:$M$47,((((('Data Tanah'!$C$7:$C$47+MIN(A114,Input!$C$22))-ABS('Data Tanah'!$C$7:$C$47-(MIN(A114,Input!$C$22))))/2-(('Data Tanah'!$B$7:$B$47+Input!$C$11)+ABS('Data Tanah'!$B$7:$B$47-(Input!$C$11)))/2)+ABS((('Data Tanah'!$C$7:$C$47+MIN(A114,Input!$C$22))-ABS('Data Tanah'!$C$7:$C$47-(MIN(A114,Input!$C$22))))/2-(('Data Tanah'!$B$7:$B$47+Input!$C$11)+ABS('Data Tanah'!$B$7:$B$47-(Input!$C$11)))/2))/2))</f>
      </c>
      <c r="E114" s="30">
        <f>IF(A114&lt;=MAX(Input!$C$22,Input!$C$27),0,Input!$C$8*SUMPRODUCT('Data Tanah'!$L$7:$L$47,((((('Data Tanah'!$C$7:$C$47+A114-Input!$C$28*Input!$C$7)-ABS('Data Tanah'!$C$7:$C$47-(A114-Input!$C$28*Input!$C$7)))/2-(('Data Tanah'!$B$7:$B$47+MAX(Input!$C$22,Input!$C$27))+ABS('Data Tanah'!$B$7:$B$47-(MAX(Input!$C$22,Input!$C$27))))/2)+ABS((('Data Tanah'!$C$7:$C$47+A114-Input!$C$28*Input!$C$7)-ABS('Data Tanah'!$C$7:$C$47-(A114-Input!$C$28*Input!$C$7)))/2-(('Data Tanah'!$B$7:$B$47+MAX(Input!$C$22,Input!$C$27))+ABS('Data Tanah'!$B$7:$B$47-(MAX(Input!$C$22,Input!$C$27))))/2))/2))+IF(SUMPRODUCT(--('Data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Tanah'!$B$7:$B$47-(A114-1.5*Input!$C$7)))/2))/2))&gt;0,0,IFERROR(AVERAGEIFS('Data Tanah'!$N$7:$N$47,'Data Tanah'!$E$7:$E$47,"&gt;="&amp;(A114-Input!$C$36*Input!$C$7),'Data Tanah'!$E$7:$E$47,"&lt;="&amp;(A114+Input!$C$37*Input!$C$7)),INDEX('Data Tanah'!$N$7:$N$47,MATCH(A114,'Data Tanah'!$B$7:$B$47,1)))*Input!$C$9))</f>
      </c>
      <c r="F114" s="16">
        <f>Input!$C$9*(Input!$C$10*MAX(MIN(A114,Input!$C$14)-Input!$C$11,0)+(Input!$C$10-1)*MAX(A114-MAX(Input!$C$14,Input!$C$11),0))</f>
      </c>
      <c r="G114" s="30">
        <f t="shared" si="18"/>
      </c>
      <c r="H114" s="30">
        <f>IF(A114&lt;=Input!$C$22,NA(),E114/Input!$C$45-F114-G114)</f>
      </c>
      <c r="I114" s="25">
        <f t="shared" si="19"/>
      </c>
      <c r="J114" s="25">
        <f>Input!$C$50</f>
      </c>
      <c r="K114" s="13">
        <f t="shared" si="20"/>
      </c>
      <c r="L114" s="9">
        <f>IF(A114&lt;=Input!$C$22,IFERROR(INDEX('Data Tanah'!$M$7:$M$47,MATCH(A114,'Data Tanah'!$B$7:$B$47,1)),0),NA())</f>
      </c>
      <c r="M114" s="25">
        <f t="shared" si="21"/>
      </c>
      <c r="N114">
        <f t="shared" si="16"/>
      </c>
    </row>
    <row r="115" spans="1:14" x14ac:dyDescent="0.25">
      <c r="A115" s="20">
        <v>53.5</v>
      </c>
      <c r="B115" s="20">
        <f t="shared" si="17"/>
      </c>
      <c r="C115" s="20">
        <f>A115-Input!$C$11</f>
      </c>
      <c r="D115" s="31">
        <f>Input!$C$8*SUMPRODUCT('Data Tanah'!$M$7:$M$47,((((('Data Tanah'!$C$7:$C$47+MIN(A115,Input!$C$22))-ABS('Data Tanah'!$C$7:$C$47-(MIN(A115,Input!$C$22))))/2-(('Data Tanah'!$B$7:$B$47+Input!$C$11)+ABS('Data Tanah'!$B$7:$B$47-(Input!$C$11)))/2)+ABS((('Data Tanah'!$C$7:$C$47+MIN(A115,Input!$C$22))-ABS('Data Tanah'!$C$7:$C$47-(MIN(A115,Input!$C$22))))/2-(('Data Tanah'!$B$7:$B$47+Input!$C$11)+ABS('Data Tanah'!$B$7:$B$47-(Input!$C$11)))/2))/2))</f>
      </c>
      <c r="E115" s="31">
        <f>IF(A115&lt;=MAX(Input!$C$22,Input!$C$27),0,Input!$C$8*SUMPRODUCT('Data Tanah'!$L$7:$L$47,((((('Data Tanah'!$C$7:$C$47+A115-Input!$C$28*Input!$C$7)-ABS('Data Tanah'!$C$7:$C$47-(A115-Input!$C$28*Input!$C$7)))/2-(('Data Tanah'!$B$7:$B$47+MAX(Input!$C$22,Input!$C$27))+ABS('Data Tanah'!$B$7:$B$47-(MAX(Input!$C$22,Input!$C$27))))/2)+ABS((('Data Tanah'!$C$7:$C$47+A115-Input!$C$28*Input!$C$7)-ABS('Data Tanah'!$C$7:$C$47-(A115-Input!$C$28*Input!$C$7)))/2-(('Data Tanah'!$B$7:$B$47+MAX(Input!$C$22,Input!$C$27))+ABS('Data Tanah'!$B$7:$B$47-(MAX(Input!$C$22,Input!$C$27))))/2))/2))+IF(SUMPRODUCT(--('Data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Tanah'!$B$7:$B$47-(A115-1.5*Input!$C$7)))/2))/2))&gt;0,0,IFERROR(AVERAGEIFS('Data Tanah'!$N$7:$N$47,'Data Tanah'!$E$7:$E$47,"&gt;="&amp;(A115-Input!$C$36*Input!$C$7),'Data Tanah'!$E$7:$E$47,"&lt;="&amp;(A115+Input!$C$37*Input!$C$7)),INDEX('Data Tanah'!$N$7:$N$47,MATCH(A115,'Data Tanah'!$B$7:$B$47,1)))*Input!$C$9))</f>
      </c>
      <c r="F115" s="20">
        <f>Input!$C$9*(Input!$C$10*MAX(MIN(A115,Input!$C$14)-Input!$C$11,0)+(Input!$C$10-1)*MAX(A115-MAX(Input!$C$14,Input!$C$11),0))</f>
      </c>
      <c r="G115" s="31">
        <f t="shared" si="18"/>
      </c>
      <c r="H115" s="31">
        <f>IF(A115&lt;=Input!$C$22,NA(),E115/Input!$C$45-F115-G115)</f>
      </c>
      <c r="I115" s="32">
        <f t="shared" si="19"/>
      </c>
      <c r="J115" s="32">
        <f>Input!$C$50</f>
      </c>
      <c r="K115" s="33">
        <f t="shared" si="20"/>
      </c>
      <c r="L115" s="19">
        <f>IF(A115&lt;=Input!$C$22,IFERROR(INDEX('Data Tanah'!$M$7:$M$47,MATCH(A115,'Data Tanah'!$B$7:$B$47,1)),0),NA())</f>
      </c>
      <c r="M115" s="32">
        <f t="shared" si="21"/>
      </c>
      <c r="N115">
        <f t="shared" si="16"/>
      </c>
    </row>
    <row r="116" spans="1:14" x14ac:dyDescent="0.25">
      <c r="A116" s="16">
        <v>54</v>
      </c>
      <c r="B116" s="16">
        <f t="shared" si="17"/>
      </c>
      <c r="C116" s="16">
        <f>A116-Input!$C$11</f>
      </c>
      <c r="D116" s="30">
        <f>Input!$C$8*SUMPRODUCT('Data Tanah'!$M$7:$M$47,((((('Data Tanah'!$C$7:$C$47+MIN(A116,Input!$C$22))-ABS('Data Tanah'!$C$7:$C$47-(MIN(A116,Input!$C$22))))/2-(('Data Tanah'!$B$7:$B$47+Input!$C$11)+ABS('Data Tanah'!$B$7:$B$47-(Input!$C$11)))/2)+ABS((('Data Tanah'!$C$7:$C$47+MIN(A116,Input!$C$22))-ABS('Data Tanah'!$C$7:$C$47-(MIN(A116,Input!$C$22))))/2-(('Data Tanah'!$B$7:$B$47+Input!$C$11)+ABS('Data Tanah'!$B$7:$B$47-(Input!$C$11)))/2))/2))</f>
      </c>
      <c r="E116" s="30">
        <f>IF(A116&lt;=MAX(Input!$C$22,Input!$C$27),0,Input!$C$8*SUMPRODUCT('Data Tanah'!$L$7:$L$47,((((('Data Tanah'!$C$7:$C$47+A116-Input!$C$28*Input!$C$7)-ABS('Data Tanah'!$C$7:$C$47-(A116-Input!$C$28*Input!$C$7)))/2-(('Data Tanah'!$B$7:$B$47+MAX(Input!$C$22,Input!$C$27))+ABS('Data Tanah'!$B$7:$B$47-(MAX(Input!$C$22,Input!$C$27))))/2)+ABS((('Data Tanah'!$C$7:$C$47+A116-Input!$C$28*Input!$C$7)-ABS('Data Tanah'!$C$7:$C$47-(A116-Input!$C$28*Input!$C$7)))/2-(('Data Tanah'!$B$7:$B$47+MAX(Input!$C$22,Input!$C$27))+ABS('Data Tanah'!$B$7:$B$47-(MAX(Input!$C$22,Input!$C$27))))/2))/2))+IF(SUMPRODUCT(--('Data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Tanah'!$B$7:$B$47-(A116-1.5*Input!$C$7)))/2))/2))&gt;0,0,IFERROR(AVERAGEIFS('Data Tanah'!$N$7:$N$47,'Data Tanah'!$E$7:$E$47,"&gt;="&amp;(A116-Input!$C$36*Input!$C$7),'Data Tanah'!$E$7:$E$47,"&lt;="&amp;(A116+Input!$C$37*Input!$C$7)),INDEX('Data Tanah'!$N$7:$N$47,MATCH(A116,'Data Tanah'!$B$7:$B$47,1)))*Input!$C$9))</f>
      </c>
      <c r="F116" s="16">
        <f>Input!$C$9*(Input!$C$10*MAX(MIN(A116,Input!$C$14)-Input!$C$11,0)+(Input!$C$10-1)*MAX(A116-MAX(Input!$C$14,Input!$C$11),0))</f>
      </c>
      <c r="G116" s="30">
        <f t="shared" si="18"/>
      </c>
      <c r="H116" s="30">
        <f>IF(A116&lt;=Input!$C$22,NA(),E116/Input!$C$45-F116-G116)</f>
      </c>
      <c r="I116" s="25">
        <f t="shared" si="19"/>
      </c>
      <c r="J116" s="25">
        <f>Input!$C$50</f>
      </c>
      <c r="K116" s="13">
        <f t="shared" si="20"/>
      </c>
      <c r="L116" s="9">
        <f>IF(A116&lt;=Input!$C$22,IFERROR(INDEX('Data Tanah'!$M$7:$M$47,MATCH(A116,'Data Tanah'!$B$7:$B$47,1)),0),NA())</f>
      </c>
      <c r="M116" s="25">
        <f t="shared" si="21"/>
      </c>
      <c r="N116">
        <f t="shared" si="16"/>
      </c>
    </row>
    <row r="117" spans="1:14" x14ac:dyDescent="0.25">
      <c r="A117" s="20">
        <v>54.5</v>
      </c>
      <c r="B117" s="20">
        <f t="shared" si="17"/>
      </c>
      <c r="C117" s="20">
        <f>A117-Input!$C$11</f>
      </c>
      <c r="D117" s="31">
        <f>Input!$C$8*SUMPRODUCT('Data Tanah'!$M$7:$M$47,((((('Data Tanah'!$C$7:$C$47+MIN(A117,Input!$C$22))-ABS('Data Tanah'!$C$7:$C$47-(MIN(A117,Input!$C$22))))/2-(('Data Tanah'!$B$7:$B$47+Input!$C$11)+ABS('Data Tanah'!$B$7:$B$47-(Input!$C$11)))/2)+ABS((('Data Tanah'!$C$7:$C$47+MIN(A117,Input!$C$22))-ABS('Data Tanah'!$C$7:$C$47-(MIN(A117,Input!$C$22))))/2-(('Data Tanah'!$B$7:$B$47+Input!$C$11)+ABS('Data Tanah'!$B$7:$B$47-(Input!$C$11)))/2))/2))</f>
      </c>
      <c r="E117" s="31">
        <f>IF(A117&lt;=MAX(Input!$C$22,Input!$C$27),0,Input!$C$8*SUMPRODUCT('Data Tanah'!$L$7:$L$47,((((('Data Tanah'!$C$7:$C$47+A117-Input!$C$28*Input!$C$7)-ABS('Data Tanah'!$C$7:$C$47-(A117-Input!$C$28*Input!$C$7)))/2-(('Data Tanah'!$B$7:$B$47+MAX(Input!$C$22,Input!$C$27))+ABS('Data Tanah'!$B$7:$B$47-(MAX(Input!$C$22,Input!$C$27))))/2)+ABS((('Data Tanah'!$C$7:$C$47+A117-Input!$C$28*Input!$C$7)-ABS('Data Tanah'!$C$7:$C$47-(A117-Input!$C$28*Input!$C$7)))/2-(('Data Tanah'!$B$7:$B$47+MAX(Input!$C$22,Input!$C$27))+ABS('Data Tanah'!$B$7:$B$47-(MAX(Input!$C$22,Input!$C$27))))/2))/2))+IF(SUMPRODUCT(--('Data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Tanah'!$B$7:$B$47-(A117-1.5*Input!$C$7)))/2))/2))&gt;0,0,IFERROR(AVERAGEIFS('Data Tanah'!$N$7:$N$47,'Data Tanah'!$E$7:$E$47,"&gt;="&amp;(A117-Input!$C$36*Input!$C$7),'Data Tanah'!$E$7:$E$47,"&lt;="&amp;(A117+Input!$C$37*Input!$C$7)),INDEX('Data Tanah'!$N$7:$N$47,MATCH(A117,'Data Tanah'!$B$7:$B$47,1)))*Input!$C$9))</f>
      </c>
      <c r="F117" s="20">
        <f>Input!$C$9*(Input!$C$10*MAX(MIN(A117,Input!$C$14)-Input!$C$11,0)+(Input!$C$10-1)*MAX(A117-MAX(Input!$C$14,Input!$C$11),0))</f>
      </c>
      <c r="G117" s="31">
        <f t="shared" si="18"/>
      </c>
      <c r="H117" s="31">
        <f>IF(A117&lt;=Input!$C$22,NA(),E117/Input!$C$45-F117-G117)</f>
      </c>
      <c r="I117" s="32">
        <f t="shared" si="19"/>
      </c>
      <c r="J117" s="32">
        <f>Input!$C$50</f>
      </c>
      <c r="K117" s="33">
        <f t="shared" si="20"/>
      </c>
      <c r="L117" s="19">
        <f>IF(A117&lt;=Input!$C$22,IFERROR(INDEX('Data Tanah'!$M$7:$M$47,MATCH(A117,'Data Tanah'!$B$7:$B$47,1)),0),NA())</f>
      </c>
      <c r="M117" s="32">
        <f t="shared" si="21"/>
      </c>
      <c r="N117">
        <f t="shared" si="16"/>
      </c>
    </row>
    <row r="118" spans="1:14" x14ac:dyDescent="0.25">
      <c r="A118" s="16">
        <v>55</v>
      </c>
      <c r="B118" s="16">
        <f t="shared" si="17"/>
      </c>
      <c r="C118" s="16">
        <f>A118-Input!$C$11</f>
      </c>
      <c r="D118" s="30">
        <f>Input!$C$8*SUMPRODUCT('Data Tanah'!$M$7:$M$47,((((('Data Tanah'!$C$7:$C$47+MIN(A118,Input!$C$22))-ABS('Data Tanah'!$C$7:$C$47-(MIN(A118,Input!$C$22))))/2-(('Data Tanah'!$B$7:$B$47+Input!$C$11)+ABS('Data Tanah'!$B$7:$B$47-(Input!$C$11)))/2)+ABS((('Data Tanah'!$C$7:$C$47+MIN(A118,Input!$C$22))-ABS('Data Tanah'!$C$7:$C$47-(MIN(A118,Input!$C$22))))/2-(('Data Tanah'!$B$7:$B$47+Input!$C$11)+ABS('Data Tanah'!$B$7:$B$47-(Input!$C$11)))/2))/2))</f>
      </c>
      <c r="E118" s="30">
        <f>IF(A118&lt;=MAX(Input!$C$22,Input!$C$27),0,Input!$C$8*SUMPRODUCT('Data Tanah'!$L$7:$L$47,((((('Data Tanah'!$C$7:$C$47+A118-Input!$C$28*Input!$C$7)-ABS('Data Tanah'!$C$7:$C$47-(A118-Input!$C$28*Input!$C$7)))/2-(('Data Tanah'!$B$7:$B$47+MAX(Input!$C$22,Input!$C$27))+ABS('Data Tanah'!$B$7:$B$47-(MAX(Input!$C$22,Input!$C$27))))/2)+ABS((('Data Tanah'!$C$7:$C$47+A118-Input!$C$28*Input!$C$7)-ABS('Data Tanah'!$C$7:$C$47-(A118-Input!$C$28*Input!$C$7)))/2-(('Data Tanah'!$B$7:$B$47+MAX(Input!$C$22,Input!$C$27))+ABS('Data Tanah'!$B$7:$B$47-(MAX(Input!$C$22,Input!$C$27))))/2))/2))+IF(SUMPRODUCT(--('Data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Tanah'!$B$7:$B$47-(A118-1.5*Input!$C$7)))/2))/2))&gt;0,0,IFERROR(AVERAGEIFS('Data Tanah'!$N$7:$N$47,'Data Tanah'!$E$7:$E$47,"&gt;="&amp;(A118-Input!$C$36*Input!$C$7),'Data Tanah'!$E$7:$E$47,"&lt;="&amp;(A118+Input!$C$37*Input!$C$7)),INDEX('Data Tanah'!$N$7:$N$47,MATCH(A118,'Data Tanah'!$B$7:$B$47,1)))*Input!$C$9))</f>
      </c>
      <c r="F118" s="16">
        <f>Input!$C$9*(Input!$C$10*MAX(MIN(A118,Input!$C$14)-Input!$C$11,0)+(Input!$C$10-1)*MAX(A118-MAX(Input!$C$14,Input!$C$11),0))</f>
      </c>
      <c r="G118" s="30">
        <f t="shared" si="18"/>
      </c>
      <c r="H118" s="30">
        <f>IF(A118&lt;=Input!$C$22,NA(),E118/Input!$C$45-F118-G118)</f>
      </c>
      <c r="I118" s="25">
        <f t="shared" si="19"/>
      </c>
      <c r="J118" s="25">
        <f>Input!$C$50</f>
      </c>
      <c r="K118" s="13">
        <f t="shared" si="20"/>
      </c>
      <c r="L118" s="9">
        <f>IF(A118&lt;=Input!$C$22,IFERROR(INDEX('Data Tanah'!$M$7:$M$47,MATCH(A118,'Data Tanah'!$B$7:$B$47,1)),0),NA())</f>
      </c>
      <c r="M118" s="25">
        <f t="shared" si="21"/>
      </c>
      <c r="N118">
        <f t="shared" si="16"/>
      </c>
    </row>
    <row r="119" spans="1:14" x14ac:dyDescent="0.25">
      <c r="A119" s="20">
        <v>55.5</v>
      </c>
      <c r="B119" s="20">
        <f t="shared" si="17"/>
      </c>
      <c r="C119" s="20">
        <f>A119-Input!$C$11</f>
      </c>
      <c r="D119" s="31">
        <f>Input!$C$8*SUMPRODUCT('Data Tanah'!$M$7:$M$47,((((('Data Tanah'!$C$7:$C$47+MIN(A119,Input!$C$22))-ABS('Data Tanah'!$C$7:$C$47-(MIN(A119,Input!$C$22))))/2-(('Data Tanah'!$B$7:$B$47+Input!$C$11)+ABS('Data Tanah'!$B$7:$B$47-(Input!$C$11)))/2)+ABS((('Data Tanah'!$C$7:$C$47+MIN(A119,Input!$C$22))-ABS('Data Tanah'!$C$7:$C$47-(MIN(A119,Input!$C$22))))/2-(('Data Tanah'!$B$7:$B$47+Input!$C$11)+ABS('Data Tanah'!$B$7:$B$47-(Input!$C$11)))/2))/2))</f>
      </c>
      <c r="E119" s="31">
        <f>IF(A119&lt;=MAX(Input!$C$22,Input!$C$27),0,Input!$C$8*SUMPRODUCT('Data Tanah'!$L$7:$L$47,((((('Data Tanah'!$C$7:$C$47+A119-Input!$C$28*Input!$C$7)-ABS('Data Tanah'!$C$7:$C$47-(A119-Input!$C$28*Input!$C$7)))/2-(('Data Tanah'!$B$7:$B$47+MAX(Input!$C$22,Input!$C$27))+ABS('Data Tanah'!$B$7:$B$47-(MAX(Input!$C$22,Input!$C$27))))/2)+ABS((('Data Tanah'!$C$7:$C$47+A119-Input!$C$28*Input!$C$7)-ABS('Data Tanah'!$C$7:$C$47-(A119-Input!$C$28*Input!$C$7)))/2-(('Data Tanah'!$B$7:$B$47+MAX(Input!$C$22,Input!$C$27))+ABS('Data Tanah'!$B$7:$B$47-(MAX(Input!$C$22,Input!$C$27))))/2))/2))+IF(SUMPRODUCT(--('Data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Tanah'!$B$7:$B$47-(A119-1.5*Input!$C$7)))/2))/2))&gt;0,0,IFERROR(AVERAGEIFS('Data Tanah'!$N$7:$N$47,'Data Tanah'!$E$7:$E$47,"&gt;="&amp;(A119-Input!$C$36*Input!$C$7),'Data Tanah'!$E$7:$E$47,"&lt;="&amp;(A119+Input!$C$37*Input!$C$7)),INDEX('Data Tanah'!$N$7:$N$47,MATCH(A119,'Data Tanah'!$B$7:$B$47,1)))*Input!$C$9))</f>
      </c>
      <c r="F119" s="20">
        <f>Input!$C$9*(Input!$C$10*MAX(MIN(A119,Input!$C$14)-Input!$C$11,0)+(Input!$C$10-1)*MAX(A119-MAX(Input!$C$14,Input!$C$11),0))</f>
      </c>
      <c r="G119" s="31">
        <f t="shared" si="18"/>
      </c>
      <c r="H119" s="31">
        <f>IF(A119&lt;=Input!$C$22,NA(),E119/Input!$C$45-F119-G119)</f>
      </c>
      <c r="I119" s="32">
        <f t="shared" si="19"/>
      </c>
      <c r="J119" s="32">
        <f>Input!$C$50</f>
      </c>
      <c r="K119" s="33">
        <f t="shared" si="20"/>
      </c>
      <c r="L119" s="19">
        <f>IF(A119&lt;=Input!$C$22,IFERROR(INDEX('Data Tanah'!$M$7:$M$47,MATCH(A119,'Data Tanah'!$B$7:$B$47,1)),0),NA())</f>
      </c>
      <c r="M119" s="32">
        <f t="shared" si="21"/>
      </c>
      <c r="N119">
        <f t="shared" si="16"/>
      </c>
    </row>
    <row r="120" spans="1:14" x14ac:dyDescent="0.25">
      <c r="A120" s="16">
        <v>56</v>
      </c>
      <c r="B120" s="16">
        <f t="shared" si="17"/>
      </c>
      <c r="C120" s="16">
        <f>A120-Input!$C$11</f>
      </c>
      <c r="D120" s="30">
        <f>Input!$C$8*SUMPRODUCT('Data Tanah'!$M$7:$M$47,((((('Data Tanah'!$C$7:$C$47+MIN(A120,Input!$C$22))-ABS('Data Tanah'!$C$7:$C$47-(MIN(A120,Input!$C$22))))/2-(('Data Tanah'!$B$7:$B$47+Input!$C$11)+ABS('Data Tanah'!$B$7:$B$47-(Input!$C$11)))/2)+ABS((('Data Tanah'!$C$7:$C$47+MIN(A120,Input!$C$22))-ABS('Data Tanah'!$C$7:$C$47-(MIN(A120,Input!$C$22))))/2-(('Data Tanah'!$B$7:$B$47+Input!$C$11)+ABS('Data Tanah'!$B$7:$B$47-(Input!$C$11)))/2))/2))</f>
      </c>
      <c r="E120" s="30">
        <f>IF(A120&lt;=MAX(Input!$C$22,Input!$C$27),0,Input!$C$8*SUMPRODUCT('Data Tanah'!$L$7:$L$47,((((('Data Tanah'!$C$7:$C$47+A120-Input!$C$28*Input!$C$7)-ABS('Data Tanah'!$C$7:$C$47-(A120-Input!$C$28*Input!$C$7)))/2-(('Data Tanah'!$B$7:$B$47+MAX(Input!$C$22,Input!$C$27))+ABS('Data Tanah'!$B$7:$B$47-(MAX(Input!$C$22,Input!$C$27))))/2)+ABS((('Data Tanah'!$C$7:$C$47+A120-Input!$C$28*Input!$C$7)-ABS('Data Tanah'!$C$7:$C$47-(A120-Input!$C$28*Input!$C$7)))/2-(('Data Tanah'!$B$7:$B$47+MAX(Input!$C$22,Input!$C$27))+ABS('Data Tanah'!$B$7:$B$47-(MAX(Input!$C$22,Input!$C$27))))/2))/2))+IF(SUMPRODUCT(--('Data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Tanah'!$B$7:$B$47-(A120-1.5*Input!$C$7)))/2))/2))&gt;0,0,IFERROR(AVERAGEIFS('Data Tanah'!$N$7:$N$47,'Data Tanah'!$E$7:$E$47,"&gt;="&amp;(A120-Input!$C$36*Input!$C$7),'Data Tanah'!$E$7:$E$47,"&lt;="&amp;(A120+Input!$C$37*Input!$C$7)),INDEX('Data Tanah'!$N$7:$N$47,MATCH(A120,'Data Tanah'!$B$7:$B$47,1)))*Input!$C$9))</f>
      </c>
      <c r="F120" s="16">
        <f>Input!$C$9*(Input!$C$10*MAX(MIN(A120,Input!$C$14)-Input!$C$11,0)+(Input!$C$10-1)*MAX(A120-MAX(Input!$C$14,Input!$C$11),0))</f>
      </c>
      <c r="G120" s="30">
        <f t="shared" si="18"/>
      </c>
      <c r="H120" s="30">
        <f>IF(A120&lt;=Input!$C$22,NA(),E120/Input!$C$45-F120-G120)</f>
      </c>
      <c r="I120" s="25">
        <f t="shared" si="19"/>
      </c>
      <c r="J120" s="25">
        <f>Input!$C$50</f>
      </c>
      <c r="K120" s="13">
        <f t="shared" si="20"/>
      </c>
      <c r="L120" s="9">
        <f>IF(A120&lt;=Input!$C$22,IFERROR(INDEX('Data Tanah'!$M$7:$M$47,MATCH(A120,'Data Tanah'!$B$7:$B$47,1)),0),NA())</f>
      </c>
      <c r="M120" s="25">
        <f t="shared" si="21"/>
      </c>
      <c r="N120">
        <f t="shared" si="16"/>
      </c>
    </row>
    <row r="121" spans="1:14" x14ac:dyDescent="0.25">
      <c r="A121" s="20">
        <v>56.5</v>
      </c>
      <c r="B121" s="20">
        <f t="shared" si="17"/>
      </c>
      <c r="C121" s="20">
        <f>A121-Input!$C$11</f>
      </c>
      <c r="D121" s="31">
        <f>Input!$C$8*SUMPRODUCT('Data Tanah'!$M$7:$M$47,((((('Data Tanah'!$C$7:$C$47+MIN(A121,Input!$C$22))-ABS('Data Tanah'!$C$7:$C$47-(MIN(A121,Input!$C$22))))/2-(('Data Tanah'!$B$7:$B$47+Input!$C$11)+ABS('Data Tanah'!$B$7:$B$47-(Input!$C$11)))/2)+ABS((('Data Tanah'!$C$7:$C$47+MIN(A121,Input!$C$22))-ABS('Data Tanah'!$C$7:$C$47-(MIN(A121,Input!$C$22))))/2-(('Data Tanah'!$B$7:$B$47+Input!$C$11)+ABS('Data Tanah'!$B$7:$B$47-(Input!$C$11)))/2))/2))</f>
      </c>
      <c r="E121" s="31">
        <f>IF(A121&lt;=MAX(Input!$C$22,Input!$C$27),0,Input!$C$8*SUMPRODUCT('Data Tanah'!$L$7:$L$47,((((('Data Tanah'!$C$7:$C$47+A121-Input!$C$28*Input!$C$7)-ABS('Data Tanah'!$C$7:$C$47-(A121-Input!$C$28*Input!$C$7)))/2-(('Data Tanah'!$B$7:$B$47+MAX(Input!$C$22,Input!$C$27))+ABS('Data Tanah'!$B$7:$B$47-(MAX(Input!$C$22,Input!$C$27))))/2)+ABS((('Data Tanah'!$C$7:$C$47+A121-Input!$C$28*Input!$C$7)-ABS('Data Tanah'!$C$7:$C$47-(A121-Input!$C$28*Input!$C$7)))/2-(('Data Tanah'!$B$7:$B$47+MAX(Input!$C$22,Input!$C$27))+ABS('Data Tanah'!$B$7:$B$47-(MAX(Input!$C$22,Input!$C$27))))/2))/2))+IF(SUMPRODUCT(--('Data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Tanah'!$B$7:$B$47-(A121-1.5*Input!$C$7)))/2))/2))&gt;0,0,IFERROR(AVERAGEIFS('Data Tanah'!$N$7:$N$47,'Data Tanah'!$E$7:$E$47,"&gt;="&amp;(A121-Input!$C$36*Input!$C$7),'Data Tanah'!$E$7:$E$47,"&lt;="&amp;(A121+Input!$C$37*Input!$C$7)),INDEX('Data Tanah'!$N$7:$N$47,MATCH(A121,'Data Tanah'!$B$7:$B$47,1)))*Input!$C$9))</f>
      </c>
      <c r="F121" s="20">
        <f>Input!$C$9*(Input!$C$10*MAX(MIN(A121,Input!$C$14)-Input!$C$11,0)+(Input!$C$10-1)*MAX(A121-MAX(Input!$C$14,Input!$C$11),0))</f>
      </c>
      <c r="G121" s="31">
        <f t="shared" si="18"/>
      </c>
      <c r="H121" s="31">
        <f>IF(A121&lt;=Input!$C$22,NA(),E121/Input!$C$45-F121-G121)</f>
      </c>
      <c r="I121" s="32">
        <f t="shared" si="19"/>
      </c>
      <c r="J121" s="32">
        <f>Input!$C$50</f>
      </c>
      <c r="K121" s="33">
        <f t="shared" si="20"/>
      </c>
      <c r="L121" s="19">
        <f>IF(A121&lt;=Input!$C$22,IFERROR(INDEX('Data Tanah'!$M$7:$M$47,MATCH(A121,'Data Tanah'!$B$7:$B$47,1)),0),NA())</f>
      </c>
      <c r="M121" s="32">
        <f t="shared" si="21"/>
      </c>
      <c r="N121">
        <f t="shared" si="16"/>
      </c>
    </row>
    <row r="122" spans="1:14" x14ac:dyDescent="0.25">
      <c r="A122" s="16">
        <v>57</v>
      </c>
      <c r="B122" s="16">
        <f t="shared" si="17"/>
      </c>
      <c r="C122" s="16">
        <f>A122-Input!$C$11</f>
      </c>
      <c r="D122" s="30">
        <f>Input!$C$8*SUMPRODUCT('Data Tanah'!$M$7:$M$47,((((('Data Tanah'!$C$7:$C$47+MIN(A122,Input!$C$22))-ABS('Data Tanah'!$C$7:$C$47-(MIN(A122,Input!$C$22))))/2-(('Data Tanah'!$B$7:$B$47+Input!$C$11)+ABS('Data Tanah'!$B$7:$B$47-(Input!$C$11)))/2)+ABS((('Data Tanah'!$C$7:$C$47+MIN(A122,Input!$C$22))-ABS('Data Tanah'!$C$7:$C$47-(MIN(A122,Input!$C$22))))/2-(('Data Tanah'!$B$7:$B$47+Input!$C$11)+ABS('Data Tanah'!$B$7:$B$47-(Input!$C$11)))/2))/2))</f>
      </c>
      <c r="E122" s="30">
        <f>IF(A122&lt;=MAX(Input!$C$22,Input!$C$27),0,Input!$C$8*SUMPRODUCT('Data Tanah'!$L$7:$L$47,((((('Data Tanah'!$C$7:$C$47+A122-Input!$C$28*Input!$C$7)-ABS('Data Tanah'!$C$7:$C$47-(A122-Input!$C$28*Input!$C$7)))/2-(('Data Tanah'!$B$7:$B$47+MAX(Input!$C$22,Input!$C$27))+ABS('Data Tanah'!$B$7:$B$47-(MAX(Input!$C$22,Input!$C$27))))/2)+ABS((('Data Tanah'!$C$7:$C$47+A122-Input!$C$28*Input!$C$7)-ABS('Data Tanah'!$C$7:$C$47-(A122-Input!$C$28*Input!$C$7)))/2-(('Data Tanah'!$B$7:$B$47+MAX(Input!$C$22,Input!$C$27))+ABS('Data Tanah'!$B$7:$B$47-(MAX(Input!$C$22,Input!$C$27))))/2))/2))+IF(SUMPRODUCT(--('Data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Tanah'!$B$7:$B$47-(A122-1.5*Input!$C$7)))/2))/2))&gt;0,0,IFERROR(AVERAGEIFS('Data Tanah'!$N$7:$N$47,'Data Tanah'!$E$7:$E$47,"&gt;="&amp;(A122-Input!$C$36*Input!$C$7),'Data Tanah'!$E$7:$E$47,"&lt;="&amp;(A122+Input!$C$37*Input!$C$7)),INDEX('Data Tanah'!$N$7:$N$47,MATCH(A122,'Data Tanah'!$B$7:$B$47,1)))*Input!$C$9))</f>
      </c>
      <c r="F122" s="16">
        <f>Input!$C$9*(Input!$C$10*MAX(MIN(A122,Input!$C$14)-Input!$C$11,0)+(Input!$C$10-1)*MAX(A122-MAX(Input!$C$14,Input!$C$11),0))</f>
      </c>
      <c r="G122" s="30">
        <f t="shared" si="18"/>
      </c>
      <c r="H122" s="30">
        <f>IF(A122&lt;=Input!$C$22,NA(),E122/Input!$C$45-F122-G122)</f>
      </c>
      <c r="I122" s="25">
        <f t="shared" si="19"/>
      </c>
      <c r="J122" s="25">
        <f>Input!$C$50</f>
      </c>
      <c r="K122" s="13">
        <f t="shared" si="20"/>
      </c>
      <c r="L122" s="9">
        <f>IF(A122&lt;=Input!$C$22,IFERROR(INDEX('Data Tanah'!$M$7:$M$47,MATCH(A122,'Data Tanah'!$B$7:$B$47,1)),0),NA())</f>
      </c>
      <c r="M122" s="25">
        <f t="shared" si="21"/>
      </c>
      <c r="N122">
        <f t="shared" si="16"/>
      </c>
    </row>
    <row r="123" spans="1:14" x14ac:dyDescent="0.25">
      <c r="A123" s="20">
        <v>57.5</v>
      </c>
      <c r="B123" s="20">
        <f t="shared" si="17"/>
      </c>
      <c r="C123" s="20">
        <f>A123-Input!$C$11</f>
      </c>
      <c r="D123" s="31">
        <f>Input!$C$8*SUMPRODUCT('Data Tanah'!$M$7:$M$47,((((('Data Tanah'!$C$7:$C$47+MIN(A123,Input!$C$22))-ABS('Data Tanah'!$C$7:$C$47-(MIN(A123,Input!$C$22))))/2-(('Data Tanah'!$B$7:$B$47+Input!$C$11)+ABS('Data Tanah'!$B$7:$B$47-(Input!$C$11)))/2)+ABS((('Data Tanah'!$C$7:$C$47+MIN(A123,Input!$C$22))-ABS('Data Tanah'!$C$7:$C$47-(MIN(A123,Input!$C$22))))/2-(('Data Tanah'!$B$7:$B$47+Input!$C$11)+ABS('Data Tanah'!$B$7:$B$47-(Input!$C$11)))/2))/2))</f>
      </c>
      <c r="E123" s="31">
        <f>IF(A123&lt;=MAX(Input!$C$22,Input!$C$27),0,Input!$C$8*SUMPRODUCT('Data Tanah'!$L$7:$L$47,((((('Data Tanah'!$C$7:$C$47+A123-Input!$C$28*Input!$C$7)-ABS('Data Tanah'!$C$7:$C$47-(A123-Input!$C$28*Input!$C$7)))/2-(('Data Tanah'!$B$7:$B$47+MAX(Input!$C$22,Input!$C$27))+ABS('Data Tanah'!$B$7:$B$47-(MAX(Input!$C$22,Input!$C$27))))/2)+ABS((('Data Tanah'!$C$7:$C$47+A123-Input!$C$28*Input!$C$7)-ABS('Data Tanah'!$C$7:$C$47-(A123-Input!$C$28*Input!$C$7)))/2-(('Data Tanah'!$B$7:$B$47+MAX(Input!$C$22,Input!$C$27))+ABS('Data Tanah'!$B$7:$B$47-(MAX(Input!$C$22,Input!$C$27))))/2))/2))+IF(SUMPRODUCT(--('Data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Tanah'!$B$7:$B$47-(A123-1.5*Input!$C$7)))/2))/2))&gt;0,0,IFERROR(AVERAGEIFS('Data Tanah'!$N$7:$N$47,'Data Tanah'!$E$7:$E$47,"&gt;="&amp;(A123-Input!$C$36*Input!$C$7),'Data Tanah'!$E$7:$E$47,"&lt;="&amp;(A123+Input!$C$37*Input!$C$7)),INDEX('Data Tanah'!$N$7:$N$47,MATCH(A123,'Data Tanah'!$B$7:$B$47,1)))*Input!$C$9))</f>
      </c>
      <c r="F123" s="20">
        <f>Input!$C$9*(Input!$C$10*MAX(MIN(A123,Input!$C$14)-Input!$C$11,0)+(Input!$C$10-1)*MAX(A123-MAX(Input!$C$14,Input!$C$11),0))</f>
      </c>
      <c r="G123" s="31">
        <f t="shared" si="18"/>
      </c>
      <c r="H123" s="31">
        <f>IF(A123&lt;=Input!$C$22,NA(),E123/Input!$C$45-F123-G123)</f>
      </c>
      <c r="I123" s="32">
        <f t="shared" si="19"/>
      </c>
      <c r="J123" s="32">
        <f>Input!$C$50</f>
      </c>
      <c r="K123" s="33">
        <f t="shared" si="20"/>
      </c>
      <c r="L123" s="19">
        <f>IF(A123&lt;=Input!$C$22,IFERROR(INDEX('Data Tanah'!$M$7:$M$47,MATCH(A123,'Data Tanah'!$B$7:$B$47,1)),0),NA())</f>
      </c>
      <c r="M123" s="32">
        <f t="shared" si="21"/>
      </c>
      <c r="N123">
        <f t="shared" si="16"/>
      </c>
    </row>
    <row r="124" spans="1:14" x14ac:dyDescent="0.25">
      <c r="A124" s="16">
        <v>58</v>
      </c>
      <c r="B124" s="16">
        <f t="shared" si="17"/>
      </c>
      <c r="C124" s="16">
        <f>A124-Input!$C$11</f>
      </c>
      <c r="D124" s="30">
        <f>Input!$C$8*SUMPRODUCT('Data Tanah'!$M$7:$M$47,((((('Data Tanah'!$C$7:$C$47+MIN(A124,Input!$C$22))-ABS('Data Tanah'!$C$7:$C$47-(MIN(A124,Input!$C$22))))/2-(('Data Tanah'!$B$7:$B$47+Input!$C$11)+ABS('Data Tanah'!$B$7:$B$47-(Input!$C$11)))/2)+ABS((('Data Tanah'!$C$7:$C$47+MIN(A124,Input!$C$22))-ABS('Data Tanah'!$C$7:$C$47-(MIN(A124,Input!$C$22))))/2-(('Data Tanah'!$B$7:$B$47+Input!$C$11)+ABS('Data Tanah'!$B$7:$B$47-(Input!$C$11)))/2))/2))</f>
      </c>
      <c r="E124" s="30">
        <f>IF(A124&lt;=MAX(Input!$C$22,Input!$C$27),0,Input!$C$8*SUMPRODUCT('Data Tanah'!$L$7:$L$47,((((('Data Tanah'!$C$7:$C$47+A124-Input!$C$28*Input!$C$7)-ABS('Data Tanah'!$C$7:$C$47-(A124-Input!$C$28*Input!$C$7)))/2-(('Data Tanah'!$B$7:$B$47+MAX(Input!$C$22,Input!$C$27))+ABS('Data Tanah'!$B$7:$B$47-(MAX(Input!$C$22,Input!$C$27))))/2)+ABS((('Data Tanah'!$C$7:$C$47+A124-Input!$C$28*Input!$C$7)-ABS('Data Tanah'!$C$7:$C$47-(A124-Input!$C$28*Input!$C$7)))/2-(('Data Tanah'!$B$7:$B$47+MAX(Input!$C$22,Input!$C$27))+ABS('Data Tanah'!$B$7:$B$47-(MAX(Input!$C$22,Input!$C$27))))/2))/2))+IF(SUMPRODUCT(--('Data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Tanah'!$B$7:$B$47-(A124-1.5*Input!$C$7)))/2))/2))&gt;0,0,IFERROR(AVERAGEIFS('Data Tanah'!$N$7:$N$47,'Data Tanah'!$E$7:$E$47,"&gt;="&amp;(A124-Input!$C$36*Input!$C$7),'Data Tanah'!$E$7:$E$47,"&lt;="&amp;(A124+Input!$C$37*Input!$C$7)),INDEX('Data Tanah'!$N$7:$N$47,MATCH(A124,'Data Tanah'!$B$7:$B$47,1)))*Input!$C$9))</f>
      </c>
      <c r="F124" s="16">
        <f>Input!$C$9*(Input!$C$10*MAX(MIN(A124,Input!$C$14)-Input!$C$11,0)+(Input!$C$10-1)*MAX(A124-MAX(Input!$C$14,Input!$C$11),0))</f>
      </c>
      <c r="G124" s="30">
        <f t="shared" si="18"/>
      </c>
      <c r="H124" s="30">
        <f>IF(A124&lt;=Input!$C$22,NA(),E124/Input!$C$45-F124-G124)</f>
      </c>
      <c r="I124" s="25">
        <f t="shared" si="19"/>
      </c>
      <c r="J124" s="25">
        <f>Input!$C$50</f>
      </c>
      <c r="K124" s="13">
        <f t="shared" si="20"/>
      </c>
      <c r="L124" s="9">
        <f>IF(A124&lt;=Input!$C$22,IFERROR(INDEX('Data Tanah'!$M$7:$M$47,MATCH(A124,'Data Tanah'!$B$7:$B$47,1)),0),NA())</f>
      </c>
      <c r="M124" s="25">
        <f t="shared" si="21"/>
      </c>
      <c r="N124">
        <f t="shared" si="16"/>
      </c>
    </row>
    <row r="125" spans="1:14" x14ac:dyDescent="0.25">
      <c r="A125" s="20">
        <v>58.5</v>
      </c>
      <c r="B125" s="20">
        <f t="shared" si="17"/>
      </c>
      <c r="C125" s="20">
        <f>A125-Input!$C$11</f>
      </c>
      <c r="D125" s="31">
        <f>Input!$C$8*SUMPRODUCT('Data Tanah'!$M$7:$M$47,((((('Data Tanah'!$C$7:$C$47+MIN(A125,Input!$C$22))-ABS('Data Tanah'!$C$7:$C$47-(MIN(A125,Input!$C$22))))/2-(('Data Tanah'!$B$7:$B$47+Input!$C$11)+ABS('Data Tanah'!$B$7:$B$47-(Input!$C$11)))/2)+ABS((('Data Tanah'!$C$7:$C$47+MIN(A125,Input!$C$22))-ABS('Data Tanah'!$C$7:$C$47-(MIN(A125,Input!$C$22))))/2-(('Data Tanah'!$B$7:$B$47+Input!$C$11)+ABS('Data Tanah'!$B$7:$B$47-(Input!$C$11)))/2))/2))</f>
      </c>
      <c r="E125" s="31">
        <f>IF(A125&lt;=MAX(Input!$C$22,Input!$C$27),0,Input!$C$8*SUMPRODUCT('Data Tanah'!$L$7:$L$47,((((('Data Tanah'!$C$7:$C$47+A125-Input!$C$28*Input!$C$7)-ABS('Data Tanah'!$C$7:$C$47-(A125-Input!$C$28*Input!$C$7)))/2-(('Data Tanah'!$B$7:$B$47+MAX(Input!$C$22,Input!$C$27))+ABS('Data Tanah'!$B$7:$B$47-(MAX(Input!$C$22,Input!$C$27))))/2)+ABS((('Data Tanah'!$C$7:$C$47+A125-Input!$C$28*Input!$C$7)-ABS('Data Tanah'!$C$7:$C$47-(A125-Input!$C$28*Input!$C$7)))/2-(('Data Tanah'!$B$7:$B$47+MAX(Input!$C$22,Input!$C$27))+ABS('Data Tanah'!$B$7:$B$47-(MAX(Input!$C$22,Input!$C$27))))/2))/2))+IF(SUMPRODUCT(--('Data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Tanah'!$B$7:$B$47-(A125-1.5*Input!$C$7)))/2))/2))&gt;0,0,IFERROR(AVERAGEIFS('Data Tanah'!$N$7:$N$47,'Data Tanah'!$E$7:$E$47,"&gt;="&amp;(A125-Input!$C$36*Input!$C$7),'Data Tanah'!$E$7:$E$47,"&lt;="&amp;(A125+Input!$C$37*Input!$C$7)),INDEX('Data Tanah'!$N$7:$N$47,MATCH(A125,'Data Tanah'!$B$7:$B$47,1)))*Input!$C$9))</f>
      </c>
      <c r="F125" s="20">
        <f>Input!$C$9*(Input!$C$10*MAX(MIN(A125,Input!$C$14)-Input!$C$11,0)+(Input!$C$10-1)*MAX(A125-MAX(Input!$C$14,Input!$C$11),0))</f>
      </c>
      <c r="G125" s="31">
        <f t="shared" si="18"/>
      </c>
      <c r="H125" s="31">
        <f>IF(A125&lt;=Input!$C$22,NA(),E125/Input!$C$45-F125-G125)</f>
      </c>
      <c r="I125" s="32">
        <f t="shared" si="19"/>
      </c>
      <c r="J125" s="32">
        <f>Input!$C$50</f>
      </c>
      <c r="K125" s="33">
        <f t="shared" si="20"/>
      </c>
      <c r="L125" s="19">
        <f>IF(A125&lt;=Input!$C$22,IFERROR(INDEX('Data Tanah'!$M$7:$M$47,MATCH(A125,'Data Tanah'!$B$7:$B$47,1)),0),NA())</f>
      </c>
      <c r="M125" s="32">
        <f t="shared" si="21"/>
      </c>
      <c r="N125">
        <f t="shared" si="16"/>
      </c>
    </row>
    <row r="126" spans="1:14" x14ac:dyDescent="0.25">
      <c r="A126" s="16">
        <v>59</v>
      </c>
      <c r="B126" s="16">
        <f t="shared" si="17"/>
      </c>
      <c r="C126" s="16">
        <f>A126-Input!$C$11</f>
      </c>
      <c r="D126" s="30">
        <f>Input!$C$8*SUMPRODUCT('Data Tanah'!$M$7:$M$47,((((('Data Tanah'!$C$7:$C$47+MIN(A126,Input!$C$22))-ABS('Data Tanah'!$C$7:$C$47-(MIN(A126,Input!$C$22))))/2-(('Data Tanah'!$B$7:$B$47+Input!$C$11)+ABS('Data Tanah'!$B$7:$B$47-(Input!$C$11)))/2)+ABS((('Data Tanah'!$C$7:$C$47+MIN(A126,Input!$C$22))-ABS('Data Tanah'!$C$7:$C$47-(MIN(A126,Input!$C$22))))/2-(('Data Tanah'!$B$7:$B$47+Input!$C$11)+ABS('Data Tanah'!$B$7:$B$47-(Input!$C$11)))/2))/2))</f>
      </c>
      <c r="E126" s="30">
        <f>IF(A126&lt;=MAX(Input!$C$22,Input!$C$27),0,Input!$C$8*SUMPRODUCT('Data Tanah'!$L$7:$L$47,((((('Data Tanah'!$C$7:$C$47+A126-Input!$C$28*Input!$C$7)-ABS('Data Tanah'!$C$7:$C$47-(A126-Input!$C$28*Input!$C$7)))/2-(('Data Tanah'!$B$7:$B$47+MAX(Input!$C$22,Input!$C$27))+ABS('Data Tanah'!$B$7:$B$47-(MAX(Input!$C$22,Input!$C$27))))/2)+ABS((('Data Tanah'!$C$7:$C$47+A126-Input!$C$28*Input!$C$7)-ABS('Data Tanah'!$C$7:$C$47-(A126-Input!$C$28*Input!$C$7)))/2-(('Data Tanah'!$B$7:$B$47+MAX(Input!$C$22,Input!$C$27))+ABS('Data Tanah'!$B$7:$B$47-(MAX(Input!$C$22,Input!$C$27))))/2))/2))+IF(SUMPRODUCT(--('Data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Tanah'!$B$7:$B$47-(A126-1.5*Input!$C$7)))/2))/2))&gt;0,0,IFERROR(AVERAGEIFS('Data Tanah'!$N$7:$N$47,'Data Tanah'!$E$7:$E$47,"&gt;="&amp;(A126-Input!$C$36*Input!$C$7),'Data Tanah'!$E$7:$E$47,"&lt;="&amp;(A126+Input!$C$37*Input!$C$7)),INDEX('Data Tanah'!$N$7:$N$47,MATCH(A126,'Data Tanah'!$B$7:$B$47,1)))*Input!$C$9))</f>
      </c>
      <c r="F126" s="16">
        <f>Input!$C$9*(Input!$C$10*MAX(MIN(A126,Input!$C$14)-Input!$C$11,0)+(Input!$C$10-1)*MAX(A126-MAX(Input!$C$14,Input!$C$11),0))</f>
      </c>
      <c r="G126" s="30">
        <f t="shared" si="18"/>
      </c>
      <c r="H126" s="30">
        <f>IF(A126&lt;=Input!$C$22,NA(),E126/Input!$C$45-F126-G126)</f>
      </c>
      <c r="I126" s="25">
        <f t="shared" si="19"/>
      </c>
      <c r="J126" s="25">
        <f>Input!$C$50</f>
      </c>
      <c r="K126" s="13">
        <f t="shared" si="20"/>
      </c>
      <c r="L126" s="9">
        <f>IF(A126&lt;=Input!$C$22,IFERROR(INDEX('Data Tanah'!$M$7:$M$47,MATCH(A126,'Data Tanah'!$B$7:$B$47,1)),0),NA())</f>
      </c>
      <c r="M126" s="25">
        <f t="shared" si="21"/>
      </c>
      <c r="N126">
        <f t="shared" si="16"/>
      </c>
    </row>
    <row r="127" spans="1:14" x14ac:dyDescent="0.25">
      <c r="A127" s="20">
        <v>59.5</v>
      </c>
      <c r="B127" s="20">
        <f t="shared" si="17"/>
      </c>
      <c r="C127" s="20">
        <f>A127-Input!$C$11</f>
      </c>
      <c r="D127" s="31">
        <f>Input!$C$8*SUMPRODUCT('Data Tanah'!$M$7:$M$47,((((('Data Tanah'!$C$7:$C$47+MIN(A127,Input!$C$22))-ABS('Data Tanah'!$C$7:$C$47-(MIN(A127,Input!$C$22))))/2-(('Data Tanah'!$B$7:$B$47+Input!$C$11)+ABS('Data Tanah'!$B$7:$B$47-(Input!$C$11)))/2)+ABS((('Data Tanah'!$C$7:$C$47+MIN(A127,Input!$C$22))-ABS('Data Tanah'!$C$7:$C$47-(MIN(A127,Input!$C$22))))/2-(('Data Tanah'!$B$7:$B$47+Input!$C$11)+ABS('Data Tanah'!$B$7:$B$47-(Input!$C$11)))/2))/2))</f>
      </c>
      <c r="E127" s="31">
        <f>IF(A127&lt;=MAX(Input!$C$22,Input!$C$27),0,Input!$C$8*SUMPRODUCT('Data Tanah'!$L$7:$L$47,((((('Data Tanah'!$C$7:$C$47+A127-Input!$C$28*Input!$C$7)-ABS('Data Tanah'!$C$7:$C$47-(A127-Input!$C$28*Input!$C$7)))/2-(('Data Tanah'!$B$7:$B$47+MAX(Input!$C$22,Input!$C$27))+ABS('Data Tanah'!$B$7:$B$47-(MAX(Input!$C$22,Input!$C$27))))/2)+ABS((('Data Tanah'!$C$7:$C$47+A127-Input!$C$28*Input!$C$7)-ABS('Data Tanah'!$C$7:$C$47-(A127-Input!$C$28*Input!$C$7)))/2-(('Data Tanah'!$B$7:$B$47+MAX(Input!$C$22,Input!$C$27))+ABS('Data Tanah'!$B$7:$B$47-(MAX(Input!$C$22,Input!$C$27))))/2))/2))+IF(SUMPRODUCT(--('Data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Tanah'!$B$7:$B$47-(A127-1.5*Input!$C$7)))/2))/2))&gt;0,0,IFERROR(AVERAGEIFS('Data Tanah'!$N$7:$N$47,'Data Tanah'!$E$7:$E$47,"&gt;="&amp;(A127-Input!$C$36*Input!$C$7),'Data Tanah'!$E$7:$E$47,"&lt;="&amp;(A127+Input!$C$37*Input!$C$7)),INDEX('Data Tanah'!$N$7:$N$47,MATCH(A127,'Data Tanah'!$B$7:$B$47,1)))*Input!$C$9))</f>
      </c>
      <c r="F127" s="20">
        <f>Input!$C$9*(Input!$C$10*MAX(MIN(A127,Input!$C$14)-Input!$C$11,0)+(Input!$C$10-1)*MAX(A127-MAX(Input!$C$14,Input!$C$11),0))</f>
      </c>
      <c r="G127" s="31">
        <f t="shared" si="18"/>
      </c>
      <c r="H127" s="31">
        <f>IF(A127&lt;=Input!$C$22,NA(),E127/Input!$C$45-F127-G127)</f>
      </c>
      <c r="I127" s="32">
        <f t="shared" si="19"/>
      </c>
      <c r="J127" s="32">
        <f>Input!$C$50</f>
      </c>
      <c r="K127" s="33">
        <f>IFERROR(I127&gt;=J127,FALSE)</f>
      </c>
      <c r="L127" s="19">
        <f>IF(A127&lt;=Input!$C$22,IFERROR(INDEX('Data Tanah'!$M$7:$M$47,MATCH(A127,'Data Tanah'!$B$7:$B$47,1)),0),NA())</f>
      </c>
      <c r="M127" s="32">
        <f t="shared" si="21"/>
      </c>
      <c r="N127">
        <f t="shared" si="16"/>
      </c>
    </row>
    <row r="129" spans="1:1" x14ac:dyDescent="0.25">
      <c r="A129" s="1" t="s">
        <v>151</v>
      </c>
    </row>
  </sheetData>
  <mergeCells count="4">
    <mergeCell ref="A5:D5"/>
    <mergeCell ref="A7:D7"/>
    <mergeCell ref="A1:M1"/>
    <mergeCell ref="A6:D6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S14"/>
  <sheetViews>
    <sheetView showGridLines="0" zoomScale="70" zoomScaleNormal="70" workbookViewId="0">
      <selection activeCell="M3" sqref="M3"/>
    </sheetView>
  </sheetViews>
  <sheetFormatPr defaultRowHeight="15" x14ac:dyDescent="0.25"/>
  <cols>
    <col min="1" max="1" width="34" customWidth="1"/>
    <col min="2" max="5" width="12" customWidth="1"/>
    <col min="6" max="6" width="3" customWidth="1"/>
    <col min="7" max="14" width="11" customWidth="1"/>
  </cols>
  <sheetData>
    <row r="1" spans="1:19" ht="18.75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9" x14ac:dyDescent="0.25">
      <c r="A2" s="1" t="s">
        <v>1</v>
      </c>
    </row>
    <row r="3" spans="1:19" x14ac:dyDescent="0.25">
      <c r="A3" s="1">
        <f>Input!A3</f>
      </c>
    </row>
    <row r="5" spans="1:19" ht="18" customHeight="1" x14ac:dyDescent="0.25">
      <c r="A5" s="2" t="s">
        <v>2</v>
      </c>
      <c r="B5" s="3"/>
      <c r="C5" s="3"/>
      <c r="D5" s="3"/>
      <c r="E5" s="3"/>
      <c r="R5" s="23" t="s">
        <v>3</v>
      </c>
      <c r="S5" s="23"/>
    </row>
    <row r="6" spans="1:19" ht="30" customHeight="1" x14ac:dyDescent="0.25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R6" s="23" t="s">
        <v>9</v>
      </c>
      <c r="S6" s="23"/>
    </row>
    <row r="7" spans="1:19" x14ac:dyDescent="0.25">
      <c r="A7" s="24" t="s">
        <v>10</v>
      </c>
      <c r="B7" s="25">
        <f>Input!$C$48</f>
      </c>
      <c r="C7" s="9">
        <f>Input!C41&amp;" / "&amp;Input!C42</f>
      </c>
      <c r="D7" s="9">
        <f>'Kap. Statis'!E5</f>
      </c>
      <c r="E7" s="9">
        <f>IF(ISNUMBER(D7),D7-Input!$C$11,"-")</f>
      </c>
      <c r="R7" s="23">
        <f>Input!$C$48/10</f>
      </c>
      <c r="S7" s="23">
        <v>0</v>
      </c>
    </row>
    <row r="8" spans="1:19" x14ac:dyDescent="0.25">
      <c r="A8" s="24" t="s">
        <v>11</v>
      </c>
      <c r="B8" s="25">
        <f>Input!$C$49</f>
      </c>
      <c r="C8" s="9">
        <f>Input!$C$44</f>
      </c>
      <c r="D8" s="9">
        <f>'Kap. Likuefaksi'!E5</f>
      </c>
      <c r="E8" s="9">
        <f>IF(ISNUMBER(D8),D8-Input!$C$11,"-")</f>
      </c>
      <c r="R8" s="23">
        <f>Input!$C$48/10</f>
      </c>
      <c r="S8" s="23">
        <v>65</v>
      </c>
    </row>
    <row r="9" spans="1:19" x14ac:dyDescent="0.25">
      <c r="A9" s="24" t="s">
        <v>12</v>
      </c>
      <c r="B9" s="25">
        <f>Input!$C$50</f>
      </c>
      <c r="C9" s="9">
        <f>Input!$C$45</f>
      </c>
      <c r="D9" s="9">
        <f>Downdrag!E5</f>
      </c>
      <c r="E9" s="9">
        <f>IF(ISNUMBER(D9),D9-Input!$C$11,"-")</f>
      </c>
      <c r="R9" s="23" t="s">
        <v>13</v>
      </c>
      <c r="S9" s="23"/>
    </row>
    <row r="10" spans="1:19" x14ac:dyDescent="0.25">
      <c r="A10" s="26" t="s">
        <v>14</v>
      </c>
      <c r="B10" s="27"/>
      <c r="C10" s="27"/>
      <c r="D10" s="27">
        <f>IF(COUNT(D7:D9)=3,MAX(D7:D9),"&gt; data")</f>
      </c>
      <c r="E10" s="27">
        <f>IF(ISNUMBER(D10),D10-Input!$C$11,"-")</f>
      </c>
      <c r="R10" s="23">
        <f>Input!$C$49/10</f>
      </c>
      <c r="S10" s="23">
        <v>0</v>
      </c>
    </row>
    <row r="11" spans="1:19" x14ac:dyDescent="0.25">
      <c r="R11" s="23">
        <f>Input!$C$49/10</f>
      </c>
      <c r="S11" s="23">
        <v>65</v>
      </c>
    </row>
    <row r="12" spans="1:19" x14ac:dyDescent="0.25">
      <c r="A12" s="28">
        <f>INDEX(A7:A9,MATCH(D10,D7:D9,0))</f>
      </c>
      <c r="B12" s="28" t="s">
        <v>15</v>
      </c>
      <c r="R12" s="23" t="s">
        <v>18</v>
      </c>
      <c r="S12" s="23"/>
    </row>
    <row r="13" spans="1:19" x14ac:dyDescent="0.25">
      <c r="A13" s="4" t="s">
        <v>16</v>
      </c>
      <c r="B13" s="29">
        <f>Downdrag!E6</f>
      </c>
      <c r="C13" s="4" t="s">
        <v>17</v>
      </c>
      <c r="R13" s="23">
        <f>Input!$C$50/10</f>
      </c>
      <c r="S13" s="23">
        <v>0</v>
      </c>
    </row>
    <row r="14" spans="1:19" x14ac:dyDescent="0.25">
      <c r="R14" s="23">
        <f>Input!$C$50/10</f>
      </c>
      <c r="S14" s="23">
        <v>65</v>
      </c>
    </row>
  </sheetData>
  <mergeCells count="1">
    <mergeCell ref="A1:N1"/>
  </mergeCells>
  <printOptions horizontalCentered="1"/>
  <pageMargins left="0.5" right="0.5" top="0.75" bottom="0.6" header="0.3" footer="0.3"/>
  <pageSetup paperSize="9" orientation="landscape"/>
  <headerFooter>
    <oddHeader>&amp;L&amp;8 PSPE Bora Pulu - Daya Dukung Bored Pile&amp;R&amp;8 &amp;A</oddHeader>
    <oddFooter>&amp;L&amp;8 &amp;F&amp;R&amp;8 Hal.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Input</vt:lpstr>
      <vt:lpstr>Data Tanah</vt:lpstr>
      <vt:lpstr>Kap. Statis</vt:lpstr>
      <vt:lpstr>Kap. Likuefaksi</vt:lpstr>
      <vt:lpstr>Downdrag</vt:lpstr>
      <vt:lpstr>Ringkasan</vt:lpstr>
      <vt:lpstr>'Data Tanah'!Print_Area</vt:lpstr>
      <vt:lpstr>Downdrag!Print_Area</vt:lpstr>
      <vt:lpstr>Input!Print_Area</vt:lpstr>
      <vt:lpstr>'Kap. Likuefaksi'!Print_Area</vt:lpstr>
      <vt:lpstr>'Kap. Statis'!Print_Area</vt:lpstr>
      <vt:lpstr>Ringkasan!Print_Area</vt:lpstr>
      <vt:lpstr>'Data Tanah'!Print_Titles</vt:lpstr>
      <vt:lpstr>Downdrag!Print_Titles</vt:lpstr>
      <vt:lpstr>'Kap. Likuefaksi'!Print_Titles</vt:lpstr>
      <vt:lpstr>'Kap. Statis'!Print_Titles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Divisi Struktur</cp:lastModifiedBy>
  <dcterms:created xsi:type="dcterms:W3CDTF">2026-10-05T16:53:45Z</dcterms:created>
  <dcterms:modified xsi:type="dcterms:W3CDTF">2026-10-06T08:02:17Z</dcterms:modified>
</cp:coreProperties>
</file>