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3734820A-D03C-476A-A362-2E3CF1649528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<sst xmlns="http://schemas.openxmlformats.org/spreadsheetml/2006/main" count="361" uniqueCount="172">
  <si>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</si>
  <si>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</si>
  <si>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</si>
  <si>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</si>
  <si>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</si>
  <si>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</si>
  <si>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</si>
  <si>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</si>
  <si>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</si>
  <si>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</si>
  <si>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</si>
  <si>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</si>
  <si>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</si>
  <si>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</si>
  <si>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</si>
  <si>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</si>
  <si>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</si>
  <si>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</si>
  <si>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</si>
  <si>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</si>
  <si>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</si>
  <si>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</si>
  <si>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</si>
  <si>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</si>
  <si>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</si>
  <si>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</si>
  <si>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</si>
  <si>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</si>
  <si>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</si>
  <si>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</si>
  <si>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</si>
  <si>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</si>
  <si>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</si>
  <si>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</si>
  <si>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</si>
  <si>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</si>
  <si>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</si>
  <si>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</si>
  <si>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</si>
  <si>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</si>
  <si>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</si>
  <si>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</si>
  <si>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</si>
  <si>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</si>
  <si>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</si>
  <si>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</si>
  <si>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</si>
  <si>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</si>
  <si>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</si>
  <si>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</si>
  <si>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</si>
  <si>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</si>
  <si>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</si>
  <si>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</si>
  <si>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</si>
  <si>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</si>
  <si>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</si>
  <si>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</si>
  <si>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</si>
  <si>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</si>
  <si>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</si>
  <si>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</si>
  <si>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</si>
  <si>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</si>
  <si>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</si>
  <si>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</si>
  <si>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</si>
  <si>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</si>
  <si>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</si>
  <si>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</si>
  <si>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</si>
  <si>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</si>
  <si>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</si>
  <si>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</si>
  <si>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</si>
  <si>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</si>
  <si>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</si>
  <si>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</si>
  <si>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</si>
  <si>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</si>
  <si>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</si>
  <si>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</si>
  <si>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</si>
  <si>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</si>
  <si>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</si>
  <si>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</si>
  <si>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</si>
  <si>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</si>
  <si>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</si>
  <si>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</si>
  <si>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</si>
  <si>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</si>
  <si>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</si>
  <si>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</si>
  <si>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</si>
  <si>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</si>
  <si>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</si>
  <si>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</si>
  <si>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</si>
  <si>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</si>
  <si>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</si>
  <si>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</si>
  <si>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</si>
  <si>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</si>
  <si>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</si>
  <si>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</si>
  <si>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</si>
  <si>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</si>
  <si>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</si>
  <si>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</si>
  <si>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</si>
  <si>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</si>
  <si>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</si>
  <si>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</si>
  <si>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</si>
  <si>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</si>
  <si>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</si>
  <si>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</si>
  <si>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</si>
  <si>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</si>
  <si>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</si>
  <si>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</si>
  <si>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</si>
  <si>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</si>
  <si>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</si>
  <si>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</si>
  <si>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</si>
  <si>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</si>
  <si>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</si>
  <si>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</si>
  <si>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</si>
  <si>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</si>
  <si>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</si>
  <si>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</si>
  <si>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</si>
  <si>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</si>
  <si>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</si>
  <si>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</si>
  <si>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</si>
  <si>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</si>
  <si>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</si>
  <si>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</si>
  <si>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</si>
  <si>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</si>
  <si>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</si>
  <si>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</si>
  <si>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</si>
  <si>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</si>
  <si>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</si>
  <si>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</si>
  <si>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</si>
  <si>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</si>
  <si>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</si>
  <si>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</si>
  <si>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</si>
  <si>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</si>
  <si>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</si>
  <si>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</si>
  <si>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</si>
  <si>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</si>
  <si>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</si>
  <si>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</si>
  <si>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</si>
  <si>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</si>
  <si>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</si>
  <si>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</si>
  <si>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</si>
  <si>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</si>
  <si>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</si>
  <si>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</si>
  <si>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</si>
  <si>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Wellpad D  |  Titik bor: BH-01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</si>
</sst>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39.294255512937738</c:v>
                </c:pt>
                <c:pt idx="1">
                  <c:v>136.63689658349915</c:v>
                </c:pt>
                <c:pt idx="2">
                  <c:v>127.39118940398438</c:v>
                </c:pt>
                <c:pt idx="3">
                  <c:v>233.20906205576767</c:v>
                </c:pt>
                <c:pt idx="4">
                  <c:v>258.75727891292331</c:v>
                </c:pt>
                <c:pt idx="5">
                  <c:v>282.79611757966165</c:v>
                </c:pt>
                <c:pt idx="6">
                  <c:v>323.31260971447858</c:v>
                </c:pt>
                <c:pt idx="7">
                  <c:v>368.74962134298033</c:v>
                </c:pt>
                <c:pt idx="8">
                  <c:v>392.78846000971879</c:v>
                </c:pt>
                <c:pt idx="9">
                  <c:v>439.94156662524404</c:v>
                </c:pt>
                <c:pt idx="10">
                  <c:v>495.49285726216186</c:v>
                </c:pt>
                <c:pt idx="11">
                  <c:v>537.09853956997824</c:v>
                </c:pt>
                <c:pt idx="12">
                  <c:v>661.25611383556156</c:v>
                </c:pt>
                <c:pt idx="13">
                  <c:v>702.86179614337811</c:v>
                </c:pt>
                <c:pt idx="14">
                  <c:v>752.94271003241624</c:v>
                </c:pt>
                <c:pt idx="15">
                  <c:v>679.74752819459093</c:v>
                </c:pt>
                <c:pt idx="16">
                  <c:v>733.68082007509395</c:v>
                </c:pt>
                <c:pt idx="17">
                  <c:v>791.15829970774394</c:v>
                </c:pt>
                <c:pt idx="18">
                  <c:v>720.68132855355987</c:v>
                </c:pt>
                <c:pt idx="19">
                  <c:v>778.15880818620985</c:v>
                </c:pt>
                <c:pt idx="20">
                  <c:v>794.80108110933634</c:v>
                </c:pt>
                <c:pt idx="21">
                  <c:v>840.33618896844666</c:v>
                </c:pt>
                <c:pt idx="22">
                  <c:v>856.97846189157303</c:v>
                </c:pt>
                <c:pt idx="23">
                  <c:v>883.02053711387282</c:v>
                </c:pt>
                <c:pt idx="24">
                  <c:v>924.11607713462399</c:v>
                </c:pt>
                <c:pt idx="25">
                  <c:v>950.15815235692389</c:v>
                </c:pt>
                <c:pt idx="26">
                  <c:v>975.27565686127241</c:v>
                </c:pt>
                <c:pt idx="27">
                  <c:v>986.69974438678628</c:v>
                </c:pt>
                <c:pt idx="28">
                  <c:v>1011.8172488911348</c:v>
                </c:pt>
                <c:pt idx="29">
                  <c:v>1041.5576069852405</c:v>
                </c:pt>
                <c:pt idx="30">
                  <c:v>1244.4128102615339</c:v>
                </c:pt>
                <c:pt idx="31">
                  <c:v>1274.1531683556398</c:v>
                </c:pt>
                <c:pt idx="32">
                  <c:v>1290.9495363984249</c:v>
                </c:pt>
                <c:pt idx="33">
                  <c:v>1500.5748980231431</c:v>
                </c:pt>
                <c:pt idx="34">
                  <c:v>1517.3712660659285</c:v>
                </c:pt>
                <c:pt idx="35">
                  <c:v>1589.6418771858021</c:v>
                </c:pt>
                <c:pt idx="36">
                  <c:v>1714.5996151002544</c:v>
                </c:pt>
                <c:pt idx="37">
                  <c:v>1786.8702262201286</c:v>
                </c:pt>
                <c:pt idx="38">
                  <c:v>1864.5341665280523</c:v>
                </c:pt>
                <c:pt idx="39">
                  <c:v>1913.3052718999927</c:v>
                </c:pt>
                <c:pt idx="40">
                  <c:v>1990.9692122079168</c:v>
                </c:pt>
                <c:pt idx="41">
                  <c:v>2076.1838133791111</c:v>
                </c:pt>
                <c:pt idx="42">
                  <c:v>1908.159866732188</c:v>
                </c:pt>
                <c:pt idx="43">
                  <c:v>1993.3744679033823</c:v>
                </c:pt>
                <c:pt idx="44">
                  <c:v>2062.5631766300844</c:v>
                </c:pt>
                <c:pt idx="45">
                  <c:v>1998.8448446512621</c:v>
                </c:pt>
                <c:pt idx="46">
                  <c:v>2068.0335533779644</c:v>
                </c:pt>
                <c:pt idx="47">
                  <c:v>2096.5411505148018</c:v>
                </c:pt>
                <c:pt idx="48">
                  <c:v>2167.5387882914406</c:v>
                </c:pt>
                <c:pt idx="49">
                  <c:v>2196.0463854282775</c:v>
                </c:pt>
                <c:pt idx="50">
                  <c:v>2226.2490288813592</c:v>
                </c:pt>
                <c:pt idx="51">
                  <c:v>2412.4729809887526</c:v>
                </c:pt>
                <c:pt idx="52">
                  <c:v>2442.6756244418339</c:v>
                </c:pt>
                <c:pt idx="53">
                  <c:v>2476.1142654077457</c:v>
                </c:pt>
                <c:pt idx="54">
                  <c:v>2640.4198753497571</c:v>
                </c:pt>
                <c:pt idx="55">
                  <c:v>2673.858516315669</c:v>
                </c:pt>
                <c:pt idx="56">
                  <c:v>2749.8274103073486</c:v>
                </c:pt>
                <c:pt idx="57">
                  <c:v>2837.353438273421</c:v>
                </c:pt>
                <c:pt idx="58">
                  <c:v>2913.3223322651011</c:v>
                </c:pt>
                <c:pt idx="59">
                  <c:v>2992.6813188892693</c:v>
                </c:pt>
                <c:pt idx="60">
                  <c:v>3072.0403055134379</c:v>
                </c:pt>
                <c:pt idx="61">
                  <c:v>3151.3992921376062</c:v>
                </c:pt>
                <c:pt idx="62">
                  <c:v>3230.7582787617744</c:v>
                </c:pt>
                <c:pt idx="63">
                  <c:v>3310.117265385943</c:v>
                </c:pt>
                <c:pt idx="64">
                  <c:v>3389.4762520101108</c:v>
                </c:pt>
                <c:pt idx="65">
                  <c:v>3468.8352386342794</c:v>
                </c:pt>
                <c:pt idx="66">
                  <c:v>3634.9479973903913</c:v>
                </c:pt>
                <c:pt idx="67">
                  <c:v>3714.306984014559</c:v>
                </c:pt>
                <c:pt idx="68">
                  <c:v>3793.6659706387277</c:v>
                </c:pt>
                <c:pt idx="69">
                  <c:v>3873.0249572628954</c:v>
                </c:pt>
                <c:pt idx="70">
                  <c:v>3952.3839438870641</c:v>
                </c:pt>
                <c:pt idx="71">
                  <c:v>4039.4476864941626</c:v>
                </c:pt>
                <c:pt idx="72">
                  <c:v>4039.7576569693165</c:v>
                </c:pt>
                <c:pt idx="73">
                  <c:v>4126.8213995764136</c:v>
                </c:pt>
                <c:pt idx="74">
                  <c:v>4206.1803862005818</c:v>
                </c:pt>
                <c:pt idx="75">
                  <c:v>4285.53937282475</c:v>
                </c:pt>
                <c:pt idx="76">
                  <c:v>4364.8983594489191</c:v>
                </c:pt>
                <c:pt idx="77">
                  <c:v>4444.2573460730864</c:v>
                </c:pt>
                <c:pt idx="78">
                  <c:v>4523.6163326972555</c:v>
                </c:pt>
                <c:pt idx="79">
                  <c:v>4602.9753193214237</c:v>
                </c:pt>
                <c:pt idx="80">
                  <c:v>4682.334305945591</c:v>
                </c:pt>
                <c:pt idx="81">
                  <c:v>4761.6932925697602</c:v>
                </c:pt>
                <c:pt idx="82">
                  <c:v>4841.0522791939284</c:v>
                </c:pt>
                <c:pt idx="83">
                  <c:v>4920.4112658180966</c:v>
                </c:pt>
                <c:pt idx="84">
                  <c:v>4901.5346136599219</c:v>
                </c:pt>
                <c:pt idx="85">
                  <c:v>4980.8936002840901</c:v>
                </c:pt>
                <c:pt idx="86">
                  <c:v>5060.2525869082583</c:v>
                </c:pt>
                <c:pt idx="87">
                  <c:v>5058.7116357116711</c:v>
                </c:pt>
                <c:pt idx="88">
                  <c:v>5138.0706223358402</c:v>
                </c:pt>
                <c:pt idx="89">
                  <c:v>5188.6138215838555</c:v>
                </c:pt>
                <c:pt idx="90">
                  <c:v>5227.5998868574752</c:v>
                </c:pt>
                <c:pt idx="91">
                  <c:v>5278.1430861054896</c:v>
                </c:pt>
                <c:pt idx="92">
                  <c:v>5333.7714243022374</c:v>
                </c:pt>
                <c:pt idx="93">
                  <c:v>5407.1733229366682</c:v>
                </c:pt>
                <c:pt idx="94">
                  <c:v>5462.801661133416</c:v>
                </c:pt>
                <c:pt idx="95">
                  <c:v>5509.9547677489409</c:v>
                </c:pt>
                <c:pt idx="96">
                  <c:v>5633.8811993350364</c:v>
                </c:pt>
                <c:pt idx="97">
                  <c:v>5681.0343059505612</c:v>
                </c:pt>
                <c:pt idx="98">
                  <c:v>5731.1152198396003</c:v>
                </c:pt>
                <c:pt idx="99">
                  <c:v>5734.5297383549705</c:v>
                </c:pt>
                <c:pt idx="100">
                  <c:v>5784.6106522440077</c:v>
                </c:pt>
                <c:pt idx="101">
                  <c:v>5842.0881318766587</c:v>
                </c:pt>
                <c:pt idx="102">
                  <c:v>5861.9319495131804</c:v>
                </c:pt>
                <c:pt idx="103">
                  <c:v>5919.4094291458314</c:v>
                </c:pt>
                <c:pt idx="104">
                  <c:v>5966.5625357613571</c:v>
                </c:pt>
                <c:pt idx="105">
                  <c:v>6022.7483757544214</c:v>
                </c:pt>
                <c:pt idx="106">
                  <c:v>6069.9014823699463</c:v>
                </c:pt>
                <c:pt idx="107">
                  <c:v>6118.1332548230821</c:v>
                </c:pt>
                <c:pt idx="108">
                  <c:v>6211.5254216715721</c:v>
                </c:pt>
                <c:pt idx="109">
                  <c:v>6259.757194124707</c:v>
                </c:pt>
                <c:pt idx="110">
                  <c:v>6360.8062600280346</c:v>
                </c:pt>
                <c:pt idx="111">
                  <c:v>6469.3820583305896</c:v>
                </c:pt>
                <c:pt idx="112">
                  <c:v>6547.8509270362392</c:v>
                </c:pt>
                <c:pt idx="113">
                  <c:v>6607.1775481047916</c:v>
                </c:pt>
                <c:pt idx="114">
                  <c:v>6711.6645635686991</c:v>
                </c:pt>
                <c:pt idx="115">
                  <c:v>6770.9911846372524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-120.1941933336919</c:v>
                </c:pt>
                <c:pt idx="12">
                  <c:v>-129.43990051320665</c:v>
                </c:pt>
                <c:pt idx="13">
                  <c:v>-138.68560769272142</c:v>
                </c:pt>
                <c:pt idx="14">
                  <c:v>-147.93131487223619</c:v>
                </c:pt>
                <c:pt idx="15">
                  <c:v>-153.32464406028646</c:v>
                </c:pt>
                <c:pt idx="16">
                  <c:v>-158.71797324833673</c:v>
                </c:pt>
                <c:pt idx="17">
                  <c:v>-164.11130243638701</c:v>
                </c:pt>
                <c:pt idx="18">
                  <c:v>-169.50463162443728</c:v>
                </c:pt>
                <c:pt idx="19">
                  <c:v>-174.89796081248755</c:v>
                </c:pt>
                <c:pt idx="20">
                  <c:v>-180.29129000053783</c:v>
                </c:pt>
                <c:pt idx="21">
                  <c:v>-185.6846191885881</c:v>
                </c:pt>
                <c:pt idx="22">
                  <c:v>-191.07794837663837</c:v>
                </c:pt>
                <c:pt idx="23">
                  <c:v>-196.47127756468868</c:v>
                </c:pt>
                <c:pt idx="24">
                  <c:v>-201.86460675273895</c:v>
                </c:pt>
                <c:pt idx="25">
                  <c:v>-207.25793594078922</c:v>
                </c:pt>
                <c:pt idx="26">
                  <c:v>-212.6512651288395</c:v>
                </c:pt>
                <c:pt idx="27">
                  <c:v>-218.04459431688977</c:v>
                </c:pt>
                <c:pt idx="28">
                  <c:v>-223.43792350494007</c:v>
                </c:pt>
                <c:pt idx="29">
                  <c:v>-228.83125269299035</c:v>
                </c:pt>
                <c:pt idx="30">
                  <c:v>-234.22458188104062</c:v>
                </c:pt>
                <c:pt idx="31">
                  <c:v>-239.61791106909089</c:v>
                </c:pt>
                <c:pt idx="32">
                  <c:v>-245.01124025714117</c:v>
                </c:pt>
                <c:pt idx="33">
                  <c:v>-250.40456944519144</c:v>
                </c:pt>
                <c:pt idx="34">
                  <c:v>-255.79789863324174</c:v>
                </c:pt>
                <c:pt idx="35">
                  <c:v>-261.19122782129199</c:v>
                </c:pt>
                <c:pt idx="36">
                  <c:v>-266.58455700934223</c:v>
                </c:pt>
                <c:pt idx="37">
                  <c:v>981.7907098308599</c:v>
                </c:pt>
                <c:pt idx="38">
                  <c:v>976.39738064280959</c:v>
                </c:pt>
                <c:pt idx="39">
                  <c:v>1048.5455058983396</c:v>
                </c:pt>
                <c:pt idx="40">
                  <c:v>1176.25677526153</c:v>
                </c:pt>
                <c:pt idx="41">
                  <c:v>1316.0684626748332</c:v>
                </c:pt>
                <c:pt idx="42">
                  <c:v>968.88294274560337</c:v>
                </c:pt>
                <c:pt idx="43">
                  <c:v>1108.6946301589069</c:v>
                </c:pt>
                <c:pt idx="44">
                  <c:v>1222.8237976291139</c:v>
                </c:pt>
                <c:pt idx="45">
                  <c:v>1081.3625022040806</c:v>
                </c:pt>
                <c:pt idx="46">
                  <c:v>1195.4916696742876</c:v>
                </c:pt>
                <c:pt idx="47">
                  <c:v>1244.4267480581725</c:v>
                </c:pt>
                <c:pt idx="48">
                  <c:v>1375.0734430570608</c:v>
                </c:pt>
                <c:pt idx="49">
                  <c:v>1424.0085214409455</c:v>
                </c:pt>
                <c:pt idx="50">
                  <c:v>1475.6600202034269</c:v>
                </c:pt>
                <c:pt idx="51">
                  <c:v>1827.3524971472768</c:v>
                </c:pt>
                <c:pt idx="52">
                  <c:v>1879.003995909758</c:v>
                </c:pt>
                <c:pt idx="53">
                  <c:v>1935.8413881222882</c:v>
                </c:pt>
                <c:pt idx="54">
                  <c:v>2244.3460283657791</c:v>
                </c:pt>
                <c:pt idx="55">
                  <c:v>2301.1834205783098</c:v>
                </c:pt>
                <c:pt idx="56">
                  <c:v>2426.1782695629031</c:v>
                </c:pt>
                <c:pt idx="57">
                  <c:v>2573.3983761905615</c:v>
                </c:pt>
                <c:pt idx="58">
                  <c:v>2698.3932251751548</c:v>
                </c:pt>
                <c:pt idx="59">
                  <c:v>2828.8209149169415</c:v>
                </c:pt>
                <c:pt idx="60">
                  <c:v>2959.2486046587296</c:v>
                </c:pt>
                <c:pt idx="61">
                  <c:v>3089.6762944005172</c:v>
                </c:pt>
                <c:pt idx="62">
                  <c:v>3220.1039841423039</c:v>
                </c:pt>
                <c:pt idx="63">
                  <c:v>3350.5316738840911</c:v>
                </c:pt>
                <c:pt idx="64">
                  <c:v>3480.9593636258787</c:v>
                </c:pt>
                <c:pt idx="65">
                  <c:v>3611.3870533676659</c:v>
                </c:pt>
                <c:pt idx="66">
                  <c:v>3908.6489202862681</c:v>
                </c:pt>
                <c:pt idx="67">
                  <c:v>4039.0766100280548</c:v>
                </c:pt>
                <c:pt idx="68">
                  <c:v>4169.504299769842</c:v>
                </c:pt>
                <c:pt idx="69">
                  <c:v>4299.9319895116287</c:v>
                </c:pt>
                <c:pt idx="70">
                  <c:v>4430.3596792534172</c:v>
                </c:pt>
                <c:pt idx="71">
                  <c:v>4573.1347343524612</c:v>
                </c:pt>
                <c:pt idx="72">
                  <c:v>4549.0756122746925</c:v>
                </c:pt>
                <c:pt idx="73">
                  <c:v>4691.8506673737384</c:v>
                </c:pt>
                <c:pt idx="74">
                  <c:v>4822.2783571155251</c:v>
                </c:pt>
                <c:pt idx="75">
                  <c:v>4952.7060468573136</c:v>
                </c:pt>
                <c:pt idx="76">
                  <c:v>5083.1337365991003</c:v>
                </c:pt>
                <c:pt idx="77">
                  <c:v>5213.561426340887</c:v>
                </c:pt>
                <c:pt idx="78">
                  <c:v>5343.9891160826755</c:v>
                </c:pt>
                <c:pt idx="79">
                  <c:v>5474.4168058244622</c:v>
                </c:pt>
                <c:pt idx="80">
                  <c:v>5604.844495566249</c:v>
                </c:pt>
                <c:pt idx="81">
                  <c:v>5735.2721853080357</c:v>
                </c:pt>
                <c:pt idx="82">
                  <c:v>5865.6998750498233</c:v>
                </c:pt>
                <c:pt idx="83">
                  <c:v>5996.1275647916118</c:v>
                </c:pt>
                <c:pt idx="84">
                  <c:v>5937.6405645673522</c:v>
                </c:pt>
                <c:pt idx="85">
                  <c:v>6068.0682543091407</c:v>
                </c:pt>
                <c:pt idx="86">
                  <c:v>6198.4959440509274</c:v>
                </c:pt>
                <c:pt idx="87">
                  <c:v>6173.3468302912643</c:v>
                </c:pt>
                <c:pt idx="88">
                  <c:v>6303.7745200330528</c:v>
                </c:pt>
                <c:pt idx="89">
                  <c:v>6388.0230633386946</c:v>
                </c:pt>
                <c:pt idx="90">
                  <c:v>6450.0463490012708</c:v>
                </c:pt>
                <c:pt idx="91">
                  <c:v>6534.2948923069143</c:v>
                </c:pt>
                <c:pt idx="92">
                  <c:v>6626.6926967483478</c:v>
                </c:pt>
                <c:pt idx="93">
                  <c:v>6753.2704251084024</c:v>
                </c:pt>
                <c:pt idx="94">
                  <c:v>6845.6682295498367</c:v>
                </c:pt>
                <c:pt idx="95">
                  <c:v>6924.4839320982846</c:v>
                </c:pt>
                <c:pt idx="96">
                  <c:v>7150.9406442055233</c:v>
                </c:pt>
                <c:pt idx="97">
                  <c:v>7229.756346753973</c:v>
                </c:pt>
                <c:pt idx="98">
                  <c:v>7313.2640481381804</c:v>
                </c:pt>
                <c:pt idx="99">
                  <c:v>7307.0286814961028</c:v>
                </c:pt>
                <c:pt idx="100">
                  <c:v>7390.5363828803092</c:v>
                </c:pt>
                <c:pt idx="101">
                  <c:v>7485.8975550074856</c:v>
                </c:pt>
                <c:pt idx="102">
                  <c:v>7508.8863002190283</c:v>
                </c:pt>
                <c:pt idx="103">
                  <c:v>7604.2474723462019</c:v>
                </c:pt>
                <c:pt idx="104">
                  <c:v>7683.0631748946525</c:v>
                </c:pt>
                <c:pt idx="105">
                  <c:v>7779.2495185537555</c:v>
                </c:pt>
                <c:pt idx="106">
                  <c:v>7858.0652211022052</c:v>
                </c:pt>
                <c:pt idx="107">
                  <c:v>7938.6095548006724</c:v>
                </c:pt>
                <c:pt idx="108">
                  <c:v>8106.0008007978922</c:v>
                </c:pt>
                <c:pt idx="109">
                  <c:v>8186.5451344963567</c:v>
                </c:pt>
                <c:pt idx="110">
                  <c:v>8371.0318805168627</c:v>
                </c:pt>
                <c:pt idx="111">
                  <c:v>8569.9931119204957</c:v>
                </c:pt>
                <c:pt idx="112">
                  <c:v>8711.0564017916222</c:v>
                </c:pt>
                <c:pt idx="113">
                  <c:v>8809.3809416045387</c:v>
                </c:pt>
                <c:pt idx="114">
                  <c:v>8994.5523937162143</c:v>
                </c:pt>
                <c:pt idx="115">
                  <c:v>9092.876933529129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-2530.0581952235466</c:v>
                </c:pt>
                <c:pt idx="38">
                  <c:v>-2535.4515244115969</c:v>
                </c:pt>
                <c:pt idx="39">
                  <c:v>-2463.3033991560669</c:v>
                </c:pt>
                <c:pt idx="40">
                  <c:v>-2335.5921297928767</c:v>
                </c:pt>
                <c:pt idx="41">
                  <c:v>-2195.7804423795733</c:v>
                </c:pt>
                <c:pt idx="42">
                  <c:v>-2542.9659623088028</c:v>
                </c:pt>
                <c:pt idx="43">
                  <c:v>-2403.1542748954998</c:v>
                </c:pt>
                <c:pt idx="44">
                  <c:v>-2289.0251074252928</c:v>
                </c:pt>
                <c:pt idx="45">
                  <c:v>-2430.4864028503262</c:v>
                </c:pt>
                <c:pt idx="46">
                  <c:v>-2316.3572353801192</c:v>
                </c:pt>
                <c:pt idx="47">
                  <c:v>-2267.4221569962342</c:v>
                </c:pt>
                <c:pt idx="48">
                  <c:v>-2136.7754619973457</c:v>
                </c:pt>
                <c:pt idx="49">
                  <c:v>-2087.8403836134612</c:v>
                </c:pt>
                <c:pt idx="50">
                  <c:v>-2036.1888848509795</c:v>
                </c:pt>
                <c:pt idx="51">
                  <c:v>-1684.4964079071297</c:v>
                </c:pt>
                <c:pt idx="52">
                  <c:v>-1632.8449091446485</c:v>
                </c:pt>
                <c:pt idx="53">
                  <c:v>-1576.0075169321183</c:v>
                </c:pt>
                <c:pt idx="54">
                  <c:v>-1267.5028766886273</c:v>
                </c:pt>
                <c:pt idx="55">
                  <c:v>-1210.6654844760967</c:v>
                </c:pt>
                <c:pt idx="56">
                  <c:v>-1085.6706354915034</c:v>
                </c:pt>
                <c:pt idx="57">
                  <c:v>-938.45052886384508</c:v>
                </c:pt>
                <c:pt idx="58">
                  <c:v>-813.45567987925153</c:v>
                </c:pt>
                <c:pt idx="59">
                  <c:v>-683.02799013746471</c:v>
                </c:pt>
                <c:pt idx="60">
                  <c:v>-552.60030039567675</c:v>
                </c:pt>
                <c:pt idx="61">
                  <c:v>-422.17261065388942</c:v>
                </c:pt>
                <c:pt idx="62">
                  <c:v>-291.74492091210266</c:v>
                </c:pt>
                <c:pt idx="63">
                  <c:v>-161.3172311703153</c:v>
                </c:pt>
                <c:pt idx="64">
                  <c:v>-30.889541428527931</c:v>
                </c:pt>
                <c:pt idx="65">
                  <c:v>99.538148313259427</c:v>
                </c:pt>
                <c:pt idx="66">
                  <c:v>396.80001523186149</c:v>
                </c:pt>
                <c:pt idx="67">
                  <c:v>527.22770497364831</c:v>
                </c:pt>
                <c:pt idx="68">
                  <c:v>657.6553947154357</c:v>
                </c:pt>
                <c:pt idx="69">
                  <c:v>788.08308445722241</c:v>
                </c:pt>
                <c:pt idx="70">
                  <c:v>918.51077419901037</c:v>
                </c:pt>
                <c:pt idx="71">
                  <c:v>1061.285829298055</c:v>
                </c:pt>
                <c:pt idx="72">
                  <c:v>1037.2267072202865</c:v>
                </c:pt>
                <c:pt idx="73">
                  <c:v>1180.0017623193314</c:v>
                </c:pt>
                <c:pt idx="74">
                  <c:v>1310.4294520611184</c:v>
                </c:pt>
                <c:pt idx="75">
                  <c:v>1440.8571418029069</c:v>
                </c:pt>
                <c:pt idx="76">
                  <c:v>1571.284831544694</c:v>
                </c:pt>
                <c:pt idx="77">
                  <c:v>1701.712521286481</c:v>
                </c:pt>
                <c:pt idx="78">
                  <c:v>1832.1402110282688</c:v>
                </c:pt>
                <c:pt idx="79">
                  <c:v>1962.5679007700555</c:v>
                </c:pt>
                <c:pt idx="80">
                  <c:v>2092.9955905118422</c:v>
                </c:pt>
                <c:pt idx="81">
                  <c:v>2223.4232802536294</c:v>
                </c:pt>
                <c:pt idx="82">
                  <c:v>2353.850969995417</c:v>
                </c:pt>
                <c:pt idx="83">
                  <c:v>2484.2786597372051</c:v>
                </c:pt>
                <c:pt idx="84">
                  <c:v>2425.7916595129459</c:v>
                </c:pt>
                <c:pt idx="85">
                  <c:v>2556.219349254734</c:v>
                </c:pt>
                <c:pt idx="86">
                  <c:v>2686.6470389965207</c:v>
                </c:pt>
                <c:pt idx="87">
                  <c:v>2661.4979252368576</c:v>
                </c:pt>
                <c:pt idx="88">
                  <c:v>2791.9256149786465</c:v>
                </c:pt>
                <c:pt idx="89">
                  <c:v>2876.1741582842883</c:v>
                </c:pt>
                <c:pt idx="90">
                  <c:v>2938.1974439468645</c:v>
                </c:pt>
                <c:pt idx="91">
                  <c:v>3022.4459872525081</c:v>
                </c:pt>
                <c:pt idx="92">
                  <c:v>3114.8437916939411</c:v>
                </c:pt>
                <c:pt idx="93">
                  <c:v>3241.4215200539961</c:v>
                </c:pt>
                <c:pt idx="94">
                  <c:v>3333.81932449543</c:v>
                </c:pt>
                <c:pt idx="95">
                  <c:v>3412.6350270438788</c:v>
                </c:pt>
                <c:pt idx="96">
                  <c:v>3639.0917391511171</c:v>
                </c:pt>
                <c:pt idx="97">
                  <c:v>3717.9074416995668</c:v>
                </c:pt>
                <c:pt idx="98">
                  <c:v>3801.4151430837742</c:v>
                </c:pt>
                <c:pt idx="99">
                  <c:v>3795.179776441696</c:v>
                </c:pt>
                <c:pt idx="100">
                  <c:v>3878.6874778259025</c:v>
                </c:pt>
                <c:pt idx="101">
                  <c:v>3974.0486499530789</c:v>
                </c:pt>
                <c:pt idx="102">
                  <c:v>3997.0373951646216</c:v>
                </c:pt>
                <c:pt idx="103">
                  <c:v>4092.3985672917956</c:v>
                </c:pt>
                <c:pt idx="104">
                  <c:v>4171.2142698402467</c:v>
                </c:pt>
                <c:pt idx="105">
                  <c:v>4267.4006134993488</c:v>
                </c:pt>
                <c:pt idx="106">
                  <c:v>4346.2163160477985</c:v>
                </c:pt>
                <c:pt idx="107">
                  <c:v>4426.7606497462657</c:v>
                </c:pt>
                <c:pt idx="108">
                  <c:v>4594.1518957434855</c:v>
                </c:pt>
                <c:pt idx="109">
                  <c:v>4674.69622944195</c:v>
                </c:pt>
                <c:pt idx="110">
                  <c:v>4859.1829754624569</c:v>
                </c:pt>
                <c:pt idx="111">
                  <c:v>5058.144206866089</c:v>
                </c:pt>
                <c:pt idx="112">
                  <c:v>5199.2074967372164</c:v>
                </c:pt>
                <c:pt idx="113">
                  <c:v>5297.5320365501329</c:v>
                </c:pt>
                <c:pt idx="114">
                  <c:v>5482.7034886618085</c:v>
                </c:pt>
                <c:pt idx="115">
                  <c:v>5581.0280284747223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18</c:v>
                </c:pt>
                <c:pt idx="3">
                  <c:v>28</c:v>
                </c:pt>
                <c:pt idx="4">
                  <c:v>30</c:v>
                </c:pt>
                <c:pt idx="5">
                  <c:v>35</c:v>
                </c:pt>
                <c:pt idx="6">
                  <c:v>34</c:v>
                </c:pt>
                <c:pt idx="7">
                  <c:v>13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12</c:v>
                </c:pt>
                <c:pt idx="12">
                  <c:v>42</c:v>
                </c:pt>
                <c:pt idx="13">
                  <c:v>49</c:v>
                </c:pt>
                <c:pt idx="14">
                  <c:v>49</c:v>
                </c:pt>
                <c:pt idx="15">
                  <c:v>44</c:v>
                </c:pt>
                <c:pt idx="16">
                  <c:v>20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13.928327888226212</c:v>
                </c:pt>
                <c:pt idx="2">
                  <c:v>12.985850092149274</c:v>
                </c:pt>
                <c:pt idx="3">
                  <c:v>23.772585326785695</c:v>
                </c:pt>
                <c:pt idx="4">
                  <c:v>26.37688877807577</c:v>
                </c:pt>
                <c:pt idx="5">
                  <c:v>28.827331047875802</c:v>
                </c:pt>
                <c:pt idx="6">
                  <c:v>32.957452570283237</c:v>
                </c:pt>
                <c:pt idx="7">
                  <c:v>37.589156100201869</c:v>
                </c:pt>
                <c:pt idx="8">
                  <c:v>40.039598370001912</c:v>
                </c:pt>
                <c:pt idx="9">
                  <c:v>44.846235129994291</c:v>
                </c:pt>
                <c:pt idx="10">
                  <c:v>50.508955888089893</c:v>
                </c:pt>
                <c:pt idx="11">
                  <c:v>54.75010597043611</c:v>
                </c:pt>
                <c:pt idx="12">
                  <c:v>67.406331685582217</c:v>
                </c:pt>
                <c:pt idx="13">
                  <c:v>71.647481767928454</c:v>
                </c:pt>
                <c:pt idx="14">
                  <c:v>76.752569830011851</c:v>
                </c:pt>
                <c:pt idx="15">
                  <c:v>69.291287277736075</c:v>
                </c:pt>
                <c:pt idx="16">
                  <c:v>74.789074421518237</c:v>
                </c:pt>
                <c:pt idx="17">
                  <c:v>80.648144720463193</c:v>
                </c:pt>
                <c:pt idx="18">
                  <c:v>73.463947864786931</c:v>
                </c:pt>
                <c:pt idx="19">
                  <c:v>79.323018163731888</c:v>
                </c:pt>
                <c:pt idx="20">
                  <c:v>81.019478196670363</c:v>
                </c:pt>
                <c:pt idx="21">
                  <c:v>85.661181342349295</c:v>
                </c:pt>
                <c:pt idx="22">
                  <c:v>87.35764137528777</c:v>
                </c:pt>
                <c:pt idx="23">
                  <c:v>90.012287167571131</c:v>
                </c:pt>
                <c:pt idx="24">
                  <c:v>94.201434978045256</c:v>
                </c:pt>
                <c:pt idx="25">
                  <c:v>96.856080770328632</c:v>
                </c:pt>
                <c:pt idx="26">
                  <c:v>99.416478783004322</c:v>
                </c:pt>
                <c:pt idx="27">
                  <c:v>100.58101369895884</c:v>
                </c:pt>
                <c:pt idx="28">
                  <c:v>103.14141171163453</c:v>
                </c:pt>
                <c:pt idx="29">
                  <c:v>106.17304862234867</c:v>
                </c:pt>
                <c:pt idx="30">
                  <c:v>126.85145874225626</c:v>
                </c:pt>
                <c:pt idx="31">
                  <c:v>129.88309565297041</c:v>
                </c:pt>
                <c:pt idx="32">
                  <c:v>131.59526364917684</c:v>
                </c:pt>
                <c:pt idx="33">
                  <c:v>152.96380204109511</c:v>
                </c:pt>
                <c:pt idx="34">
                  <c:v>154.67597003730157</c:v>
                </c:pt>
                <c:pt idx="35">
                  <c:v>162.04300480996963</c:v>
                </c:pt>
                <c:pt idx="36">
                  <c:v>174.78079664630522</c:v>
                </c:pt>
                <c:pt idx="37">
                  <c:v>182.14783141897334</c:v>
                </c:pt>
                <c:pt idx="38">
                  <c:v>190.06464490601959</c:v>
                </c:pt>
                <c:pt idx="39">
                  <c:v>195.03621528032545</c:v>
                </c:pt>
                <c:pt idx="40">
                  <c:v>202.95302876737173</c:v>
                </c:pt>
                <c:pt idx="41">
                  <c:v>211.63953245454752</c:v>
                </c:pt>
                <c:pt idx="42">
                  <c:v>194.51170914701203</c:v>
                </c:pt>
                <c:pt idx="43">
                  <c:v>203.19821283418779</c:v>
                </c:pt>
                <c:pt idx="44">
                  <c:v>210.25108834149688</c:v>
                </c:pt>
                <c:pt idx="45">
                  <c:v>203.75584553019999</c:v>
                </c:pt>
                <c:pt idx="46">
                  <c:v>210.80872103750912</c:v>
                </c:pt>
                <c:pt idx="47">
                  <c:v>213.71469424207967</c:v>
                </c:pt>
                <c:pt idx="48">
                  <c:v>220.95196618669118</c:v>
                </c:pt>
                <c:pt idx="49">
                  <c:v>223.85793939126171</c:v>
                </c:pt>
                <c:pt idx="50">
                  <c:v>226.93670019177972</c:v>
                </c:pt>
                <c:pt idx="51">
                  <c:v>245.91977380109606</c:v>
                </c:pt>
                <c:pt idx="52">
                  <c:v>248.99853460161404</c:v>
                </c:pt>
                <c:pt idx="53">
                  <c:v>252.40716263075896</c:v>
                </c:pt>
                <c:pt idx="54">
                  <c:v>269.1559505963055</c:v>
                </c:pt>
                <c:pt idx="55">
                  <c:v>272.56457862545045</c:v>
                </c:pt>
                <c:pt idx="56">
                  <c:v>280.30860451654928</c:v>
                </c:pt>
                <c:pt idx="57">
                  <c:v>289.23072765274424</c:v>
                </c:pt>
                <c:pt idx="58">
                  <c:v>296.97475354384312</c:v>
                </c:pt>
                <c:pt idx="59">
                  <c:v>305.0643546268368</c:v>
                </c:pt>
                <c:pt idx="60">
                  <c:v>313.15395570983054</c:v>
                </c:pt>
                <c:pt idx="61">
                  <c:v>321.24355679282428</c:v>
                </c:pt>
                <c:pt idx="62">
                  <c:v>329.33315787581796</c:v>
                </c:pt>
                <c:pt idx="63">
                  <c:v>337.4227589588117</c:v>
                </c:pt>
                <c:pt idx="64">
                  <c:v>345.51236004180538</c:v>
                </c:pt>
                <c:pt idx="65">
                  <c:v>353.60196112479912</c:v>
                </c:pt>
                <c:pt idx="66">
                  <c:v>370.53496405610508</c:v>
                </c:pt>
                <c:pt idx="67">
                  <c:v>378.62456513909876</c:v>
                </c:pt>
                <c:pt idx="68">
                  <c:v>386.7141662220925</c:v>
                </c:pt>
                <c:pt idx="69">
                  <c:v>394.80376730508618</c:v>
                </c:pt>
                <c:pt idx="70">
                  <c:v>402.89336838807992</c:v>
                </c:pt>
                <c:pt idx="71">
                  <c:v>411.76836763447119</c:v>
                </c:pt>
                <c:pt idx="72">
                  <c:v>411.79996503255006</c:v>
                </c:pt>
                <c:pt idx="73">
                  <c:v>420.67496427894122</c:v>
                </c:pt>
                <c:pt idx="74">
                  <c:v>428.76456536193496</c:v>
                </c:pt>
                <c:pt idx="75">
                  <c:v>436.85416644492864</c:v>
                </c:pt>
                <c:pt idx="76">
                  <c:v>444.94376752792238</c:v>
                </c:pt>
                <c:pt idx="77">
                  <c:v>453.03336861091606</c:v>
                </c:pt>
                <c:pt idx="78">
                  <c:v>461.12296969390979</c:v>
                </c:pt>
                <c:pt idx="79">
                  <c:v>469.21257077690348</c:v>
                </c:pt>
                <c:pt idx="80">
                  <c:v>477.30217185989716</c:v>
                </c:pt>
                <c:pt idx="81">
                  <c:v>485.3917729428909</c:v>
                </c:pt>
                <c:pt idx="82">
                  <c:v>493.48137402588463</c:v>
                </c:pt>
                <c:pt idx="83">
                  <c:v>501.57097510887832</c:v>
                </c:pt>
                <c:pt idx="84">
                  <c:v>499.64674960855467</c:v>
                </c:pt>
                <c:pt idx="85">
                  <c:v>507.73635069154841</c:v>
                </c:pt>
                <c:pt idx="86">
                  <c:v>515.82595177454209</c:v>
                </c:pt>
                <c:pt idx="87">
                  <c:v>515.66887214186249</c:v>
                </c:pt>
                <c:pt idx="88">
                  <c:v>523.75847322485629</c:v>
                </c:pt>
                <c:pt idx="89">
                  <c:v>528.91068517674364</c:v>
                </c:pt>
                <c:pt idx="90">
                  <c:v>532.8847998835347</c:v>
                </c:pt>
                <c:pt idx="91">
                  <c:v>538.03701183542194</c:v>
                </c:pt>
                <c:pt idx="92">
                  <c:v>543.70758657515159</c:v>
                </c:pt>
                <c:pt idx="93">
                  <c:v>551.18994117601096</c:v>
                </c:pt>
                <c:pt idx="94">
                  <c:v>556.86051591574062</c:v>
                </c:pt>
                <c:pt idx="95">
                  <c:v>561.66715267573295</c:v>
                </c:pt>
                <c:pt idx="96">
                  <c:v>574.29981644597717</c:v>
                </c:pt>
                <c:pt idx="97">
                  <c:v>579.1064532059695</c:v>
                </c:pt>
                <c:pt idx="98">
                  <c:v>584.211541268053</c:v>
                </c:pt>
                <c:pt idx="99">
                  <c:v>584.55960635626604</c:v>
                </c:pt>
                <c:pt idx="100">
                  <c:v>589.66469441834943</c:v>
                </c:pt>
                <c:pt idx="101">
                  <c:v>595.5237647172944</c:v>
                </c:pt>
                <c:pt idx="102">
                  <c:v>597.54657997076254</c:v>
                </c:pt>
                <c:pt idx="103">
                  <c:v>603.40565026970751</c:v>
                </c:pt>
                <c:pt idx="104">
                  <c:v>608.21228702969995</c:v>
                </c:pt>
                <c:pt idx="105">
                  <c:v>613.93969171808578</c:v>
                </c:pt>
                <c:pt idx="106">
                  <c:v>618.74632847807811</c:v>
                </c:pt>
                <c:pt idx="107">
                  <c:v>623.66292098094618</c:v>
                </c:pt>
                <c:pt idx="108">
                  <c:v>633.18301953838647</c:v>
                </c:pt>
                <c:pt idx="109">
                  <c:v>638.09961204125455</c:v>
                </c:pt>
                <c:pt idx="110">
                  <c:v>648.40023038002391</c:v>
                </c:pt>
                <c:pt idx="111">
                  <c:v>659.46809972788878</c:v>
                </c:pt>
                <c:pt idx="112">
                  <c:v>667.46696503937198</c:v>
                </c:pt>
                <c:pt idx="113">
                  <c:v>673.51453089753227</c:v>
                </c:pt>
                <c:pt idx="114">
                  <c:v>684.16560281026489</c:v>
                </c:pt>
                <c:pt idx="115">
                  <c:v>690.21316866842528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100.08060242924158</c:v>
                </c:pt>
                <c:pt idx="38">
                  <c:v>99.530823714863359</c:v>
                </c:pt>
                <c:pt idx="39">
                  <c:v>106.88537267057487</c:v>
                </c:pt>
                <c:pt idx="40">
                  <c:v>119.90385068924871</c:v>
                </c:pt>
                <c:pt idx="41">
                  <c:v>134.15580659274548</c:v>
                </c:pt>
                <c:pt idx="42">
                  <c:v>98.76482596795141</c:v>
                </c:pt>
                <c:pt idx="43">
                  <c:v>113.01678187144819</c:v>
                </c:pt>
                <c:pt idx="44">
                  <c:v>124.65074389695349</c:v>
                </c:pt>
                <c:pt idx="45">
                  <c:v>110.23063223283185</c:v>
                </c:pt>
                <c:pt idx="46">
                  <c:v>121.86459425833715</c:v>
                </c:pt>
                <c:pt idx="47">
                  <c:v>126.85287951663327</c:v>
                </c:pt>
                <c:pt idx="48">
                  <c:v>140.17058542885431</c:v>
                </c:pt>
                <c:pt idx="49">
                  <c:v>145.1588706871504</c:v>
                </c:pt>
                <c:pt idx="50">
                  <c:v>150.42405914408022</c:v>
                </c:pt>
                <c:pt idx="51">
                  <c:v>186.27446454100681</c:v>
                </c:pt>
                <c:pt idx="52">
                  <c:v>191.5396529979366</c:v>
                </c:pt>
                <c:pt idx="53">
                  <c:v>197.33347483407627</c:v>
                </c:pt>
                <c:pt idx="54">
                  <c:v>228.78145039406513</c:v>
                </c:pt>
                <c:pt idx="55">
                  <c:v>234.57527223020486</c:v>
                </c:pt>
                <c:pt idx="56">
                  <c:v>247.31684705024495</c:v>
                </c:pt>
                <c:pt idx="57">
                  <c:v>262.32399349547006</c:v>
                </c:pt>
                <c:pt idx="58">
                  <c:v>275.06556831551018</c:v>
                </c:pt>
                <c:pt idx="59">
                  <c:v>288.3609495328177</c:v>
                </c:pt>
                <c:pt idx="60">
                  <c:v>301.65633075012533</c:v>
                </c:pt>
                <c:pt idx="61">
                  <c:v>314.95171196743291</c:v>
                </c:pt>
                <c:pt idx="62">
                  <c:v>328.24709318474044</c:v>
                </c:pt>
                <c:pt idx="63">
                  <c:v>341.54247440204801</c:v>
                </c:pt>
                <c:pt idx="64">
                  <c:v>354.83785561935559</c:v>
                </c:pt>
                <c:pt idx="65">
                  <c:v>368.13323683666317</c:v>
                </c:pt>
                <c:pt idx="66">
                  <c:v>398.43516006995594</c:v>
                </c:pt>
                <c:pt idx="67">
                  <c:v>411.73054128726346</c:v>
                </c:pt>
                <c:pt idx="68">
                  <c:v>425.02592250457104</c:v>
                </c:pt>
                <c:pt idx="69">
                  <c:v>438.32130372187856</c:v>
                </c:pt>
                <c:pt idx="70">
                  <c:v>451.6166849391862</c:v>
                </c:pt>
                <c:pt idx="71">
                  <c:v>466.17071705937423</c:v>
                </c:pt>
                <c:pt idx="72">
                  <c:v>463.71820716357723</c:v>
                </c:pt>
                <c:pt idx="73">
                  <c:v>478.27223928376532</c:v>
                </c:pt>
                <c:pt idx="74">
                  <c:v>491.56762050107284</c:v>
                </c:pt>
                <c:pt idx="75">
                  <c:v>504.86300171838053</c:v>
                </c:pt>
                <c:pt idx="76">
                  <c:v>518.15838293568811</c:v>
                </c:pt>
                <c:pt idx="77">
                  <c:v>531.45376415299563</c:v>
                </c:pt>
                <c:pt idx="78">
                  <c:v>544.74914537030327</c:v>
                </c:pt>
                <c:pt idx="79">
                  <c:v>558.04452658761079</c:v>
                </c:pt>
                <c:pt idx="80">
                  <c:v>571.33990780491831</c:v>
                </c:pt>
                <c:pt idx="81">
                  <c:v>584.63528902222583</c:v>
                </c:pt>
                <c:pt idx="82">
                  <c:v>597.93067023953347</c:v>
                </c:pt>
                <c:pt idx="83">
                  <c:v>611.22605145684111</c:v>
                </c:pt>
                <c:pt idx="84">
                  <c:v>605.26407386007668</c:v>
                </c:pt>
                <c:pt idx="85">
                  <c:v>618.55945507738431</c:v>
                </c:pt>
                <c:pt idx="86">
                  <c:v>631.85483629469184</c:v>
                </c:pt>
                <c:pt idx="87">
                  <c:v>629.29121613570476</c:v>
                </c:pt>
                <c:pt idx="88">
                  <c:v>642.58659735301251</c:v>
                </c:pt>
                <c:pt idx="89">
                  <c:v>651.17462419354683</c:v>
                </c:pt>
                <c:pt idx="90">
                  <c:v>657.49707940889607</c:v>
                </c:pt>
                <c:pt idx="91">
                  <c:v>666.08510624943062</c:v>
                </c:pt>
                <c:pt idx="92">
                  <c:v>675.50384268586618</c:v>
                </c:pt>
                <c:pt idx="93">
                  <c:v>688.40677116293602</c:v>
                </c:pt>
                <c:pt idx="94">
                  <c:v>697.82550759937169</c:v>
                </c:pt>
                <c:pt idx="95">
                  <c:v>705.85972804263861</c:v>
                </c:pt>
                <c:pt idx="96">
                  <c:v>728.94400042869756</c:v>
                </c:pt>
                <c:pt idx="97">
                  <c:v>736.9782208719646</c:v>
                </c:pt>
                <c:pt idx="98">
                  <c:v>745.49072865832625</c:v>
                </c:pt>
                <c:pt idx="99">
                  <c:v>744.85511534109094</c:v>
                </c:pt>
                <c:pt idx="100">
                  <c:v>753.36762312745248</c:v>
                </c:pt>
                <c:pt idx="101">
                  <c:v>763.08843578057952</c:v>
                </c:pt>
                <c:pt idx="102">
                  <c:v>765.43183488471232</c:v>
                </c:pt>
                <c:pt idx="103">
                  <c:v>775.15264753783913</c:v>
                </c:pt>
                <c:pt idx="104">
                  <c:v>783.18686798110627</c:v>
                </c:pt>
                <c:pt idx="105">
                  <c:v>792.99179597897603</c:v>
                </c:pt>
                <c:pt idx="106">
                  <c:v>801.02601642224306</c:v>
                </c:pt>
                <c:pt idx="107">
                  <c:v>809.23644799191356</c:v>
                </c:pt>
                <c:pt idx="108">
                  <c:v>826.29977582037634</c:v>
                </c:pt>
                <c:pt idx="109">
                  <c:v>834.5102073900465</c:v>
                </c:pt>
                <c:pt idx="110">
                  <c:v>853.31619577134177</c:v>
                </c:pt>
                <c:pt idx="111">
                  <c:v>873.59766686243574</c:v>
                </c:pt>
                <c:pt idx="112">
                  <c:v>887.97720711433453</c:v>
                </c:pt>
                <c:pt idx="113">
                  <c:v>898.00009598415272</c:v>
                </c:pt>
                <c:pt idx="114">
                  <c:v>916.87588111276386</c:v>
                </c:pt>
                <c:pt idx="115">
                  <c:v>926.89876998258194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-257.90603417161532</c:v>
                </c:pt>
                <c:pt idx="38">
                  <c:v>-258.45581288599357</c:v>
                </c:pt>
                <c:pt idx="39">
                  <c:v>-251.10126393028204</c:v>
                </c:pt>
                <c:pt idx="40">
                  <c:v>-238.0827859116082</c:v>
                </c:pt>
                <c:pt idx="41">
                  <c:v>-223.83083000811143</c:v>
                </c:pt>
                <c:pt idx="42">
                  <c:v>-259.22181063290549</c:v>
                </c:pt>
                <c:pt idx="43">
                  <c:v>-244.96985472940872</c:v>
                </c:pt>
                <c:pt idx="44">
                  <c:v>-233.33589270390343</c:v>
                </c:pt>
                <c:pt idx="45">
                  <c:v>-247.75600436802506</c:v>
                </c:pt>
                <c:pt idx="46">
                  <c:v>-236.12204234251976</c:v>
                </c:pt>
                <c:pt idx="47">
                  <c:v>-231.13375708422365</c:v>
                </c:pt>
                <c:pt idx="48">
                  <c:v>-217.8160511720026</c:v>
                </c:pt>
                <c:pt idx="49">
                  <c:v>-212.82776591370651</c:v>
                </c:pt>
                <c:pt idx="50">
                  <c:v>-207.56257745677669</c:v>
                </c:pt>
                <c:pt idx="51">
                  <c:v>-171.7121720598501</c:v>
                </c:pt>
                <c:pt idx="52">
                  <c:v>-166.44698360292031</c:v>
                </c:pt>
                <c:pt idx="53">
                  <c:v>-160.65316176678064</c:v>
                </c:pt>
                <c:pt idx="54">
                  <c:v>-129.20518620679178</c:v>
                </c:pt>
                <c:pt idx="55">
                  <c:v>-123.41136437065205</c:v>
                </c:pt>
                <c:pt idx="56">
                  <c:v>-110.66978955061197</c:v>
                </c:pt>
                <c:pt idx="57">
                  <c:v>-95.662643105386849</c:v>
                </c:pt>
                <c:pt idx="58">
                  <c:v>-82.921068285346735</c:v>
                </c:pt>
                <c:pt idx="59">
                  <c:v>-69.625687068039213</c:v>
                </c:pt>
                <c:pt idx="60">
                  <c:v>-56.330305850731577</c:v>
                </c:pt>
                <c:pt idx="61">
                  <c:v>-43.034924633423998</c:v>
                </c:pt>
                <c:pt idx="62">
                  <c:v>-29.739543416116476</c:v>
                </c:pt>
                <c:pt idx="63">
                  <c:v>-16.444162198808897</c:v>
                </c:pt>
                <c:pt idx="64">
                  <c:v>-3.1487809815013179</c:v>
                </c:pt>
                <c:pt idx="65">
                  <c:v>10.146600235806261</c:v>
                </c:pt>
                <c:pt idx="66">
                  <c:v>40.44852346909903</c:v>
                </c:pt>
                <c:pt idx="67">
                  <c:v>53.743904686406552</c:v>
                </c:pt>
                <c:pt idx="68">
                  <c:v>67.039285903714131</c:v>
                </c:pt>
                <c:pt idx="69">
                  <c:v>80.334667121021653</c:v>
                </c:pt>
                <c:pt idx="70">
                  <c:v>93.630048338329289</c:v>
                </c:pt>
                <c:pt idx="71">
                  <c:v>108.18408045851731</c:v>
                </c:pt>
                <c:pt idx="72">
                  <c:v>105.73157056272032</c:v>
                </c:pt>
                <c:pt idx="73">
                  <c:v>120.2856026829084</c:v>
                </c:pt>
                <c:pt idx="74">
                  <c:v>133.58098390021593</c:v>
                </c:pt>
                <c:pt idx="75">
                  <c:v>146.87636511752362</c:v>
                </c:pt>
                <c:pt idx="76">
                  <c:v>160.1717463348312</c:v>
                </c:pt>
                <c:pt idx="77">
                  <c:v>173.46712755213872</c:v>
                </c:pt>
                <c:pt idx="78">
                  <c:v>186.76250876944636</c:v>
                </c:pt>
                <c:pt idx="79">
                  <c:v>200.05788998675388</c:v>
                </c:pt>
                <c:pt idx="80">
                  <c:v>213.3532712040614</c:v>
                </c:pt>
                <c:pt idx="81">
                  <c:v>226.64865242136892</c:v>
                </c:pt>
                <c:pt idx="82">
                  <c:v>239.94403363867656</c:v>
                </c:pt>
                <c:pt idx="83">
                  <c:v>253.23941485598419</c:v>
                </c:pt>
                <c:pt idx="84">
                  <c:v>247.27743725921977</c:v>
                </c:pt>
                <c:pt idx="85">
                  <c:v>260.5728184765274</c:v>
                </c:pt>
                <c:pt idx="86">
                  <c:v>273.86819969383492</c:v>
                </c:pt>
                <c:pt idx="87">
                  <c:v>271.30457953484785</c:v>
                </c:pt>
                <c:pt idx="88">
                  <c:v>284.5999607521556</c:v>
                </c:pt>
                <c:pt idx="89">
                  <c:v>293.18798759268992</c:v>
                </c:pt>
                <c:pt idx="90">
                  <c:v>299.51044280803916</c:v>
                </c:pt>
                <c:pt idx="91">
                  <c:v>308.09846964857371</c:v>
                </c:pt>
                <c:pt idx="92">
                  <c:v>317.51720608500926</c:v>
                </c:pt>
                <c:pt idx="93">
                  <c:v>330.42013456207911</c:v>
                </c:pt>
                <c:pt idx="94">
                  <c:v>339.83887099851478</c:v>
                </c:pt>
                <c:pt idx="95">
                  <c:v>347.8730914417817</c:v>
                </c:pt>
                <c:pt idx="96">
                  <c:v>370.95736382784065</c:v>
                </c:pt>
                <c:pt idx="97">
                  <c:v>378.99158427110768</c:v>
                </c:pt>
                <c:pt idx="98">
                  <c:v>387.50409205746934</c:v>
                </c:pt>
                <c:pt idx="99">
                  <c:v>386.86847874023402</c:v>
                </c:pt>
                <c:pt idx="100">
                  <c:v>395.38098652659556</c:v>
                </c:pt>
                <c:pt idx="101">
                  <c:v>405.1017991797226</c:v>
                </c:pt>
                <c:pt idx="102">
                  <c:v>407.4451982838554</c:v>
                </c:pt>
                <c:pt idx="103">
                  <c:v>417.16601093698222</c:v>
                </c:pt>
                <c:pt idx="104">
                  <c:v>425.20023138024936</c:v>
                </c:pt>
                <c:pt idx="105">
                  <c:v>435.00515937811912</c:v>
                </c:pt>
                <c:pt idx="106">
                  <c:v>443.03937982138615</c:v>
                </c:pt>
                <c:pt idx="107">
                  <c:v>451.24981139105665</c:v>
                </c:pt>
                <c:pt idx="108">
                  <c:v>468.31313921951943</c:v>
                </c:pt>
                <c:pt idx="109">
                  <c:v>476.52357078918959</c:v>
                </c:pt>
                <c:pt idx="110">
                  <c:v>495.32955917048486</c:v>
                </c:pt>
                <c:pt idx="111">
                  <c:v>515.61103026157889</c:v>
                </c:pt>
                <c:pt idx="112">
                  <c:v>529.99057051347768</c:v>
                </c:pt>
                <c:pt idx="113">
                  <c:v>540.01345938329587</c:v>
                </c:pt>
                <c:pt idx="114">
                  <c:v>558.88924451190701</c:v>
                </c:pt>
                <c:pt idx="115">
                  <c:v>568.91213338172497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18</c:v>
                </c:pt>
                <c:pt idx="3">
                  <c:v>28</c:v>
                </c:pt>
                <c:pt idx="4">
                  <c:v>30</c:v>
                </c:pt>
                <c:pt idx="5">
                  <c:v>35</c:v>
                </c:pt>
                <c:pt idx="6">
                  <c:v>34</c:v>
                </c:pt>
                <c:pt idx="7">
                  <c:v>13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12</c:v>
                </c:pt>
                <c:pt idx="12">
                  <c:v>42</c:v>
                </c:pt>
                <c:pt idx="13">
                  <c:v>49</c:v>
                </c:pt>
                <c:pt idx="14">
                  <c:v>49</c:v>
                </c:pt>
                <c:pt idx="15">
                  <c:v>44</c:v>
                </c:pt>
                <c:pt idx="16">
                  <c:v>20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13.928327888226212</c:v>
                </c:pt>
                <c:pt idx="2">
                  <c:v>12.985850092149274</c:v>
                </c:pt>
                <c:pt idx="3">
                  <c:v>23.772585326785695</c:v>
                </c:pt>
                <c:pt idx="4">
                  <c:v>26.37688877807577</c:v>
                </c:pt>
                <c:pt idx="5">
                  <c:v>28.827331047875802</c:v>
                </c:pt>
                <c:pt idx="6">
                  <c:v>32.957452570283237</c:v>
                </c:pt>
                <c:pt idx="7">
                  <c:v>37.589156100201869</c:v>
                </c:pt>
                <c:pt idx="8">
                  <c:v>40.039598370001912</c:v>
                </c:pt>
                <c:pt idx="9">
                  <c:v>44.846235129994291</c:v>
                </c:pt>
                <c:pt idx="10">
                  <c:v>50.508955888089893</c:v>
                </c:pt>
                <c:pt idx="11">
                  <c:v>54.75010597043611</c:v>
                </c:pt>
                <c:pt idx="12">
                  <c:v>67.406331685582217</c:v>
                </c:pt>
                <c:pt idx="13">
                  <c:v>71.647481767928454</c:v>
                </c:pt>
                <c:pt idx="14">
                  <c:v>76.752569830011851</c:v>
                </c:pt>
                <c:pt idx="15">
                  <c:v>69.291287277736075</c:v>
                </c:pt>
                <c:pt idx="16">
                  <c:v>74.789074421518237</c:v>
                </c:pt>
                <c:pt idx="17">
                  <c:v>80.648144720463193</c:v>
                </c:pt>
                <c:pt idx="18">
                  <c:v>73.463947864786931</c:v>
                </c:pt>
                <c:pt idx="19">
                  <c:v>79.323018163731888</c:v>
                </c:pt>
                <c:pt idx="20">
                  <c:v>81.019478196670363</c:v>
                </c:pt>
                <c:pt idx="21">
                  <c:v>85.661181342349295</c:v>
                </c:pt>
                <c:pt idx="22">
                  <c:v>87.35764137528777</c:v>
                </c:pt>
                <c:pt idx="23">
                  <c:v>90.012287167571131</c:v>
                </c:pt>
                <c:pt idx="24">
                  <c:v>94.201434978045256</c:v>
                </c:pt>
                <c:pt idx="25">
                  <c:v>96.856080770328632</c:v>
                </c:pt>
                <c:pt idx="26">
                  <c:v>99.416478783004322</c:v>
                </c:pt>
                <c:pt idx="27">
                  <c:v>100.58101369895884</c:v>
                </c:pt>
                <c:pt idx="28">
                  <c:v>103.14141171163453</c:v>
                </c:pt>
                <c:pt idx="29">
                  <c:v>106.17304862234867</c:v>
                </c:pt>
                <c:pt idx="30">
                  <c:v>126.85145874225626</c:v>
                </c:pt>
                <c:pt idx="31">
                  <c:v>129.88309565297041</c:v>
                </c:pt>
                <c:pt idx="32">
                  <c:v>131.59526364917684</c:v>
                </c:pt>
                <c:pt idx="33">
                  <c:v>152.96380204109511</c:v>
                </c:pt>
                <c:pt idx="34">
                  <c:v>154.67597003730157</c:v>
                </c:pt>
                <c:pt idx="35">
                  <c:v>162.04300480996963</c:v>
                </c:pt>
                <c:pt idx="36">
                  <c:v>174.78079664630522</c:v>
                </c:pt>
                <c:pt idx="37">
                  <c:v>182.14783141897334</c:v>
                </c:pt>
                <c:pt idx="38">
                  <c:v>190.06464490601959</c:v>
                </c:pt>
                <c:pt idx="39">
                  <c:v>195.03621528032545</c:v>
                </c:pt>
                <c:pt idx="40">
                  <c:v>202.95302876737173</c:v>
                </c:pt>
                <c:pt idx="41">
                  <c:v>211.63953245454752</c:v>
                </c:pt>
                <c:pt idx="42">
                  <c:v>194.51170914701203</c:v>
                </c:pt>
                <c:pt idx="43">
                  <c:v>203.19821283418779</c:v>
                </c:pt>
                <c:pt idx="44">
                  <c:v>210.25108834149688</c:v>
                </c:pt>
                <c:pt idx="45">
                  <c:v>203.75584553019999</c:v>
                </c:pt>
                <c:pt idx="46">
                  <c:v>210.80872103750912</c:v>
                </c:pt>
                <c:pt idx="47">
                  <c:v>213.71469424207967</c:v>
                </c:pt>
                <c:pt idx="48">
                  <c:v>220.95196618669118</c:v>
                </c:pt>
                <c:pt idx="49">
                  <c:v>223.85793939126171</c:v>
                </c:pt>
                <c:pt idx="50">
                  <c:v>226.93670019177972</c:v>
                </c:pt>
                <c:pt idx="51">
                  <c:v>245.91977380109606</c:v>
                </c:pt>
                <c:pt idx="52">
                  <c:v>248.99853460161404</c:v>
                </c:pt>
                <c:pt idx="53">
                  <c:v>252.40716263075896</c:v>
                </c:pt>
                <c:pt idx="54">
                  <c:v>269.1559505963055</c:v>
                </c:pt>
                <c:pt idx="55">
                  <c:v>272.56457862545045</c:v>
                </c:pt>
                <c:pt idx="56">
                  <c:v>280.30860451654928</c:v>
                </c:pt>
                <c:pt idx="57">
                  <c:v>289.23072765274424</c:v>
                </c:pt>
                <c:pt idx="58">
                  <c:v>296.97475354384312</c:v>
                </c:pt>
                <c:pt idx="59">
                  <c:v>305.0643546268368</c:v>
                </c:pt>
                <c:pt idx="60">
                  <c:v>313.15395570983054</c:v>
                </c:pt>
                <c:pt idx="61">
                  <c:v>321.24355679282428</c:v>
                </c:pt>
                <c:pt idx="62">
                  <c:v>329.33315787581796</c:v>
                </c:pt>
                <c:pt idx="63">
                  <c:v>337.4227589588117</c:v>
                </c:pt>
                <c:pt idx="64">
                  <c:v>345.51236004180538</c:v>
                </c:pt>
                <c:pt idx="65">
                  <c:v>353.60196112479912</c:v>
                </c:pt>
                <c:pt idx="66">
                  <c:v>370.53496405610508</c:v>
                </c:pt>
                <c:pt idx="67">
                  <c:v>378.62456513909876</c:v>
                </c:pt>
                <c:pt idx="68">
                  <c:v>386.7141662220925</c:v>
                </c:pt>
                <c:pt idx="69">
                  <c:v>394.80376730508618</c:v>
                </c:pt>
                <c:pt idx="70">
                  <c:v>402.89336838807992</c:v>
                </c:pt>
                <c:pt idx="71">
                  <c:v>411.76836763447119</c:v>
                </c:pt>
                <c:pt idx="72">
                  <c:v>411.79996503255006</c:v>
                </c:pt>
                <c:pt idx="73">
                  <c:v>420.67496427894122</c:v>
                </c:pt>
                <c:pt idx="74">
                  <c:v>428.76456536193496</c:v>
                </c:pt>
                <c:pt idx="75">
                  <c:v>436.85416644492864</c:v>
                </c:pt>
                <c:pt idx="76">
                  <c:v>444.94376752792238</c:v>
                </c:pt>
                <c:pt idx="77">
                  <c:v>453.03336861091606</c:v>
                </c:pt>
                <c:pt idx="78">
                  <c:v>461.12296969390979</c:v>
                </c:pt>
                <c:pt idx="79">
                  <c:v>469.21257077690348</c:v>
                </c:pt>
                <c:pt idx="80">
                  <c:v>477.30217185989716</c:v>
                </c:pt>
                <c:pt idx="81">
                  <c:v>485.3917729428909</c:v>
                </c:pt>
                <c:pt idx="82">
                  <c:v>493.48137402588463</c:v>
                </c:pt>
                <c:pt idx="83">
                  <c:v>501.57097510887832</c:v>
                </c:pt>
                <c:pt idx="84">
                  <c:v>499.64674960855467</c:v>
                </c:pt>
                <c:pt idx="85">
                  <c:v>507.73635069154841</c:v>
                </c:pt>
                <c:pt idx="86">
                  <c:v>515.82595177454209</c:v>
                </c:pt>
                <c:pt idx="87">
                  <c:v>515.66887214186249</c:v>
                </c:pt>
                <c:pt idx="88">
                  <c:v>523.75847322485629</c:v>
                </c:pt>
                <c:pt idx="89">
                  <c:v>528.91068517674364</c:v>
                </c:pt>
                <c:pt idx="90">
                  <c:v>532.8847998835347</c:v>
                </c:pt>
                <c:pt idx="91">
                  <c:v>538.03701183542194</c:v>
                </c:pt>
                <c:pt idx="92">
                  <c:v>543.70758657515159</c:v>
                </c:pt>
                <c:pt idx="93">
                  <c:v>551.18994117601096</c:v>
                </c:pt>
                <c:pt idx="94">
                  <c:v>556.86051591574062</c:v>
                </c:pt>
                <c:pt idx="95">
                  <c:v>561.66715267573295</c:v>
                </c:pt>
                <c:pt idx="96">
                  <c:v>574.29981644597717</c:v>
                </c:pt>
                <c:pt idx="97">
                  <c:v>579.1064532059695</c:v>
                </c:pt>
                <c:pt idx="98">
                  <c:v>584.211541268053</c:v>
                </c:pt>
                <c:pt idx="99">
                  <c:v>584.55960635626604</c:v>
                </c:pt>
                <c:pt idx="100">
                  <c:v>589.66469441834943</c:v>
                </c:pt>
                <c:pt idx="101">
                  <c:v>595.5237647172944</c:v>
                </c:pt>
                <c:pt idx="102">
                  <c:v>597.54657997076254</c:v>
                </c:pt>
                <c:pt idx="103">
                  <c:v>603.40565026970751</c:v>
                </c:pt>
                <c:pt idx="104">
                  <c:v>608.21228702969995</c:v>
                </c:pt>
                <c:pt idx="105">
                  <c:v>613.93969171808578</c:v>
                </c:pt>
                <c:pt idx="106">
                  <c:v>618.74632847807811</c:v>
                </c:pt>
                <c:pt idx="107">
                  <c:v>623.66292098094618</c:v>
                </c:pt>
                <c:pt idx="108">
                  <c:v>633.18301953838647</c:v>
                </c:pt>
                <c:pt idx="109">
                  <c:v>638.09961204125455</c:v>
                </c:pt>
                <c:pt idx="110">
                  <c:v>648.40023038002391</c:v>
                </c:pt>
                <c:pt idx="111">
                  <c:v>659.46809972788878</c:v>
                </c:pt>
                <c:pt idx="112">
                  <c:v>667.46696503937198</c:v>
                </c:pt>
                <c:pt idx="113">
                  <c:v>673.51453089753227</c:v>
                </c:pt>
                <c:pt idx="114">
                  <c:v>684.16560281026489</c:v>
                </c:pt>
                <c:pt idx="115">
                  <c:v>690.21316866842528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100.08060242924158</c:v>
                </c:pt>
                <c:pt idx="38">
                  <c:v>99.530823714863359</c:v>
                </c:pt>
                <c:pt idx="39">
                  <c:v>106.88537267057487</c:v>
                </c:pt>
                <c:pt idx="40">
                  <c:v>119.90385068924871</c:v>
                </c:pt>
                <c:pt idx="41">
                  <c:v>134.15580659274548</c:v>
                </c:pt>
                <c:pt idx="42">
                  <c:v>98.76482596795141</c:v>
                </c:pt>
                <c:pt idx="43">
                  <c:v>113.01678187144819</c:v>
                </c:pt>
                <c:pt idx="44">
                  <c:v>124.65074389695349</c:v>
                </c:pt>
                <c:pt idx="45">
                  <c:v>110.23063223283185</c:v>
                </c:pt>
                <c:pt idx="46">
                  <c:v>121.86459425833715</c:v>
                </c:pt>
                <c:pt idx="47">
                  <c:v>126.85287951663327</c:v>
                </c:pt>
                <c:pt idx="48">
                  <c:v>140.17058542885431</c:v>
                </c:pt>
                <c:pt idx="49">
                  <c:v>145.1588706871504</c:v>
                </c:pt>
                <c:pt idx="50">
                  <c:v>150.42405914408022</c:v>
                </c:pt>
                <c:pt idx="51">
                  <c:v>186.27446454100681</c:v>
                </c:pt>
                <c:pt idx="52">
                  <c:v>191.5396529979366</c:v>
                </c:pt>
                <c:pt idx="53">
                  <c:v>197.33347483407627</c:v>
                </c:pt>
                <c:pt idx="54">
                  <c:v>228.78145039406513</c:v>
                </c:pt>
                <c:pt idx="55">
                  <c:v>234.57527223020486</c:v>
                </c:pt>
                <c:pt idx="56">
                  <c:v>247.31684705024495</c:v>
                </c:pt>
                <c:pt idx="57">
                  <c:v>262.32399349547006</c:v>
                </c:pt>
                <c:pt idx="58">
                  <c:v>275.06556831551018</c:v>
                </c:pt>
                <c:pt idx="59">
                  <c:v>288.3609495328177</c:v>
                </c:pt>
                <c:pt idx="60">
                  <c:v>301.65633075012533</c:v>
                </c:pt>
                <c:pt idx="61">
                  <c:v>314.95171196743291</c:v>
                </c:pt>
                <c:pt idx="62">
                  <c:v>328.24709318474044</c:v>
                </c:pt>
                <c:pt idx="63">
                  <c:v>341.54247440204801</c:v>
                </c:pt>
                <c:pt idx="64">
                  <c:v>354.83785561935559</c:v>
                </c:pt>
                <c:pt idx="65">
                  <c:v>368.13323683666317</c:v>
                </c:pt>
                <c:pt idx="66">
                  <c:v>398.43516006995594</c:v>
                </c:pt>
                <c:pt idx="67">
                  <c:v>411.73054128726346</c:v>
                </c:pt>
                <c:pt idx="68">
                  <c:v>425.02592250457104</c:v>
                </c:pt>
                <c:pt idx="69">
                  <c:v>438.32130372187856</c:v>
                </c:pt>
                <c:pt idx="70">
                  <c:v>451.6166849391862</c:v>
                </c:pt>
                <c:pt idx="71">
                  <c:v>466.17071705937423</c:v>
                </c:pt>
                <c:pt idx="72">
                  <c:v>463.71820716357723</c:v>
                </c:pt>
                <c:pt idx="73">
                  <c:v>478.27223928376532</c:v>
                </c:pt>
                <c:pt idx="74">
                  <c:v>491.56762050107284</c:v>
                </c:pt>
                <c:pt idx="75">
                  <c:v>504.86300171838053</c:v>
                </c:pt>
                <c:pt idx="76">
                  <c:v>518.15838293568811</c:v>
                </c:pt>
                <c:pt idx="77">
                  <c:v>531.45376415299563</c:v>
                </c:pt>
                <c:pt idx="78">
                  <c:v>544.74914537030327</c:v>
                </c:pt>
                <c:pt idx="79">
                  <c:v>558.04452658761079</c:v>
                </c:pt>
                <c:pt idx="80">
                  <c:v>571.33990780491831</c:v>
                </c:pt>
                <c:pt idx="81">
                  <c:v>584.63528902222583</c:v>
                </c:pt>
                <c:pt idx="82">
                  <c:v>597.93067023953347</c:v>
                </c:pt>
                <c:pt idx="83">
                  <c:v>611.22605145684111</c:v>
                </c:pt>
                <c:pt idx="84">
                  <c:v>605.26407386007668</c:v>
                </c:pt>
                <c:pt idx="85">
                  <c:v>618.55945507738431</c:v>
                </c:pt>
                <c:pt idx="86">
                  <c:v>631.85483629469184</c:v>
                </c:pt>
                <c:pt idx="87">
                  <c:v>629.29121613570476</c:v>
                </c:pt>
                <c:pt idx="88">
                  <c:v>642.58659735301251</c:v>
                </c:pt>
                <c:pt idx="89">
                  <c:v>651.17462419354683</c:v>
                </c:pt>
                <c:pt idx="90">
                  <c:v>657.49707940889607</c:v>
                </c:pt>
                <c:pt idx="91">
                  <c:v>666.08510624943062</c:v>
                </c:pt>
                <c:pt idx="92">
                  <c:v>675.50384268586618</c:v>
                </c:pt>
                <c:pt idx="93">
                  <c:v>688.40677116293602</c:v>
                </c:pt>
                <c:pt idx="94">
                  <c:v>697.82550759937169</c:v>
                </c:pt>
                <c:pt idx="95">
                  <c:v>705.85972804263861</c:v>
                </c:pt>
                <c:pt idx="96">
                  <c:v>728.94400042869756</c:v>
                </c:pt>
                <c:pt idx="97">
                  <c:v>736.9782208719646</c:v>
                </c:pt>
                <c:pt idx="98">
                  <c:v>745.49072865832625</c:v>
                </c:pt>
                <c:pt idx="99">
                  <c:v>744.85511534109094</c:v>
                </c:pt>
                <c:pt idx="100">
                  <c:v>753.36762312745248</c:v>
                </c:pt>
                <c:pt idx="101">
                  <c:v>763.08843578057952</c:v>
                </c:pt>
                <c:pt idx="102">
                  <c:v>765.43183488471232</c:v>
                </c:pt>
                <c:pt idx="103">
                  <c:v>775.15264753783913</c:v>
                </c:pt>
                <c:pt idx="104">
                  <c:v>783.18686798110627</c:v>
                </c:pt>
                <c:pt idx="105">
                  <c:v>792.99179597897603</c:v>
                </c:pt>
                <c:pt idx="106">
                  <c:v>801.02601642224306</c:v>
                </c:pt>
                <c:pt idx="107">
                  <c:v>809.23644799191356</c:v>
                </c:pt>
                <c:pt idx="108">
                  <c:v>826.29977582037634</c:v>
                </c:pt>
                <c:pt idx="109">
                  <c:v>834.5102073900465</c:v>
                </c:pt>
                <c:pt idx="110">
                  <c:v>853.31619577134177</c:v>
                </c:pt>
                <c:pt idx="111">
                  <c:v>873.59766686243574</c:v>
                </c:pt>
                <c:pt idx="112">
                  <c:v>887.97720711433453</c:v>
                </c:pt>
                <c:pt idx="113">
                  <c:v>898.00009598415272</c:v>
                </c:pt>
                <c:pt idx="114">
                  <c:v>916.87588111276386</c:v>
                </c:pt>
                <c:pt idx="115">
                  <c:v>926.89876998258194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-257.90603417161532</c:v>
                </c:pt>
                <c:pt idx="38">
                  <c:v>-258.45581288599357</c:v>
                </c:pt>
                <c:pt idx="39">
                  <c:v>-251.10126393028204</c:v>
                </c:pt>
                <c:pt idx="40">
                  <c:v>-238.0827859116082</c:v>
                </c:pt>
                <c:pt idx="41">
                  <c:v>-223.83083000811143</c:v>
                </c:pt>
                <c:pt idx="42">
                  <c:v>-259.22181063290549</c:v>
                </c:pt>
                <c:pt idx="43">
                  <c:v>-244.96985472940872</c:v>
                </c:pt>
                <c:pt idx="44">
                  <c:v>-233.33589270390343</c:v>
                </c:pt>
                <c:pt idx="45">
                  <c:v>-247.75600436802506</c:v>
                </c:pt>
                <c:pt idx="46">
                  <c:v>-236.12204234251976</c:v>
                </c:pt>
                <c:pt idx="47">
                  <c:v>-231.13375708422365</c:v>
                </c:pt>
                <c:pt idx="48">
                  <c:v>-217.8160511720026</c:v>
                </c:pt>
                <c:pt idx="49">
                  <c:v>-212.82776591370651</c:v>
                </c:pt>
                <c:pt idx="50">
                  <c:v>-207.56257745677669</c:v>
                </c:pt>
                <c:pt idx="51">
                  <c:v>-171.7121720598501</c:v>
                </c:pt>
                <c:pt idx="52">
                  <c:v>-166.44698360292031</c:v>
                </c:pt>
                <c:pt idx="53">
                  <c:v>-160.65316176678064</c:v>
                </c:pt>
                <c:pt idx="54">
                  <c:v>-129.20518620679178</c:v>
                </c:pt>
                <c:pt idx="55">
                  <c:v>-123.41136437065205</c:v>
                </c:pt>
                <c:pt idx="56">
                  <c:v>-110.66978955061197</c:v>
                </c:pt>
                <c:pt idx="57">
                  <c:v>-95.662643105386849</c:v>
                </c:pt>
                <c:pt idx="58">
                  <c:v>-82.921068285346735</c:v>
                </c:pt>
                <c:pt idx="59">
                  <c:v>-69.625687068039213</c:v>
                </c:pt>
                <c:pt idx="60">
                  <c:v>-56.330305850731577</c:v>
                </c:pt>
                <c:pt idx="61">
                  <c:v>-43.034924633423998</c:v>
                </c:pt>
                <c:pt idx="62">
                  <c:v>-29.739543416116476</c:v>
                </c:pt>
                <c:pt idx="63">
                  <c:v>-16.444162198808897</c:v>
                </c:pt>
                <c:pt idx="64">
                  <c:v>-3.1487809815013179</c:v>
                </c:pt>
                <c:pt idx="65">
                  <c:v>10.146600235806261</c:v>
                </c:pt>
                <c:pt idx="66">
                  <c:v>40.44852346909903</c:v>
                </c:pt>
                <c:pt idx="67">
                  <c:v>53.743904686406552</c:v>
                </c:pt>
                <c:pt idx="68">
                  <c:v>67.039285903714131</c:v>
                </c:pt>
                <c:pt idx="69">
                  <c:v>80.334667121021653</c:v>
                </c:pt>
                <c:pt idx="70">
                  <c:v>93.630048338329289</c:v>
                </c:pt>
                <c:pt idx="71">
                  <c:v>108.18408045851731</c:v>
                </c:pt>
                <c:pt idx="72">
                  <c:v>105.73157056272032</c:v>
                </c:pt>
                <c:pt idx="73">
                  <c:v>120.2856026829084</c:v>
                </c:pt>
                <c:pt idx="74">
                  <c:v>133.58098390021593</c:v>
                </c:pt>
                <c:pt idx="75">
                  <c:v>146.87636511752362</c:v>
                </c:pt>
                <c:pt idx="76">
                  <c:v>160.1717463348312</c:v>
                </c:pt>
                <c:pt idx="77">
                  <c:v>173.46712755213872</c:v>
                </c:pt>
                <c:pt idx="78">
                  <c:v>186.76250876944636</c:v>
                </c:pt>
                <c:pt idx="79">
                  <c:v>200.05788998675388</c:v>
                </c:pt>
                <c:pt idx="80">
                  <c:v>213.3532712040614</c:v>
                </c:pt>
                <c:pt idx="81">
                  <c:v>226.64865242136892</c:v>
                </c:pt>
                <c:pt idx="82">
                  <c:v>239.94403363867656</c:v>
                </c:pt>
                <c:pt idx="83">
                  <c:v>253.23941485598419</c:v>
                </c:pt>
                <c:pt idx="84">
                  <c:v>247.27743725921977</c:v>
                </c:pt>
                <c:pt idx="85">
                  <c:v>260.5728184765274</c:v>
                </c:pt>
                <c:pt idx="86">
                  <c:v>273.86819969383492</c:v>
                </c:pt>
                <c:pt idx="87">
                  <c:v>271.30457953484785</c:v>
                </c:pt>
                <c:pt idx="88">
                  <c:v>284.5999607521556</c:v>
                </c:pt>
                <c:pt idx="89">
                  <c:v>293.18798759268992</c:v>
                </c:pt>
                <c:pt idx="90">
                  <c:v>299.51044280803916</c:v>
                </c:pt>
                <c:pt idx="91">
                  <c:v>308.09846964857371</c:v>
                </c:pt>
                <c:pt idx="92">
                  <c:v>317.51720608500926</c:v>
                </c:pt>
                <c:pt idx="93">
                  <c:v>330.42013456207911</c:v>
                </c:pt>
                <c:pt idx="94">
                  <c:v>339.83887099851478</c:v>
                </c:pt>
                <c:pt idx="95">
                  <c:v>347.8730914417817</c:v>
                </c:pt>
                <c:pt idx="96">
                  <c:v>370.95736382784065</c:v>
                </c:pt>
                <c:pt idx="97">
                  <c:v>378.99158427110768</c:v>
                </c:pt>
                <c:pt idx="98">
                  <c:v>387.50409205746934</c:v>
                </c:pt>
                <c:pt idx="99">
                  <c:v>386.86847874023402</c:v>
                </c:pt>
                <c:pt idx="100">
                  <c:v>395.38098652659556</c:v>
                </c:pt>
                <c:pt idx="101">
                  <c:v>405.1017991797226</c:v>
                </c:pt>
                <c:pt idx="102">
                  <c:v>407.4451982838554</c:v>
                </c:pt>
                <c:pt idx="103">
                  <c:v>417.16601093698222</c:v>
                </c:pt>
                <c:pt idx="104">
                  <c:v>425.20023138024936</c:v>
                </c:pt>
                <c:pt idx="105">
                  <c:v>435.00515937811912</c:v>
                </c:pt>
                <c:pt idx="106">
                  <c:v>443.03937982138615</c:v>
                </c:pt>
                <c:pt idx="107">
                  <c:v>451.24981139105665</c:v>
                </c:pt>
                <c:pt idx="108">
                  <c:v>468.31313921951943</c:v>
                </c:pt>
                <c:pt idx="109">
                  <c:v>476.52357078918959</c:v>
                </c:pt>
                <c:pt idx="110">
                  <c:v>495.32955917048486</c:v>
                </c:pt>
                <c:pt idx="111">
                  <c:v>515.61103026157889</c:v>
                </c:pt>
                <c:pt idx="112">
                  <c:v>529.99057051347768</c:v>
                </c:pt>
                <c:pt idx="113">
                  <c:v>540.01345938329587</c:v>
                </c:pt>
                <c:pt idx="114">
                  <c:v>558.88924451190701</c:v>
                </c:pt>
                <c:pt idx="115">
                  <c:v>568.91213338172497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5.2163528018980525</c:v>
                </c:pt>
                <c:pt idx="4">
                  <c:v>6.6627944194883515</c:v>
                </c:pt>
                <c:pt idx="5">
                  <c:v>9.5844755873268603</c:v>
                </c:pt>
                <c:pt idx="6">
                  <c:v>12.506156755165367</c:v>
                </c:pt>
                <c:pt idx="7">
                  <c:v>15.427837923003874</c:v>
                </c:pt>
                <c:pt idx="8">
                  <c:v>18.349519090842385</c:v>
                </c:pt>
                <c:pt idx="9">
                  <c:v>21.271200258680892</c:v>
                </c:pt>
                <c:pt idx="10">
                  <c:v>25.035875455232656</c:v>
                </c:pt>
                <c:pt idx="11">
                  <c:v>29.002136180389769</c:v>
                </c:pt>
                <c:pt idx="12">
                  <c:v>32.968396905546882</c:v>
                </c:pt>
                <c:pt idx="13">
                  <c:v>36.934657630704002</c:v>
                </c:pt>
                <c:pt idx="14">
                  <c:v>41.404882177374475</c:v>
                </c:pt>
                <c:pt idx="15">
                  <c:v>45.482407642346224</c:v>
                </c:pt>
                <c:pt idx="16">
                  <c:v>49.559933107317981</c:v>
                </c:pt>
                <c:pt idx="17">
                  <c:v>53.84820707946804</c:v>
                </c:pt>
                <c:pt idx="18">
                  <c:v>58.136481051618112</c:v>
                </c:pt>
                <c:pt idx="19">
                  <c:v>62.424755023768171</c:v>
                </c:pt>
                <c:pt idx="20">
                  <c:v>64.284839674081127</c:v>
                </c:pt>
                <c:pt idx="21">
                  <c:v>66.144924324394083</c:v>
                </c:pt>
                <c:pt idx="22">
                  <c:v>68.005008974707039</c:v>
                </c:pt>
                <c:pt idx="23">
                  <c:v>70.424035317971175</c:v>
                </c:pt>
                <c:pt idx="24">
                  <c:v>72.843061661235325</c:v>
                </c:pt>
                <c:pt idx="25">
                  <c:v>75.262088004499461</c:v>
                </c:pt>
                <c:pt idx="26">
                  <c:v>77.626136476325783</c:v>
                </c:pt>
                <c:pt idx="27">
                  <c:v>79.990184948152105</c:v>
                </c:pt>
                <c:pt idx="28">
                  <c:v>82.354233419978428</c:v>
                </c:pt>
                <c:pt idx="29">
                  <c:v>84.993171248993846</c:v>
                </c:pt>
                <c:pt idx="30">
                  <c:v>87.632109078009279</c:v>
                </c:pt>
                <c:pt idx="31">
                  <c:v>90.271046907024711</c:v>
                </c:pt>
                <c:pt idx="32">
                  <c:v>92.140294535910641</c:v>
                </c:pt>
                <c:pt idx="33">
                  <c:v>94.009542164796542</c:v>
                </c:pt>
                <c:pt idx="34">
                  <c:v>95.8787897936825</c:v>
                </c:pt>
                <c:pt idx="35">
                  <c:v>101.0467097088377</c:v>
                </c:pt>
                <c:pt idx="36">
                  <c:v>106.21462962399289</c:v>
                </c:pt>
                <c:pt idx="37">
                  <c:v>111.38254953914812</c:v>
                </c:pt>
                <c:pt idx="38">
                  <c:v>116.87117370435729</c:v>
                </c:pt>
                <c:pt idx="39">
                  <c:v>122.35979786956645</c:v>
                </c:pt>
                <c:pt idx="40">
                  <c:v>127.84842203477562</c:v>
                </c:pt>
                <c:pt idx="41">
                  <c:v>133.78603215006032</c:v>
                </c:pt>
                <c:pt idx="42">
                  <c:v>139.72364226534503</c:v>
                </c:pt>
                <c:pt idx="43">
                  <c:v>145.66125238062975</c:v>
                </c:pt>
                <c:pt idx="44">
                  <c:v>150.64591272432557</c:v>
                </c:pt>
                <c:pt idx="45">
                  <c:v>155.63057306802133</c:v>
                </c:pt>
                <c:pt idx="46">
                  <c:v>160.61523341171716</c:v>
                </c:pt>
                <c:pt idx="47">
                  <c:v>163.18086741214881</c:v>
                </c:pt>
                <c:pt idx="48">
                  <c:v>165.74650141258047</c:v>
                </c:pt>
                <c:pt idx="49">
                  <c:v>168.31213541301216</c:v>
                </c:pt>
                <c:pt idx="50">
                  <c:v>170.97856217774648</c:v>
                </c:pt>
                <c:pt idx="51">
                  <c:v>173.64498894248084</c:v>
                </c:pt>
                <c:pt idx="52">
                  <c:v>176.31141570721516</c:v>
                </c:pt>
                <c:pt idx="53">
                  <c:v>179.17026502198189</c:v>
                </c:pt>
                <c:pt idx="54">
                  <c:v>182.02911433674859</c:v>
                </c:pt>
                <c:pt idx="55">
                  <c:v>184.88796365151526</c:v>
                </c:pt>
                <c:pt idx="56">
                  <c:v>190.27579505242176</c:v>
                </c:pt>
                <c:pt idx="57">
                  <c:v>195.66362645332825</c:v>
                </c:pt>
                <c:pt idx="58">
                  <c:v>201.0514578542348</c:v>
                </c:pt>
                <c:pt idx="59">
                  <c:v>206.6408747837466</c:v>
                </c:pt>
                <c:pt idx="60">
                  <c:v>212.23029171325845</c:v>
                </c:pt>
                <c:pt idx="61">
                  <c:v>217.81970864277031</c:v>
                </c:pt>
                <c:pt idx="62">
                  <c:v>223.40912557228214</c:v>
                </c:pt>
                <c:pt idx="63">
                  <c:v>228.99854250179396</c:v>
                </c:pt>
                <c:pt idx="64">
                  <c:v>234.58795943130582</c:v>
                </c:pt>
                <c:pt idx="65">
                  <c:v>240.17737636081765</c:v>
                </c:pt>
                <c:pt idx="66">
                  <c:v>245.7667932903295</c:v>
                </c:pt>
                <c:pt idx="67">
                  <c:v>251.35621021984133</c:v>
                </c:pt>
                <c:pt idx="68">
                  <c:v>256.94562714935319</c:v>
                </c:pt>
                <c:pt idx="69">
                  <c:v>262.53504407886504</c:v>
                </c:pt>
                <c:pt idx="70">
                  <c:v>268.12446100837684</c:v>
                </c:pt>
                <c:pt idx="71">
                  <c:v>274.17202686653724</c:v>
                </c:pt>
                <c:pt idx="72">
                  <c:v>280.21959272469758</c:v>
                </c:pt>
                <c:pt idx="73">
                  <c:v>286.26715858285792</c:v>
                </c:pt>
                <c:pt idx="74">
                  <c:v>291.85657551236977</c:v>
                </c:pt>
                <c:pt idx="75">
                  <c:v>297.44599244188157</c:v>
                </c:pt>
                <c:pt idx="76">
                  <c:v>303.03540937139343</c:v>
                </c:pt>
                <c:pt idx="77">
                  <c:v>308.62482630090528</c:v>
                </c:pt>
                <c:pt idx="78">
                  <c:v>314.21424323041708</c:v>
                </c:pt>
                <c:pt idx="79">
                  <c:v>319.80366015992894</c:v>
                </c:pt>
                <c:pt idx="80">
                  <c:v>325.39307708944079</c:v>
                </c:pt>
                <c:pt idx="81">
                  <c:v>330.98249401895259</c:v>
                </c:pt>
                <c:pt idx="82">
                  <c:v>336.57191094846451</c:v>
                </c:pt>
                <c:pt idx="83">
                  <c:v>342.1613278779763</c:v>
                </c:pt>
                <c:pt idx="84">
                  <c:v>347.7507448074881</c:v>
                </c:pt>
                <c:pt idx="85">
                  <c:v>353.34016173700002</c:v>
                </c:pt>
                <c:pt idx="86">
                  <c:v>358.92957866651182</c:v>
                </c:pt>
                <c:pt idx="87">
                  <c:v>364.51899559602361</c:v>
                </c:pt>
                <c:pt idx="88">
                  <c:v>370.10841252553553</c:v>
                </c:pt>
                <c:pt idx="89">
                  <c:v>373.98435246190195</c:v>
                </c:pt>
                <c:pt idx="90">
                  <c:v>377.86029239826826</c:v>
                </c:pt>
                <c:pt idx="91">
                  <c:v>381.73623233463479</c:v>
                </c:pt>
                <c:pt idx="92">
                  <c:v>385.91455056390913</c:v>
                </c:pt>
                <c:pt idx="93">
                  <c:v>390.09286879318358</c:v>
                </c:pt>
                <c:pt idx="94">
                  <c:v>394.27118702245804</c:v>
                </c:pt>
                <c:pt idx="95">
                  <c:v>397.94554143021907</c:v>
                </c:pt>
                <c:pt idx="96">
                  <c:v>401.61989583798021</c:v>
                </c:pt>
                <c:pt idx="97">
                  <c:v>405.29425024574118</c:v>
                </c:pt>
                <c:pt idx="98">
                  <c:v>409.1427012463887</c:v>
                </c:pt>
                <c:pt idx="99">
                  <c:v>412.99115224703627</c:v>
                </c:pt>
                <c:pt idx="100">
                  <c:v>416.83960324768373</c:v>
                </c:pt>
                <c:pt idx="101">
                  <c:v>421.12787721983381</c:v>
                </c:pt>
                <c:pt idx="102">
                  <c:v>425.41615119198383</c:v>
                </c:pt>
                <c:pt idx="103">
                  <c:v>429.70442516413391</c:v>
                </c:pt>
                <c:pt idx="104">
                  <c:v>433.37877957189494</c:v>
                </c:pt>
                <c:pt idx="105">
                  <c:v>437.05313397965602</c:v>
                </c:pt>
                <c:pt idx="106">
                  <c:v>440.72748838741711</c:v>
                </c:pt>
                <c:pt idx="107">
                  <c:v>444.46598364518894</c:v>
                </c:pt>
                <c:pt idx="108">
                  <c:v>448.20447890296077</c:v>
                </c:pt>
                <c:pt idx="109">
                  <c:v>451.94297416073272</c:v>
                </c:pt>
                <c:pt idx="110">
                  <c:v>455.24164644700198</c:v>
                </c:pt>
                <c:pt idx="111">
                  <c:v>458.54031873327131</c:v>
                </c:pt>
                <c:pt idx="112">
                  <c:v>461.83899101954052</c:v>
                </c:pt>
                <c:pt idx="113">
                  <c:v>466.23722073456622</c:v>
                </c:pt>
                <c:pt idx="114">
                  <c:v>470.63545044959193</c:v>
                </c:pt>
                <c:pt idx="115">
                  <c:v>475.03368016461769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12.252211349000193</c:v>
                </c:pt>
                <c:pt idx="12">
                  <c:v>13.194689145077131</c:v>
                </c:pt>
                <c:pt idx="13">
                  <c:v>14.137166941154069</c:v>
                </c:pt>
                <c:pt idx="14">
                  <c:v>15.079644737231007</c:v>
                </c:pt>
                <c:pt idx="15">
                  <c:v>15.62942345160922</c:v>
                </c:pt>
                <c:pt idx="16">
                  <c:v>16.179202165987434</c:v>
                </c:pt>
                <c:pt idx="17">
                  <c:v>16.728980880365647</c:v>
                </c:pt>
                <c:pt idx="18">
                  <c:v>17.27875959474386</c:v>
                </c:pt>
                <c:pt idx="19">
                  <c:v>17.828538309122074</c:v>
                </c:pt>
                <c:pt idx="20">
                  <c:v>18.378317023500287</c:v>
                </c:pt>
                <c:pt idx="21">
                  <c:v>18.9280957378785</c:v>
                </c:pt>
                <c:pt idx="22">
                  <c:v>19.477874452256714</c:v>
                </c:pt>
                <c:pt idx="23">
                  <c:v>20.027653166634931</c:v>
                </c:pt>
                <c:pt idx="24">
                  <c:v>20.577431881013144</c:v>
                </c:pt>
                <c:pt idx="25">
                  <c:v>21.127210595391357</c:v>
                </c:pt>
                <c:pt idx="26">
                  <c:v>21.676989309769571</c:v>
                </c:pt>
                <c:pt idx="27">
                  <c:v>22.226768024147784</c:v>
                </c:pt>
                <c:pt idx="28">
                  <c:v>22.776546738526001</c:v>
                </c:pt>
                <c:pt idx="29">
                  <c:v>23.326325452904214</c:v>
                </c:pt>
                <c:pt idx="30">
                  <c:v>23.876104167282428</c:v>
                </c:pt>
                <c:pt idx="31">
                  <c:v>24.425882881660641</c:v>
                </c:pt>
                <c:pt idx="32">
                  <c:v>24.975661596038854</c:v>
                </c:pt>
                <c:pt idx="33">
                  <c:v>25.525440310417068</c:v>
                </c:pt>
                <c:pt idx="34">
                  <c:v>26.075219024795285</c:v>
                </c:pt>
                <c:pt idx="35">
                  <c:v>26.624997739173494</c:v>
                </c:pt>
                <c:pt idx="36">
                  <c:v>27.174776453551704</c:v>
                </c:pt>
                <c:pt idx="37">
                  <c:v>27.724555167929921</c:v>
                </c:pt>
                <c:pt idx="38">
                  <c:v>28.274333882308138</c:v>
                </c:pt>
                <c:pt idx="39">
                  <c:v>38.3218923098228</c:v>
                </c:pt>
                <c:pt idx="40">
                  <c:v>48.369450737337459</c:v>
                </c:pt>
                <c:pt idx="41">
                  <c:v>59.280443684228167</c:v>
                </c:pt>
                <c:pt idx="42">
                  <c:v>70.191436631118876</c:v>
                </c:pt>
                <c:pt idx="43">
                  <c:v>81.102429578009577</c:v>
                </c:pt>
                <c:pt idx="44">
                  <c:v>90.180826810306229</c:v>
                </c:pt>
                <c:pt idx="45">
                  <c:v>99.259224042602881</c:v>
                </c:pt>
                <c:pt idx="46">
                  <c:v>108.33762127489953</c:v>
                </c:pt>
                <c:pt idx="47">
                  <c:v>112.76404477014978</c:v>
                </c:pt>
                <c:pt idx="48">
                  <c:v>117.19046826540001</c:v>
                </c:pt>
                <c:pt idx="49">
                  <c:v>121.61689176065026</c:v>
                </c:pt>
                <c:pt idx="50">
                  <c:v>126.23714749494408</c:v>
                </c:pt>
                <c:pt idx="51">
                  <c:v>130.85740322923792</c:v>
                </c:pt>
                <c:pt idx="52">
                  <c:v>135.47765896353175</c:v>
                </c:pt>
                <c:pt idx="53">
                  <c:v>140.46795806327248</c:v>
                </c:pt>
                <c:pt idx="54">
                  <c:v>145.4582571630132</c:v>
                </c:pt>
                <c:pt idx="55">
                  <c:v>150.4485562627539</c:v>
                </c:pt>
                <c:pt idx="56">
                  <c:v>160.30228245122493</c:v>
                </c:pt>
                <c:pt idx="57">
                  <c:v>170.15600863969601</c:v>
                </c:pt>
                <c:pt idx="58">
                  <c:v>180.00973482816707</c:v>
                </c:pt>
                <c:pt idx="59">
                  <c:v>190.25112549472533</c:v>
                </c:pt>
                <c:pt idx="60">
                  <c:v>200.49251616128359</c:v>
                </c:pt>
                <c:pt idx="61">
                  <c:v>210.73390682784185</c:v>
                </c:pt>
                <c:pt idx="62">
                  <c:v>220.97529749440014</c:v>
                </c:pt>
                <c:pt idx="63">
                  <c:v>231.21668816095837</c:v>
                </c:pt>
                <c:pt idx="64">
                  <c:v>241.45807882751663</c:v>
                </c:pt>
                <c:pt idx="65">
                  <c:v>251.69946949407492</c:v>
                </c:pt>
                <c:pt idx="66">
                  <c:v>261.94086016063318</c:v>
                </c:pt>
                <c:pt idx="67">
                  <c:v>272.18225082719147</c:v>
                </c:pt>
                <c:pt idx="68">
                  <c:v>282.42364149374976</c:v>
                </c:pt>
                <c:pt idx="69">
                  <c:v>292.66503216030799</c:v>
                </c:pt>
                <c:pt idx="70">
                  <c:v>302.90642282686628</c:v>
                </c:pt>
                <c:pt idx="71">
                  <c:v>314.02886912544085</c:v>
                </c:pt>
                <c:pt idx="72">
                  <c:v>325.15131542401554</c:v>
                </c:pt>
                <c:pt idx="73">
                  <c:v>336.27376172259011</c:v>
                </c:pt>
                <c:pt idx="74">
                  <c:v>346.5151523891484</c:v>
                </c:pt>
                <c:pt idx="75">
                  <c:v>356.75654305570663</c:v>
                </c:pt>
                <c:pt idx="76">
                  <c:v>366.99793372226492</c:v>
                </c:pt>
                <c:pt idx="77">
                  <c:v>377.23932438882321</c:v>
                </c:pt>
                <c:pt idx="78">
                  <c:v>387.48071505538149</c:v>
                </c:pt>
                <c:pt idx="79">
                  <c:v>397.72210572193973</c:v>
                </c:pt>
                <c:pt idx="80">
                  <c:v>407.96349638849802</c:v>
                </c:pt>
                <c:pt idx="81">
                  <c:v>418.2048870550563</c:v>
                </c:pt>
                <c:pt idx="82">
                  <c:v>428.44627772161459</c:v>
                </c:pt>
                <c:pt idx="83">
                  <c:v>438.68766838817282</c:v>
                </c:pt>
                <c:pt idx="84">
                  <c:v>448.92905905473106</c:v>
                </c:pt>
                <c:pt idx="85">
                  <c:v>459.17044972128929</c:v>
                </c:pt>
                <c:pt idx="86">
                  <c:v>469.41184038784758</c:v>
                </c:pt>
                <c:pt idx="87">
                  <c:v>479.65323105440586</c:v>
                </c:pt>
                <c:pt idx="88">
                  <c:v>489.89462172096415</c:v>
                </c:pt>
                <c:pt idx="89">
                  <c:v>496.8408643237812</c:v>
                </c:pt>
                <c:pt idx="90">
                  <c:v>503.7871069265982</c:v>
                </c:pt>
                <c:pt idx="91">
                  <c:v>510.73334952941531</c:v>
                </c:pt>
                <c:pt idx="92">
                  <c:v>518.2610888493632</c:v>
                </c:pt>
                <c:pt idx="93">
                  <c:v>525.78882816931093</c:v>
                </c:pt>
                <c:pt idx="94">
                  <c:v>533.31656748925889</c:v>
                </c:pt>
                <c:pt idx="95">
                  <c:v>539.87514561398871</c:v>
                </c:pt>
                <c:pt idx="96">
                  <c:v>546.43372373871853</c:v>
                </c:pt>
                <c:pt idx="97">
                  <c:v>552.99230186344846</c:v>
                </c:pt>
                <c:pt idx="98">
                  <c:v>559.88568112834457</c:v>
                </c:pt>
                <c:pt idx="99">
                  <c:v>566.77906039324057</c:v>
                </c:pt>
                <c:pt idx="100">
                  <c:v>573.67243965813657</c:v>
                </c:pt>
                <c:pt idx="101">
                  <c:v>581.41163232976851</c:v>
                </c:pt>
                <c:pt idx="102">
                  <c:v>589.15082500140022</c:v>
                </c:pt>
                <c:pt idx="103">
                  <c:v>596.89001767303205</c:v>
                </c:pt>
                <c:pt idx="104">
                  <c:v>603.44859579776175</c:v>
                </c:pt>
                <c:pt idx="105">
                  <c:v>610.00717392249157</c:v>
                </c:pt>
                <c:pt idx="106">
                  <c:v>616.56575204722151</c:v>
                </c:pt>
                <c:pt idx="107">
                  <c:v>623.24767796043375</c:v>
                </c:pt>
                <c:pt idx="108">
                  <c:v>629.92960387364576</c:v>
                </c:pt>
                <c:pt idx="109">
                  <c:v>636.611529786858</c:v>
                </c:pt>
                <c:pt idx="110">
                  <c:v>642.44764229333452</c:v>
                </c:pt>
                <c:pt idx="111">
                  <c:v>648.28375479981071</c:v>
                </c:pt>
                <c:pt idx="112">
                  <c:v>654.11986730628723</c:v>
                </c:pt>
                <c:pt idx="113">
                  <c:v>662.07051332960293</c:v>
                </c:pt>
                <c:pt idx="114">
                  <c:v>670.02115935291863</c:v>
                </c:pt>
                <c:pt idx="115">
                  <c:v>677.97180537623433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2.1605827630753902</c:v>
                </c:pt>
                <c:pt idx="1">
                  <c:v>4.3211655261507804</c:v>
                </c:pt>
                <c:pt idx="2">
                  <c:v>6.4817482892261715</c:v>
                </c:pt>
                <c:pt idx="3">
                  <c:v>14.966946049667701</c:v>
                </c:pt>
                <c:pt idx="4">
                  <c:v>23.452143810109238</c:v>
                </c:pt>
                <c:pt idx="5">
                  <c:v>31.937341570550767</c:v>
                </c:pt>
                <c:pt idx="6">
                  <c:v>40.422539330992301</c:v>
                </c:pt>
                <c:pt idx="7">
                  <c:v>48.907737091433837</c:v>
                </c:pt>
                <c:pt idx="8">
                  <c:v>61.007000564656018</c:v>
                </c:pt>
                <c:pt idx="9">
                  <c:v>73.970497143108346</c:v>
                </c:pt>
                <c:pt idx="10">
                  <c:v>86.933993721560711</c:v>
                </c:pt>
                <c:pt idx="11">
                  <c:v>99.897490300013047</c:v>
                </c:pt>
                <c:pt idx="12">
                  <c:v>115.02156964154078</c:v>
                </c:pt>
                <c:pt idx="13">
                  <c:v>130.1456489830685</c:v>
                </c:pt>
                <c:pt idx="14">
                  <c:v>145.26972832459623</c:v>
                </c:pt>
                <c:pt idx="15">
                  <c:v>161.29732409431915</c:v>
                </c:pt>
                <c:pt idx="16">
                  <c:v>177.32491986404204</c:v>
                </c:pt>
                <c:pt idx="17">
                  <c:v>193.35251563376491</c:v>
                </c:pt>
                <c:pt idx="18">
                  <c:v>198.49763573582092</c:v>
                </c:pt>
                <c:pt idx="19">
                  <c:v>203.64275583787693</c:v>
                </c:pt>
                <c:pt idx="20">
                  <c:v>208.78787593993292</c:v>
                </c:pt>
                <c:pt idx="21">
                  <c:v>214.58029883214084</c:v>
                </c:pt>
                <c:pt idx="22">
                  <c:v>220.37272172434865</c:v>
                </c:pt>
                <c:pt idx="23">
                  <c:v>226.16514461655655</c:v>
                </c:pt>
                <c:pt idx="24">
                  <c:v>232.02377453298334</c:v>
                </c:pt>
                <c:pt idx="25">
                  <c:v>237.88240444941007</c:v>
                </c:pt>
                <c:pt idx="26">
                  <c:v>243.74103436583684</c:v>
                </c:pt>
                <c:pt idx="27">
                  <c:v>250.28464672993098</c:v>
                </c:pt>
                <c:pt idx="28">
                  <c:v>256.8282590940251</c:v>
                </c:pt>
                <c:pt idx="29">
                  <c:v>263.37187145811913</c:v>
                </c:pt>
                <c:pt idx="30">
                  <c:v>270.29107855815641</c:v>
                </c:pt>
                <c:pt idx="31">
                  <c:v>277.21028565819358</c:v>
                </c:pt>
                <c:pt idx="32">
                  <c:v>284.12949275823087</c:v>
                </c:pt>
                <c:pt idx="33">
                  <c:v>301.73140034911677</c:v>
                </c:pt>
                <c:pt idx="34">
                  <c:v>319.33330794000278</c:v>
                </c:pt>
                <c:pt idx="35">
                  <c:v>336.9352155308888</c:v>
                </c:pt>
                <c:pt idx="36">
                  <c:v>358.10892660902755</c:v>
                </c:pt>
                <c:pt idx="37">
                  <c:v>358.10892660902755</c:v>
                </c:pt>
                <c:pt idx="38">
                  <c:v>358.10892660902755</c:v>
                </c:pt>
                <c:pt idx="39">
                  <c:v>358.10892660902755</c:v>
                </c:pt>
                <c:pt idx="40">
                  <c:v>358.10892660902755</c:v>
                </c:pt>
                <c:pt idx="41">
                  <c:v>358.10892660902755</c:v>
                </c:pt>
                <c:pt idx="42">
                  <c:v>358.10892660902755</c:v>
                </c:pt>
                <c:pt idx="43">
                  <c:v>358.10892660902755</c:v>
                </c:pt>
                <c:pt idx="44">
                  <c:v>358.10892660902755</c:v>
                </c:pt>
                <c:pt idx="45">
                  <c:v>358.10892660902755</c:v>
                </c:pt>
                <c:pt idx="46">
                  <c:v>358.10892660902755</c:v>
                </c:pt>
                <c:pt idx="47">
                  <c:v>358.10892660902755</c:v>
                </c:pt>
                <c:pt idx="48">
                  <c:v>358.10892660902755</c:v>
                </c:pt>
                <c:pt idx="49">
                  <c:v>358.10892660902755</c:v>
                </c:pt>
                <c:pt idx="50">
                  <c:v>358.10892660902755</c:v>
                </c:pt>
                <c:pt idx="51">
                  <c:v>358.10892660902755</c:v>
                </c:pt>
                <c:pt idx="52">
                  <c:v>358.10892660902755</c:v>
                </c:pt>
                <c:pt idx="53">
                  <c:v>358.10892660902755</c:v>
                </c:pt>
                <c:pt idx="54">
                  <c:v>358.10892660902755</c:v>
                </c:pt>
                <c:pt idx="55">
                  <c:v>358.10892660902755</c:v>
                </c:pt>
                <c:pt idx="56">
                  <c:v>358.10892660902755</c:v>
                </c:pt>
                <c:pt idx="57">
                  <c:v>358.10892660902755</c:v>
                </c:pt>
                <c:pt idx="58">
                  <c:v>358.10892660902755</c:v>
                </c:pt>
                <c:pt idx="59">
                  <c:v>358.10892660902755</c:v>
                </c:pt>
                <c:pt idx="60">
                  <c:v>358.10892660902755</c:v>
                </c:pt>
                <c:pt idx="61">
                  <c:v>358.10892660902755</c:v>
                </c:pt>
                <c:pt idx="62">
                  <c:v>358.10892660902755</c:v>
                </c:pt>
                <c:pt idx="63">
                  <c:v>358.10892660902755</c:v>
                </c:pt>
                <c:pt idx="64">
                  <c:v>358.10892660902755</c:v>
                </c:pt>
                <c:pt idx="65">
                  <c:v>358.10892660902755</c:v>
                </c:pt>
                <c:pt idx="66">
                  <c:v>358.10892660902755</c:v>
                </c:pt>
                <c:pt idx="67">
                  <c:v>358.10892660902755</c:v>
                </c:pt>
                <c:pt idx="68">
                  <c:v>358.10892660902755</c:v>
                </c:pt>
                <c:pt idx="69">
                  <c:v>358.10892660902755</c:v>
                </c:pt>
                <c:pt idx="70">
                  <c:v>358.10892660902755</c:v>
                </c:pt>
                <c:pt idx="71">
                  <c:v>358.10892660902755</c:v>
                </c:pt>
                <c:pt idx="72">
                  <c:v>358.10892660902755</c:v>
                </c:pt>
                <c:pt idx="73">
                  <c:v>358.10892660902755</c:v>
                </c:pt>
                <c:pt idx="74">
                  <c:v>358.10892660902755</c:v>
                </c:pt>
                <c:pt idx="75">
                  <c:v>358.10892660902755</c:v>
                </c:pt>
                <c:pt idx="76">
                  <c:v>358.10892660902755</c:v>
                </c:pt>
                <c:pt idx="77">
                  <c:v>358.10892660902755</c:v>
                </c:pt>
                <c:pt idx="78">
                  <c:v>358.10892660902755</c:v>
                </c:pt>
                <c:pt idx="79">
                  <c:v>358.10892660902755</c:v>
                </c:pt>
                <c:pt idx="80">
                  <c:v>358.10892660902755</c:v>
                </c:pt>
                <c:pt idx="81">
                  <c:v>358.10892660902755</c:v>
                </c:pt>
                <c:pt idx="82">
                  <c:v>358.10892660902755</c:v>
                </c:pt>
                <c:pt idx="83">
                  <c:v>358.10892660902755</c:v>
                </c:pt>
                <c:pt idx="84">
                  <c:v>358.10892660902755</c:v>
                </c:pt>
                <c:pt idx="85">
                  <c:v>358.10892660902755</c:v>
                </c:pt>
                <c:pt idx="86">
                  <c:v>358.10892660902755</c:v>
                </c:pt>
                <c:pt idx="87">
                  <c:v>358.10892660902755</c:v>
                </c:pt>
                <c:pt idx="88">
                  <c:v>358.10892660902755</c:v>
                </c:pt>
                <c:pt idx="89">
                  <c:v>358.10892660902755</c:v>
                </c:pt>
                <c:pt idx="90">
                  <c:v>358.10892660902755</c:v>
                </c:pt>
                <c:pt idx="91">
                  <c:v>358.10892660902755</c:v>
                </c:pt>
                <c:pt idx="92">
                  <c:v>358.10892660902755</c:v>
                </c:pt>
                <c:pt idx="93">
                  <c:v>358.10892660902755</c:v>
                </c:pt>
                <c:pt idx="94">
                  <c:v>358.10892660902755</c:v>
                </c:pt>
                <c:pt idx="95">
                  <c:v>358.10892660902755</c:v>
                </c:pt>
                <c:pt idx="96">
                  <c:v>358.10892660902755</c:v>
                </c:pt>
                <c:pt idx="97">
                  <c:v>358.10892660902755</c:v>
                </c:pt>
                <c:pt idx="98">
                  <c:v>358.10892660902755</c:v>
                </c:pt>
                <c:pt idx="99">
                  <c:v>358.10892660902755</c:v>
                </c:pt>
                <c:pt idx="100">
                  <c:v>358.10892660902755</c:v>
                </c:pt>
                <c:pt idx="101">
                  <c:v>358.10892660902755</c:v>
                </c:pt>
                <c:pt idx="102">
                  <c:v>358.10892660902755</c:v>
                </c:pt>
                <c:pt idx="103">
                  <c:v>358.10892660902755</c:v>
                </c:pt>
                <c:pt idx="104">
                  <c:v>358.10892660902755</c:v>
                </c:pt>
                <c:pt idx="105">
                  <c:v>358.10892660902755</c:v>
                </c:pt>
                <c:pt idx="106">
                  <c:v>358.10892660902755</c:v>
                </c:pt>
                <c:pt idx="107">
                  <c:v>358.10892660902755</c:v>
                </c:pt>
                <c:pt idx="108">
                  <c:v>358.10892660902755</c:v>
                </c:pt>
                <c:pt idx="109">
                  <c:v>358.10892660902755</c:v>
                </c:pt>
                <c:pt idx="110">
                  <c:v>358.10892660902755</c:v>
                </c:pt>
                <c:pt idx="111">
                  <c:v>358.10892660902755</c:v>
                </c:pt>
                <c:pt idx="112">
                  <c:v>358.10892660902755</c:v>
                </c:pt>
                <c:pt idx="113">
                  <c:v>358.10892660902755</c:v>
                </c:pt>
                <c:pt idx="114">
                  <c:v>358.10892660902755</c:v>
                </c:pt>
                <c:pt idx="115">
                  <c:v>358.10892660902755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opLeftCell="A36" zoomScale="115" zoomScaleNormal="115" workbookViewId="0">
      <selection activeCell="C51" sqref="C51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19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171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9</v>
      </c>
      <c r="D14" s="4" t="s">
        <v>25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42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44</v>
      </c>
      <c r="B16" s="5" t="s">
        <v>45</v>
      </c>
      <c r="C16" s="8">
        <v>17.8</v>
      </c>
      <c r="D16" s="4" t="s">
        <v>46</v>
      </c>
      <c r="E16" s="7" t="inlineStr">
        <is>
          <t xml:space="preserve">Report Tabel 5.1</t>
        </is>
      </c>
    </row>
    <row r="17" spans="1:5" x14ac:dyDescent="0.25">
      <c r="A17" s="4" t="s">
        <v>48</v>
      </c>
      <c r="B17" s="5" t="s">
        <v>49</v>
      </c>
      <c r="C17" s="8">
        <v>19.2</v>
      </c>
      <c r="D17" s="4" t="s">
        <v>46</v>
      </c>
      <c r="E17" s="7" t="inlineStr">
        <is>
          <t xml:space="preserve">Report Tabel 5.1</t>
        </is>
      </c>
    </row>
    <row r="18" spans="1:5" x14ac:dyDescent="0.25">
      <c r="A18" s="4" t="s">
        <v>50</v>
      </c>
      <c r="B18" s="5" t="s">
        <v>51</v>
      </c>
      <c r="C18" s="11">
        <v>30</v>
      </c>
      <c r="D18" s="4" t="s">
        <v>52</v>
      </c>
      <c r="E18" s="7" t="s">
        <v>53</v>
      </c>
    </row>
    <row r="19" spans="1:5" x14ac:dyDescent="0.25">
      <c r="A19" s="4" t="s">
        <v>54</v>
      </c>
      <c r="B19" s="5" t="s">
        <v>51</v>
      </c>
      <c r="C19" s="11">
        <v>25</v>
      </c>
      <c r="D19" s="4" t="s">
        <v>52</v>
      </c>
      <c r="E19" s="7" t="s">
        <v>55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57</v>
      </c>
      <c r="C20" s="11">
        <f>MAX('Data Tanah'!$Q$7:$Q$47)</f>
      </c>
      <c r="D20" s="4" t="s">
        <v>58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60</v>
      </c>
      <c r="B21" s="5" t="s">
        <v>61</v>
      </c>
      <c r="C21" s="12">
        <f>0.01*C7*1000</f>
      </c>
      <c r="D21" s="4" t="s">
        <v>58</v>
      </c>
      <c r="E21" s="7" t="s">
        <v>62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65</v>
      </c>
      <c r="B23" s="5"/>
      <c r="C23" s="11">
        <v>1</v>
      </c>
      <c r="D23" s="4" t="s">
        <v>66</v>
      </c>
      <c r="E23" s="7" t="s">
        <v>67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68</v>
      </c>
      <c r="B25" s="3"/>
      <c r="C25" s="3"/>
      <c r="D25" s="3"/>
      <c r="E25" s="3"/>
    </row>
    <row r="26" spans="1:5" x14ac:dyDescent="0.25">
      <c r="A26" s="4" t="s">
        <v>69</v>
      </c>
      <c r="B26" s="5"/>
      <c r="C26" s="8">
        <v>2</v>
      </c>
      <c r="D26" s="4" t="s">
        <v>25</v>
      </c>
      <c r="E26" s="7" t="inlineStr">
        <is>
          <t xml:space="preserve">sesuai perhitungan sebelumnya</t>
        </is>
      </c>
    </row>
    <row r="27" spans="1:5" x14ac:dyDescent="0.25">
      <c r="A27" s="4" t="s">
        <v>71</v>
      </c>
      <c r="B27" s="5"/>
      <c r="C27" s="8">
        <v>2.5</v>
      </c>
      <c r="D27" s="4" t="s">
        <v>25</v>
      </c>
      <c r="E27" s="7" t="inlineStr">
        <is>
          <t xml:space="preserve">sesuai perhitungan sebelumnya</t>
        </is>
      </c>
    </row>
    <row r="28" spans="1:5" x14ac:dyDescent="0.25">
      <c r="A28" s="4" t="s">
        <v>72</v>
      </c>
      <c r="B28" s="5"/>
      <c r="C28" s="8">
        <v>1</v>
      </c>
      <c r="D28" s="4" t="s">
        <v>73</v>
      </c>
      <c r="E28" s="7" t="s">
        <v>74</v>
      </c>
    </row>
    <row r="29" spans="1:5" x14ac:dyDescent="0.25">
      <c r="A29" s="4" t="s">
        <v>75</v>
      </c>
      <c r="B29" s="5" t="s">
        <v>76</v>
      </c>
      <c r="C29" s="8">
        <v>0.3</v>
      </c>
      <c r="D29" s="4" t="s">
        <v>77</v>
      </c>
      <c r="E29" s="7" t="s">
        <v>78</v>
      </c>
    </row>
    <row r="30" spans="1:5" x14ac:dyDescent="0.25">
      <c r="A30" s="4" t="s">
        <v>79</v>
      </c>
      <c r="B30" s="5" t="s">
        <v>80</v>
      </c>
      <c r="C30" s="8">
        <v>15</v>
      </c>
      <c r="D30" s="4" t="s">
        <v>81</v>
      </c>
      <c r="E30" s="7" t="s">
        <v>82</v>
      </c>
    </row>
    <row r="31" spans="1:5" x14ac:dyDescent="0.25">
      <c r="A31" s="4" t="s">
        <v>83</v>
      </c>
      <c r="B31" s="5" t="s">
        <v>84</v>
      </c>
      <c r="C31" s="8">
        <v>0.55000000000000004</v>
      </c>
      <c r="D31" s="4" t="s">
        <v>66</v>
      </c>
      <c r="E31" s="7" t="s">
        <v>85</v>
      </c>
    </row>
    <row r="32" spans="1:5" x14ac:dyDescent="0.25">
      <c r="A32" s="4" t="s">
        <v>86</v>
      </c>
      <c r="B32" s="5"/>
      <c r="C32" s="8">
        <v>0.5</v>
      </c>
      <c r="D32" s="4" t="s">
        <v>77</v>
      </c>
      <c r="E32" s="7"/>
    </row>
    <row r="33" spans="1:5" x14ac:dyDescent="0.25">
      <c r="A33" s="4" t="s">
        <v>87</v>
      </c>
      <c r="B33" s="5"/>
      <c r="C33" s="8">
        <v>57.5</v>
      </c>
      <c r="D33" s="4" t="s">
        <v>88</v>
      </c>
      <c r="E33" s="7" t="s">
        <v>74</v>
      </c>
    </row>
    <row r="34" spans="1:5" x14ac:dyDescent="0.25">
      <c r="A34" s="4" t="s">
        <v>89</v>
      </c>
      <c r="B34" s="5"/>
      <c r="C34" s="11">
        <v>2870</v>
      </c>
      <c r="D34" s="4" t="s">
        <v>90</v>
      </c>
      <c r="E34" s="7" t="s">
        <v>74</v>
      </c>
    </row>
    <row r="35" spans="1:5" x14ac:dyDescent="0.25">
      <c r="A35" s="4" t="s">
        <v>91</v>
      </c>
      <c r="B35" s="5" t="s">
        <v>92</v>
      </c>
      <c r="C35" s="11">
        <v>9</v>
      </c>
      <c r="D35" s="4" t="s">
        <v>66</v>
      </c>
      <c r="E35" s="7" t="s">
        <v>93</v>
      </c>
    </row>
    <row r="36" spans="1:5" x14ac:dyDescent="0.25">
      <c r="A36" s="4" t="s">
        <v>94</v>
      </c>
      <c r="B36" s="5"/>
      <c r="C36" s="8">
        <v>1</v>
      </c>
      <c r="D36" s="4" t="s">
        <v>73</v>
      </c>
      <c r="E36" s="7"/>
    </row>
    <row r="37" spans="1:5" x14ac:dyDescent="0.25">
      <c r="A37" s="4" t="s">
        <v>95</v>
      </c>
      <c r="B37" s="5"/>
      <c r="C37" s="8">
        <v>2</v>
      </c>
      <c r="D37" s="4" t="s">
        <v>73</v>
      </c>
      <c r="E37" s="7"/>
    </row>
    <row r="38" spans="1:5" x14ac:dyDescent="0.25">
      <c r="A38" s="4" t="s">
        <v>96</v>
      </c>
      <c r="B38" s="5"/>
      <c r="C38" s="8">
        <v>0.7</v>
      </c>
      <c r="D38" s="4" t="s">
        <v>66</v>
      </c>
      <c r="E38" s="7"/>
    </row>
    <row r="40" spans="1:5" ht="18" customHeight="1" x14ac:dyDescent="0.25">
      <c r="A40" s="2" t="s">
        <v>97</v>
      </c>
      <c r="B40" s="3"/>
      <c r="C40" s="3"/>
      <c r="D40" s="3"/>
      <c r="E40" s="3"/>
    </row>
    <row r="41" spans="1:5" x14ac:dyDescent="0.25">
      <c r="A41" s="4" t="s">
        <v>98</v>
      </c>
      <c r="B41" s="5"/>
      <c r="C41" s="8">
        <v>2.5</v>
      </c>
      <c r="D41" s="4" t="s">
        <v>66</v>
      </c>
      <c r="E41" s="7"/>
    </row>
    <row r="42" spans="1:5" x14ac:dyDescent="0.25">
      <c r="A42" s="4" t="s">
        <v>99</v>
      </c>
      <c r="B42" s="5"/>
      <c r="C42" s="8">
        <v>3</v>
      </c>
      <c r="D42" s="4" t="s">
        <v>66</v>
      </c>
      <c r="E42" s="7"/>
    </row>
    <row r="43" spans="1:5" x14ac:dyDescent="0.25">
      <c r="A43" s="4" t="s">
        <v>100</v>
      </c>
      <c r="B43" s="5"/>
      <c r="C43" s="8">
        <v>3</v>
      </c>
      <c r="D43" s="4" t="s">
        <v>66</v>
      </c>
      <c r="E43" s="7"/>
    </row>
    <row r="44" spans="1:5" x14ac:dyDescent="0.25">
      <c r="A44" s="4" t="s">
        <v>101</v>
      </c>
      <c r="B44" s="5"/>
      <c r="C44" s="8">
        <v>1.56</v>
      </c>
      <c r="D44" s="4" t="s">
        <v>66</v>
      </c>
      <c r="E44" s="7"/>
    </row>
    <row r="45" spans="1:5" x14ac:dyDescent="0.25">
      <c r="A45" s="4" t="s">
        <v>102</v>
      </c>
      <c r="B45" s="5"/>
      <c r="C45" s="8">
        <v>1.56</v>
      </c>
      <c r="D45" s="4" t="s">
        <v>66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103</v>
      </c>
      <c r="B47" s="3"/>
      <c r="C47" s="3"/>
      <c r="D47" s="3"/>
      <c r="E47" s="3"/>
    </row>
    <row r="48" spans="1:5" x14ac:dyDescent="0.25">
      <c r="A48" s="4" t="s">
        <v>104</v>
      </c>
      <c r="B48" s="5" t="s">
        <v>9</v>
      </c>
      <c r="C48" s="14">
        <v>3000.0</v>
      </c>
      <c r="D48" s="4" t="s">
        <v>17</v>
      </c>
      <c r="E48" s="7" t="inlineStr">
        <is>
          <t xml:space="preserve">beban seragam semua BH (sama dengan BH-03) - update dgn GROUP beban revisi</t>
        </is>
      </c>
    </row>
    <row r="49" spans="1:5" x14ac:dyDescent="0.25">
      <c r="A49" s="4" t="s">
        <v>105</v>
      </c>
      <c r="B49" s="5" t="s">
        <v>13</v>
      </c>
      <c r="C49" s="14">
        <v>600.0</v>
      </c>
      <c r="D49" s="4" t="s">
        <v>17</v>
      </c>
      <c r="E49" s="7" t="inlineStr">
        <is>
          <t xml:space="preserve">beban seragam semua BH (sama dengan BH-03) - update dgn GROUP beban revisi</t>
        </is>
      </c>
    </row>
    <row r="50" spans="1:5" x14ac:dyDescent="0.25">
      <c r="A50" s="4" t="s">
        <v>106</v>
      </c>
      <c r="B50" s="5" t="s">
        <v>18</v>
      </c>
      <c r="C50" s="14">
        <v>500.0</v>
      </c>
      <c r="D50" s="4" t="s">
        <v>17</v>
      </c>
      <c r="E50" s="7" t="inlineStr">
        <is>
          <t xml:space="preserve">beban seragam semua BH (sama dengan BH-03) - update dgn GROUP beban revisi</t>
        </is>
      </c>
    </row>
    <row r="51" spans="1:5" x14ac:dyDescent="0.25">
      <c r="A51" s="4" t="s">
        <v>107</v>
      </c>
      <c r="B51" s="5" t="s">
        <v>108</v>
      </c>
      <c r="C51" s="14">
        <v>0.0</v>
      </c>
      <c r="D51" s="4" t="s">
        <v>17</v>
      </c>
      <c r="E51" s="7" t="inlineStr">
        <is>
          <t xml:space="preserve">tidak ada tiang tarik pada kombinasi yang ditinjau</t>
        </is>
      </c>
    </row>
    <row r="53" spans="1:5" x14ac:dyDescent="0.25">
      <c r="A53" s="1" t="s">
        <v>109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43" activePane="bottomLeft" state="frozen"/>
      <selection pane="bottomLeft" activeCell="A4" sqref="A4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111</v>
      </c>
      <c r="B5" s="15" t="s">
        <v>112</v>
      </c>
      <c r="C5" s="15" t="s">
        <v>113</v>
      </c>
      <c r="D5" s="15" t="s">
        <v>114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120</v>
      </c>
      <c r="K5" s="15" t="s">
        <v>121</v>
      </c>
      <c r="L5" s="15" t="s">
        <v>122</v>
      </c>
      <c r="M5" s="15" t="s">
        <v>123</v>
      </c>
      <c r="N5" s="15" t="s">
        <v>124</v>
      </c>
      <c r="O5" s="15" t="s">
        <v>125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126</v>
      </c>
      <c r="I6" s="15" t="s">
        <v>81</v>
      </c>
      <c r="J6" s="15" t="s">
        <v>81</v>
      </c>
      <c r="K6" s="15" t="s">
        <v>81</v>
      </c>
      <c r="L6" s="15" t="s">
        <v>81</v>
      </c>
      <c r="M6" s="15" t="s">
        <v>81</v>
      </c>
      <c r="N6" s="15" t="s">
        <v>81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>B7+D7/2</f>
      </c>
      <c r="F7" s="6" t="s">
        <v>127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1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ref="E8:E47" si="2">B8+D8/2</f>
      </c>
      <c r="F8" s="6" t="s">
        <v>130</v>
      </c>
      <c r="G8" s="11">
        <v>5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1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0.56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2.5</v>
      </c>
      <c r="E9" s="9">
        <f t="shared" si="2"/>
      </c>
      <c r="F9" s="6" t="s">
        <v>127</v>
      </c>
      <c r="G9" s="11">
        <v>18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1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>
        <v>0.34</v>
      </c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5.5</v>
      </c>
      <c r="C10" s="19">
        <f t="shared" si="0"/>
      </c>
      <c r="D10" s="8">
        <v>0.5</v>
      </c>
      <c r="E10" s="19">
        <f t="shared" si="2"/>
      </c>
      <c r="F10" s="6" t="s">
        <v>130</v>
      </c>
      <c r="G10" s="11">
        <v>28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1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0.26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2"/>
      </c>
      <c r="F11" s="6" t="s">
        <v>130</v>
      </c>
      <c r="G11" s="11">
        <v>30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1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0.26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2"/>
      </c>
      <c r="F12" s="6" t="s">
        <v>130</v>
      </c>
      <c r="G12" s="11">
        <v>35</v>
      </c>
      <c r="H12" s="22" t="inlineStr">
        <is>
          <t xml:space="preserve">NL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1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0.21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2"/>
      </c>
      <c r="F13" s="6" t="s">
        <v>127</v>
      </c>
      <c r="G13" s="11">
        <v>34</v>
      </c>
      <c r="H13" s="22" t="inlineStr">
        <is>
          <t xml:space="preserve">NL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1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0.26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2"/>
      </c>
      <c r="F14" s="6" t="s">
        <v>130</v>
      </c>
      <c r="G14" s="11">
        <v>13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1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4.44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2"/>
      </c>
      <c r="F15" s="6" t="s">
        <v>127</v>
      </c>
      <c r="G15" s="11">
        <v>17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1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3.45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2"/>
      </c>
      <c r="F16" s="6" t="s">
        <v>130</v>
      </c>
      <c r="G16" s="11">
        <v>18</v>
      </c>
      <c r="H16" s="22" t="inlineStr">
        <is>
          <t xml:space="preserve">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1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3.45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2"/>
      </c>
      <c r="F17" s="6" t="s">
        <v>127</v>
      </c>
      <c r="G17" s="11">
        <v>19</v>
      </c>
      <c r="H17" s="22" t="inlineStr">
        <is>
          <t xml:space="preserve">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1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3.45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2"/>
      </c>
      <c r="F18" s="6" t="s">
        <v>127</v>
      </c>
      <c r="G18" s="11">
        <v>12</v>
      </c>
      <c r="H18" s="22" t="inlineStr">
        <is>
          <t xml:space="preserve">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1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4.44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2"/>
      </c>
      <c r="F19" s="6" t="s">
        <v>127</v>
      </c>
      <c r="G19" s="11">
        <v>42</v>
      </c>
      <c r="H19" s="22" t="inlineStr">
        <is>
          <t xml:space="preserve">NL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1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0.21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2"/>
      </c>
      <c r="F20" s="6" t="s">
        <v>130</v>
      </c>
      <c r="G20" s="11">
        <v>49</v>
      </c>
      <c r="H20" s="22" t="inlineStr">
        <is>
          <t xml:space="preserve">NL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1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0.21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2"/>
      </c>
      <c r="F21" s="6" t="s">
        <v>127</v>
      </c>
      <c r="G21" s="11">
        <v>49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1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0.21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2"/>
      </c>
      <c r="F22" s="6" t="s">
        <v>130</v>
      </c>
      <c r="G22" s="11">
        <v>44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1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2"/>
      </c>
      <c r="F23" s="6" t="s">
        <v>130</v>
      </c>
      <c r="G23" s="11">
        <v>20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1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2"/>
      </c>
      <c r="F24" s="6" t="s">
        <v>130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1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/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2"/>
      </c>
      <c r="F25" s="6" t="s">
        <v>127</v>
      </c>
      <c r="G25" s="11">
        <v>21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1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/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2"/>
      </c>
      <c r="F26" s="6" t="s">
        <v>130</v>
      </c>
      <c r="G26" s="11">
        <v>48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1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/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2"/>
      </c>
      <c r="F27" s="6" t="s">
        <v>130</v>
      </c>
      <c r="G27" s="11">
        <v>50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1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/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2"/>
      </c>
      <c r="F28" s="6" t="s">
        <v>130</v>
      </c>
      <c r="G28" s="11">
        <v>50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1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/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2"/>
      </c>
      <c r="F29" s="6" t="s">
        <v>130</v>
      </c>
      <c r="G29" s="11">
        <v>50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1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/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2"/>
      </c>
      <c r="F30" s="6" t="s">
        <v>130</v>
      </c>
      <c r="G30" s="11">
        <v>50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1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/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2"/>
      </c>
      <c r="F31" s="6" t="s">
        <v>127</v>
      </c>
      <c r="G31" s="11">
        <v>50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1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/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2"/>
      </c>
      <c r="F32" s="6" t="s">
        <v>130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1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/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2"/>
      </c>
      <c r="F33" s="6" t="s">
        <v>130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1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/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2"/>
      </c>
      <c r="F34" s="6" t="s">
        <v>130</v>
      </c>
      <c r="G34" s="11">
        <v>50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1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/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2"/>
      </c>
      <c r="F35" s="6" t="s">
        <v>130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1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/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2"/>
      </c>
      <c r="F36" s="6" t="s">
        <v>130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1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/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2"/>
      </c>
      <c r="F37" s="6" t="s">
        <v>130</v>
      </c>
      <c r="G37" s="11">
        <v>33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1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/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2"/>
      </c>
      <c r="F38" s="6" t="s">
        <v>130</v>
      </c>
      <c r="G38" s="11">
        <v>36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1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/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2"/>
      </c>
      <c r="F39" s="6" t="s">
        <v>130</v>
      </c>
      <c r="G39" s="11">
        <v>31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1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/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2"/>
      </c>
      <c r="F40" s="6" t="s">
        <v>127</v>
      </c>
      <c r="G40" s="11">
        <v>30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1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/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2"/>
      </c>
      <c r="F41" s="6" t="s">
        <v>127</v>
      </c>
      <c r="G41" s="11">
        <v>34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1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/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2"/>
      </c>
      <c r="F42" s="6" t="s">
        <v>130</v>
      </c>
      <c r="G42" s="11">
        <v>31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1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/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2"/>
      </c>
      <c r="F43" s="6" t="s">
        <v>127</v>
      </c>
      <c r="G43" s="11">
        <v>29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1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/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2"/>
      </c>
      <c r="F44" s="6" t="s">
        <v>127</v>
      </c>
      <c r="G44" s="11">
        <v>25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1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/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2"/>
      </c>
      <c r="F45" s="6" t="s">
        <v>127</v>
      </c>
      <c r="G45" s="11">
        <v>35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1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/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2"/>
      </c>
      <c r="F46" s="6" t="s">
        <v>127</v>
      </c>
      <c r="G46" s="11">
        <v>42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1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/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2"/>
      </c>
      <c r="F47" s="6" t="s">
        <v>127</v>
      </c>
      <c r="G47" s="11">
        <v>46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1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/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131</v>
      </c>
    </row>
    <row r="50" spans="1:1" x14ac:dyDescent="0.25">
      <c r="A50" s="1" t="s">
        <v>132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134</v>
      </c>
      <c r="B5" s="36"/>
      <c r="C5" s="36"/>
      <c r="D5" s="36"/>
      <c r="E5" s="27">
        <f>IFERROR(ROUND(1/(1/_xlfn.SINGLE(_xlfn.MINIFS(A12:A127,L12:L127,TRUE))),2),"&gt;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136</v>
      </c>
      <c r="B7" s="36"/>
      <c r="C7" s="36"/>
      <c r="D7" s="36"/>
      <c r="E7" s="27">
        <f>Input!C41&amp;" / "&amp;Input!C42</f>
      </c>
      <c r="F7" s="4" t="s">
        <v>137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141</v>
      </c>
      <c r="E10" s="15" t="s">
        <v>142</v>
      </c>
      <c r="F10" s="15" t="s">
        <v>143</v>
      </c>
      <c r="G10" s="15" t="s">
        <v>144</v>
      </c>
      <c r="H10" s="15" t="s">
        <v>145</v>
      </c>
      <c r="I10" s="15" t="s">
        <v>146</v>
      </c>
      <c r="J10" s="15" t="s">
        <v>146</v>
      </c>
      <c r="K10" s="15" t="s">
        <v>147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81</v>
      </c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153</v>
      </c>
      <c r="B5" s="36"/>
      <c r="C5" s="36"/>
      <c r="D5" s="36"/>
      <c r="E5" s="27">
        <f>IFERROR(ROUND(1/(1/_xlfn.MINIFS(A12:A127,L12:L127,TRUE)),2),"&gt;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154</v>
      </c>
      <c r="B7" s="36"/>
      <c r="C7" s="36"/>
      <c r="D7" s="36"/>
      <c r="E7" s="27">
        <f>Input!$C$44</f>
      </c>
      <c r="F7" s="4" t="s">
        <v>6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155</v>
      </c>
      <c r="E10" s="15" t="s">
        <v>156</v>
      </c>
      <c r="F10" s="15" t="s">
        <v>143</v>
      </c>
      <c r="G10" s="15" t="s">
        <v>157</v>
      </c>
      <c r="H10" s="15" t="s">
        <v>145</v>
      </c>
      <c r="I10" s="15" t="s">
        <v>146</v>
      </c>
      <c r="J10" s="15" t="s">
        <v>146</v>
      </c>
      <c r="K10" s="15" t="s">
        <v>158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/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159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160</v>
      </c>
      <c r="B5" s="36"/>
      <c r="C5" s="36"/>
      <c r="D5" s="36"/>
      <c r="E5" s="27">
        <f>IFERROR(ROUND(1/(1/_xlfn.MINIFS(A12:A127,K12:K127,TRUE)),2),"&gt; data")</f>
      </c>
      <c r="F5" s="4" t="s">
        <v>25</v>
      </c>
    </row>
    <row r="6" spans="1:14" x14ac:dyDescent="0.25">
      <c r="A6" s="37" t="s">
        <v>161</v>
      </c>
      <c r="B6" s="36"/>
      <c r="C6" s="36"/>
      <c r="D6" s="36"/>
      <c r="E6" s="34">
        <f>G12*9.81</f>
      </c>
      <c r="F6" s="4" t="s">
        <v>17</v>
      </c>
    </row>
    <row r="7" spans="1:14" x14ac:dyDescent="0.25">
      <c r="A7" s="37" t="s">
        <v>162</v>
      </c>
      <c r="B7" s="36"/>
      <c r="C7" s="36"/>
      <c r="D7" s="36"/>
      <c r="E7" s="27">
        <f>Input!$C$45</f>
      </c>
      <c r="F7" s="4" t="s">
        <v>6</v>
      </c>
    </row>
    <row r="10" spans="1:14" ht="42" customHeight="1" x14ac:dyDescent="0.25">
      <c r="A10" s="15" t="s">
        <v>163</v>
      </c>
      <c r="B10" s="15" t="s">
        <v>139</v>
      </c>
      <c r="C10" s="15" t="s">
        <v>140</v>
      </c>
      <c r="D10" s="15" t="s">
        <v>164</v>
      </c>
      <c r="E10" s="15" t="s">
        <v>165</v>
      </c>
      <c r="F10" s="15" t="s">
        <v>145</v>
      </c>
      <c r="G10" s="15" t="s">
        <v>166</v>
      </c>
      <c r="H10" s="15" t="s">
        <v>167</v>
      </c>
      <c r="I10" s="15" t="s">
        <v>167</v>
      </c>
      <c r="J10" s="15" t="s">
        <v>168</v>
      </c>
      <c r="K10" s="15" t="s">
        <v>148</v>
      </c>
      <c r="L10" s="15" t="s">
        <v>169</v>
      </c>
      <c r="M10" s="15" t="s">
        <v>170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150</v>
      </c>
      <c r="F11" s="15" t="s">
        <v>150</v>
      </c>
      <c r="G11" s="15" t="s">
        <v>150</v>
      </c>
      <c r="H11" s="15" t="s">
        <v>150</v>
      </c>
      <c r="I11" s="15" t="s">
        <v>17</v>
      </c>
      <c r="J11" s="15" t="s">
        <v>17</v>
      </c>
      <c r="K11" s="15"/>
      <c r="L11" s="15" t="s">
        <v>81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151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tabSelected="1" zoomScale="70" zoomScaleNormal="70" workbookViewId="0">
      <selection activeCell="M14" sqref="M14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3" t="s">
        <v>3</v>
      </c>
      <c r="S5" s="23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3" t="s">
        <v>9</v>
      </c>
      <c r="S6" s="23"/>
    </row>
    <row r="7" spans="1:19" x14ac:dyDescent="0.25">
      <c r="A7" s="24" t="s">
        <v>10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11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12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13</v>
      </c>
      <c r="S9" s="23"/>
    </row>
    <row r="10" spans="1:19" x14ac:dyDescent="0.25">
      <c r="A10" s="26" t="s">
        <v>14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15</v>
      </c>
      <c r="R12" s="23" t="s">
        <v>18</v>
      </c>
      <c r="S12" s="23"/>
    </row>
    <row r="13" spans="1:19" x14ac:dyDescent="0.25">
      <c r="A13" s="4" t="s">
        <v>16</v>
      </c>
      <c r="B13" s="29">
        <f>Downdrag!E6</f>
      </c>
      <c r="C13" s="4" t="s">
        <v>17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2026-10-06T07:47:45Z</dcterms:modified>
</cp:coreProperties>
</file>