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4A950089-2ED9-4A74-960C-005BC9C7A6D2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<sst xmlns="http://schemas.openxmlformats.org/spreadsheetml/2006/main" count="361" uniqueCount="172">
  <si>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</si>
  <si>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</si>
  <si>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</si>
  <si>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</si>
  <si>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</si>
  <si>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</si>
  <si>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</si>
  <si>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</si>
  <si>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</si>
  <si>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</si>
  <si>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</si>
  <si>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</si>
  <si>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</si>
  <si>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</si>
  <si>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</si>
  <si>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</si>
  <si>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</si>
  <si>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</si>
  <si>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</si>
  <si>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</si>
  <si>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</si>
  <si>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</si>
  <si>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</si>
  <si>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</si>
  <si>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</si>
  <si>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</si>
  <si>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</si>
  <si>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</si>
  <si>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</si>
  <si>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</si>
  <si>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</si>
  <si>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</si>
  <si>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</si>
  <si>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</si>
  <si>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</si>
  <si>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</si>
  <si>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</si>
  <si>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</si>
  <si>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</si>
  <si>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</si>
  <si>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</si>
  <si>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</si>
  <si>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</si>
  <si>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</si>
  <si>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</si>
  <si>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</si>
  <si>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</si>
  <si>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</si>
  <si>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</si>
  <si>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</si>
  <si>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</si>
  <si>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</si>
  <si>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</si>
  <si>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</si>
  <si>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</si>
  <si>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</si>
  <si>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</si>
  <si>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</si>
  <si>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</si>
  <si>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</si>
  <si>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</si>
  <si>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</si>
  <si>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</si>
  <si>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</si>
  <si>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</si>
  <si>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</si>
  <si>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</si>
  <si>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</si>
  <si>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</si>
  <si>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</si>
  <si>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</si>
  <si>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</si>
  <si>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</si>
  <si>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</si>
  <si>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</si>
  <si>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</si>
  <si>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</si>
  <si>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</si>
  <si>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</si>
  <si>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</si>
  <si>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</si>
  <si>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</si>
  <si>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</si>
  <si>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</si>
  <si>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</si>
  <si>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</si>
  <si>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</si>
  <si>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</si>
  <si>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</si>
  <si>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</si>
  <si>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</si>
  <si>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</si>
  <si>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</si>
  <si>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</si>
  <si>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</si>
  <si>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</si>
  <si>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</si>
  <si>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</si>
  <si>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</si>
  <si>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</si>
  <si>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</si>
  <si>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</si>
  <si>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</si>
  <si>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</si>
  <si>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</si>
  <si>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</si>
  <si>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</si>
  <si>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</si>
  <si>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</si>
  <si>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</si>
  <si>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</si>
  <si>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</si>
  <si>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</si>
  <si>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</si>
  <si>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</si>
  <si>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</si>
  <si>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</si>
  <si>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</si>
  <si>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</si>
  <si>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</si>
  <si>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</si>
  <si>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</si>
  <si>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</si>
  <si>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</si>
  <si>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</si>
  <si>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</si>
  <si>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</si>
  <si>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</si>
  <si>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</si>
  <si>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</si>
  <si>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</si>
  <si>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</si>
  <si>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</si>
  <si>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</si>
  <si>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</si>
  <si>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</si>
  <si>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</si>
  <si>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</si>
  <si>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</si>
  <si>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</si>
  <si>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</si>
  <si>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</si>
  <si>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</si>
  <si>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</si>
  <si>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</si>
  <si>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</si>
  <si>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</si>
  <si>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</si>
  <si>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</si>
  <si>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</si>
  <si>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</si>
  <si>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</si>
  <si>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</si>
  <si>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</si>
  <si>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</si>
  <si>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</si>
  <si>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</si>
  <si>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</si>
  <si>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</si>
  <si>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</si>
  <si>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</si>
  <si>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</si>
  <si>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</si>
  <si>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</si>
  <si>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</si>
  <si>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</si>
  <si>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</si>
  <si>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</si>
  <si>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</si>
  <si>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</si>
  <si>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</si>
  <si>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Logyard  |  Titik bor: BH-03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</si>
</sst>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732.87282862452935</c:v>
                </c:pt>
                <c:pt idx="1">
                  <c:v>723.62712144501461</c:v>
                </c:pt>
                <c:pt idx="2">
                  <c:v>714.38141426549976</c:v>
                </c:pt>
                <c:pt idx="3">
                  <c:v>730.50668575760062</c:v>
                </c:pt>
                <c:pt idx="4">
                  <c:v>813.71805037323338</c:v>
                </c:pt>
                <c:pt idx="5">
                  <c:v>896.92941498886648</c:v>
                </c:pt>
                <c:pt idx="6">
                  <c:v>980.14077960449924</c:v>
                </c:pt>
                <c:pt idx="7">
                  <c:v>1063.352144220132</c:v>
                </c:pt>
                <c:pt idx="8">
                  <c:v>1129.9212359126384</c:v>
                </c:pt>
                <c:pt idx="9">
                  <c:v>1083.5893416167614</c:v>
                </c:pt>
                <c:pt idx="10">
                  <c:v>1150.1584333092678</c:v>
                </c:pt>
                <c:pt idx="11">
                  <c:v>1237.2221759163654</c:v>
                </c:pt>
                <c:pt idx="12">
                  <c:v>1061.504783020066</c:v>
                </c:pt>
                <c:pt idx="13">
                  <c:v>1148.5685256271636</c:v>
                </c:pt>
                <c:pt idx="14">
                  <c:v>1191.2528737725902</c:v>
                </c:pt>
                <c:pt idx="15">
                  <c:v>1226.4104895187909</c:v>
                </c:pt>
                <c:pt idx="16">
                  <c:v>1269.0948376642177</c:v>
                </c:pt>
                <c:pt idx="17">
                  <c:v>1291.4386300147114</c:v>
                </c:pt>
                <c:pt idx="18">
                  <c:v>1316.4527761207567</c:v>
                </c:pt>
                <c:pt idx="19">
                  <c:v>1338.7965684712506</c:v>
                </c:pt>
                <c:pt idx="20">
                  <c:v>1379.6317751807744</c:v>
                </c:pt>
                <c:pt idx="21">
                  <c:v>1503.8913203079055</c:v>
                </c:pt>
                <c:pt idx="22">
                  <c:v>1544.7265270174289</c:v>
                </c:pt>
                <c:pt idx="23">
                  <c:v>1573.2341241542661</c:v>
                </c:pt>
                <c:pt idx="24">
                  <c:v>1576.4911703378755</c:v>
                </c:pt>
                <c:pt idx="25">
                  <c:v>1604.9987674747124</c:v>
                </c:pt>
                <c:pt idx="26">
                  <c:v>1679.2726151501477</c:v>
                </c:pt>
                <c:pt idx="27">
                  <c:v>1655.0686596095243</c:v>
                </c:pt>
                <c:pt idx="28">
                  <c:v>1729.3425072849595</c:v>
                </c:pt>
                <c:pt idx="29">
                  <c:v>1746.1388753277449</c:v>
                </c:pt>
                <c:pt idx="30">
                  <c:v>1898.4164265565901</c:v>
                </c:pt>
                <c:pt idx="31">
                  <c:v>1915.2127945993752</c:v>
                </c:pt>
                <c:pt idx="32">
                  <c:v>1952.3497184370926</c:v>
                </c:pt>
                <c:pt idx="33">
                  <c:v>2019.5935718717126</c:v>
                </c:pt>
                <c:pt idx="34">
                  <c:v>2056.7304957094302</c:v>
                </c:pt>
                <c:pt idx="35">
                  <c:v>2106.8114095984683</c:v>
                </c:pt>
                <c:pt idx="36">
                  <c:v>2141.8388586890555</c:v>
                </c:pt>
                <c:pt idx="37">
                  <c:v>2191.9197725780941</c:v>
                </c:pt>
                <c:pt idx="38">
                  <c:v>2236.4532621594235</c:v>
                </c:pt>
                <c:pt idx="39">
                  <c:v>2258.4065545430763</c:v>
                </c:pt>
                <c:pt idx="40">
                  <c:v>2302.9400441244056</c:v>
                </c:pt>
                <c:pt idx="41">
                  <c:v>2349.3226751416382</c:v>
                </c:pt>
                <c:pt idx="42">
                  <c:v>2516.1330245464792</c:v>
                </c:pt>
                <c:pt idx="43">
                  <c:v>2562.5156555637118</c:v>
                </c:pt>
                <c:pt idx="44">
                  <c:v>2601.501720837332</c:v>
                </c:pt>
                <c:pt idx="45">
                  <c:v>2617.907588913276</c:v>
                </c:pt>
                <c:pt idx="46">
                  <c:v>2656.893654186897</c:v>
                </c:pt>
                <c:pt idx="47">
                  <c:v>2732.8625481785762</c:v>
                </c:pt>
                <c:pt idx="48">
                  <c:v>2710.9839209803245</c:v>
                </c:pt>
                <c:pt idx="49">
                  <c:v>2786.9528149720036</c:v>
                </c:pt>
                <c:pt idx="50">
                  <c:v>2820.391455937915</c:v>
                </c:pt>
                <c:pt idx="51">
                  <c:v>3071.45083801187</c:v>
                </c:pt>
                <c:pt idx="52">
                  <c:v>3104.8894789777814</c:v>
                </c:pt>
                <c:pt idx="53">
                  <c:v>3156.8195343027232</c:v>
                </c:pt>
                <c:pt idx="54">
                  <c:v>3276.490181220694</c:v>
                </c:pt>
                <c:pt idx="55">
                  <c:v>3328.4202365456354</c:v>
                </c:pt>
                <c:pt idx="56">
                  <c:v>3415.4839791527329</c:v>
                </c:pt>
                <c:pt idx="57">
                  <c:v>3450.5150934347489</c:v>
                </c:pt>
                <c:pt idx="58">
                  <c:v>3537.5788360418464</c:v>
                </c:pt>
                <c:pt idx="59">
                  <c:v>3606.151164289914</c:v>
                </c:pt>
                <c:pt idx="60">
                  <c:v>3569.3492389488242</c:v>
                </c:pt>
                <c:pt idx="61">
                  <c:v>3637.9215671968918</c:v>
                </c:pt>
                <c:pt idx="62">
                  <c:v>3712.0413197526682</c:v>
                </c:pt>
                <c:pt idx="63">
                  <c:v>3838.1937006335265</c:v>
                </c:pt>
                <c:pt idx="64">
                  <c:v>3912.3134531893038</c:v>
                </c:pt>
                <c:pt idx="65">
                  <c:v>3954.9978013347295</c:v>
                </c:pt>
                <c:pt idx="66">
                  <c:v>4177.6692285920717</c:v>
                </c:pt>
                <c:pt idx="67">
                  <c:v>4220.3535767374979</c:v>
                </c:pt>
                <c:pt idx="68">
                  <c:v>4307.4173193445949</c:v>
                </c:pt>
                <c:pt idx="69">
                  <c:v>4394.4810619516929</c:v>
                </c:pt>
                <c:pt idx="70">
                  <c:v>4481.54480455879</c:v>
                </c:pt>
                <c:pt idx="71">
                  <c:v>4568.6085471658871</c:v>
                </c:pt>
                <c:pt idx="72">
                  <c:v>4655.6722897729851</c:v>
                </c:pt>
                <c:pt idx="73">
                  <c:v>4742.7360323800822</c:v>
                </c:pt>
                <c:pt idx="74">
                  <c:v>4829.7997749871793</c:v>
                </c:pt>
                <c:pt idx="75">
                  <c:v>4819.6704948738425</c:v>
                </c:pt>
                <c:pt idx="76">
                  <c:v>4906.7342374809396</c:v>
                </c:pt>
                <c:pt idx="77">
                  <c:v>4993.7979800880385</c:v>
                </c:pt>
                <c:pt idx="78">
                  <c:v>5080.8617226951346</c:v>
                </c:pt>
                <c:pt idx="79">
                  <c:v>5167.9254653022317</c:v>
                </c:pt>
                <c:pt idx="80">
                  <c:v>5230.9503692425906</c:v>
                </c:pt>
                <c:pt idx="81">
                  <c:v>5391.1682959033842</c:v>
                </c:pt>
                <c:pt idx="82">
                  <c:v>5454.1931998437421</c:v>
                </c:pt>
                <c:pt idx="83">
                  <c:v>5541.2569424508411</c:v>
                </c:pt>
                <c:pt idx="84">
                  <c:v>5628.3206850579372</c:v>
                </c:pt>
                <c:pt idx="85">
                  <c:v>5715.3844276650343</c:v>
                </c:pt>
                <c:pt idx="86">
                  <c:v>5802.4481702721323</c:v>
                </c:pt>
                <c:pt idx="87">
                  <c:v>5889.5119128792294</c:v>
                </c:pt>
                <c:pt idx="88">
                  <c:v>5976.5756554863265</c:v>
                </c:pt>
                <c:pt idx="89">
                  <c:v>6063.6393980934245</c:v>
                </c:pt>
                <c:pt idx="90">
                  <c:v>5978.2427939878316</c:v>
                </c:pt>
                <c:pt idx="91">
                  <c:v>6065.3065365949287</c:v>
                </c:pt>
                <c:pt idx="92">
                  <c:v>6152.3702792020258</c:v>
                </c:pt>
                <c:pt idx="93">
                  <c:v>6051.9202102979825</c:v>
                </c:pt>
                <c:pt idx="94">
                  <c:v>6138.9839529050805</c:v>
                </c:pt>
                <c:pt idx="95">
                  <c:v>6183.5174424864099</c:v>
                </c:pt>
                <c:pt idx="96">
                  <c:v>6243.1043968661897</c:v>
                </c:pt>
                <c:pt idx="97">
                  <c:v>6287.63788644752</c:v>
                </c:pt>
                <c:pt idx="98">
                  <c:v>6328.4730931570421</c:v>
                </c:pt>
                <c:pt idx="99">
                  <c:v>6444.5756238588219</c:v>
                </c:pt>
                <c:pt idx="100">
                  <c:v>6485.4108305683458</c:v>
                </c:pt>
                <c:pt idx="101">
                  <c:v>6533.6426030214816</c:v>
                </c:pt>
                <c:pt idx="102">
                  <c:v>6739.2812573888559</c:v>
                </c:pt>
                <c:pt idx="103">
                  <c:v>6787.5130298419908</c:v>
                </c:pt>
                <c:pt idx="104">
                  <c:v>6846.8396509105432</c:v>
                </c:pt>
                <c:pt idx="105">
                  <c:v>7018.4127594979809</c:v>
                </c:pt>
                <c:pt idx="106">
                  <c:v>7077.7393805665361</c:v>
                </c:pt>
                <c:pt idx="107">
                  <c:v>7164.8031231736322</c:v>
                </c:pt>
                <c:pt idx="108">
                  <c:v>7251.8668657807293</c:v>
                </c:pt>
                <c:pt idx="109">
                  <c:v>7338.9306083878273</c:v>
                </c:pt>
                <c:pt idx="110">
                  <c:v>7321.0564297187648</c:v>
                </c:pt>
                <c:pt idx="111">
                  <c:v>7355.651211687783</c:v>
                </c:pt>
                <c:pt idx="112">
                  <c:v>7465.5133176490572</c:v>
                </c:pt>
                <c:pt idx="113">
                  <c:v>7552.5770602561533</c:v>
                </c:pt>
                <c:pt idx="114">
                  <c:v>7572.3365435832175</c:v>
                </c:pt>
                <c:pt idx="115">
                  <c:v>7659.4002861903155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-116.34181534222739</c:v>
                </c:pt>
                <c:pt idx="12">
                  <c:v>-121.73514453027768</c:v>
                </c:pt>
                <c:pt idx="13">
                  <c:v>-127.12847371832798</c:v>
                </c:pt>
                <c:pt idx="14">
                  <c:v>-132.52180290637824</c:v>
                </c:pt>
                <c:pt idx="15">
                  <c:v>-137.91513209442851</c:v>
                </c:pt>
                <c:pt idx="16">
                  <c:v>-143.30846128247879</c:v>
                </c:pt>
                <c:pt idx="17">
                  <c:v>-148.70179047052906</c:v>
                </c:pt>
                <c:pt idx="18">
                  <c:v>-154.09511965857936</c:v>
                </c:pt>
                <c:pt idx="19">
                  <c:v>-159.48844884662964</c:v>
                </c:pt>
                <c:pt idx="20">
                  <c:v>-164.88177803467991</c:v>
                </c:pt>
                <c:pt idx="21">
                  <c:v>-170.27510722273018</c:v>
                </c:pt>
                <c:pt idx="22">
                  <c:v>-175.66843641078046</c:v>
                </c:pt>
                <c:pt idx="23">
                  <c:v>-181.06176559883076</c:v>
                </c:pt>
                <c:pt idx="24">
                  <c:v>-186.45509478688101</c:v>
                </c:pt>
                <c:pt idx="25">
                  <c:v>-191.84842397493131</c:v>
                </c:pt>
                <c:pt idx="26">
                  <c:v>-197.24175316298158</c:v>
                </c:pt>
                <c:pt idx="27">
                  <c:v>-202.63508235103183</c:v>
                </c:pt>
                <c:pt idx="28">
                  <c:v>-208.02841153908213</c:v>
                </c:pt>
                <c:pt idx="29">
                  <c:v>-213.42174072713237</c:v>
                </c:pt>
                <c:pt idx="30">
                  <c:v>-218.81506991518268</c:v>
                </c:pt>
                <c:pt idx="31">
                  <c:v>-224.20839910323295</c:v>
                </c:pt>
                <c:pt idx="32">
                  <c:v>-229.60172829128322</c:v>
                </c:pt>
                <c:pt idx="33">
                  <c:v>-234.9950574793335</c:v>
                </c:pt>
                <c:pt idx="34">
                  <c:v>-240.38838666738377</c:v>
                </c:pt>
                <c:pt idx="35">
                  <c:v>-245.78171585543407</c:v>
                </c:pt>
                <c:pt idx="36">
                  <c:v>-251.17504504348432</c:v>
                </c:pt>
                <c:pt idx="37">
                  <c:v>-256.56837423153462</c:v>
                </c:pt>
                <c:pt idx="38">
                  <c:v>-261.96170341958492</c:v>
                </c:pt>
                <c:pt idx="39">
                  <c:v>-267.35503260763517</c:v>
                </c:pt>
                <c:pt idx="40">
                  <c:v>-272.74836179568547</c:v>
                </c:pt>
                <c:pt idx="41">
                  <c:v>557.50584413959223</c:v>
                </c:pt>
                <c:pt idx="42">
                  <c:v>866.67857628233241</c:v>
                </c:pt>
                <c:pt idx="43">
                  <c:v>944.25954229505544</c:v>
                </c:pt>
                <c:pt idx="44">
                  <c:v>1009.9870375648112</c:v>
                </c:pt>
                <c:pt idx="45">
                  <c:v>1032.2910766851885</c:v>
                </c:pt>
                <c:pt idx="46">
                  <c:v>1098.018571954944</c:v>
                </c:pt>
                <c:pt idx="47">
                  <c:v>1223.0134209395378</c:v>
                </c:pt>
                <c:pt idx="48">
                  <c:v>1159.8399599434927</c:v>
                </c:pt>
                <c:pt idx="49">
                  <c:v>1284.8348089280871</c:v>
                </c:pt>
                <c:pt idx="50">
                  <c:v>1341.6722011406164</c:v>
                </c:pt>
                <c:pt idx="51">
                  <c:v>1817.0110185609215</c:v>
                </c:pt>
                <c:pt idx="52">
                  <c:v>1873.848410773451</c:v>
                </c:pt>
                <c:pt idx="53">
                  <c:v>1960.3194798433999</c:v>
                </c:pt>
                <c:pt idx="54">
                  <c:v>2177.0609173614839</c:v>
                </c:pt>
                <c:pt idx="55">
                  <c:v>2263.5319864314329</c:v>
                </c:pt>
                <c:pt idx="56">
                  <c:v>2406.3070415304783</c:v>
                </c:pt>
                <c:pt idx="57">
                  <c:v>2449.0193498505209</c:v>
                </c:pt>
                <c:pt idx="58">
                  <c:v>2591.7944049495673</c:v>
                </c:pt>
                <c:pt idx="59">
                  <c:v>2704.9357831911921</c:v>
                </c:pt>
                <c:pt idx="60">
                  <c:v>2615.4343660690538</c:v>
                </c:pt>
                <c:pt idx="61">
                  <c:v>2728.5757443106804</c:v>
                </c:pt>
                <c:pt idx="62">
                  <c:v>2850.6072256095322</c:v>
                </c:pt>
                <c:pt idx="63">
                  <c:v>3072.7014536873858</c:v>
                </c:pt>
                <c:pt idx="64">
                  <c:v>3194.732934986238</c:v>
                </c:pt>
                <c:pt idx="65">
                  <c:v>3266.3871656274769</c:v>
                </c:pt>
                <c:pt idx="66">
                  <c:v>3684.1703945608615</c:v>
                </c:pt>
                <c:pt idx="67">
                  <c:v>3755.8246252020999</c:v>
                </c:pt>
                <c:pt idx="68">
                  <c:v>3898.5996803011458</c:v>
                </c:pt>
                <c:pt idx="69">
                  <c:v>4041.3747354001912</c:v>
                </c:pt>
                <c:pt idx="70">
                  <c:v>4184.1497904992366</c:v>
                </c:pt>
                <c:pt idx="71">
                  <c:v>4326.9248455982815</c:v>
                </c:pt>
                <c:pt idx="72">
                  <c:v>4469.6999006973256</c:v>
                </c:pt>
                <c:pt idx="73">
                  <c:v>4612.4749557963723</c:v>
                </c:pt>
                <c:pt idx="74">
                  <c:v>4755.2500108954182</c:v>
                </c:pt>
                <c:pt idx="75">
                  <c:v>4711.1154069167042</c:v>
                </c:pt>
                <c:pt idx="76">
                  <c:v>4853.8904620157491</c:v>
                </c:pt>
                <c:pt idx="77">
                  <c:v>4996.665517114795</c:v>
                </c:pt>
                <c:pt idx="78">
                  <c:v>5139.4405722138399</c:v>
                </c:pt>
                <c:pt idx="79">
                  <c:v>5282.2156273128849</c:v>
                </c:pt>
                <c:pt idx="80">
                  <c:v>5386.4669024972854</c:v>
                </c:pt>
                <c:pt idx="81">
                  <c:v>5677.6278367594441</c:v>
                </c:pt>
                <c:pt idx="82">
                  <c:v>5781.8791119438447</c:v>
                </c:pt>
                <c:pt idx="83">
                  <c:v>5924.6541670428896</c:v>
                </c:pt>
                <c:pt idx="84">
                  <c:v>6067.4292221419355</c:v>
                </c:pt>
                <c:pt idx="85">
                  <c:v>6210.2042772409804</c:v>
                </c:pt>
                <c:pt idx="86">
                  <c:v>6352.9793323400254</c:v>
                </c:pt>
                <c:pt idx="87">
                  <c:v>6495.7543874390703</c:v>
                </c:pt>
                <c:pt idx="88">
                  <c:v>6638.5294425381153</c:v>
                </c:pt>
                <c:pt idx="89">
                  <c:v>6781.3044976371602</c:v>
                </c:pt>
                <c:pt idx="90">
                  <c:v>6592.425039827187</c:v>
                </c:pt>
                <c:pt idx="91">
                  <c:v>6735.2000949262329</c:v>
                </c:pt>
                <c:pt idx="92">
                  <c:v>6877.9751500252778</c:v>
                </c:pt>
                <c:pt idx="93">
                  <c:v>6660.1467214490522</c:v>
                </c:pt>
                <c:pt idx="94">
                  <c:v>6802.9217765480971</c:v>
                </c:pt>
                <c:pt idx="95">
                  <c:v>6877.5393748750776</c:v>
                </c:pt>
                <c:pt idx="96">
                  <c:v>6981.1059439683131</c:v>
                </c:pt>
                <c:pt idx="97">
                  <c:v>7055.7235422952926</c:v>
                </c:pt>
                <c:pt idx="98">
                  <c:v>7124.4144052507909</c:v>
                </c:pt>
                <c:pt idx="99">
                  <c:v>7337.8501220375492</c:v>
                </c:pt>
                <c:pt idx="100">
                  <c:v>7406.5409849930475</c:v>
                </c:pt>
                <c:pt idx="101">
                  <c:v>7487.0853186915119</c:v>
                </c:pt>
                <c:pt idx="102">
                  <c:v>7870.335194532744</c:v>
                </c:pt>
                <c:pt idx="103">
                  <c:v>7950.8795282312094</c:v>
                </c:pt>
                <c:pt idx="104">
                  <c:v>8049.2040680441251</c:v>
                </c:pt>
                <c:pt idx="105">
                  <c:v>8363.3872377010503</c:v>
                </c:pt>
                <c:pt idx="106">
                  <c:v>8461.7117775139686</c:v>
                </c:pt>
                <c:pt idx="107">
                  <c:v>8604.4868326130145</c:v>
                </c:pt>
                <c:pt idx="108">
                  <c:v>8747.2618877120585</c:v>
                </c:pt>
                <c:pt idx="109">
                  <c:v>8890.0369428111044</c:v>
                </c:pt>
                <c:pt idx="110">
                  <c:v>8831.0083031483045</c:v>
                </c:pt>
                <c:pt idx="111">
                  <c:v>8872.8815108664276</c:v>
                </c:pt>
                <c:pt idx="112">
                  <c:v>9059.4995724158125</c:v>
                </c:pt>
                <c:pt idx="113">
                  <c:v>9202.2746275148584</c:v>
                </c:pt>
                <c:pt idx="114">
                  <c:v>9215.6184147676886</c:v>
                </c:pt>
                <c:pt idx="115">
                  <c:v>9358.3934698667326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-3076.8459797570677</c:v>
                </c:pt>
                <c:pt idx="38">
                  <c:v>-3082.239308945118</c:v>
                </c:pt>
                <c:pt idx="39">
                  <c:v>-3087.6326381331683</c:v>
                </c:pt>
                <c:pt idx="40">
                  <c:v>-3093.0259673212181</c:v>
                </c:pt>
                <c:pt idx="41">
                  <c:v>-2262.7717613859404</c:v>
                </c:pt>
                <c:pt idx="42">
                  <c:v>-1953.5990292432007</c:v>
                </c:pt>
                <c:pt idx="43">
                  <c:v>-1876.0180632304775</c:v>
                </c:pt>
                <c:pt idx="44">
                  <c:v>-1810.2905679607218</c:v>
                </c:pt>
                <c:pt idx="45">
                  <c:v>-1787.9865288403446</c:v>
                </c:pt>
                <c:pt idx="46">
                  <c:v>-1722.2590335705888</c:v>
                </c:pt>
                <c:pt idx="47">
                  <c:v>-1597.2641845859951</c:v>
                </c:pt>
                <c:pt idx="48">
                  <c:v>-1660.4376455820402</c:v>
                </c:pt>
                <c:pt idx="49">
                  <c:v>-1535.4427965974457</c:v>
                </c:pt>
                <c:pt idx="50">
                  <c:v>-1478.6054043849165</c:v>
                </c:pt>
                <c:pt idx="51">
                  <c:v>-1003.2665869646115</c:v>
                </c:pt>
                <c:pt idx="52">
                  <c:v>-946.42919475208191</c:v>
                </c:pt>
                <c:pt idx="53">
                  <c:v>-859.95812568213307</c:v>
                </c:pt>
                <c:pt idx="54">
                  <c:v>-643.21668816404906</c:v>
                </c:pt>
                <c:pt idx="55">
                  <c:v>-556.74561909410022</c:v>
                </c:pt>
                <c:pt idx="56">
                  <c:v>-413.97056399505487</c:v>
                </c:pt>
                <c:pt idx="57">
                  <c:v>-371.25825567501204</c:v>
                </c:pt>
                <c:pt idx="58">
                  <c:v>-228.48320057596581</c:v>
                </c:pt>
                <c:pt idx="59">
                  <c:v>-115.34182233434073</c:v>
                </c:pt>
                <c:pt idx="60">
                  <c:v>-204.84323945647913</c:v>
                </c:pt>
                <c:pt idx="61">
                  <c:v>-91.701861214852386</c:v>
                </c:pt>
                <c:pt idx="62">
                  <c:v>30.329620083999302</c:v>
                </c:pt>
                <c:pt idx="63">
                  <c:v>252.42384816185296</c:v>
                </c:pt>
                <c:pt idx="64">
                  <c:v>374.45532946070523</c:v>
                </c:pt>
                <c:pt idx="65">
                  <c:v>446.109560101944</c:v>
                </c:pt>
                <c:pt idx="66">
                  <c:v>863.89278903532875</c:v>
                </c:pt>
                <c:pt idx="67">
                  <c:v>935.54701967656706</c:v>
                </c:pt>
                <c:pt idx="68">
                  <c:v>1078.3220747756127</c:v>
                </c:pt>
                <c:pt idx="69">
                  <c:v>1221.0971298746583</c:v>
                </c:pt>
                <c:pt idx="70">
                  <c:v>1363.8721849737035</c:v>
                </c:pt>
                <c:pt idx="71">
                  <c:v>1506.6472400727484</c:v>
                </c:pt>
                <c:pt idx="72">
                  <c:v>1649.4222951717932</c:v>
                </c:pt>
                <c:pt idx="73">
                  <c:v>1792.1973502708399</c:v>
                </c:pt>
                <c:pt idx="74">
                  <c:v>1934.9724053698849</c:v>
                </c:pt>
                <c:pt idx="75">
                  <c:v>1890.8378013911708</c:v>
                </c:pt>
                <c:pt idx="76">
                  <c:v>2033.612856490216</c:v>
                </c:pt>
                <c:pt idx="77">
                  <c:v>2176.3879115892623</c:v>
                </c:pt>
                <c:pt idx="78">
                  <c:v>2319.1629666883068</c:v>
                </c:pt>
                <c:pt idx="79">
                  <c:v>2461.9380217873522</c:v>
                </c:pt>
                <c:pt idx="80">
                  <c:v>2566.1892969717524</c:v>
                </c:pt>
                <c:pt idx="81">
                  <c:v>2857.350231233911</c:v>
                </c:pt>
                <c:pt idx="82">
                  <c:v>2961.6015064183111</c:v>
                </c:pt>
                <c:pt idx="83">
                  <c:v>3104.376561517357</c:v>
                </c:pt>
                <c:pt idx="84">
                  <c:v>3247.1516166164029</c:v>
                </c:pt>
                <c:pt idx="85">
                  <c:v>3389.9266717154474</c:v>
                </c:pt>
                <c:pt idx="86">
                  <c:v>3532.7017268144928</c:v>
                </c:pt>
                <c:pt idx="87">
                  <c:v>3675.4767819135373</c:v>
                </c:pt>
                <c:pt idx="88">
                  <c:v>3818.2518370125817</c:v>
                </c:pt>
                <c:pt idx="89">
                  <c:v>3961.0268921116276</c:v>
                </c:pt>
                <c:pt idx="90">
                  <c:v>3772.1474343016544</c:v>
                </c:pt>
                <c:pt idx="91">
                  <c:v>3914.9224894007002</c:v>
                </c:pt>
                <c:pt idx="92">
                  <c:v>4057.6975444997447</c:v>
                </c:pt>
                <c:pt idx="93">
                  <c:v>3839.8691159235195</c:v>
                </c:pt>
                <c:pt idx="94">
                  <c:v>3982.644171022564</c:v>
                </c:pt>
                <c:pt idx="95">
                  <c:v>4057.2617693495445</c:v>
                </c:pt>
                <c:pt idx="96">
                  <c:v>4160.8283384427805</c:v>
                </c:pt>
                <c:pt idx="97">
                  <c:v>4235.44593676976</c:v>
                </c:pt>
                <c:pt idx="98">
                  <c:v>4304.1367997252582</c:v>
                </c:pt>
                <c:pt idx="99">
                  <c:v>4517.5725165120166</c:v>
                </c:pt>
                <c:pt idx="100">
                  <c:v>4586.2633794675148</c:v>
                </c:pt>
                <c:pt idx="101">
                  <c:v>4666.8077131659784</c:v>
                </c:pt>
                <c:pt idx="102">
                  <c:v>5050.0575890072114</c:v>
                </c:pt>
                <c:pt idx="103">
                  <c:v>5130.6019227056768</c:v>
                </c:pt>
                <c:pt idx="104">
                  <c:v>5228.9264625185924</c:v>
                </c:pt>
                <c:pt idx="105">
                  <c:v>5543.1096321755176</c:v>
                </c:pt>
                <c:pt idx="106">
                  <c:v>5641.4341719884351</c:v>
                </c:pt>
                <c:pt idx="107">
                  <c:v>5784.2092270874809</c:v>
                </c:pt>
                <c:pt idx="108">
                  <c:v>5926.9842821865259</c:v>
                </c:pt>
                <c:pt idx="109">
                  <c:v>6069.7593372855708</c:v>
                </c:pt>
                <c:pt idx="110">
                  <c:v>6010.7306976227719</c:v>
                </c:pt>
                <c:pt idx="111">
                  <c:v>6052.6039053408958</c:v>
                </c:pt>
                <c:pt idx="112">
                  <c:v>6239.221966890279</c:v>
                </c:pt>
                <c:pt idx="113">
                  <c:v>6381.9970219893248</c:v>
                </c:pt>
                <c:pt idx="114">
                  <c:v>6395.340809242156</c:v>
                </c:pt>
                <c:pt idx="115">
                  <c:v>6538.1158643412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10.210176124166827</c:v>
                </c:pt>
                <c:pt idx="4">
                  <c:v>16.650441064025902</c:v>
                </c:pt>
                <c:pt idx="5">
                  <c:v>23.090706003884975</c:v>
                </c:pt>
                <c:pt idx="6">
                  <c:v>29.530970943744052</c:v>
                </c:pt>
                <c:pt idx="7">
                  <c:v>35.971235883603129</c:v>
                </c:pt>
                <c:pt idx="8">
                  <c:v>41.42189913758142</c:v>
                </c:pt>
                <c:pt idx="9">
                  <c:v>46.872562391559718</c:v>
                </c:pt>
                <c:pt idx="10">
                  <c:v>52.323225645538002</c:v>
                </c:pt>
                <c:pt idx="11">
                  <c:v>58.370791503698356</c:v>
                </c:pt>
                <c:pt idx="12">
                  <c:v>64.41835736185871</c:v>
                </c:pt>
                <c:pt idx="13">
                  <c:v>70.465923220019064</c:v>
                </c:pt>
                <c:pt idx="14">
                  <c:v>73.874551249164</c:v>
                </c:pt>
                <c:pt idx="15">
                  <c:v>77.283179278308907</c:v>
                </c:pt>
                <c:pt idx="16">
                  <c:v>80.691807307453843</c:v>
                </c:pt>
                <c:pt idx="17">
                  <c:v>82.890922164966682</c:v>
                </c:pt>
                <c:pt idx="18">
                  <c:v>85.090037022479549</c:v>
                </c:pt>
                <c:pt idx="19">
                  <c:v>87.289151879992403</c:v>
                </c:pt>
                <c:pt idx="20">
                  <c:v>90.587824166261683</c:v>
                </c:pt>
                <c:pt idx="21">
                  <c:v>93.886496452530963</c:v>
                </c:pt>
                <c:pt idx="22">
                  <c:v>97.185168738800243</c:v>
                </c:pt>
                <c:pt idx="23">
                  <c:v>99.750802739231915</c:v>
                </c:pt>
                <c:pt idx="24">
                  <c:v>102.31643673966357</c:v>
                </c:pt>
                <c:pt idx="25">
                  <c:v>104.88207074009526</c:v>
                </c:pt>
                <c:pt idx="26">
                  <c:v>110.16910937669907</c:v>
                </c:pt>
                <c:pt idx="27">
                  <c:v>115.45614801330289</c:v>
                </c:pt>
                <c:pt idx="28">
                  <c:v>120.74318664990673</c:v>
                </c:pt>
                <c:pt idx="29">
                  <c:v>122.61243427879265</c:v>
                </c:pt>
                <c:pt idx="30">
                  <c:v>124.48168190767856</c:v>
                </c:pt>
                <c:pt idx="31">
                  <c:v>126.35092953656451</c:v>
                </c:pt>
                <c:pt idx="32">
                  <c:v>129.42969033708249</c:v>
                </c:pt>
                <c:pt idx="33">
                  <c:v>132.5084511376005</c:v>
                </c:pt>
                <c:pt idx="34">
                  <c:v>135.58721193811851</c:v>
                </c:pt>
                <c:pt idx="35">
                  <c:v>139.435662938766</c:v>
                </c:pt>
                <c:pt idx="36">
                  <c:v>143.28411393941349</c:v>
                </c:pt>
                <c:pt idx="37">
                  <c:v>147.13256494006097</c:v>
                </c:pt>
                <c:pt idx="38">
                  <c:v>150.65114871208155</c:v>
                </c:pt>
                <c:pt idx="39">
                  <c:v>154.1697324841021</c:v>
                </c:pt>
                <c:pt idx="40">
                  <c:v>157.6883162561227</c:v>
                </c:pt>
                <c:pt idx="41">
                  <c:v>161.31685577101888</c:v>
                </c:pt>
                <c:pt idx="42">
                  <c:v>164.94539528591511</c:v>
                </c:pt>
                <c:pt idx="43">
                  <c:v>168.57393480081132</c:v>
                </c:pt>
                <c:pt idx="44">
                  <c:v>171.76265134420495</c:v>
                </c:pt>
                <c:pt idx="45">
                  <c:v>174.95136788759862</c:v>
                </c:pt>
                <c:pt idx="46">
                  <c:v>178.14008443099226</c:v>
                </c:pt>
                <c:pt idx="47">
                  <c:v>183.52791583189875</c:v>
                </c:pt>
                <c:pt idx="48">
                  <c:v>188.91574723280524</c:v>
                </c:pt>
                <c:pt idx="49">
                  <c:v>194.30357863371177</c:v>
                </c:pt>
                <c:pt idx="50">
                  <c:v>197.16242794847844</c:v>
                </c:pt>
                <c:pt idx="51">
                  <c:v>200.02127726324517</c:v>
                </c:pt>
                <c:pt idx="52">
                  <c:v>202.8801265780119</c:v>
                </c:pt>
                <c:pt idx="53">
                  <c:v>206.83853332153501</c:v>
                </c:pt>
                <c:pt idx="54">
                  <c:v>210.79694006505815</c:v>
                </c:pt>
                <c:pt idx="55">
                  <c:v>214.75534680858129</c:v>
                </c:pt>
                <c:pt idx="56">
                  <c:v>220.80291266674163</c:v>
                </c:pt>
                <c:pt idx="57">
                  <c:v>226.850478524902</c:v>
                </c:pt>
                <c:pt idx="58">
                  <c:v>232.89804438306228</c:v>
                </c:pt>
                <c:pt idx="59">
                  <c:v>237.84605281246624</c:v>
                </c:pt>
                <c:pt idx="60">
                  <c:v>242.7940612418702</c:v>
                </c:pt>
                <c:pt idx="61">
                  <c:v>247.74206967127409</c:v>
                </c:pt>
                <c:pt idx="62">
                  <c:v>253.01994532930496</c:v>
                </c:pt>
                <c:pt idx="63">
                  <c:v>258.2978209873358</c:v>
                </c:pt>
                <c:pt idx="64">
                  <c:v>263.57569664536669</c:v>
                </c:pt>
                <c:pt idx="65">
                  <c:v>266.98432467451153</c:v>
                </c:pt>
                <c:pt idx="66">
                  <c:v>270.39295270365653</c:v>
                </c:pt>
                <c:pt idx="67">
                  <c:v>273.80158073280143</c:v>
                </c:pt>
                <c:pt idx="68">
                  <c:v>279.84914659096182</c:v>
                </c:pt>
                <c:pt idx="69">
                  <c:v>285.89671244912216</c:v>
                </c:pt>
                <c:pt idx="70">
                  <c:v>291.9442783072825</c:v>
                </c:pt>
                <c:pt idx="71">
                  <c:v>297.99184416544284</c:v>
                </c:pt>
                <c:pt idx="72">
                  <c:v>304.03941002360324</c:v>
                </c:pt>
                <c:pt idx="73">
                  <c:v>310.08697588176358</c:v>
                </c:pt>
                <c:pt idx="74">
                  <c:v>316.13454173992386</c:v>
                </c:pt>
                <c:pt idx="75">
                  <c:v>322.18210759808426</c:v>
                </c:pt>
                <c:pt idx="76">
                  <c:v>328.22967345624454</c:v>
                </c:pt>
                <c:pt idx="77">
                  <c:v>334.27723931440494</c:v>
                </c:pt>
                <c:pt idx="78">
                  <c:v>340.32480517256533</c:v>
                </c:pt>
                <c:pt idx="79">
                  <c:v>346.37237103072567</c:v>
                </c:pt>
                <c:pt idx="80">
                  <c:v>350.99051223150263</c:v>
                </c:pt>
                <c:pt idx="81">
                  <c:v>355.60865343227965</c:v>
                </c:pt>
                <c:pt idx="82">
                  <c:v>360.22679463305661</c:v>
                </c:pt>
                <c:pt idx="83">
                  <c:v>366.27436049121695</c:v>
                </c:pt>
                <c:pt idx="84">
                  <c:v>372.32192634937729</c:v>
                </c:pt>
                <c:pt idx="85">
                  <c:v>378.36949220753769</c:v>
                </c:pt>
                <c:pt idx="86">
                  <c:v>384.41705806569803</c:v>
                </c:pt>
                <c:pt idx="87">
                  <c:v>390.46462392385837</c:v>
                </c:pt>
                <c:pt idx="88">
                  <c:v>396.51218978201877</c:v>
                </c:pt>
                <c:pt idx="89">
                  <c:v>402.55975564017911</c:v>
                </c:pt>
                <c:pt idx="90">
                  <c:v>408.6073214983395</c:v>
                </c:pt>
                <c:pt idx="91">
                  <c:v>414.65488735649978</c:v>
                </c:pt>
                <c:pt idx="92">
                  <c:v>420.70245321466007</c:v>
                </c:pt>
                <c:pt idx="93">
                  <c:v>426.75001907282052</c:v>
                </c:pt>
                <c:pt idx="94">
                  <c:v>432.7975849309808</c:v>
                </c:pt>
                <c:pt idx="95">
                  <c:v>436.31616870300138</c:v>
                </c:pt>
                <c:pt idx="96">
                  <c:v>439.83475247502196</c:v>
                </c:pt>
                <c:pt idx="97">
                  <c:v>443.35333624704253</c:v>
                </c:pt>
                <c:pt idx="98">
                  <c:v>446.6520085333118</c:v>
                </c:pt>
                <c:pt idx="99">
                  <c:v>449.95068081958118</c:v>
                </c:pt>
                <c:pt idx="100">
                  <c:v>453.24935310585039</c:v>
                </c:pt>
                <c:pt idx="101">
                  <c:v>456.98784836362228</c:v>
                </c:pt>
                <c:pt idx="102">
                  <c:v>460.72634362139411</c:v>
                </c:pt>
                <c:pt idx="103">
                  <c:v>464.464838879166</c:v>
                </c:pt>
                <c:pt idx="104">
                  <c:v>468.8630685941917</c:v>
                </c:pt>
                <c:pt idx="105">
                  <c:v>473.26129830921735</c:v>
                </c:pt>
                <c:pt idx="106">
                  <c:v>477.65952802424317</c:v>
                </c:pt>
                <c:pt idx="107">
                  <c:v>483.70709388240346</c:v>
                </c:pt>
                <c:pt idx="108">
                  <c:v>489.75465974056374</c:v>
                </c:pt>
                <c:pt idx="109">
                  <c:v>495.80222559872414</c:v>
                </c:pt>
                <c:pt idx="110">
                  <c:v>501.84979145688447</c:v>
                </c:pt>
                <c:pt idx="111">
                  <c:v>507.89735731504481</c:v>
                </c:pt>
                <c:pt idx="112">
                  <c:v>513.9449231732051</c:v>
                </c:pt>
                <c:pt idx="113">
                  <c:v>519.99248903136561</c:v>
                </c:pt>
                <c:pt idx="114">
                  <c:v>526.04005488952589</c:v>
                </c:pt>
                <c:pt idx="115">
                  <c:v>532.08762074768629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11.859512267301467</c:v>
                </c:pt>
                <c:pt idx="12">
                  <c:v>12.409290981679682</c:v>
                </c:pt>
                <c:pt idx="13">
                  <c:v>12.959069696057897</c:v>
                </c:pt>
                <c:pt idx="14">
                  <c:v>13.50884841043611</c:v>
                </c:pt>
                <c:pt idx="15">
                  <c:v>14.058627124814324</c:v>
                </c:pt>
                <c:pt idx="16">
                  <c:v>14.608405839192537</c:v>
                </c:pt>
                <c:pt idx="17">
                  <c:v>15.158184553570749</c:v>
                </c:pt>
                <c:pt idx="18">
                  <c:v>15.707963267948966</c:v>
                </c:pt>
                <c:pt idx="19">
                  <c:v>16.257741982327179</c:v>
                </c:pt>
                <c:pt idx="20">
                  <c:v>16.807520696705392</c:v>
                </c:pt>
                <c:pt idx="21">
                  <c:v>17.357299411083606</c:v>
                </c:pt>
                <c:pt idx="22">
                  <c:v>17.907078125461819</c:v>
                </c:pt>
                <c:pt idx="23">
                  <c:v>18.456856839840036</c:v>
                </c:pt>
                <c:pt idx="24">
                  <c:v>19.006635554218246</c:v>
                </c:pt>
                <c:pt idx="25">
                  <c:v>19.556414268596463</c:v>
                </c:pt>
                <c:pt idx="26">
                  <c:v>20.106192982974676</c:v>
                </c:pt>
                <c:pt idx="27">
                  <c:v>20.655971697352886</c:v>
                </c:pt>
                <c:pt idx="28">
                  <c:v>21.205750411731103</c:v>
                </c:pt>
                <c:pt idx="29">
                  <c:v>21.755529126109312</c:v>
                </c:pt>
                <c:pt idx="30">
                  <c:v>22.305307840487529</c:v>
                </c:pt>
                <c:pt idx="31">
                  <c:v>22.855086554865743</c:v>
                </c:pt>
                <c:pt idx="32">
                  <c:v>23.404865269243956</c:v>
                </c:pt>
                <c:pt idx="33">
                  <c:v>23.954643983622169</c:v>
                </c:pt>
                <c:pt idx="34">
                  <c:v>24.504422698000383</c:v>
                </c:pt>
                <c:pt idx="35">
                  <c:v>25.0542014123786</c:v>
                </c:pt>
                <c:pt idx="36">
                  <c:v>25.603980126756809</c:v>
                </c:pt>
                <c:pt idx="37">
                  <c:v>26.153758841135026</c:v>
                </c:pt>
                <c:pt idx="38">
                  <c:v>26.703537555513243</c:v>
                </c:pt>
                <c:pt idx="39">
                  <c:v>27.253316269891453</c:v>
                </c:pt>
                <c:pt idx="40">
                  <c:v>27.803094984269666</c:v>
                </c:pt>
                <c:pt idx="41">
                  <c:v>34.273567545797874</c:v>
                </c:pt>
                <c:pt idx="42">
                  <c:v>40.744040107326079</c:v>
                </c:pt>
                <c:pt idx="43">
                  <c:v>47.214512668854297</c:v>
                </c:pt>
                <c:pt idx="44">
                  <c:v>52.839171823646794</c:v>
                </c:pt>
                <c:pt idx="45">
                  <c:v>58.463830978439283</c:v>
                </c:pt>
                <c:pt idx="46">
                  <c:v>64.088490133231772</c:v>
                </c:pt>
                <c:pt idx="47">
                  <c:v>73.94221632170283</c:v>
                </c:pt>
                <c:pt idx="48">
                  <c:v>83.795942510173887</c:v>
                </c:pt>
                <c:pt idx="49">
                  <c:v>93.649668698644945</c:v>
                </c:pt>
                <c:pt idx="50">
                  <c:v>98.639967798385669</c:v>
                </c:pt>
                <c:pt idx="51">
                  <c:v>103.63026689812637</c:v>
                </c:pt>
                <c:pt idx="52">
                  <c:v>108.62056599786706</c:v>
                </c:pt>
                <c:pt idx="53">
                  <c:v>115.72539861444707</c:v>
                </c:pt>
                <c:pt idx="54">
                  <c:v>122.83023123102706</c:v>
                </c:pt>
                <c:pt idx="55">
                  <c:v>129.93506384760707</c:v>
                </c:pt>
                <c:pt idx="56">
                  <c:v>141.0575101461817</c:v>
                </c:pt>
                <c:pt idx="57">
                  <c:v>152.17995644475633</c:v>
                </c:pt>
                <c:pt idx="58">
                  <c:v>163.30240274333096</c:v>
                </c:pt>
                <c:pt idx="59">
                  <c:v>172.3103155250663</c:v>
                </c:pt>
                <c:pt idx="60">
                  <c:v>181.31822830680167</c:v>
                </c:pt>
                <c:pt idx="61">
                  <c:v>190.32614108853701</c:v>
                </c:pt>
                <c:pt idx="62">
                  <c:v>199.96841392532411</c:v>
                </c:pt>
                <c:pt idx="63">
                  <c:v>209.61068676211124</c:v>
                </c:pt>
                <c:pt idx="64">
                  <c:v>219.2529595988984</c:v>
                </c:pt>
                <c:pt idx="65">
                  <c:v>225.30052545705877</c:v>
                </c:pt>
                <c:pt idx="66">
                  <c:v>231.34809131521911</c:v>
                </c:pt>
                <c:pt idx="67">
                  <c:v>237.39565717337942</c:v>
                </c:pt>
                <c:pt idx="68">
                  <c:v>248.51810347195405</c:v>
                </c:pt>
                <c:pt idx="69">
                  <c:v>259.64054977052871</c:v>
                </c:pt>
                <c:pt idx="70">
                  <c:v>270.76299606910334</c:v>
                </c:pt>
                <c:pt idx="71">
                  <c:v>281.88544236767791</c:v>
                </c:pt>
                <c:pt idx="72">
                  <c:v>293.0078886662526</c:v>
                </c:pt>
                <c:pt idx="73">
                  <c:v>304.13033496482723</c:v>
                </c:pt>
                <c:pt idx="74">
                  <c:v>315.2527812634018</c:v>
                </c:pt>
                <c:pt idx="75">
                  <c:v>326.37522756197649</c:v>
                </c:pt>
                <c:pt idx="76">
                  <c:v>337.49767386055112</c:v>
                </c:pt>
                <c:pt idx="77">
                  <c:v>348.6201201591258</c:v>
                </c:pt>
                <c:pt idx="78">
                  <c:v>359.74256645770038</c:v>
                </c:pt>
                <c:pt idx="79">
                  <c:v>370.86501275627501</c:v>
                </c:pt>
                <c:pt idx="80">
                  <c:v>379.23856548295862</c:v>
                </c:pt>
                <c:pt idx="81">
                  <c:v>387.61211820964212</c:v>
                </c:pt>
                <c:pt idx="82">
                  <c:v>395.98567093632568</c:v>
                </c:pt>
                <c:pt idx="83">
                  <c:v>407.10811723490036</c:v>
                </c:pt>
                <c:pt idx="84">
                  <c:v>418.23056353347488</c:v>
                </c:pt>
                <c:pt idx="85">
                  <c:v>429.35300983204957</c:v>
                </c:pt>
                <c:pt idx="86">
                  <c:v>440.4754561306242</c:v>
                </c:pt>
                <c:pt idx="87">
                  <c:v>451.59790242919883</c:v>
                </c:pt>
                <c:pt idx="88">
                  <c:v>462.72034872777346</c:v>
                </c:pt>
                <c:pt idx="89">
                  <c:v>473.84279502634809</c:v>
                </c:pt>
                <c:pt idx="90">
                  <c:v>484.96524132492277</c:v>
                </c:pt>
                <c:pt idx="91">
                  <c:v>496.08768762349735</c:v>
                </c:pt>
                <c:pt idx="92">
                  <c:v>507.21013392207203</c:v>
                </c:pt>
                <c:pt idx="93">
                  <c:v>518.33258022064649</c:v>
                </c:pt>
                <c:pt idx="94">
                  <c:v>529.45502651922118</c:v>
                </c:pt>
                <c:pt idx="95">
                  <c:v>535.71404572906556</c:v>
                </c:pt>
                <c:pt idx="96">
                  <c:v>541.97306493890983</c:v>
                </c:pt>
                <c:pt idx="97">
                  <c:v>548.23208414875398</c:v>
                </c:pt>
                <c:pt idx="98">
                  <c:v>554.06819665523051</c:v>
                </c:pt>
                <c:pt idx="99">
                  <c:v>559.90430916170681</c:v>
                </c:pt>
                <c:pt idx="100">
                  <c:v>565.74042166818333</c:v>
                </c:pt>
                <c:pt idx="101">
                  <c:v>572.42234758139546</c:v>
                </c:pt>
                <c:pt idx="102">
                  <c:v>579.10427349460758</c:v>
                </c:pt>
                <c:pt idx="103">
                  <c:v>585.78619940781982</c:v>
                </c:pt>
                <c:pt idx="104">
                  <c:v>593.73684543113552</c:v>
                </c:pt>
                <c:pt idx="105">
                  <c:v>601.68749145445122</c:v>
                </c:pt>
                <c:pt idx="106">
                  <c:v>609.6381374777668</c:v>
                </c:pt>
                <c:pt idx="107">
                  <c:v>620.76058377634149</c:v>
                </c:pt>
                <c:pt idx="108">
                  <c:v>631.88303007491618</c:v>
                </c:pt>
                <c:pt idx="109">
                  <c:v>643.00547637349075</c:v>
                </c:pt>
                <c:pt idx="110">
                  <c:v>654.12792267206532</c:v>
                </c:pt>
                <c:pt idx="111">
                  <c:v>665.25036897064001</c:v>
                </c:pt>
                <c:pt idx="112">
                  <c:v>676.37281526921458</c:v>
                </c:pt>
                <c:pt idx="113">
                  <c:v>687.49526156778927</c:v>
                </c:pt>
                <c:pt idx="114">
                  <c:v>698.61770786636396</c:v>
                </c:pt>
                <c:pt idx="115">
                  <c:v>709.74015416493864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7.5507772501890367</c:v>
                </c:pt>
                <c:pt idx="1">
                  <c:v>15.101554500378073</c:v>
                </c:pt>
                <c:pt idx="2">
                  <c:v>22.652331750567111</c:v>
                </c:pt>
                <c:pt idx="3">
                  <c:v>34.048610844051751</c:v>
                </c:pt>
                <c:pt idx="4">
                  <c:v>45.444889937536402</c:v>
                </c:pt>
                <c:pt idx="5">
                  <c:v>56.841169031021053</c:v>
                </c:pt>
                <c:pt idx="6">
                  <c:v>71.443652917899286</c:v>
                </c:pt>
                <c:pt idx="7">
                  <c:v>86.046136804777518</c:v>
                </c:pt>
                <c:pt idx="8">
                  <c:v>100.64862069165576</c:v>
                </c:pt>
                <c:pt idx="9">
                  <c:v>117.91982509245651</c:v>
                </c:pt>
                <c:pt idx="10">
                  <c:v>135.1910294932573</c:v>
                </c:pt>
                <c:pt idx="11">
                  <c:v>152.46223389405807</c:v>
                </c:pt>
                <c:pt idx="12">
                  <c:v>156.55012421472736</c:v>
                </c:pt>
                <c:pt idx="13">
                  <c:v>160.63801453539668</c:v>
                </c:pt>
                <c:pt idx="14">
                  <c:v>164.72590485606599</c:v>
                </c:pt>
                <c:pt idx="15">
                  <c:v>169.18938991267839</c:v>
                </c:pt>
                <c:pt idx="16">
                  <c:v>173.65287496929088</c:v>
                </c:pt>
                <c:pt idx="17">
                  <c:v>178.11636002590328</c:v>
                </c:pt>
                <c:pt idx="18">
                  <c:v>182.95543981845884</c:v>
                </c:pt>
                <c:pt idx="19">
                  <c:v>187.79451961101438</c:v>
                </c:pt>
                <c:pt idx="20">
                  <c:v>192.63359940356995</c:v>
                </c:pt>
                <c:pt idx="21">
                  <c:v>197.58670590210787</c:v>
                </c:pt>
                <c:pt idx="22">
                  <c:v>202.53981240064576</c:v>
                </c:pt>
                <c:pt idx="23">
                  <c:v>207.49291889918371</c:v>
                </c:pt>
                <c:pt idx="24">
                  <c:v>212.80278030490695</c:v>
                </c:pt>
                <c:pt idx="25">
                  <c:v>218.11264171063027</c:v>
                </c:pt>
                <c:pt idx="26">
                  <c:v>223.42250311635357</c:v>
                </c:pt>
                <c:pt idx="27">
                  <c:v>229.38836711673849</c:v>
                </c:pt>
                <c:pt idx="28">
                  <c:v>235.35423111712339</c:v>
                </c:pt>
                <c:pt idx="29">
                  <c:v>241.32009511750837</c:v>
                </c:pt>
                <c:pt idx="30">
                  <c:v>247.66155385383644</c:v>
                </c:pt>
                <c:pt idx="31">
                  <c:v>254.00301259016445</c:v>
                </c:pt>
                <c:pt idx="32">
                  <c:v>260.34447132649257</c:v>
                </c:pt>
                <c:pt idx="33">
                  <c:v>267.06152479876374</c:v>
                </c:pt>
                <c:pt idx="34">
                  <c:v>273.77857827103492</c:v>
                </c:pt>
                <c:pt idx="35">
                  <c:v>280.49563174330609</c:v>
                </c:pt>
                <c:pt idx="36">
                  <c:v>287.58827995152046</c:v>
                </c:pt>
                <c:pt idx="37">
                  <c:v>287.58827995152046</c:v>
                </c:pt>
                <c:pt idx="38">
                  <c:v>287.58827995152046</c:v>
                </c:pt>
                <c:pt idx="39">
                  <c:v>287.58827995152046</c:v>
                </c:pt>
                <c:pt idx="40">
                  <c:v>287.58827995152046</c:v>
                </c:pt>
                <c:pt idx="41">
                  <c:v>287.58827995152046</c:v>
                </c:pt>
                <c:pt idx="42">
                  <c:v>287.58827995152046</c:v>
                </c:pt>
                <c:pt idx="43">
                  <c:v>287.58827995152046</c:v>
                </c:pt>
                <c:pt idx="44">
                  <c:v>287.58827995152046</c:v>
                </c:pt>
                <c:pt idx="45">
                  <c:v>287.58827995152046</c:v>
                </c:pt>
                <c:pt idx="46">
                  <c:v>287.58827995152046</c:v>
                </c:pt>
                <c:pt idx="47">
                  <c:v>287.58827995152046</c:v>
                </c:pt>
                <c:pt idx="48">
                  <c:v>287.58827995152046</c:v>
                </c:pt>
                <c:pt idx="49">
                  <c:v>287.58827995152046</c:v>
                </c:pt>
                <c:pt idx="50">
                  <c:v>287.58827995152046</c:v>
                </c:pt>
                <c:pt idx="51">
                  <c:v>287.58827995152046</c:v>
                </c:pt>
                <c:pt idx="52">
                  <c:v>287.58827995152046</c:v>
                </c:pt>
                <c:pt idx="53">
                  <c:v>287.58827995152046</c:v>
                </c:pt>
                <c:pt idx="54">
                  <c:v>287.58827995152046</c:v>
                </c:pt>
                <c:pt idx="55">
                  <c:v>287.58827995152046</c:v>
                </c:pt>
                <c:pt idx="56">
                  <c:v>287.58827995152046</c:v>
                </c:pt>
                <c:pt idx="57">
                  <c:v>287.58827995152046</c:v>
                </c:pt>
                <c:pt idx="58">
                  <c:v>287.58827995152046</c:v>
                </c:pt>
                <c:pt idx="59">
                  <c:v>287.58827995152046</c:v>
                </c:pt>
                <c:pt idx="60">
                  <c:v>287.58827995152046</c:v>
                </c:pt>
                <c:pt idx="61">
                  <c:v>287.58827995152046</c:v>
                </c:pt>
                <c:pt idx="62">
                  <c:v>287.58827995152046</c:v>
                </c:pt>
                <c:pt idx="63">
                  <c:v>287.58827995152046</c:v>
                </c:pt>
                <c:pt idx="64">
                  <c:v>287.58827995152046</c:v>
                </c:pt>
                <c:pt idx="65">
                  <c:v>287.58827995152046</c:v>
                </c:pt>
                <c:pt idx="66">
                  <c:v>287.58827995152046</c:v>
                </c:pt>
                <c:pt idx="67">
                  <c:v>287.58827995152046</c:v>
                </c:pt>
                <c:pt idx="68">
                  <c:v>287.58827995152046</c:v>
                </c:pt>
                <c:pt idx="69">
                  <c:v>287.58827995152046</c:v>
                </c:pt>
                <c:pt idx="70">
                  <c:v>287.58827995152046</c:v>
                </c:pt>
                <c:pt idx="71">
                  <c:v>287.58827995152046</c:v>
                </c:pt>
                <c:pt idx="72">
                  <c:v>287.58827995152046</c:v>
                </c:pt>
                <c:pt idx="73">
                  <c:v>287.58827995152046</c:v>
                </c:pt>
                <c:pt idx="74">
                  <c:v>287.58827995152046</c:v>
                </c:pt>
                <c:pt idx="75">
                  <c:v>287.58827995152046</c:v>
                </c:pt>
                <c:pt idx="76">
                  <c:v>287.58827995152046</c:v>
                </c:pt>
                <c:pt idx="77">
                  <c:v>287.58827995152046</c:v>
                </c:pt>
                <c:pt idx="78">
                  <c:v>287.58827995152046</c:v>
                </c:pt>
                <c:pt idx="79">
                  <c:v>287.58827995152046</c:v>
                </c:pt>
                <c:pt idx="80">
                  <c:v>287.58827995152046</c:v>
                </c:pt>
                <c:pt idx="81">
                  <c:v>287.58827995152046</c:v>
                </c:pt>
                <c:pt idx="82">
                  <c:v>287.58827995152046</c:v>
                </c:pt>
                <c:pt idx="83">
                  <c:v>287.58827995152046</c:v>
                </c:pt>
                <c:pt idx="84">
                  <c:v>287.58827995152046</c:v>
                </c:pt>
                <c:pt idx="85">
                  <c:v>287.58827995152046</c:v>
                </c:pt>
                <c:pt idx="86">
                  <c:v>287.58827995152046</c:v>
                </c:pt>
                <c:pt idx="87">
                  <c:v>287.58827995152046</c:v>
                </c:pt>
                <c:pt idx="88">
                  <c:v>287.58827995152046</c:v>
                </c:pt>
                <c:pt idx="89">
                  <c:v>287.58827995152046</c:v>
                </c:pt>
                <c:pt idx="90">
                  <c:v>287.58827995152046</c:v>
                </c:pt>
                <c:pt idx="91">
                  <c:v>287.58827995152046</c:v>
                </c:pt>
                <c:pt idx="92">
                  <c:v>287.58827995152046</c:v>
                </c:pt>
                <c:pt idx="93">
                  <c:v>287.58827995152046</c:v>
                </c:pt>
                <c:pt idx="94">
                  <c:v>287.58827995152046</c:v>
                </c:pt>
                <c:pt idx="95">
                  <c:v>287.58827995152046</c:v>
                </c:pt>
                <c:pt idx="96">
                  <c:v>287.58827995152046</c:v>
                </c:pt>
                <c:pt idx="97">
                  <c:v>287.58827995152046</c:v>
                </c:pt>
                <c:pt idx="98">
                  <c:v>287.58827995152046</c:v>
                </c:pt>
                <c:pt idx="99">
                  <c:v>287.58827995152046</c:v>
                </c:pt>
                <c:pt idx="100">
                  <c:v>287.58827995152046</c:v>
                </c:pt>
                <c:pt idx="101">
                  <c:v>287.58827995152046</c:v>
                </c:pt>
                <c:pt idx="102">
                  <c:v>287.58827995152046</c:v>
                </c:pt>
                <c:pt idx="103">
                  <c:v>287.58827995152046</c:v>
                </c:pt>
                <c:pt idx="104">
                  <c:v>287.58827995152046</c:v>
                </c:pt>
                <c:pt idx="105">
                  <c:v>287.58827995152046</c:v>
                </c:pt>
                <c:pt idx="106">
                  <c:v>287.58827995152046</c:v>
                </c:pt>
                <c:pt idx="107">
                  <c:v>287.58827995152046</c:v>
                </c:pt>
                <c:pt idx="108">
                  <c:v>287.58827995152046</c:v>
                </c:pt>
                <c:pt idx="109">
                  <c:v>287.58827995152046</c:v>
                </c:pt>
                <c:pt idx="110">
                  <c:v>287.58827995152046</c:v>
                </c:pt>
                <c:pt idx="111">
                  <c:v>287.58827995152046</c:v>
                </c:pt>
                <c:pt idx="112">
                  <c:v>287.58827995152046</c:v>
                </c:pt>
                <c:pt idx="113">
                  <c:v>287.58827995152046</c:v>
                </c:pt>
                <c:pt idx="114">
                  <c:v>287.58827995152046</c:v>
                </c:pt>
                <c:pt idx="115">
                  <c:v>287.58827995152046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opLeftCell="A43" zoomScale="115" zoomScaleNormal="115" workbookViewId="0">
      <selection activeCell="A3" sqref="A3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19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171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8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42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44</v>
      </c>
      <c r="B16" s="5" t="s">
        <v>45</v>
      </c>
      <c r="C16" s="8">
        <v>16.5</v>
      </c>
      <c r="D16" s="4" t="s">
        <v>46</v>
      </c>
      <c r="E16" s="7" t="inlineStr">
        <is>
          <t xml:space="preserve">Report Tabel 5.1</t>
        </is>
      </c>
    </row>
    <row r="17" spans="1:5" x14ac:dyDescent="0.25">
      <c r="A17" s="4" t="s">
        <v>48</v>
      </c>
      <c r="B17" s="5" t="s">
        <v>49</v>
      </c>
      <c r="C17" s="8">
        <v>19.0</v>
      </c>
      <c r="D17" s="4" t="s">
        <v>46</v>
      </c>
      <c r="E17" s="7" t="inlineStr">
        <is>
          <t xml:space="preserve">Report Tabel 5.1</t>
        </is>
      </c>
    </row>
    <row r="18" spans="1:5" x14ac:dyDescent="0.25">
      <c r="A18" s="4" t="s">
        <v>50</v>
      </c>
      <c r="B18" s="5" t="s">
        <v>51</v>
      </c>
      <c r="C18" s="11">
        <v>30</v>
      </c>
      <c r="D18" s="4" t="s">
        <v>52</v>
      </c>
      <c r="E18" s="7" t="s">
        <v>53</v>
      </c>
    </row>
    <row r="19" spans="1:5" x14ac:dyDescent="0.25">
      <c r="A19" s="4" t="s">
        <v>54</v>
      </c>
      <c r="B19" s="5" t="s">
        <v>51</v>
      </c>
      <c r="C19" s="11">
        <v>25</v>
      </c>
      <c r="D19" s="4" t="s">
        <v>52</v>
      </c>
      <c r="E19" s="7" t="s">
        <v>55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57</v>
      </c>
      <c r="C20" s="11">
        <f>MAX('Data Tanah'!$Q$7:$Q$47)</f>
      </c>
      <c r="D20" s="4" t="s">
        <v>58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60</v>
      </c>
      <c r="B21" s="5" t="s">
        <v>61</v>
      </c>
      <c r="C21" s="12">
        <f>0.01*C7*1000</f>
      </c>
      <c r="D21" s="4" t="s">
        <v>58</v>
      </c>
      <c r="E21" s="7" t="s">
        <v>62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65</v>
      </c>
      <c r="B23" s="5"/>
      <c r="C23" s="11">
        <v>1</v>
      </c>
      <c r="D23" s="4" t="s">
        <v>66</v>
      </c>
      <c r="E23" s="7" t="s">
        <v>67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68</v>
      </c>
      <c r="B25" s="3"/>
      <c r="C25" s="3"/>
      <c r="D25" s="3"/>
      <c r="E25" s="3"/>
    </row>
    <row r="26" spans="1:5" x14ac:dyDescent="0.25">
      <c r="A26" s="4" t="s">
        <v>69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71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72</v>
      </c>
      <c r="B28" s="5"/>
      <c r="C28" s="8">
        <v>1</v>
      </c>
      <c r="D28" s="4" t="s">
        <v>73</v>
      </c>
      <c r="E28" s="7" t="s">
        <v>74</v>
      </c>
    </row>
    <row r="29" spans="1:5" x14ac:dyDescent="0.25">
      <c r="A29" s="4" t="s">
        <v>75</v>
      </c>
      <c r="B29" s="5" t="s">
        <v>76</v>
      </c>
      <c r="C29" s="8">
        <v>0.3</v>
      </c>
      <c r="D29" s="4" t="s">
        <v>77</v>
      </c>
      <c r="E29" s="7" t="s">
        <v>78</v>
      </c>
    </row>
    <row r="30" spans="1:5" x14ac:dyDescent="0.25">
      <c r="A30" s="4" t="s">
        <v>79</v>
      </c>
      <c r="B30" s="5" t="s">
        <v>80</v>
      </c>
      <c r="C30" s="8">
        <v>15</v>
      </c>
      <c r="D30" s="4" t="s">
        <v>81</v>
      </c>
      <c r="E30" s="7" t="s">
        <v>82</v>
      </c>
    </row>
    <row r="31" spans="1:5" x14ac:dyDescent="0.25">
      <c r="A31" s="4" t="s">
        <v>83</v>
      </c>
      <c r="B31" s="5" t="s">
        <v>84</v>
      </c>
      <c r="C31" s="8">
        <v>0.55000000000000004</v>
      </c>
      <c r="D31" s="4" t="s">
        <v>66</v>
      </c>
      <c r="E31" s="7" t="s">
        <v>85</v>
      </c>
    </row>
    <row r="32" spans="1:5" x14ac:dyDescent="0.25">
      <c r="A32" s="4" t="s">
        <v>86</v>
      </c>
      <c r="B32" s="5"/>
      <c r="C32" s="8">
        <v>0.5</v>
      </c>
      <c r="D32" s="4" t="s">
        <v>77</v>
      </c>
      <c r="E32" s="7"/>
    </row>
    <row r="33" spans="1:5" x14ac:dyDescent="0.25">
      <c r="A33" s="4" t="s">
        <v>87</v>
      </c>
      <c r="B33" s="5"/>
      <c r="C33" s="8">
        <v>57.5</v>
      </c>
      <c r="D33" s="4" t="s">
        <v>88</v>
      </c>
      <c r="E33" s="7" t="s">
        <v>74</v>
      </c>
    </row>
    <row r="34" spans="1:5" x14ac:dyDescent="0.25">
      <c r="A34" s="4" t="s">
        <v>89</v>
      </c>
      <c r="B34" s="5"/>
      <c r="C34" s="11">
        <v>2870</v>
      </c>
      <c r="D34" s="4" t="s">
        <v>90</v>
      </c>
      <c r="E34" s="7" t="s">
        <v>74</v>
      </c>
    </row>
    <row r="35" spans="1:5" x14ac:dyDescent="0.25">
      <c r="A35" s="4" t="s">
        <v>91</v>
      </c>
      <c r="B35" s="5" t="s">
        <v>92</v>
      </c>
      <c r="C35" s="11">
        <v>9</v>
      </c>
      <c r="D35" s="4" t="s">
        <v>66</v>
      </c>
      <c r="E35" s="7" t="s">
        <v>93</v>
      </c>
    </row>
    <row r="36" spans="1:5" x14ac:dyDescent="0.25">
      <c r="A36" s="4" t="s">
        <v>94</v>
      </c>
      <c r="B36" s="5"/>
      <c r="C36" s="8">
        <v>1</v>
      </c>
      <c r="D36" s="4" t="s">
        <v>73</v>
      </c>
      <c r="E36" s="7"/>
    </row>
    <row r="37" spans="1:5" x14ac:dyDescent="0.25">
      <c r="A37" s="4" t="s">
        <v>95</v>
      </c>
      <c r="B37" s="5"/>
      <c r="C37" s="8">
        <v>2</v>
      </c>
      <c r="D37" s="4" t="s">
        <v>73</v>
      </c>
      <c r="E37" s="7"/>
    </row>
    <row r="38" spans="1:5" x14ac:dyDescent="0.25">
      <c r="A38" s="4" t="s">
        <v>96</v>
      </c>
      <c r="B38" s="5"/>
      <c r="C38" s="8">
        <v>0.7</v>
      </c>
      <c r="D38" s="4" t="s">
        <v>66</v>
      </c>
      <c r="E38" s="7"/>
    </row>
    <row r="40" spans="1:5" ht="18" customHeight="1" x14ac:dyDescent="0.25">
      <c r="A40" s="2" t="s">
        <v>97</v>
      </c>
      <c r="B40" s="3"/>
      <c r="C40" s="3"/>
      <c r="D40" s="3"/>
      <c r="E40" s="3"/>
    </row>
    <row r="41" spans="1:5" x14ac:dyDescent="0.25">
      <c r="A41" s="4" t="s">
        <v>98</v>
      </c>
      <c r="B41" s="5"/>
      <c r="C41" s="8">
        <v>2.5</v>
      </c>
      <c r="D41" s="4" t="s">
        <v>66</v>
      </c>
      <c r="E41" s="7"/>
    </row>
    <row r="42" spans="1:5" x14ac:dyDescent="0.25">
      <c r="A42" s="4" t="s">
        <v>99</v>
      </c>
      <c r="B42" s="5"/>
      <c r="C42" s="8">
        <v>3</v>
      </c>
      <c r="D42" s="4" t="s">
        <v>66</v>
      </c>
      <c r="E42" s="7"/>
    </row>
    <row r="43" spans="1:5" x14ac:dyDescent="0.25">
      <c r="A43" s="4" t="s">
        <v>100</v>
      </c>
      <c r="B43" s="5"/>
      <c r="C43" s="8">
        <v>3</v>
      </c>
      <c r="D43" s="4" t="s">
        <v>66</v>
      </c>
      <c r="E43" s="7"/>
    </row>
    <row r="44" spans="1:5" x14ac:dyDescent="0.25">
      <c r="A44" s="4" t="s">
        <v>101</v>
      </c>
      <c r="B44" s="5"/>
      <c r="C44" s="8">
        <v>1.56</v>
      </c>
      <c r="D44" s="4" t="s">
        <v>66</v>
      </c>
      <c r="E44" s="7"/>
    </row>
    <row r="45" spans="1:5" x14ac:dyDescent="0.25">
      <c r="A45" s="4" t="s">
        <v>102</v>
      </c>
      <c r="B45" s="5"/>
      <c r="C45" s="8">
        <v>1.56</v>
      </c>
      <c r="D45" s="4" t="s">
        <v>66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103</v>
      </c>
      <c r="B47" s="3"/>
      <c r="C47" s="3"/>
      <c r="D47" s="3"/>
      <c r="E47" s="3"/>
    </row>
    <row r="48" spans="1:5" x14ac:dyDescent="0.25">
      <c r="A48" s="4" t="s">
        <v>104</v>
      </c>
      <c r="B48" s="5" t="s">
        <v>9</v>
      </c>
      <c r="C48" s="14">
        <v>3000.0</v>
      </c>
      <c r="D48" s="4" t="s">
        <v>17</v>
      </c>
      <c r="E48" s="7" t="inlineStr">
        <is>
          <t xml:space="preserve">beban seragam semua BH (sama dengan BH-03) - update dgn GROUP beban revisi</t>
        </is>
      </c>
    </row>
    <row r="49" spans="1:5" x14ac:dyDescent="0.25">
      <c r="A49" s="4" t="s">
        <v>105</v>
      </c>
      <c r="B49" s="5" t="s">
        <v>13</v>
      </c>
      <c r="C49" s="14">
        <v>600.0</v>
      </c>
      <c r="D49" s="4" t="s">
        <v>17</v>
      </c>
      <c r="E49" s="7" t="inlineStr">
        <is>
          <t xml:space="preserve">beban seragam semua BH (sama dengan BH-03) - update dgn GROUP beban revisi</t>
        </is>
      </c>
    </row>
    <row r="50" spans="1:5" x14ac:dyDescent="0.25">
      <c r="A50" s="4" t="s">
        <v>106</v>
      </c>
      <c r="B50" s="5" t="s">
        <v>18</v>
      </c>
      <c r="C50" s="14">
        <v>500.0</v>
      </c>
      <c r="D50" s="4" t="s">
        <v>17</v>
      </c>
      <c r="E50" s="7" t="inlineStr">
        <is>
          <t xml:space="preserve">beban seragam semua BH (sama dengan BH-03) - update dgn GROUP beban revisi</t>
        </is>
      </c>
    </row>
    <row r="51" spans="1:5" x14ac:dyDescent="0.25">
      <c r="A51" s="4" t="s">
        <v>107</v>
      </c>
      <c r="B51" s="5" t="s">
        <v>108</v>
      </c>
      <c r="C51" s="14">
        <v>0.0</v>
      </c>
      <c r="D51" s="4" t="s">
        <v>17</v>
      </c>
      <c r="E51" s="7" t="inlineStr">
        <is>
          <t xml:space="preserve">tidak ada tiang tarik pada kombinasi yang ditinjau</t>
        </is>
      </c>
    </row>
    <row r="53" spans="1:5" x14ac:dyDescent="0.25">
      <c r="A53" s="1" t="s">
        <v>109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23" activePane="bottomLeft" state="frozen"/>
      <selection pane="bottomLeft" activeCell="A4" sqref="A4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111</v>
      </c>
      <c r="B5" s="15" t="s">
        <v>112</v>
      </c>
      <c r="C5" s="15" t="s">
        <v>113</v>
      </c>
      <c r="D5" s="15" t="s">
        <v>114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120</v>
      </c>
      <c r="K5" s="15" t="s">
        <v>121</v>
      </c>
      <c r="L5" s="15" t="s">
        <v>122</v>
      </c>
      <c r="M5" s="15" t="s">
        <v>123</v>
      </c>
      <c r="N5" s="15" t="s">
        <v>124</v>
      </c>
      <c r="O5" s="15" t="s">
        <v>125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126</v>
      </c>
      <c r="I6" s="15" t="s">
        <v>81</v>
      </c>
      <c r="J6" s="15" t="s">
        <v>81</v>
      </c>
      <c r="K6" s="15" t="s">
        <v>81</v>
      </c>
      <c r="L6" s="15" t="s">
        <v>81</v>
      </c>
      <c r="M6" s="15" t="s">
        <v>81</v>
      </c>
      <c r="N6" s="15" t="s">
        <v>81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127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inlineStr">
        <is>
          <t xml:space="preserve">Sand</t>
        </is>
      </c>
      <c r="G8" s="11">
        <v>10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0.43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1.5</v>
      </c>
      <c r="E9" s="9">
        <f t="shared" si="1"/>
      </c>
      <c r="F9" s="6" t="inlineStr">
        <is>
          <t xml:space="preserve">Sand</t>
        </is>
      </c>
      <c r="G9" s="11">
        <v>18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>
        <v>0.26</v>
      </c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4.5</v>
      </c>
      <c r="C10" s="19">
        <f t="shared" si="0"/>
      </c>
      <c r="D10" s="8">
        <v>1.5</v>
      </c>
      <c r="E10" s="19">
        <f t="shared" si="1"/>
      </c>
      <c r="F10" s="6" t="inlineStr">
        <is>
          <t xml:space="preserve">Sand</t>
        </is>
      </c>
      <c r="G10" s="11">
        <v>13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0.43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inlineStr">
        <is>
          <t xml:space="preserve">Clay</t>
        </is>
      </c>
      <c r="G11" s="11">
        <v>8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0.56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inlineStr">
        <is>
          <t xml:space="preserve">Sand</t>
        </is>
      </c>
      <c r="G12" s="11">
        <v>10</v>
      </c>
      <c r="H12" s="22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0.56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inlineStr">
        <is>
          <t xml:space="preserve">Sand</t>
        </is>
      </c>
      <c r="G13" s="11">
        <v>29</v>
      </c>
      <c r="H13" s="22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2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0.53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inlineStr">
        <is>
          <t xml:space="preserve">Clay</t>
        </is>
      </c>
      <c r="G14" s="11">
        <v>24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2.68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inlineStr">
        <is>
          <t xml:space="preserve">Clay</t>
        </is>
      </c>
      <c r="G15" s="11">
        <v>10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4.44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inlineStr">
        <is>
          <t xml:space="preserve">Sand</t>
        </is>
      </c>
      <c r="G16" s="11">
        <v>35</v>
      </c>
      <c r="H16" s="22" t="inlineStr">
        <is>
          <t xml:space="preserve">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1.31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inlineStr">
        <is>
          <t xml:space="preserve">Sand</t>
        </is>
      </c>
      <c r="G17" s="11">
        <v>39</v>
      </c>
      <c r="H17" s="22" t="inlineStr">
        <is>
          <t xml:space="preserve">NL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0.21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inlineStr">
        <is>
          <t xml:space="preserve">Sand</t>
        </is>
      </c>
      <c r="G18" s="11">
        <v>26</v>
      </c>
      <c r="H18" s="22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2.68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inlineStr">
        <is>
          <t xml:space="preserve">Sand</t>
        </is>
      </c>
      <c r="G19" s="11">
        <v>22</v>
      </c>
      <c r="H19" s="22" t="inlineStr">
        <is>
          <t xml:space="preserve">NL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0.43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inlineStr">
        <is>
          <t xml:space="preserve">Sand</t>
        </is>
      </c>
      <c r="G20" s="11">
        <v>24</v>
      </c>
      <c r="H20" s="22" t="inlineStr">
        <is>
          <t xml:space="preserve">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3.45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inlineStr">
        <is>
          <t xml:space="preserve">Clay</t>
        </is>
      </c>
      <c r="G21" s="11">
        <v>38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0.26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127</v>
      </c>
      <c r="G22" s="11">
        <v>24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 t="inlineStr">
        <is>
          <t xml:space="preserve">Data salinan BH-02 (bor hanya s/d 22.5 m)</t>
        </is>
      </c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127</v>
      </c>
      <c r="G23" s="11">
        <v>44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 t="inlineStr">
        <is>
          <t xml:space="preserve">Data salinan BH-02 (bor hanya s/d 22.5 m)</t>
        </is>
      </c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127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 t="inlineStr">
        <is>
          <t xml:space="preserve">Data salinan BH-02 (bor hanya s/d 22.5 m)</t>
        </is>
      </c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127</v>
      </c>
      <c r="G25" s="11">
        <v>31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 t="inlineStr">
        <is>
          <t xml:space="preserve">Data salinan BH-02 (bor hanya s/d 22.5 m)</t>
        </is>
      </c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127</v>
      </c>
      <c r="G26" s="11">
        <v>50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 t="inlineStr">
        <is>
          <t xml:space="preserve">Data salinan BH-02 (bor hanya s/d 22.5 m)</t>
        </is>
      </c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127</v>
      </c>
      <c r="G27" s="11">
        <v>40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 t="inlineStr">
        <is>
          <t xml:space="preserve">Data salinan BH-02 (bor hanya s/d 22.5 m)</t>
        </is>
      </c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127</v>
      </c>
      <c r="G28" s="11">
        <v>43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 t="inlineStr">
        <is>
          <t xml:space="preserve">Data salinan BH-02 (bor hanya s/d 22.5 m)</t>
        </is>
      </c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127</v>
      </c>
      <c r="G29" s="11">
        <v>26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 t="inlineStr">
        <is>
          <t xml:space="preserve">Data salinan BH-02 (bor hanya s/d 22.5 m)</t>
        </is>
      </c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127</v>
      </c>
      <c r="G30" s="11">
        <v>53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 t="inlineStr">
        <is>
          <t xml:space="preserve">Data salinan BH-02 (bor hanya s/d 22.5 m)</t>
        </is>
      </c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127</v>
      </c>
      <c r="G31" s="11">
        <v>54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 t="inlineStr">
        <is>
          <t xml:space="preserve">Data salinan BH-02 (bor hanya s/d 22.5 m)</t>
        </is>
      </c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127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 t="inlineStr">
        <is>
          <t xml:space="preserve">Data salinan BH-02 (bor hanya s/d 22.5 m)</t>
        </is>
      </c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127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 t="inlineStr">
        <is>
          <t xml:space="preserve">Data salinan BH-02 (bor hanya s/d 22.5 m)</t>
        </is>
      </c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127</v>
      </c>
      <c r="G34" s="11">
        <v>37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 t="inlineStr">
        <is>
          <t xml:space="preserve">Data salinan BH-02 (bor hanya s/d 22.5 m)</t>
        </is>
      </c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127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 t="inlineStr">
        <is>
          <t xml:space="preserve">Data salinan BH-02 (bor hanya s/d 22.5 m)</t>
        </is>
      </c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127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 t="inlineStr">
        <is>
          <t xml:space="preserve">Data salinan BH-02 (bor hanya s/d 22.5 m)</t>
        </is>
      </c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127</v>
      </c>
      <c r="G37" s="11">
        <v>50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 t="inlineStr">
        <is>
          <t xml:space="preserve">Data salinan BH-02 (bor hanya s/d 22.5 m)</t>
        </is>
      </c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127</v>
      </c>
      <c r="G38" s="11">
        <v>50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 t="inlineStr">
        <is>
          <t xml:space="preserve">Data salinan BH-02 (bor hanya s/d 22.5 m)</t>
        </is>
      </c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127</v>
      </c>
      <c r="G39" s="11">
        <v>27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 t="inlineStr">
        <is>
          <t xml:space="preserve">Data salinan BH-02 (bor hanya s/d 22.5 m)</t>
        </is>
      </c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127</v>
      </c>
      <c r="G40" s="11">
        <v>25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 t="inlineStr">
        <is>
          <t xml:space="preserve">Data salinan BH-02 (bor hanya s/d 22.5 m)</t>
        </is>
      </c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127</v>
      </c>
      <c r="G41" s="11">
        <v>29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 t="inlineStr">
        <is>
          <t xml:space="preserve">Data salinan BH-02 (bor hanya s/d 22.5 m)</t>
        </is>
      </c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127</v>
      </c>
      <c r="G42" s="11">
        <v>35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 t="inlineStr">
        <is>
          <t xml:space="preserve">Data salinan BH-02 (bor hanya s/d 22.5 m)</t>
        </is>
      </c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127</v>
      </c>
      <c r="G43" s="11">
        <v>50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 t="inlineStr">
        <is>
          <t xml:space="preserve">Data salinan BH-02 (bor hanya s/d 22.5 m)</t>
        </is>
      </c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127</v>
      </c>
      <c r="G44" s="11">
        <v>50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 t="inlineStr">
        <is>
          <t xml:space="preserve">Data salinan BH-02 (bor hanya s/d 22.5 m)</t>
        </is>
      </c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127</v>
      </c>
      <c r="G45" s="11">
        <v>50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 t="inlineStr">
        <is>
          <t xml:space="preserve">Data salinan BH-02 (bor hanya s/d 22.5 m)</t>
        </is>
      </c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127</v>
      </c>
      <c r="G46" s="11">
        <v>29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 t="inlineStr">
        <is>
          <t xml:space="preserve">Data salinan BH-02 (bor hanya s/d 22.5 m)</t>
        </is>
      </c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127</v>
      </c>
      <c r="G47" s="11">
        <v>44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 t="inlineStr">
        <is>
          <t xml:space="preserve">Data salinan BH-02 (bor hanya s/d 22.5 m)</t>
        </is>
      </c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131</v>
      </c>
    </row>
    <row r="50" spans="1:1" x14ac:dyDescent="0.25">
      <c r="A50" s="1" t="s">
        <v>132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134</v>
      </c>
      <c r="B5" s="36"/>
      <c r="C5" s="36"/>
      <c r="D5" s="36"/>
      <c r="E5" s="27">
        <f>IFERROR(ROUND(1/(1/_xlfn.SINGLE(_xlfn.MINIFS(A12:A127,L12:L127,TRUE))),2),"&gt;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136</v>
      </c>
      <c r="B7" s="36"/>
      <c r="C7" s="36"/>
      <c r="D7" s="36"/>
      <c r="E7" s="27">
        <f>Input!C41&amp;" / "&amp;Input!C42</f>
      </c>
      <c r="F7" s="4" t="s">
        <v>137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141</v>
      </c>
      <c r="E10" s="15" t="s">
        <v>142</v>
      </c>
      <c r="F10" s="15" t="s">
        <v>143</v>
      </c>
      <c r="G10" s="15" t="s">
        <v>144</v>
      </c>
      <c r="H10" s="15" t="s">
        <v>145</v>
      </c>
      <c r="I10" s="15" t="s">
        <v>146</v>
      </c>
      <c r="J10" s="15" t="s">
        <v>146</v>
      </c>
      <c r="K10" s="15" t="s">
        <v>147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81</v>
      </c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153</v>
      </c>
      <c r="B5" s="36"/>
      <c r="C5" s="36"/>
      <c r="D5" s="36"/>
      <c r="E5" s="27">
        <f>IFERROR(ROUND(1/(1/_xlfn.MINIFS(A12:A127,L12:L127,TRUE)),2),"&gt;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154</v>
      </c>
      <c r="B7" s="36"/>
      <c r="C7" s="36"/>
      <c r="D7" s="36"/>
      <c r="E7" s="27">
        <f>Input!$C$44</f>
      </c>
      <c r="F7" s="4" t="s">
        <v>6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155</v>
      </c>
      <c r="E10" s="15" t="s">
        <v>156</v>
      </c>
      <c r="F10" s="15" t="s">
        <v>143</v>
      </c>
      <c r="G10" s="15" t="s">
        <v>157</v>
      </c>
      <c r="H10" s="15" t="s">
        <v>145</v>
      </c>
      <c r="I10" s="15" t="s">
        <v>146</v>
      </c>
      <c r="J10" s="15" t="s">
        <v>146</v>
      </c>
      <c r="K10" s="15" t="s">
        <v>158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/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160</v>
      </c>
      <c r="B5" s="36"/>
      <c r="C5" s="36"/>
      <c r="D5" s="36"/>
      <c r="E5" s="27">
        <f>IFERROR(ROUND(1/(1/_xlfn.MINIFS(A12:A127,K12:K127,TRUE)),2),"&gt; data")</f>
      </c>
      <c r="F5" s="4" t="s">
        <v>25</v>
      </c>
    </row>
    <row r="6" spans="1:14" x14ac:dyDescent="0.25">
      <c r="A6" s="37" t="s">
        <v>161</v>
      </c>
      <c r="B6" s="36"/>
      <c r="C6" s="36"/>
      <c r="D6" s="36"/>
      <c r="E6" s="34">
        <f>G12*9.81</f>
      </c>
      <c r="F6" s="4" t="s">
        <v>17</v>
      </c>
    </row>
    <row r="7" spans="1:14" x14ac:dyDescent="0.25">
      <c r="A7" s="37" t="s">
        <v>162</v>
      </c>
      <c r="B7" s="36"/>
      <c r="C7" s="36"/>
      <c r="D7" s="36"/>
      <c r="E7" s="27">
        <f>Input!$C$45</f>
      </c>
      <c r="F7" s="4" t="s">
        <v>6</v>
      </c>
    </row>
    <row r="10" spans="1:14" ht="42" customHeight="1" x14ac:dyDescent="0.25">
      <c r="A10" s="15" t="s">
        <v>163</v>
      </c>
      <c r="B10" s="15" t="s">
        <v>139</v>
      </c>
      <c r="C10" s="15" t="s">
        <v>140</v>
      </c>
      <c r="D10" s="15" t="s">
        <v>164</v>
      </c>
      <c r="E10" s="15" t="s">
        <v>165</v>
      </c>
      <c r="F10" s="15" t="s">
        <v>145</v>
      </c>
      <c r="G10" s="15" t="s">
        <v>166</v>
      </c>
      <c r="H10" s="15" t="s">
        <v>167</v>
      </c>
      <c r="I10" s="15" t="s">
        <v>167</v>
      </c>
      <c r="J10" s="15" t="s">
        <v>168</v>
      </c>
      <c r="K10" s="15" t="s">
        <v>148</v>
      </c>
      <c r="L10" s="15" t="s">
        <v>169</v>
      </c>
      <c r="M10" s="15" t="s">
        <v>170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150</v>
      </c>
      <c r="F11" s="15" t="s">
        <v>150</v>
      </c>
      <c r="G11" s="15" t="s">
        <v>150</v>
      </c>
      <c r="H11" s="15" t="s">
        <v>150</v>
      </c>
      <c r="I11" s="15" t="s">
        <v>17</v>
      </c>
      <c r="J11" s="15" t="s">
        <v>17</v>
      </c>
      <c r="K11" s="15"/>
      <c r="L11" s="15" t="s">
        <v>81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151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tabSelected="1" topLeftCell="A15" zoomScaleNormal="100" workbookViewId="0">
      <selection activeCell="A3" sqref="A3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3" t="s">
        <v>3</v>
      </c>
      <c r="S5" s="23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3" t="s">
        <v>9</v>
      </c>
      <c r="S6" s="23"/>
    </row>
    <row r="7" spans="1:19" x14ac:dyDescent="0.25">
      <c r="A7" s="24" t="s">
        <v>10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11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12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13</v>
      </c>
      <c r="S9" s="23"/>
    </row>
    <row r="10" spans="1:19" x14ac:dyDescent="0.25">
      <c r="A10" s="26" t="s">
        <v>14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15</v>
      </c>
      <c r="R12" s="23" t="s">
        <v>18</v>
      </c>
      <c r="S12" s="23"/>
    </row>
    <row r="13" spans="1:19" x14ac:dyDescent="0.25">
      <c r="A13" s="4" t="s">
        <v>16</v>
      </c>
      <c r="B13" s="29">
        <f>Downdrag!E6</f>
      </c>
      <c r="C13" s="4" t="s">
        <v>17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2026-10-06T07:48:10Z</dcterms:modified>
</cp:coreProperties>
</file>