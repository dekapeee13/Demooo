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yout" sheetId="1" state="visible" r:id="rId1"/>
    <sheet xmlns:r="http://schemas.openxmlformats.org/officeDocument/2006/relationships" name="Check_SumP" sheetId="2" state="visible" r:id="rId2"/>
    <sheet xmlns:r="http://schemas.openxmlformats.org/officeDocument/2006/relationships" name="Governing" sheetId="3" state="visible" r:id="rId3"/>
    <sheet xmlns:r="http://schemas.openxmlformats.org/officeDocument/2006/relationships" name="WPA_M1" sheetId="4" state="visible" r:id="rId4"/>
    <sheet xmlns:r="http://schemas.openxmlformats.org/officeDocument/2006/relationships" name="WPA_M3" sheetId="5" state="visible" r:id="rId5"/>
    <sheet xmlns:r="http://schemas.openxmlformats.org/officeDocument/2006/relationships" name="WPD_M1" sheetId="6" state="visible" r:id="rId6"/>
    <sheet xmlns:r="http://schemas.openxmlformats.org/officeDocument/2006/relationships" name="WPD_M3" sheetId="7" state="visible" r:id="rId7"/>
    <sheet xmlns:r="http://schemas.openxmlformats.org/officeDocument/2006/relationships" name="All_Heads" sheetId="8" state="visible" r:id="rId8"/>
  </sheets>
  <definedNames>
    <definedName name="_xlnm._FilterDatabase" localSheetId="7" hidden="1">'All_Heads'!$A$1:$K$481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1F3864"/>
      <sz val="13"/>
    </font>
    <font>
      <name val="Calibri"/>
      <i val="1"/>
      <color rgb="00C00000"/>
      <sz val="9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10"/>
    </font>
    <font>
      <name val="Calibri"/>
      <i val="1"/>
      <color rgb="00595959"/>
      <sz val="9"/>
    </font>
    <font>
      <name val="Calibri"/>
      <b val="1"/>
      <color rgb="001F3864"/>
      <sz val="11"/>
    </font>
    <font>
      <name val="Calibri"/>
      <b val="1"/>
      <color rgb="00C00000"/>
      <sz val="10"/>
    </font>
    <font>
      <name val="Calibri"/>
      <b val="1"/>
      <color rgb="000070C0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/>
    </xf>
    <xf numFmtId="0" fontId="0" fillId="0" borderId="4" pivotButton="0" quotePrefix="0" xfId="0"/>
    <xf numFmtId="2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5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horizontal="left"/>
    </xf>
    <xf numFmtId="164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164" fontId="8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center" vertical="center" wrapText="1"/>
    </xf>
    <xf numFmtId="164" fontId="9" fillId="5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2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name val="Calibri"/>
        <b val="1"/>
        <color rgb="00C00000"/>
        <sz val="10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7924800" cy="5200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22" customWidth="1" min="6" max="6"/>
    <col width="16" customWidth="1" min="7" max="7"/>
    <col width="16" customWidth="1" min="8" max="8"/>
  </cols>
  <sheetData>
    <row r="1">
      <c r="A1" s="1" t="inlineStr">
        <is>
          <t>PILE IDENTIFICATION AND LAYOUT - GROUP MODEL (1 cellar, 8 piles, 4x1 under each rig node)</t>
        </is>
      </c>
    </row>
    <row r="2">
      <c r="A2" s="2" t="inlineStr">
        <is>
          <t>Rows identified from the GROUP axial forces: piles 1-4 = row 1, piles 5-8 = row 2 (axial force changes linearly along each row). Yellow cells are ASSUMED (no .gp11d with pile coordinates available) - confirm and edit; y/z update.</t>
        </is>
      </c>
    </row>
    <row r="4">
      <c r="A4" s="3" t="inlineStr">
        <is>
          <t>Pile spacing in a row s (m)</t>
        </is>
      </c>
      <c r="B4" s="4" t="n"/>
      <c r="C4" s="5" t="n">
        <v>3</v>
      </c>
    </row>
    <row r="5">
      <c r="A5" s="3" t="inlineStr">
        <is>
          <t>Row 1 at GROUP Z (m)</t>
        </is>
      </c>
      <c r="B5" s="4" t="n"/>
      <c r="C5" s="5" t="n">
        <v>-4.75</v>
      </c>
    </row>
    <row r="6">
      <c r="A6" s="3" t="inlineStr">
        <is>
          <t>Row 2 at GROUP Z (m)</t>
        </is>
      </c>
      <c r="B6" s="4" t="n"/>
      <c r="C6" s="5" t="n">
        <v>4.75</v>
      </c>
    </row>
    <row r="8" ht="30" customHeight="1">
      <c r="A8" s="6" t="inlineStr">
        <is>
          <t>GROUP pile no.</t>
        </is>
      </c>
      <c r="B8" s="6" t="inlineStr">
        <is>
          <t>Row</t>
        </is>
      </c>
      <c r="C8" s="6" t="inlineStr">
        <is>
          <t>Position in row</t>
        </is>
      </c>
      <c r="D8" s="6" t="inlineStr">
        <is>
          <t>GROUP Y (m)</t>
        </is>
      </c>
      <c r="E8" s="6" t="inlineStr">
        <is>
          <t>GROUP Z (m)</t>
        </is>
      </c>
      <c r="F8" s="6" t="inlineStr">
        <is>
          <t>Rig node above row (GROUP load N)</t>
        </is>
      </c>
      <c r="G8" s="6" t="inlineStr">
        <is>
          <t>WPD cellar A: rig node</t>
        </is>
      </c>
      <c r="H8" s="6" t="inlineStr">
        <is>
          <t>WPD cellar B: rig node</t>
        </is>
      </c>
    </row>
    <row r="9">
      <c r="A9" s="7" t="n">
        <v>1</v>
      </c>
      <c r="B9" s="7" t="n">
        <v>1</v>
      </c>
      <c r="C9" s="7" t="n">
        <v>1</v>
      </c>
      <c r="D9" s="8">
        <f>(C9-2.5)*$C$4</f>
        <v/>
      </c>
      <c r="E9" s="8">
        <f>$C$5</f>
        <v/>
      </c>
      <c r="F9" s="7" t="inlineStr">
        <is>
          <t>node 1 (Z = -4.75 m)</t>
        </is>
      </c>
      <c r="G9" s="7" t="inlineStr">
        <is>
          <t>3241</t>
        </is>
      </c>
      <c r="H9" s="7" t="inlineStr">
        <is>
          <t>3226</t>
        </is>
      </c>
    </row>
    <row r="10">
      <c r="A10" s="7" t="n">
        <v>2</v>
      </c>
      <c r="B10" s="7" t="n">
        <v>1</v>
      </c>
      <c r="C10" s="7" t="n">
        <v>2</v>
      </c>
      <c r="D10" s="8">
        <f>(C10-2.5)*$C$4</f>
        <v/>
      </c>
      <c r="E10" s="8">
        <f>$C$5</f>
        <v/>
      </c>
      <c r="F10" s="7" t="inlineStr">
        <is>
          <t>node 1 (Z = -4.75 m)</t>
        </is>
      </c>
      <c r="G10" s="7" t="inlineStr">
        <is>
          <t>3241</t>
        </is>
      </c>
      <c r="H10" s="7" t="inlineStr">
        <is>
          <t>3226</t>
        </is>
      </c>
    </row>
    <row r="11">
      <c r="A11" s="7" t="n">
        <v>3</v>
      </c>
      <c r="B11" s="7" t="n">
        <v>1</v>
      </c>
      <c r="C11" s="7" t="n">
        <v>3</v>
      </c>
      <c r="D11" s="8">
        <f>(C11-2.5)*$C$4</f>
        <v/>
      </c>
      <c r="E11" s="8">
        <f>$C$5</f>
        <v/>
      </c>
      <c r="F11" s="7" t="inlineStr">
        <is>
          <t>node 1 (Z = -4.75 m)</t>
        </is>
      </c>
      <c r="G11" s="7" t="inlineStr">
        <is>
          <t>3241</t>
        </is>
      </c>
      <c r="H11" s="7" t="inlineStr">
        <is>
          <t>3226</t>
        </is>
      </c>
    </row>
    <row r="12">
      <c r="A12" s="7" t="n">
        <v>4</v>
      </c>
      <c r="B12" s="7" t="n">
        <v>1</v>
      </c>
      <c r="C12" s="7" t="n">
        <v>4</v>
      </c>
      <c r="D12" s="8">
        <f>(C12-2.5)*$C$4</f>
        <v/>
      </c>
      <c r="E12" s="8">
        <f>$C$5</f>
        <v/>
      </c>
      <c r="F12" s="7" t="inlineStr">
        <is>
          <t>node 1 (Z = -4.75 m)</t>
        </is>
      </c>
      <c r="G12" s="7" t="inlineStr">
        <is>
          <t>3241</t>
        </is>
      </c>
      <c r="H12" s="7" t="inlineStr">
        <is>
          <t>3226</t>
        </is>
      </c>
    </row>
    <row r="13">
      <c r="A13" s="7" t="n">
        <v>5</v>
      </c>
      <c r="B13" s="7" t="n">
        <v>2</v>
      </c>
      <c r="C13" s="7" t="n">
        <v>1</v>
      </c>
      <c r="D13" s="8">
        <f>(C13-2.5)*$C$4</f>
        <v/>
      </c>
      <c r="E13" s="8">
        <f>$C$6</f>
        <v/>
      </c>
      <c r="F13" s="7" t="inlineStr">
        <is>
          <t>node 2 (Z = +4.75 m)</t>
        </is>
      </c>
      <c r="G13" s="7" t="inlineStr">
        <is>
          <t>3233</t>
        </is>
      </c>
      <c r="H13" s="7" t="inlineStr">
        <is>
          <t>3234</t>
        </is>
      </c>
    </row>
    <row r="14">
      <c r="A14" s="7" t="n">
        <v>6</v>
      </c>
      <c r="B14" s="7" t="n">
        <v>2</v>
      </c>
      <c r="C14" s="7" t="n">
        <v>2</v>
      </c>
      <c r="D14" s="8">
        <f>(C14-2.5)*$C$4</f>
        <v/>
      </c>
      <c r="E14" s="8">
        <f>$C$6</f>
        <v/>
      </c>
      <c r="F14" s="7" t="inlineStr">
        <is>
          <t>node 2 (Z = +4.75 m)</t>
        </is>
      </c>
      <c r="G14" s="7" t="inlineStr">
        <is>
          <t>3233</t>
        </is>
      </c>
      <c r="H14" s="7" t="inlineStr">
        <is>
          <t>3234</t>
        </is>
      </c>
    </row>
    <row r="15">
      <c r="A15" s="7" t="n">
        <v>7</v>
      </c>
      <c r="B15" s="7" t="n">
        <v>2</v>
      </c>
      <c r="C15" s="7" t="n">
        <v>3</v>
      </c>
      <c r="D15" s="8">
        <f>(C15-2.5)*$C$4</f>
        <v/>
      </c>
      <c r="E15" s="8">
        <f>$C$6</f>
        <v/>
      </c>
      <c r="F15" s="7" t="inlineStr">
        <is>
          <t>node 2 (Z = +4.75 m)</t>
        </is>
      </c>
      <c r="G15" s="7" t="inlineStr">
        <is>
          <t>3233</t>
        </is>
      </c>
      <c r="H15" s="7" t="inlineStr">
        <is>
          <t>3234</t>
        </is>
      </c>
    </row>
    <row r="16">
      <c r="A16" s="7" t="n">
        <v>8</v>
      </c>
      <c r="B16" s="7" t="n">
        <v>2</v>
      </c>
      <c r="C16" s="7" t="n">
        <v>4</v>
      </c>
      <c r="D16" s="8">
        <f>(C16-2.5)*$C$4</f>
        <v/>
      </c>
      <c r="E16" s="8">
        <f>$C$6</f>
        <v/>
      </c>
      <c r="F16" s="7" t="inlineStr">
        <is>
          <t>node 2 (Z = +4.75 m)</t>
        </is>
      </c>
      <c r="G16" s="7" t="inlineStr">
        <is>
          <t>3233</t>
        </is>
      </c>
      <c r="H16" s="7" t="inlineStr">
        <is>
          <t>3234</t>
        </is>
      </c>
    </row>
    <row r="19">
      <c r="A19" s="9" t="inlineStr">
        <is>
          <t>Notes:</t>
        </is>
      </c>
    </row>
    <row r="20">
      <c r="A20" s="10" t="inlineStr">
        <is>
          <t>GROUP axes: X = vertical (axial), Y and Z = horizontal. Rig loads: node 1 at Z = -4.75 m, node 2 at Z = +4.75 m; cap weight/inertia at origin.</t>
        </is>
      </c>
    </row>
    <row r="21">
      <c r="A21" s="10" t="inlineStr">
        <is>
          <t>Real cap 25 x 12 m has 2 cellars (4 rig nodes, 16 piles). It was modelled as 1 cellar (8 piles) with load-case variation:</t>
        </is>
      </c>
    </row>
    <row r="22">
      <c r="A22" s="10" t="inlineStr">
        <is>
          <t xml:space="preserve">   WPD: LC "1C-A" = cellar A loads (node 1 = rig 3241, node 2 = rig 3233); LC "1C-B" = cellar B loads (node 1 = rig 3226, node 2 = rig 3234).</t>
        </is>
      </c>
    </row>
    <row r="23">
      <c r="A23" s="10" t="inlineStr">
        <is>
          <t xml:space="preserve">   -&gt; for one combination, piles under cellar A take the "1C-A" results and piles under cellar B take the "1C-B" results.</t>
        </is>
      </c>
    </row>
    <row r="24">
      <c r="A24" s="10" t="inlineStr">
        <is>
          <t xml:space="preserve">   WPA: one load set per combination (no 1C-A/1C-B split in the GROUP run).</t>
        </is>
      </c>
    </row>
    <row r="25">
      <c r="A25" s="10" t="inlineStr">
        <is>
          <t>Which row lies under node 1 and the numbering direction along a row must be checked against the GROUP input (.gp11d).</t>
        </is>
      </c>
    </row>
  </sheetData>
  <mergeCells count="3">
    <mergeCell ref="A4:B4"/>
    <mergeCell ref="A6:B6"/>
    <mergeCell ref="A5:B5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18" customWidth="1" min="3" max="3"/>
    <col width="13" customWidth="1" min="4" max="4"/>
    <col width="13" customWidth="1" min="5" max="5"/>
    <col width="12" customWidth="1" min="6" max="6"/>
    <col width="12" customWidth="1" min="7" max="7"/>
    <col width="8" customWidth="1" min="8" max="8"/>
    <col width="9" customWidth="1" min="9" max="9"/>
    <col width="15" customWidth="1" min="10" max="10"/>
  </cols>
  <sheetData>
    <row r="1">
      <c r="A1" s="1" t="inlineStr">
        <is>
          <t>EQUILIBRIUM CHECK - sum of pile-head axial forces vs applied vertical load (current rig reactions)</t>
        </is>
      </c>
    </row>
    <row r="2">
      <c r="A2" s="11" t="inlineStr">
        <is>
          <t>Applied = 2 x rig FZ per node (Rev_Reaction, 2 nodes per cellar) + cap weight incl. load factor. Ratio outside 0.98-1.02 = the GROUP run used a different load -&gt; results of that combination must be re-run.</t>
        </is>
      </c>
    </row>
    <row r="4" ht="30" customHeight="1">
      <c r="A4" s="6" t="inlineStr">
        <is>
          <t>Wellpad</t>
        </is>
      </c>
      <c r="B4" s="6" t="inlineStr">
        <is>
          <t>Model</t>
        </is>
      </c>
      <c r="C4" s="6" t="inlineStr">
        <is>
          <t>Load combination</t>
        </is>
      </c>
      <c r="D4" s="6" t="inlineStr">
        <is>
          <t>Sum P GROUP (kN)</t>
        </is>
      </c>
      <c r="E4" s="6" t="inlineStr">
        <is>
          <t>Rig FZ per node (kN)</t>
        </is>
      </c>
      <c r="F4" s="6" t="inlineStr">
        <is>
          <t>Cap weight (kN)</t>
        </is>
      </c>
      <c r="G4" s="6" t="inlineStr">
        <is>
          <t>Applied (kN)</t>
        </is>
      </c>
      <c r="H4" s="6" t="inlineStr">
        <is>
          <t>Ratio</t>
        </is>
      </c>
      <c r="I4" s="6" t="inlineStr">
        <is>
          <t>Status</t>
        </is>
      </c>
      <c r="J4" s="6" t="inlineStr">
        <is>
          <t>Rig FZ per node back-calc. (kN)</t>
        </is>
      </c>
    </row>
    <row r="5">
      <c r="A5" s="7" t="inlineStr">
        <is>
          <t>WPA</t>
        </is>
      </c>
      <c r="B5" s="7" t="inlineStr">
        <is>
          <t>M1</t>
        </is>
      </c>
      <c r="C5" s="12" t="inlineStr">
        <is>
          <t>ASD1</t>
        </is>
      </c>
      <c r="D5" s="13" t="n">
        <v>8940.799999999999</v>
      </c>
      <c r="E5" s="13" t="n">
        <v>1618.3</v>
      </c>
      <c r="F5" s="13" t="n">
        <v>5575.5</v>
      </c>
      <c r="G5" s="13">
        <f>2*E5+F5</f>
        <v/>
      </c>
      <c r="H5" s="14">
        <f>D5/G5</f>
        <v/>
      </c>
      <c r="I5" s="15">
        <f>IF(ABS(H5-1)&lt;=0.02,"OK","RE-RUN")</f>
        <v/>
      </c>
      <c r="J5" s="13">
        <f>(D5-F5)/2</f>
        <v/>
      </c>
    </row>
    <row r="6">
      <c r="A6" s="7" t="inlineStr">
        <is>
          <t>WPA</t>
        </is>
      </c>
      <c r="B6" s="7" t="inlineStr">
        <is>
          <t>M1</t>
        </is>
      </c>
      <c r="C6" s="12" t="inlineStr">
        <is>
          <t>ASD2(max)</t>
        </is>
      </c>
      <c r="D6" s="13" t="n">
        <v>38332.1</v>
      </c>
      <c r="E6" s="13" t="n">
        <v>7679.6</v>
      </c>
      <c r="F6" s="13" t="n">
        <v>5575.5</v>
      </c>
      <c r="G6" s="13">
        <f>2*E6+F6</f>
        <v/>
      </c>
      <c r="H6" s="14">
        <f>D6/G6</f>
        <v/>
      </c>
      <c r="I6" s="15">
        <f>IF(ABS(H6-1)&lt;=0.02,"OK","RE-RUN")</f>
        <v/>
      </c>
      <c r="J6" s="13">
        <f>(D6-F6)/2</f>
        <v/>
      </c>
    </row>
    <row r="7">
      <c r="A7" s="7" t="inlineStr">
        <is>
          <t>WPA</t>
        </is>
      </c>
      <c r="B7" s="7" t="inlineStr">
        <is>
          <t>M1</t>
        </is>
      </c>
      <c r="C7" s="12" t="inlineStr">
        <is>
          <t>ASD2(min)</t>
        </is>
      </c>
      <c r="D7" s="13" t="n">
        <v>25572.3</v>
      </c>
      <c r="E7" s="13" t="n">
        <v>804.9</v>
      </c>
      <c r="F7" s="13" t="n">
        <v>5575.5</v>
      </c>
      <c r="G7" s="13">
        <f>2*E7+F7</f>
        <v/>
      </c>
      <c r="H7" s="14">
        <f>D7/G7</f>
        <v/>
      </c>
      <c r="I7" s="15">
        <f>IF(ABS(H7-1)&lt;=0.02,"OK","RE-RUN")</f>
        <v/>
      </c>
      <c r="J7" s="13">
        <f>(D7-F7)/2</f>
        <v/>
      </c>
    </row>
    <row r="8">
      <c r="A8" s="7" t="inlineStr">
        <is>
          <t>WPA</t>
        </is>
      </c>
      <c r="B8" s="7" t="inlineStr">
        <is>
          <t>M1</t>
        </is>
      </c>
      <c r="C8" s="12" t="inlineStr">
        <is>
          <t>ASD3</t>
        </is>
      </c>
      <c r="D8" s="13" t="n">
        <v>10004.4</v>
      </c>
      <c r="E8" s="13" t="n">
        <v>1812.5</v>
      </c>
      <c r="F8" s="13" t="n">
        <v>6235.6</v>
      </c>
      <c r="G8" s="13">
        <f>2*E8+F8</f>
        <v/>
      </c>
      <c r="H8" s="14">
        <f>D8/G8</f>
        <v/>
      </c>
      <c r="I8" s="15">
        <f>IF(ABS(H8-1)&lt;=0.02,"OK","RE-RUN")</f>
        <v/>
      </c>
      <c r="J8" s="13">
        <f>(D8-F8)/2</f>
        <v/>
      </c>
    </row>
    <row r="9">
      <c r="A9" s="7" t="inlineStr">
        <is>
          <t>WPA</t>
        </is>
      </c>
      <c r="B9" s="7" t="inlineStr">
        <is>
          <t>M1</t>
        </is>
      </c>
      <c r="C9" s="12" t="inlineStr">
        <is>
          <t>ASD4</t>
        </is>
      </c>
      <c r="D9" s="13" t="n">
        <v>10004.4</v>
      </c>
      <c r="E9" s="13" t="n">
        <v>1812.5</v>
      </c>
      <c r="F9" s="13" t="n">
        <v>6235.6</v>
      </c>
      <c r="G9" s="13">
        <f>2*E9+F9</f>
        <v/>
      </c>
      <c r="H9" s="14">
        <f>D9/G9</f>
        <v/>
      </c>
      <c r="I9" s="15">
        <f>IF(ABS(H9-1)&lt;=0.02,"OK","RE-RUN")</f>
        <v/>
      </c>
      <c r="J9" s="13">
        <f>(D9-F9)/2</f>
        <v/>
      </c>
    </row>
    <row r="10">
      <c r="A10" s="7" t="inlineStr">
        <is>
          <t>WPA</t>
        </is>
      </c>
      <c r="B10" s="7" t="inlineStr">
        <is>
          <t>M1</t>
        </is>
      </c>
      <c r="C10" s="12" t="inlineStr">
        <is>
          <t>LRFD1</t>
        </is>
      </c>
      <c r="D10" s="13" t="n">
        <v>12516.8</v>
      </c>
      <c r="E10" s="13" t="n">
        <v>2265.6</v>
      </c>
      <c r="F10" s="13" t="n">
        <v>7805.7</v>
      </c>
      <c r="G10" s="13">
        <f>2*E10+F10</f>
        <v/>
      </c>
      <c r="H10" s="14">
        <f>D10/G10</f>
        <v/>
      </c>
      <c r="I10" s="15">
        <f>IF(ABS(H10-1)&lt;=0.02,"OK","RE-RUN")</f>
        <v/>
      </c>
      <c r="J10" s="13">
        <f>(D10-F10)/2</f>
        <v/>
      </c>
    </row>
    <row r="11">
      <c r="A11" s="7" t="inlineStr">
        <is>
          <t>WPA</t>
        </is>
      </c>
      <c r="B11" s="7" t="inlineStr">
        <is>
          <t>M1</t>
        </is>
      </c>
      <c r="C11" s="12" t="inlineStr">
        <is>
          <t>LRFD2(max)</t>
        </is>
      </c>
      <c r="D11" s="13" t="n">
        <v>31144.7</v>
      </c>
      <c r="E11" s="13" t="n">
        <v>11640</v>
      </c>
      <c r="F11" s="13" t="n">
        <v>6690.6</v>
      </c>
      <c r="G11" s="13">
        <f>2*E11+F11</f>
        <v/>
      </c>
      <c r="H11" s="14">
        <f>D11/G11</f>
        <v/>
      </c>
      <c r="I11" s="15">
        <f>IF(ABS(H11-1)&lt;=0.02,"OK","RE-RUN")</f>
        <v/>
      </c>
      <c r="J11" s="13">
        <f>(D11-F11)/2</f>
        <v/>
      </c>
    </row>
    <row r="12">
      <c r="A12" s="7" t="inlineStr">
        <is>
          <t>WPA</t>
        </is>
      </c>
      <c r="B12" s="7" t="inlineStr">
        <is>
          <t>M1</t>
        </is>
      </c>
      <c r="C12" s="12" t="inlineStr">
        <is>
          <t>LRFD2(min)</t>
        </is>
      </c>
      <c r="D12" s="13" t="n">
        <v>10728.7</v>
      </c>
      <c r="E12" s="13" t="n">
        <v>640.4</v>
      </c>
      <c r="F12" s="13" t="n">
        <v>6690.6</v>
      </c>
      <c r="G12" s="13">
        <f>2*E12+F12</f>
        <v/>
      </c>
      <c r="H12" s="14">
        <f>D12/G12</f>
        <v/>
      </c>
      <c r="I12" s="15">
        <f>IF(ABS(H12-1)&lt;=0.02,"OK","RE-RUN")</f>
        <v/>
      </c>
      <c r="J12" s="13">
        <f>(D12-F12)/2</f>
        <v/>
      </c>
    </row>
    <row r="13">
      <c r="A13" s="7" t="inlineStr">
        <is>
          <t>WPA</t>
        </is>
      </c>
      <c r="B13" s="7" t="inlineStr">
        <is>
          <t>M1</t>
        </is>
      </c>
      <c r="C13" s="12" t="inlineStr">
        <is>
          <t>LRFD3</t>
        </is>
      </c>
      <c r="D13" s="13" t="n">
        <v>12243.6</v>
      </c>
      <c r="E13" s="13" t="n">
        <v>2217.1</v>
      </c>
      <c r="F13" s="13" t="n">
        <v>7633.5</v>
      </c>
      <c r="G13" s="13">
        <f>2*E13+F13</f>
        <v/>
      </c>
      <c r="H13" s="14">
        <f>D13/G13</f>
        <v/>
      </c>
      <c r="I13" s="15">
        <f>IF(ABS(H13-1)&lt;=0.02,"OK","RE-RUN")</f>
        <v/>
      </c>
      <c r="J13" s="13">
        <f>(D13-F13)/2</f>
        <v/>
      </c>
    </row>
    <row r="14">
      <c r="A14" s="7" t="inlineStr">
        <is>
          <t>WPA</t>
        </is>
      </c>
      <c r="B14" s="7" t="inlineStr">
        <is>
          <t>M1</t>
        </is>
      </c>
      <c r="C14" s="12" t="inlineStr">
        <is>
          <t>LRFD4</t>
        </is>
      </c>
      <c r="D14" s="13" t="n">
        <v>12243.7</v>
      </c>
      <c r="E14" s="13" t="n">
        <v>2217.1</v>
      </c>
      <c r="F14" s="13" t="n">
        <v>7633.5</v>
      </c>
      <c r="G14" s="13">
        <f>2*E14+F14</f>
        <v/>
      </c>
      <c r="H14" s="14">
        <f>D14/G14</f>
        <v/>
      </c>
      <c r="I14" s="15">
        <f>IF(ABS(H14-1)&lt;=0.02,"OK","RE-RUN")</f>
        <v/>
      </c>
      <c r="J14" s="13">
        <f>(D14-F14)/2</f>
        <v/>
      </c>
    </row>
    <row r="15">
      <c r="A15" s="7" t="inlineStr">
        <is>
          <t>WPA</t>
        </is>
      </c>
      <c r="B15" s="7" t="inlineStr">
        <is>
          <t>M3</t>
        </is>
      </c>
      <c r="C15" s="12" t="inlineStr">
        <is>
          <t>ASD1</t>
        </is>
      </c>
      <c r="D15" s="13" t="n">
        <v>8940.799999999999</v>
      </c>
      <c r="E15" s="13" t="n">
        <v>1618.3</v>
      </c>
      <c r="F15" s="13" t="n">
        <v>5575.5</v>
      </c>
      <c r="G15" s="13">
        <f>2*E15+F15</f>
        <v/>
      </c>
      <c r="H15" s="14">
        <f>D15/G15</f>
        <v/>
      </c>
      <c r="I15" s="15">
        <f>IF(ABS(H15-1)&lt;=0.02,"OK","RE-RUN")</f>
        <v/>
      </c>
      <c r="J15" s="13">
        <f>(D15-F15)/2</f>
        <v/>
      </c>
    </row>
    <row r="16">
      <c r="A16" s="7" t="inlineStr">
        <is>
          <t>WPA</t>
        </is>
      </c>
      <c r="B16" s="7" t="inlineStr">
        <is>
          <t>M3</t>
        </is>
      </c>
      <c r="C16" s="12" t="inlineStr">
        <is>
          <t>ASD2(max)</t>
        </is>
      </c>
      <c r="D16" s="13" t="n">
        <v>38332</v>
      </c>
      <c r="E16" s="13" t="n">
        <v>7679.6</v>
      </c>
      <c r="F16" s="13" t="n">
        <v>5575.5</v>
      </c>
      <c r="G16" s="13">
        <f>2*E16+F16</f>
        <v/>
      </c>
      <c r="H16" s="14">
        <f>D16/G16</f>
        <v/>
      </c>
      <c r="I16" s="15">
        <f>IF(ABS(H16-1)&lt;=0.02,"OK","RE-RUN")</f>
        <v/>
      </c>
      <c r="J16" s="13">
        <f>(D16-F16)/2</f>
        <v/>
      </c>
    </row>
    <row r="17">
      <c r="A17" s="7" t="inlineStr">
        <is>
          <t>WPA</t>
        </is>
      </c>
      <c r="B17" s="7" t="inlineStr">
        <is>
          <t>M3</t>
        </is>
      </c>
      <c r="C17" s="12" t="inlineStr">
        <is>
          <t>ASD2(min)</t>
        </is>
      </c>
      <c r="D17" s="13" t="n">
        <v>25572.1</v>
      </c>
      <c r="E17" s="13" t="n">
        <v>804.9</v>
      </c>
      <c r="F17" s="13" t="n">
        <v>5575.5</v>
      </c>
      <c r="G17" s="13">
        <f>2*E17+F17</f>
        <v/>
      </c>
      <c r="H17" s="14">
        <f>D17/G17</f>
        <v/>
      </c>
      <c r="I17" s="15">
        <f>IF(ABS(H17-1)&lt;=0.02,"OK","RE-RUN")</f>
        <v/>
      </c>
      <c r="J17" s="13">
        <f>(D17-F17)/2</f>
        <v/>
      </c>
    </row>
    <row r="18">
      <c r="A18" s="7" t="inlineStr">
        <is>
          <t>WPA</t>
        </is>
      </c>
      <c r="B18" s="7" t="inlineStr">
        <is>
          <t>M3</t>
        </is>
      </c>
      <c r="C18" s="12" t="inlineStr">
        <is>
          <t>ASD3</t>
        </is>
      </c>
      <c r="D18" s="13" t="n">
        <v>10004.4</v>
      </c>
      <c r="E18" s="13" t="n">
        <v>1812.5</v>
      </c>
      <c r="F18" s="13" t="n">
        <v>6235.6</v>
      </c>
      <c r="G18" s="13">
        <f>2*E18+F18</f>
        <v/>
      </c>
      <c r="H18" s="14">
        <f>D18/G18</f>
        <v/>
      </c>
      <c r="I18" s="15">
        <f>IF(ABS(H18-1)&lt;=0.02,"OK","RE-RUN")</f>
        <v/>
      </c>
      <c r="J18" s="13">
        <f>(D18-F18)/2</f>
        <v/>
      </c>
    </row>
    <row r="19">
      <c r="A19" s="7" t="inlineStr">
        <is>
          <t>WPA</t>
        </is>
      </c>
      <c r="B19" s="7" t="inlineStr">
        <is>
          <t>M3</t>
        </is>
      </c>
      <c r="C19" s="12" t="inlineStr">
        <is>
          <t>ASD4</t>
        </is>
      </c>
      <c r="D19" s="13" t="n">
        <v>10004.4</v>
      </c>
      <c r="E19" s="13" t="n">
        <v>1812.5</v>
      </c>
      <c r="F19" s="13" t="n">
        <v>6235.6</v>
      </c>
      <c r="G19" s="13">
        <f>2*E19+F19</f>
        <v/>
      </c>
      <c r="H19" s="14">
        <f>D19/G19</f>
        <v/>
      </c>
      <c r="I19" s="15">
        <f>IF(ABS(H19-1)&lt;=0.02,"OK","RE-RUN")</f>
        <v/>
      </c>
      <c r="J19" s="13">
        <f>(D19-F19)/2</f>
        <v/>
      </c>
    </row>
    <row r="20">
      <c r="A20" s="7" t="inlineStr">
        <is>
          <t>WPA</t>
        </is>
      </c>
      <c r="B20" s="7" t="inlineStr">
        <is>
          <t>M3</t>
        </is>
      </c>
      <c r="C20" s="12" t="inlineStr">
        <is>
          <t>LRFD1</t>
        </is>
      </c>
      <c r="D20" s="13" t="n">
        <v>12516.8</v>
      </c>
      <c r="E20" s="13" t="n">
        <v>2265.6</v>
      </c>
      <c r="F20" s="13" t="n">
        <v>7805.7</v>
      </c>
      <c r="G20" s="13">
        <f>2*E20+F20</f>
        <v/>
      </c>
      <c r="H20" s="14">
        <f>D20/G20</f>
        <v/>
      </c>
      <c r="I20" s="15">
        <f>IF(ABS(H20-1)&lt;=0.02,"OK","RE-RUN")</f>
        <v/>
      </c>
      <c r="J20" s="13">
        <f>(D20-F20)/2</f>
        <v/>
      </c>
    </row>
    <row r="21">
      <c r="A21" s="7" t="inlineStr">
        <is>
          <t>WPA</t>
        </is>
      </c>
      <c r="B21" s="7" t="inlineStr">
        <is>
          <t>M3</t>
        </is>
      </c>
      <c r="C21" s="12" t="inlineStr">
        <is>
          <t>LRFD2(max)</t>
        </is>
      </c>
      <c r="D21" s="13" t="n">
        <v>31144.7</v>
      </c>
      <c r="E21" s="13" t="n">
        <v>11640</v>
      </c>
      <c r="F21" s="13" t="n">
        <v>6690.6</v>
      </c>
      <c r="G21" s="13">
        <f>2*E21+F21</f>
        <v/>
      </c>
      <c r="H21" s="14">
        <f>D21/G21</f>
        <v/>
      </c>
      <c r="I21" s="15">
        <f>IF(ABS(H21-1)&lt;=0.02,"OK","RE-RUN")</f>
        <v/>
      </c>
      <c r="J21" s="13">
        <f>(D21-F21)/2</f>
        <v/>
      </c>
    </row>
    <row r="22">
      <c r="A22" s="7" t="inlineStr">
        <is>
          <t>WPA</t>
        </is>
      </c>
      <c r="B22" s="7" t="inlineStr">
        <is>
          <t>M3</t>
        </is>
      </c>
      <c r="C22" s="12" t="inlineStr">
        <is>
          <t>LRFD2(min)</t>
        </is>
      </c>
      <c r="D22" s="13" t="n">
        <v>10728.7</v>
      </c>
      <c r="E22" s="13" t="n">
        <v>640.4</v>
      </c>
      <c r="F22" s="13" t="n">
        <v>6690.6</v>
      </c>
      <c r="G22" s="13">
        <f>2*E22+F22</f>
        <v/>
      </c>
      <c r="H22" s="14">
        <f>D22/G22</f>
        <v/>
      </c>
      <c r="I22" s="15">
        <f>IF(ABS(H22-1)&lt;=0.02,"OK","RE-RUN")</f>
        <v/>
      </c>
      <c r="J22" s="13">
        <f>(D22-F22)/2</f>
        <v/>
      </c>
    </row>
    <row r="23">
      <c r="A23" s="7" t="inlineStr">
        <is>
          <t>WPA</t>
        </is>
      </c>
      <c r="B23" s="7" t="inlineStr">
        <is>
          <t>M3</t>
        </is>
      </c>
      <c r="C23" s="12" t="inlineStr">
        <is>
          <t>LRFD3</t>
        </is>
      </c>
      <c r="D23" s="13" t="n">
        <v>12243.7</v>
      </c>
      <c r="E23" s="13" t="n">
        <v>2217.1</v>
      </c>
      <c r="F23" s="13" t="n">
        <v>7633.5</v>
      </c>
      <c r="G23" s="13">
        <f>2*E23+F23</f>
        <v/>
      </c>
      <c r="H23" s="14">
        <f>D23/G23</f>
        <v/>
      </c>
      <c r="I23" s="15">
        <f>IF(ABS(H23-1)&lt;=0.02,"OK","RE-RUN")</f>
        <v/>
      </c>
      <c r="J23" s="13">
        <f>(D23-F23)/2</f>
        <v/>
      </c>
    </row>
    <row r="24">
      <c r="A24" s="7" t="inlineStr">
        <is>
          <t>WPA</t>
        </is>
      </c>
      <c r="B24" s="7" t="inlineStr">
        <is>
          <t>M3</t>
        </is>
      </c>
      <c r="C24" s="12" t="inlineStr">
        <is>
          <t>LRFD4</t>
        </is>
      </c>
      <c r="D24" s="13" t="n">
        <v>12243.7</v>
      </c>
      <c r="E24" s="13" t="n">
        <v>2217.1</v>
      </c>
      <c r="F24" s="13" t="n">
        <v>7633.5</v>
      </c>
      <c r="G24" s="13">
        <f>2*E24+F24</f>
        <v/>
      </c>
      <c r="H24" s="14">
        <f>D24/G24</f>
        <v/>
      </c>
      <c r="I24" s="15">
        <f>IF(ABS(H24-1)&lt;=0.02,"OK","RE-RUN")</f>
        <v/>
      </c>
      <c r="J24" s="13">
        <f>(D24-F24)/2</f>
        <v/>
      </c>
    </row>
    <row r="25">
      <c r="A25" s="7" t="inlineStr">
        <is>
          <t>WPD</t>
        </is>
      </c>
      <c r="B25" s="7" t="inlineStr">
        <is>
          <t>M1</t>
        </is>
      </c>
      <c r="C25" s="12" t="inlineStr">
        <is>
          <t>ASD1 1C-A</t>
        </is>
      </c>
      <c r="D25" s="13" t="n">
        <v>8812</v>
      </c>
      <c r="E25" s="13" t="n">
        <v>1618.3</v>
      </c>
      <c r="F25" s="13" t="n">
        <v>5575.5</v>
      </c>
      <c r="G25" s="13">
        <f>2*E25+F25</f>
        <v/>
      </c>
      <c r="H25" s="14">
        <f>D25/G25</f>
        <v/>
      </c>
      <c r="I25" s="15">
        <f>IF(ABS(H25-1)&lt;=0.02,"OK","RE-RUN")</f>
        <v/>
      </c>
      <c r="J25" s="13">
        <f>(D25-F25)/2</f>
        <v/>
      </c>
    </row>
    <row r="26">
      <c r="A26" s="7" t="inlineStr">
        <is>
          <t>WPD</t>
        </is>
      </c>
      <c r="B26" s="7" t="inlineStr">
        <is>
          <t>M1</t>
        </is>
      </c>
      <c r="C26" s="12" t="inlineStr">
        <is>
          <t>ASD2(max) 1C-A</t>
        </is>
      </c>
      <c r="D26" s="13" t="n">
        <v>36928.5</v>
      </c>
      <c r="E26" s="13" t="n">
        <v>7679.6</v>
      </c>
      <c r="F26" s="13" t="n">
        <v>5575.5</v>
      </c>
      <c r="G26" s="13">
        <f>2*E26+F26</f>
        <v/>
      </c>
      <c r="H26" s="14">
        <f>D26/G26</f>
        <v/>
      </c>
      <c r="I26" s="15">
        <f>IF(ABS(H26-1)&lt;=0.02,"OK","RE-RUN")</f>
        <v/>
      </c>
      <c r="J26" s="13">
        <f>(D26-F26)/2</f>
        <v/>
      </c>
    </row>
    <row r="27">
      <c r="A27" s="7" t="inlineStr">
        <is>
          <t>WPD</t>
        </is>
      </c>
      <c r="B27" s="7" t="inlineStr">
        <is>
          <t>M1</t>
        </is>
      </c>
      <c r="C27" s="12" t="inlineStr">
        <is>
          <t>ASD2(min) 1C-A</t>
        </is>
      </c>
      <c r="D27" s="13" t="n">
        <v>23179.1</v>
      </c>
      <c r="E27" s="13" t="n">
        <v>804.9</v>
      </c>
      <c r="F27" s="13" t="n">
        <v>5575.5</v>
      </c>
      <c r="G27" s="13">
        <f>2*E27+F27</f>
        <v/>
      </c>
      <c r="H27" s="14">
        <f>D27/G27</f>
        <v/>
      </c>
      <c r="I27" s="15">
        <f>IF(ABS(H27-1)&lt;=0.02,"OK","RE-RUN")</f>
        <v/>
      </c>
      <c r="J27" s="13">
        <f>(D27-F27)/2</f>
        <v/>
      </c>
    </row>
    <row r="28">
      <c r="A28" s="7" t="inlineStr">
        <is>
          <t>WPD</t>
        </is>
      </c>
      <c r="B28" s="7" t="inlineStr">
        <is>
          <t>M1</t>
        </is>
      </c>
      <c r="C28" s="12" t="inlineStr">
        <is>
          <t>ASD3 1C-A</t>
        </is>
      </c>
      <c r="D28" s="13" t="n">
        <v>9860.6</v>
      </c>
      <c r="E28" s="13" t="n">
        <v>1812.5</v>
      </c>
      <c r="F28" s="13" t="n">
        <v>6235.6</v>
      </c>
      <c r="G28" s="13">
        <f>2*E28+F28</f>
        <v/>
      </c>
      <c r="H28" s="14">
        <f>D28/G28</f>
        <v/>
      </c>
      <c r="I28" s="15">
        <f>IF(ABS(H28-1)&lt;=0.02,"OK","RE-RUN")</f>
        <v/>
      </c>
      <c r="J28" s="13">
        <f>(D28-F28)/2</f>
        <v/>
      </c>
    </row>
    <row r="29">
      <c r="A29" s="7" t="inlineStr">
        <is>
          <t>WPD</t>
        </is>
      </c>
      <c r="B29" s="7" t="inlineStr">
        <is>
          <t>M1</t>
        </is>
      </c>
      <c r="C29" s="12" t="inlineStr">
        <is>
          <t>ASD4 1C-A</t>
        </is>
      </c>
      <c r="D29" s="13" t="n">
        <v>9860.6</v>
      </c>
      <c r="E29" s="13" t="n">
        <v>1812.5</v>
      </c>
      <c r="F29" s="13" t="n">
        <v>6235.6</v>
      </c>
      <c r="G29" s="13">
        <f>2*E29+F29</f>
        <v/>
      </c>
      <c r="H29" s="14">
        <f>D29/G29</f>
        <v/>
      </c>
      <c r="I29" s="15">
        <f>IF(ABS(H29-1)&lt;=0.02,"OK","RE-RUN")</f>
        <v/>
      </c>
      <c r="J29" s="13">
        <f>(D29-F29)/2</f>
        <v/>
      </c>
    </row>
    <row r="30">
      <c r="A30" s="7" t="inlineStr">
        <is>
          <t>WPD</t>
        </is>
      </c>
      <c r="B30" s="7" t="inlineStr">
        <is>
          <t>M1</t>
        </is>
      </c>
      <c r="C30" s="12" t="inlineStr">
        <is>
          <t>LRFD1 1C-A</t>
        </is>
      </c>
      <c r="D30" s="13" t="n">
        <v>12337</v>
      </c>
      <c r="E30" s="13" t="n">
        <v>2265.6</v>
      </c>
      <c r="F30" s="13" t="n">
        <v>7805.7</v>
      </c>
      <c r="G30" s="13">
        <f>2*E30+F30</f>
        <v/>
      </c>
      <c r="H30" s="14">
        <f>D30/G30</f>
        <v/>
      </c>
      <c r="I30" s="15">
        <f>IF(ABS(H30-1)&lt;=0.02,"OK","RE-RUN")</f>
        <v/>
      </c>
      <c r="J30" s="13">
        <f>(D30-F30)/2</f>
        <v/>
      </c>
    </row>
    <row r="31">
      <c r="A31" s="7" t="inlineStr">
        <is>
          <t>WPD</t>
        </is>
      </c>
      <c r="B31" s="7" t="inlineStr">
        <is>
          <t>M1</t>
        </is>
      </c>
      <c r="C31" s="12" t="inlineStr">
        <is>
          <t>LRFD2(max) 1C-A</t>
        </is>
      </c>
      <c r="D31" s="13" t="n">
        <v>29970.5</v>
      </c>
      <c r="E31" s="13" t="n">
        <v>11640</v>
      </c>
      <c r="F31" s="13" t="n">
        <v>6690.6</v>
      </c>
      <c r="G31" s="13">
        <f>2*E31+F31</f>
        <v/>
      </c>
      <c r="H31" s="14">
        <f>D31/G31</f>
        <v/>
      </c>
      <c r="I31" s="15">
        <f>IF(ABS(H31-1)&lt;=0.02,"OK","RE-RUN")</f>
        <v/>
      </c>
      <c r="J31" s="13">
        <f>(D31-F31)/2</f>
        <v/>
      </c>
    </row>
    <row r="32">
      <c r="A32" s="7" t="inlineStr">
        <is>
          <t>WPD</t>
        </is>
      </c>
      <c r="B32" s="7" t="inlineStr">
        <is>
          <t>M1</t>
        </is>
      </c>
      <c r="C32" s="12" t="inlineStr">
        <is>
          <t>LRFD2(min) 1C-A</t>
        </is>
      </c>
      <c r="D32" s="13" t="n">
        <v>7971.4</v>
      </c>
      <c r="E32" s="13" t="n">
        <v>640.4</v>
      </c>
      <c r="F32" s="13" t="n">
        <v>6690.6</v>
      </c>
      <c r="G32" s="13">
        <f>2*E32+F32</f>
        <v/>
      </c>
      <c r="H32" s="14">
        <f>D32/G32</f>
        <v/>
      </c>
      <c r="I32" s="15">
        <f>IF(ABS(H32-1)&lt;=0.02,"OK","RE-RUN")</f>
        <v/>
      </c>
      <c r="J32" s="13">
        <f>(D32-F32)/2</f>
        <v/>
      </c>
    </row>
    <row r="33">
      <c r="A33" s="7" t="inlineStr">
        <is>
          <t>WPD</t>
        </is>
      </c>
      <c r="B33" s="7" t="inlineStr">
        <is>
          <t>M1</t>
        </is>
      </c>
      <c r="C33" s="12" t="inlineStr">
        <is>
          <t>LRFD3 1C-A</t>
        </is>
      </c>
      <c r="D33" s="13" t="n">
        <v>12067.5</v>
      </c>
      <c r="E33" s="13" t="n">
        <v>2217.1</v>
      </c>
      <c r="F33" s="13" t="n">
        <v>7633.5</v>
      </c>
      <c r="G33" s="13">
        <f>2*E33+F33</f>
        <v/>
      </c>
      <c r="H33" s="14">
        <f>D33/G33</f>
        <v/>
      </c>
      <c r="I33" s="15">
        <f>IF(ABS(H33-1)&lt;=0.02,"OK","RE-RUN")</f>
        <v/>
      </c>
      <c r="J33" s="13">
        <f>(D33-F33)/2</f>
        <v/>
      </c>
    </row>
    <row r="34">
      <c r="A34" s="7" t="inlineStr">
        <is>
          <t>WPD</t>
        </is>
      </c>
      <c r="B34" s="7" t="inlineStr">
        <is>
          <t>M1</t>
        </is>
      </c>
      <c r="C34" s="12" t="inlineStr">
        <is>
          <t>LRFD4 1C-A</t>
        </is>
      </c>
      <c r="D34" s="13" t="n">
        <v>12067.5</v>
      </c>
      <c r="E34" s="13" t="n">
        <v>2217.1</v>
      </c>
      <c r="F34" s="13" t="n">
        <v>7633.5</v>
      </c>
      <c r="G34" s="13">
        <f>2*E34+F34</f>
        <v/>
      </c>
      <c r="H34" s="14">
        <f>D34/G34</f>
        <v/>
      </c>
      <c r="I34" s="15">
        <f>IF(ABS(H34-1)&lt;=0.02,"OK","RE-RUN")</f>
        <v/>
      </c>
      <c r="J34" s="13">
        <f>(D34-F34)/2</f>
        <v/>
      </c>
    </row>
    <row r="35">
      <c r="A35" s="7" t="inlineStr">
        <is>
          <t>WPD</t>
        </is>
      </c>
      <c r="B35" s="7" t="inlineStr">
        <is>
          <t>M1</t>
        </is>
      </c>
      <c r="C35" s="12" t="inlineStr">
        <is>
          <t>ASD1 1C-B</t>
        </is>
      </c>
      <c r="D35" s="13" t="n">
        <v>8812</v>
      </c>
      <c r="E35" s="13" t="n">
        <v>1618.3</v>
      </c>
      <c r="F35" s="13" t="n">
        <v>5575.5</v>
      </c>
      <c r="G35" s="13">
        <f>2*E35+F35</f>
        <v/>
      </c>
      <c r="H35" s="14">
        <f>D35/G35</f>
        <v/>
      </c>
      <c r="I35" s="15">
        <f>IF(ABS(H35-1)&lt;=0.02,"OK","RE-RUN")</f>
        <v/>
      </c>
      <c r="J35" s="13">
        <f>(D35-F35)/2</f>
        <v/>
      </c>
    </row>
    <row r="36">
      <c r="A36" s="7" t="inlineStr">
        <is>
          <t>WPD</t>
        </is>
      </c>
      <c r="B36" s="7" t="inlineStr">
        <is>
          <t>M1</t>
        </is>
      </c>
      <c r="C36" s="12" t="inlineStr">
        <is>
          <t>ASD2(max) 1C-B</t>
        </is>
      </c>
      <c r="D36" s="13" t="n">
        <v>36928.4</v>
      </c>
      <c r="E36" s="13" t="n">
        <v>7679.6</v>
      </c>
      <c r="F36" s="13" t="n">
        <v>5575.5</v>
      </c>
      <c r="G36" s="13">
        <f>2*E36+F36</f>
        <v/>
      </c>
      <c r="H36" s="14">
        <f>D36/G36</f>
        <v/>
      </c>
      <c r="I36" s="15">
        <f>IF(ABS(H36-1)&lt;=0.02,"OK","RE-RUN")</f>
        <v/>
      </c>
      <c r="J36" s="13">
        <f>(D36-F36)/2</f>
        <v/>
      </c>
    </row>
    <row r="37">
      <c r="A37" s="7" t="inlineStr">
        <is>
          <t>WPD</t>
        </is>
      </c>
      <c r="B37" s="7" t="inlineStr">
        <is>
          <t>M1</t>
        </is>
      </c>
      <c r="C37" s="12" t="inlineStr">
        <is>
          <t>ASD2(min) 1C-B</t>
        </is>
      </c>
      <c r="D37" s="13" t="n">
        <v>23179.1</v>
      </c>
      <c r="E37" s="13" t="n">
        <v>804.9</v>
      </c>
      <c r="F37" s="13" t="n">
        <v>5575.5</v>
      </c>
      <c r="G37" s="13">
        <f>2*E37+F37</f>
        <v/>
      </c>
      <c r="H37" s="14">
        <f>D37/G37</f>
        <v/>
      </c>
      <c r="I37" s="15">
        <f>IF(ABS(H37-1)&lt;=0.02,"OK","RE-RUN")</f>
        <v/>
      </c>
      <c r="J37" s="13">
        <f>(D37-F37)/2</f>
        <v/>
      </c>
    </row>
    <row r="38">
      <c r="A38" s="7" t="inlineStr">
        <is>
          <t>WPD</t>
        </is>
      </c>
      <c r="B38" s="7" t="inlineStr">
        <is>
          <t>M1</t>
        </is>
      </c>
      <c r="C38" s="12" t="inlineStr">
        <is>
          <t>ASD3 1C-B</t>
        </is>
      </c>
      <c r="D38" s="13" t="n">
        <v>9860.6</v>
      </c>
      <c r="E38" s="13" t="n">
        <v>1812.5</v>
      </c>
      <c r="F38" s="13" t="n">
        <v>6235.6</v>
      </c>
      <c r="G38" s="13">
        <f>2*E38+F38</f>
        <v/>
      </c>
      <c r="H38" s="14">
        <f>D38/G38</f>
        <v/>
      </c>
      <c r="I38" s="15">
        <f>IF(ABS(H38-1)&lt;=0.02,"OK","RE-RUN")</f>
        <v/>
      </c>
      <c r="J38" s="13">
        <f>(D38-F38)/2</f>
        <v/>
      </c>
    </row>
    <row r="39">
      <c r="A39" s="7" t="inlineStr">
        <is>
          <t>WPD</t>
        </is>
      </c>
      <c r="B39" s="7" t="inlineStr">
        <is>
          <t>M1</t>
        </is>
      </c>
      <c r="C39" s="12" t="inlineStr">
        <is>
          <t>ASD4 1C-B</t>
        </is>
      </c>
      <c r="D39" s="13" t="n">
        <v>9860.700000000001</v>
      </c>
      <c r="E39" s="13" t="n">
        <v>1812.5</v>
      </c>
      <c r="F39" s="13" t="n">
        <v>6235.6</v>
      </c>
      <c r="G39" s="13">
        <f>2*E39+F39</f>
        <v/>
      </c>
      <c r="H39" s="14">
        <f>D39/G39</f>
        <v/>
      </c>
      <c r="I39" s="15">
        <f>IF(ABS(H39-1)&lt;=0.02,"OK","RE-RUN")</f>
        <v/>
      </c>
      <c r="J39" s="13">
        <f>(D39-F39)/2</f>
        <v/>
      </c>
    </row>
    <row r="40">
      <c r="A40" s="7" t="inlineStr">
        <is>
          <t>WPD</t>
        </is>
      </c>
      <c r="B40" s="7" t="inlineStr">
        <is>
          <t>M1</t>
        </is>
      </c>
      <c r="C40" s="12" t="inlineStr">
        <is>
          <t>LRFD1 1C-B</t>
        </is>
      </c>
      <c r="D40" s="13" t="n">
        <v>12337</v>
      </c>
      <c r="E40" s="13" t="n">
        <v>2265.6</v>
      </c>
      <c r="F40" s="13" t="n">
        <v>7805.7</v>
      </c>
      <c r="G40" s="13">
        <f>2*E40+F40</f>
        <v/>
      </c>
      <c r="H40" s="14">
        <f>D40/G40</f>
        <v/>
      </c>
      <c r="I40" s="15">
        <f>IF(ABS(H40-1)&lt;=0.02,"OK","RE-RUN")</f>
        <v/>
      </c>
      <c r="J40" s="13">
        <f>(D40-F40)/2</f>
        <v/>
      </c>
    </row>
    <row r="41">
      <c r="A41" s="7" t="inlineStr">
        <is>
          <t>WPD</t>
        </is>
      </c>
      <c r="B41" s="7" t="inlineStr">
        <is>
          <t>M1</t>
        </is>
      </c>
      <c r="C41" s="12" t="inlineStr">
        <is>
          <t>LRFD2(max) 1C-B</t>
        </is>
      </c>
      <c r="D41" s="13" t="n">
        <v>29970.6</v>
      </c>
      <c r="E41" s="13" t="n">
        <v>11640</v>
      </c>
      <c r="F41" s="13" t="n">
        <v>6690.6</v>
      </c>
      <c r="G41" s="13">
        <f>2*E41+F41</f>
        <v/>
      </c>
      <c r="H41" s="14">
        <f>D41/G41</f>
        <v/>
      </c>
      <c r="I41" s="15">
        <f>IF(ABS(H41-1)&lt;=0.02,"OK","RE-RUN")</f>
        <v/>
      </c>
      <c r="J41" s="13">
        <f>(D41-F41)/2</f>
        <v/>
      </c>
    </row>
    <row r="42">
      <c r="A42" s="7" t="inlineStr">
        <is>
          <t>WPD</t>
        </is>
      </c>
      <c r="B42" s="7" t="inlineStr">
        <is>
          <t>M1</t>
        </is>
      </c>
      <c r="C42" s="12" t="inlineStr">
        <is>
          <t>LRFD2(min) 1C-B</t>
        </is>
      </c>
      <c r="D42" s="13" t="n">
        <v>7971.4</v>
      </c>
      <c r="E42" s="13" t="n">
        <v>640.4</v>
      </c>
      <c r="F42" s="13" t="n">
        <v>6690.6</v>
      </c>
      <c r="G42" s="13">
        <f>2*E42+F42</f>
        <v/>
      </c>
      <c r="H42" s="14">
        <f>D42/G42</f>
        <v/>
      </c>
      <c r="I42" s="15">
        <f>IF(ABS(H42-1)&lt;=0.02,"OK","RE-RUN")</f>
        <v/>
      </c>
      <c r="J42" s="13">
        <f>(D42-F42)/2</f>
        <v/>
      </c>
    </row>
    <row r="43">
      <c r="A43" s="7" t="inlineStr">
        <is>
          <t>WPD</t>
        </is>
      </c>
      <c r="B43" s="7" t="inlineStr">
        <is>
          <t>M1</t>
        </is>
      </c>
      <c r="C43" s="12" t="inlineStr">
        <is>
          <t>LRFD3 1C-B</t>
        </is>
      </c>
      <c r="D43" s="13" t="n">
        <v>12067.6</v>
      </c>
      <c r="E43" s="13" t="n">
        <v>2217.1</v>
      </c>
      <c r="F43" s="13" t="n">
        <v>7633.5</v>
      </c>
      <c r="G43" s="13">
        <f>2*E43+F43</f>
        <v/>
      </c>
      <c r="H43" s="14">
        <f>D43/G43</f>
        <v/>
      </c>
      <c r="I43" s="15">
        <f>IF(ABS(H43-1)&lt;=0.02,"OK","RE-RUN")</f>
        <v/>
      </c>
      <c r="J43" s="13">
        <f>(D43-F43)/2</f>
        <v/>
      </c>
    </row>
    <row r="44">
      <c r="A44" s="7" t="inlineStr">
        <is>
          <t>WPD</t>
        </is>
      </c>
      <c r="B44" s="7" t="inlineStr">
        <is>
          <t>M1</t>
        </is>
      </c>
      <c r="C44" s="12" t="inlineStr">
        <is>
          <t>LRFD4 1C-B</t>
        </is>
      </c>
      <c r="D44" s="13" t="n">
        <v>12067.6</v>
      </c>
      <c r="E44" s="13" t="n">
        <v>2217.1</v>
      </c>
      <c r="F44" s="13" t="n">
        <v>7633.5</v>
      </c>
      <c r="G44" s="13">
        <f>2*E44+F44</f>
        <v/>
      </c>
      <c r="H44" s="14">
        <f>D44/G44</f>
        <v/>
      </c>
      <c r="I44" s="15">
        <f>IF(ABS(H44-1)&lt;=0.02,"OK","RE-RUN")</f>
        <v/>
      </c>
      <c r="J44" s="13">
        <f>(D44-F44)/2</f>
        <v/>
      </c>
    </row>
    <row r="45">
      <c r="A45" s="7" t="inlineStr">
        <is>
          <t>WPD</t>
        </is>
      </c>
      <c r="B45" s="7" t="inlineStr">
        <is>
          <t>M3</t>
        </is>
      </c>
      <c r="C45" s="12" t="inlineStr">
        <is>
          <t>ASD1 1C-A</t>
        </is>
      </c>
      <c r="D45" s="13" t="n">
        <v>8812</v>
      </c>
      <c r="E45" s="13" t="n">
        <v>1618.3</v>
      </c>
      <c r="F45" s="13" t="n">
        <v>5575.5</v>
      </c>
      <c r="G45" s="13">
        <f>2*E45+F45</f>
        <v/>
      </c>
      <c r="H45" s="14">
        <f>D45/G45</f>
        <v/>
      </c>
      <c r="I45" s="15">
        <f>IF(ABS(H45-1)&lt;=0.02,"OK","RE-RUN")</f>
        <v/>
      </c>
      <c r="J45" s="13">
        <f>(D45-F45)/2</f>
        <v/>
      </c>
    </row>
    <row r="46">
      <c r="A46" s="7" t="inlineStr">
        <is>
          <t>WPD</t>
        </is>
      </c>
      <c r="B46" s="7" t="inlineStr">
        <is>
          <t>M3</t>
        </is>
      </c>
      <c r="C46" s="12" t="inlineStr">
        <is>
          <t>ASD2(max) 1C-A</t>
        </is>
      </c>
      <c r="D46" s="13" t="n">
        <v>36928.4</v>
      </c>
      <c r="E46" s="13" t="n">
        <v>7679.6</v>
      </c>
      <c r="F46" s="13" t="n">
        <v>5575.5</v>
      </c>
      <c r="G46" s="13">
        <f>2*E46+F46</f>
        <v/>
      </c>
      <c r="H46" s="14">
        <f>D46/G46</f>
        <v/>
      </c>
      <c r="I46" s="15">
        <f>IF(ABS(H46-1)&lt;=0.02,"OK","RE-RUN")</f>
        <v/>
      </c>
      <c r="J46" s="13">
        <f>(D46-F46)/2</f>
        <v/>
      </c>
    </row>
    <row r="47">
      <c r="A47" s="7" t="inlineStr">
        <is>
          <t>WPD</t>
        </is>
      </c>
      <c r="B47" s="7" t="inlineStr">
        <is>
          <t>M3</t>
        </is>
      </c>
      <c r="C47" s="12" t="inlineStr">
        <is>
          <t>ASD2(min) 1C-A</t>
        </is>
      </c>
      <c r="D47" s="13" t="n">
        <v>23178.9</v>
      </c>
      <c r="E47" s="13" t="n">
        <v>804.9</v>
      </c>
      <c r="F47" s="13" t="n">
        <v>5575.5</v>
      </c>
      <c r="G47" s="13">
        <f>2*E47+F47</f>
        <v/>
      </c>
      <c r="H47" s="14">
        <f>D47/G47</f>
        <v/>
      </c>
      <c r="I47" s="15">
        <f>IF(ABS(H47-1)&lt;=0.02,"OK","RE-RUN")</f>
        <v/>
      </c>
      <c r="J47" s="13">
        <f>(D47-F47)/2</f>
        <v/>
      </c>
    </row>
    <row r="48">
      <c r="A48" s="7" t="inlineStr">
        <is>
          <t>WPD</t>
        </is>
      </c>
      <c r="B48" s="7" t="inlineStr">
        <is>
          <t>M3</t>
        </is>
      </c>
      <c r="C48" s="12" t="inlineStr">
        <is>
          <t>ASD3 1C-A</t>
        </is>
      </c>
      <c r="D48" s="13" t="n">
        <v>9860.799999999999</v>
      </c>
      <c r="E48" s="13" t="n">
        <v>1812.5</v>
      </c>
      <c r="F48" s="13" t="n">
        <v>6235.6</v>
      </c>
      <c r="G48" s="13">
        <f>2*E48+F48</f>
        <v/>
      </c>
      <c r="H48" s="14">
        <f>D48/G48</f>
        <v/>
      </c>
      <c r="I48" s="15">
        <f>IF(ABS(H48-1)&lt;=0.02,"OK","RE-RUN")</f>
        <v/>
      </c>
      <c r="J48" s="13">
        <f>(D48-F48)/2</f>
        <v/>
      </c>
    </row>
    <row r="49">
      <c r="A49" s="7" t="inlineStr">
        <is>
          <t>WPD</t>
        </is>
      </c>
      <c r="B49" s="7" t="inlineStr">
        <is>
          <t>M3</t>
        </is>
      </c>
      <c r="C49" s="12" t="inlineStr">
        <is>
          <t>ASD4 1C-A</t>
        </is>
      </c>
      <c r="D49" s="13" t="n">
        <v>9860.5</v>
      </c>
      <c r="E49" s="13" t="n">
        <v>1812.5</v>
      </c>
      <c r="F49" s="13" t="n">
        <v>6235.6</v>
      </c>
      <c r="G49" s="13">
        <f>2*E49+F49</f>
        <v/>
      </c>
      <c r="H49" s="14">
        <f>D49/G49</f>
        <v/>
      </c>
      <c r="I49" s="15">
        <f>IF(ABS(H49-1)&lt;=0.02,"OK","RE-RUN")</f>
        <v/>
      </c>
      <c r="J49" s="13">
        <f>(D49-F49)/2</f>
        <v/>
      </c>
    </row>
    <row r="50">
      <c r="A50" s="7" t="inlineStr">
        <is>
          <t>WPD</t>
        </is>
      </c>
      <c r="B50" s="7" t="inlineStr">
        <is>
          <t>M3</t>
        </is>
      </c>
      <c r="C50" s="12" t="inlineStr">
        <is>
          <t>LRFD1 1C-A</t>
        </is>
      </c>
      <c r="D50" s="13" t="n">
        <v>12336.8</v>
      </c>
      <c r="E50" s="13" t="n">
        <v>2265.6</v>
      </c>
      <c r="F50" s="13" t="n">
        <v>7805.7</v>
      </c>
      <c r="G50" s="13">
        <f>2*E50+F50</f>
        <v/>
      </c>
      <c r="H50" s="14">
        <f>D50/G50</f>
        <v/>
      </c>
      <c r="I50" s="15">
        <f>IF(ABS(H50-1)&lt;=0.02,"OK","RE-RUN")</f>
        <v/>
      </c>
      <c r="J50" s="13">
        <f>(D50-F50)/2</f>
        <v/>
      </c>
    </row>
    <row r="51">
      <c r="A51" s="7" t="inlineStr">
        <is>
          <t>WPD</t>
        </is>
      </c>
      <c r="B51" s="7" t="inlineStr">
        <is>
          <t>M3</t>
        </is>
      </c>
      <c r="C51" s="12" t="inlineStr">
        <is>
          <t>LRFD2(max) 1C-A</t>
        </is>
      </c>
      <c r="D51" s="13" t="n">
        <v>29970.7</v>
      </c>
      <c r="E51" s="13" t="n">
        <v>11640</v>
      </c>
      <c r="F51" s="13" t="n">
        <v>6690.6</v>
      </c>
      <c r="G51" s="13">
        <f>2*E51+F51</f>
        <v/>
      </c>
      <c r="H51" s="14">
        <f>D51/G51</f>
        <v/>
      </c>
      <c r="I51" s="15">
        <f>IF(ABS(H51-1)&lt;=0.02,"OK","RE-RUN")</f>
        <v/>
      </c>
      <c r="J51" s="13">
        <f>(D51-F51)/2</f>
        <v/>
      </c>
    </row>
    <row r="52">
      <c r="A52" s="7" t="inlineStr">
        <is>
          <t>WPD</t>
        </is>
      </c>
      <c r="B52" s="7" t="inlineStr">
        <is>
          <t>M3</t>
        </is>
      </c>
      <c r="C52" s="12" t="inlineStr">
        <is>
          <t>LRFD2(min) 1C-A</t>
        </is>
      </c>
      <c r="D52" s="13" t="n">
        <v>7971.5</v>
      </c>
      <c r="E52" s="13" t="n">
        <v>640.4</v>
      </c>
      <c r="F52" s="13" t="n">
        <v>6690.6</v>
      </c>
      <c r="G52" s="13">
        <f>2*E52+F52</f>
        <v/>
      </c>
      <c r="H52" s="14">
        <f>D52/G52</f>
        <v/>
      </c>
      <c r="I52" s="15">
        <f>IF(ABS(H52-1)&lt;=0.02,"OK","RE-RUN")</f>
        <v/>
      </c>
      <c r="J52" s="13">
        <f>(D52-F52)/2</f>
        <v/>
      </c>
    </row>
    <row r="53">
      <c r="A53" s="7" t="inlineStr">
        <is>
          <t>WPD</t>
        </is>
      </c>
      <c r="B53" s="7" t="inlineStr">
        <is>
          <t>M3</t>
        </is>
      </c>
      <c r="C53" s="12" t="inlineStr">
        <is>
          <t>LRFD3 1C-A</t>
        </is>
      </c>
      <c r="D53" s="13" t="n">
        <v>12067.6</v>
      </c>
      <c r="E53" s="13" t="n">
        <v>2217.1</v>
      </c>
      <c r="F53" s="13" t="n">
        <v>7633.5</v>
      </c>
      <c r="G53" s="13">
        <f>2*E53+F53</f>
        <v/>
      </c>
      <c r="H53" s="14">
        <f>D53/G53</f>
        <v/>
      </c>
      <c r="I53" s="15">
        <f>IF(ABS(H53-1)&lt;=0.02,"OK","RE-RUN")</f>
        <v/>
      </c>
      <c r="J53" s="13">
        <f>(D53-F53)/2</f>
        <v/>
      </c>
    </row>
    <row r="54">
      <c r="A54" s="7" t="inlineStr">
        <is>
          <t>WPD</t>
        </is>
      </c>
      <c r="B54" s="7" t="inlineStr">
        <is>
          <t>M3</t>
        </is>
      </c>
      <c r="C54" s="12" t="inlineStr">
        <is>
          <t>LRFD4 1C-A</t>
        </is>
      </c>
      <c r="D54" s="13" t="n">
        <v>12067.6</v>
      </c>
      <c r="E54" s="13" t="n">
        <v>2217.1</v>
      </c>
      <c r="F54" s="13" t="n">
        <v>7633.5</v>
      </c>
      <c r="G54" s="13">
        <f>2*E54+F54</f>
        <v/>
      </c>
      <c r="H54" s="14">
        <f>D54/G54</f>
        <v/>
      </c>
      <c r="I54" s="15">
        <f>IF(ABS(H54-1)&lt;=0.02,"OK","RE-RUN")</f>
        <v/>
      </c>
      <c r="J54" s="13">
        <f>(D54-F54)/2</f>
        <v/>
      </c>
    </row>
    <row r="55">
      <c r="A55" s="7" t="inlineStr">
        <is>
          <t>WPD</t>
        </is>
      </c>
      <c r="B55" s="7" t="inlineStr">
        <is>
          <t>M3</t>
        </is>
      </c>
      <c r="C55" s="12" t="inlineStr">
        <is>
          <t>ASD1 1C-B</t>
        </is>
      </c>
      <c r="D55" s="13" t="n">
        <v>8812</v>
      </c>
      <c r="E55" s="13" t="n">
        <v>1618.3</v>
      </c>
      <c r="F55" s="13" t="n">
        <v>5575.5</v>
      </c>
      <c r="G55" s="13">
        <f>2*E55+F55</f>
        <v/>
      </c>
      <c r="H55" s="14">
        <f>D55/G55</f>
        <v/>
      </c>
      <c r="I55" s="15">
        <f>IF(ABS(H55-1)&lt;=0.02,"OK","RE-RUN")</f>
        <v/>
      </c>
      <c r="J55" s="13">
        <f>(D55-F55)/2</f>
        <v/>
      </c>
    </row>
    <row r="56">
      <c r="A56" s="7" t="inlineStr">
        <is>
          <t>WPD</t>
        </is>
      </c>
      <c r="B56" s="7" t="inlineStr">
        <is>
          <t>M3</t>
        </is>
      </c>
      <c r="C56" s="12" t="inlineStr">
        <is>
          <t>ASD2(max) 1C-B</t>
        </is>
      </c>
      <c r="D56" s="13" t="n">
        <v>36928.4</v>
      </c>
      <c r="E56" s="13" t="n">
        <v>7679.6</v>
      </c>
      <c r="F56" s="13" t="n">
        <v>5575.5</v>
      </c>
      <c r="G56" s="13">
        <f>2*E56+F56</f>
        <v/>
      </c>
      <c r="H56" s="14">
        <f>D56/G56</f>
        <v/>
      </c>
      <c r="I56" s="15">
        <f>IF(ABS(H56-1)&lt;=0.02,"OK","RE-RUN")</f>
        <v/>
      </c>
      <c r="J56" s="13">
        <f>(D56-F56)/2</f>
        <v/>
      </c>
    </row>
    <row r="57">
      <c r="A57" s="7" t="inlineStr">
        <is>
          <t>WPD</t>
        </is>
      </c>
      <c r="B57" s="7" t="inlineStr">
        <is>
          <t>M3</t>
        </is>
      </c>
      <c r="C57" s="12" t="inlineStr">
        <is>
          <t>ASD2(min) 1C-B</t>
        </is>
      </c>
      <c r="D57" s="13" t="n">
        <v>23179</v>
      </c>
      <c r="E57" s="13" t="n">
        <v>804.9</v>
      </c>
      <c r="F57" s="13" t="n">
        <v>5575.5</v>
      </c>
      <c r="G57" s="13">
        <f>2*E57+F57</f>
        <v/>
      </c>
      <c r="H57" s="14">
        <f>D57/G57</f>
        <v/>
      </c>
      <c r="I57" s="15">
        <f>IF(ABS(H57-1)&lt;=0.02,"OK","RE-RUN")</f>
        <v/>
      </c>
      <c r="J57" s="13">
        <f>(D57-F57)/2</f>
        <v/>
      </c>
    </row>
    <row r="58">
      <c r="A58" s="7" t="inlineStr">
        <is>
          <t>WPD</t>
        </is>
      </c>
      <c r="B58" s="7" t="inlineStr">
        <is>
          <t>M3</t>
        </is>
      </c>
      <c r="C58" s="12" t="inlineStr">
        <is>
          <t>ASD3 1C-B</t>
        </is>
      </c>
      <c r="D58" s="13" t="n">
        <v>9860.700000000001</v>
      </c>
      <c r="E58" s="13" t="n">
        <v>1812.5</v>
      </c>
      <c r="F58" s="13" t="n">
        <v>6235.6</v>
      </c>
      <c r="G58" s="13">
        <f>2*E58+F58</f>
        <v/>
      </c>
      <c r="H58" s="14">
        <f>D58/G58</f>
        <v/>
      </c>
      <c r="I58" s="15">
        <f>IF(ABS(H58-1)&lt;=0.02,"OK","RE-RUN")</f>
        <v/>
      </c>
      <c r="J58" s="13">
        <f>(D58-F58)/2</f>
        <v/>
      </c>
    </row>
    <row r="59">
      <c r="A59" s="7" t="inlineStr">
        <is>
          <t>WPD</t>
        </is>
      </c>
      <c r="B59" s="7" t="inlineStr">
        <is>
          <t>M3</t>
        </is>
      </c>
      <c r="C59" s="12" t="inlineStr">
        <is>
          <t>ASD4 1C-B</t>
        </is>
      </c>
      <c r="D59" s="13" t="n">
        <v>9860.700000000001</v>
      </c>
      <c r="E59" s="13" t="n">
        <v>1812.5</v>
      </c>
      <c r="F59" s="13" t="n">
        <v>6235.6</v>
      </c>
      <c r="G59" s="13">
        <f>2*E59+F59</f>
        <v/>
      </c>
      <c r="H59" s="14">
        <f>D59/G59</f>
        <v/>
      </c>
      <c r="I59" s="15">
        <f>IF(ABS(H59-1)&lt;=0.02,"OK","RE-RUN")</f>
        <v/>
      </c>
      <c r="J59" s="13">
        <f>(D59-F59)/2</f>
        <v/>
      </c>
    </row>
    <row r="60">
      <c r="A60" s="7" t="inlineStr">
        <is>
          <t>WPD</t>
        </is>
      </c>
      <c r="B60" s="7" t="inlineStr">
        <is>
          <t>M3</t>
        </is>
      </c>
      <c r="C60" s="12" t="inlineStr">
        <is>
          <t>LRFD1 1C-B</t>
        </is>
      </c>
      <c r="D60" s="13" t="n">
        <v>12336.8</v>
      </c>
      <c r="E60" s="13" t="n">
        <v>2265.6</v>
      </c>
      <c r="F60" s="13" t="n">
        <v>7805.7</v>
      </c>
      <c r="G60" s="13">
        <f>2*E60+F60</f>
        <v/>
      </c>
      <c r="H60" s="14">
        <f>D60/G60</f>
        <v/>
      </c>
      <c r="I60" s="15">
        <f>IF(ABS(H60-1)&lt;=0.02,"OK","RE-RUN")</f>
        <v/>
      </c>
      <c r="J60" s="13">
        <f>(D60-F60)/2</f>
        <v/>
      </c>
    </row>
    <row r="61">
      <c r="A61" s="7" t="inlineStr">
        <is>
          <t>WPD</t>
        </is>
      </c>
      <c r="B61" s="7" t="inlineStr">
        <is>
          <t>M3</t>
        </is>
      </c>
      <c r="C61" s="12" t="inlineStr">
        <is>
          <t>LRFD2(max) 1C-B</t>
        </is>
      </c>
      <c r="D61" s="13" t="n">
        <v>29970.6</v>
      </c>
      <c r="E61" s="13" t="n">
        <v>11640</v>
      </c>
      <c r="F61" s="13" t="n">
        <v>6690.6</v>
      </c>
      <c r="G61" s="13">
        <f>2*E61+F61</f>
        <v/>
      </c>
      <c r="H61" s="14">
        <f>D61/G61</f>
        <v/>
      </c>
      <c r="I61" s="15">
        <f>IF(ABS(H61-1)&lt;=0.02,"OK","RE-RUN")</f>
        <v/>
      </c>
      <c r="J61" s="13">
        <f>(D61-F61)/2</f>
        <v/>
      </c>
    </row>
    <row r="62">
      <c r="A62" s="7" t="inlineStr">
        <is>
          <t>WPD</t>
        </is>
      </c>
      <c r="B62" s="7" t="inlineStr">
        <is>
          <t>M3</t>
        </is>
      </c>
      <c r="C62" s="12" t="inlineStr">
        <is>
          <t>LRFD2(min) 1C-B</t>
        </is>
      </c>
      <c r="D62" s="13" t="n">
        <v>7971.5</v>
      </c>
      <c r="E62" s="13" t="n">
        <v>640.4</v>
      </c>
      <c r="F62" s="13" t="n">
        <v>6690.6</v>
      </c>
      <c r="G62" s="13">
        <f>2*E62+F62</f>
        <v/>
      </c>
      <c r="H62" s="14">
        <f>D62/G62</f>
        <v/>
      </c>
      <c r="I62" s="15">
        <f>IF(ABS(H62-1)&lt;=0.02,"OK","RE-RUN")</f>
        <v/>
      </c>
      <c r="J62" s="13">
        <f>(D62-F62)/2</f>
        <v/>
      </c>
    </row>
    <row r="63">
      <c r="A63" s="7" t="inlineStr">
        <is>
          <t>WPD</t>
        </is>
      </c>
      <c r="B63" s="7" t="inlineStr">
        <is>
          <t>M3</t>
        </is>
      </c>
      <c r="C63" s="12" t="inlineStr">
        <is>
          <t>LRFD3 1C-B</t>
        </is>
      </c>
      <c r="D63" s="13" t="n">
        <v>12067.6</v>
      </c>
      <c r="E63" s="13" t="n">
        <v>2217.1</v>
      </c>
      <c r="F63" s="13" t="n">
        <v>7633.5</v>
      </c>
      <c r="G63" s="13">
        <f>2*E63+F63</f>
        <v/>
      </c>
      <c r="H63" s="14">
        <f>D63/G63</f>
        <v/>
      </c>
      <c r="I63" s="15">
        <f>IF(ABS(H63-1)&lt;=0.02,"OK","RE-RUN")</f>
        <v/>
      </c>
      <c r="J63" s="13">
        <f>(D63-F63)/2</f>
        <v/>
      </c>
    </row>
    <row r="64">
      <c r="A64" s="7" t="inlineStr">
        <is>
          <t>WPD</t>
        </is>
      </c>
      <c r="B64" s="7" t="inlineStr">
        <is>
          <t>M3</t>
        </is>
      </c>
      <c r="C64" s="12" t="inlineStr">
        <is>
          <t>LRFD4 1C-B</t>
        </is>
      </c>
      <c r="D64" s="13" t="n">
        <v>12067.8</v>
      </c>
      <c r="E64" s="13" t="n">
        <v>2217.1</v>
      </c>
      <c r="F64" s="13" t="n">
        <v>7633.5</v>
      </c>
      <c r="G64" s="13">
        <f>2*E64+F64</f>
        <v/>
      </c>
      <c r="H64" s="14">
        <f>D64/G64</f>
        <v/>
      </c>
      <c r="I64" s="15">
        <f>IF(ABS(H64-1)&lt;=0.02,"OK","RE-RUN")</f>
        <v/>
      </c>
      <c r="J64" s="13">
        <f>(D64-F64)/2</f>
        <v/>
      </c>
    </row>
  </sheetData>
  <conditionalFormatting sqref="I5:I64">
    <cfRule type="cellIs" priority="1" operator="equal" dxfId="0">
      <formula>"RE-RUN"</formula>
    </cfRule>
  </conditionalFormatting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11" customWidth="1" min="3" max="3"/>
    <col width="20" customWidth="1" min="4" max="4"/>
    <col width="11" customWidth="1" min="5" max="5"/>
    <col width="20" customWidth="1" min="6" max="6"/>
    <col width="11" customWidth="1" min="7" max="7"/>
    <col width="20" customWidth="1" min="8" max="8"/>
    <col width="11" customWidth="1" min="9" max="9"/>
    <col width="20" customWidth="1" min="10" max="10"/>
    <col width="11" customWidth="1" min="11" max="11"/>
    <col width="20" customWidth="1" min="12" max="12"/>
  </cols>
  <sheetData>
    <row r="1">
      <c r="A1" s="1" t="inlineStr">
        <is>
          <t>GOVERNING PILE-HEAD FORCES PER PILE (envelope M1 + M3) - use LRFD for cap reinforcement, ASD for checks</t>
        </is>
      </c>
    </row>
    <row r="3">
      <c r="A3" s="16" t="inlineStr">
        <is>
          <t>WPA</t>
        </is>
      </c>
    </row>
    <row r="4" ht="30" customHeight="1">
      <c r="A4" s="6" t="inlineStr">
        <is>
          <t>Pile</t>
        </is>
      </c>
      <c r="B4" s="6" t="inlineStr">
        <is>
          <t>Row</t>
        </is>
      </c>
      <c r="C4" s="6" t="inlineStr">
        <is>
          <t>Pu max (kN)</t>
        </is>
      </c>
      <c r="D4" s="6" t="inlineStr">
        <is>
          <t>LC</t>
        </is>
      </c>
      <c r="E4" s="6" t="inlineStr">
        <is>
          <t>Pu min (kN)</t>
        </is>
      </c>
      <c r="F4" s="6" t="inlineStr">
        <is>
          <t>LC</t>
        </is>
      </c>
      <c r="G4" s="6" t="inlineStr">
        <is>
          <t>Mu max (kNm)</t>
        </is>
      </c>
      <c r="H4" s="6" t="inlineStr">
        <is>
          <t>LC</t>
        </is>
      </c>
      <c r="I4" s="6" t="inlineStr">
        <is>
          <t>Vu max (kN)</t>
        </is>
      </c>
      <c r="J4" s="6" t="inlineStr">
        <is>
          <t>LC</t>
        </is>
      </c>
      <c r="K4" s="6" t="inlineStr">
        <is>
          <t>P max ASD (kN)</t>
        </is>
      </c>
      <c r="L4" s="6" t="inlineStr">
        <is>
          <t>LC</t>
        </is>
      </c>
    </row>
    <row r="5">
      <c r="A5" s="15" t="n">
        <v>1</v>
      </c>
      <c r="B5" s="7" t="n">
        <v>1</v>
      </c>
      <c r="C5" s="13" t="n">
        <v>7350.1</v>
      </c>
      <c r="D5" s="7" t="inlineStr">
        <is>
          <t>M1 LRFD2(max)</t>
        </is>
      </c>
      <c r="E5" s="17" t="n">
        <v>-2727.7</v>
      </c>
      <c r="F5" s="7" t="inlineStr">
        <is>
          <t>M1 LRFD2(min)</t>
        </is>
      </c>
      <c r="G5" s="13" t="n">
        <v>894.2926356601624</v>
      </c>
      <c r="H5" s="7" t="inlineStr">
        <is>
          <t>M3 LRFD2(max)</t>
        </is>
      </c>
      <c r="I5" s="13" t="n">
        <v>309.7743344258849</v>
      </c>
      <c r="J5" s="7" t="inlineStr">
        <is>
          <t>M1 LRFD3</t>
        </is>
      </c>
      <c r="K5" s="13" t="n">
        <v>7043.2</v>
      </c>
      <c r="L5" s="7" t="inlineStr">
        <is>
          <t>M1 ASD2(max)</t>
        </is>
      </c>
    </row>
    <row r="6">
      <c r="A6" s="15" t="n">
        <v>2</v>
      </c>
      <c r="B6" s="7" t="n">
        <v>1</v>
      </c>
      <c r="C6" s="13" t="n">
        <v>5635.8</v>
      </c>
      <c r="D6" s="7" t="inlineStr">
        <is>
          <t>M3 LRFD2(max)</t>
        </is>
      </c>
      <c r="E6" s="13" t="n">
        <v>56.378</v>
      </c>
      <c r="F6" s="7" t="inlineStr">
        <is>
          <t>M1 LRFD2(min)</t>
        </is>
      </c>
      <c r="G6" s="13" t="n">
        <v>896.1118500996402</v>
      </c>
      <c r="H6" s="7" t="inlineStr">
        <is>
          <t>M3 LRFD2(max)</t>
        </is>
      </c>
      <c r="I6" s="13" t="n">
        <v>309.7021143373096</v>
      </c>
      <c r="J6" s="7" t="inlineStr">
        <is>
          <t>M1 LRFD3</t>
        </is>
      </c>
      <c r="K6" s="13" t="n">
        <v>5781.5</v>
      </c>
      <c r="L6" s="7" t="inlineStr">
        <is>
          <t>M3 ASD2(max)</t>
        </is>
      </c>
    </row>
    <row r="7">
      <c r="A7" s="15" t="n">
        <v>3</v>
      </c>
      <c r="B7" s="7" t="n">
        <v>1</v>
      </c>
      <c r="C7" s="13" t="n">
        <v>3363.5</v>
      </c>
      <c r="D7" s="7" t="inlineStr">
        <is>
          <t>M1 LRFD2(max)</t>
        </is>
      </c>
      <c r="E7" s="13" t="n">
        <v>1564.6</v>
      </c>
      <c r="F7" s="7" t="inlineStr">
        <is>
          <t>M1 LRFD1</t>
        </is>
      </c>
      <c r="G7" s="13" t="n">
        <v>899.2316829382737</v>
      </c>
      <c r="H7" s="7" t="inlineStr">
        <is>
          <t>M3 LRFD2(max)</t>
        </is>
      </c>
      <c r="I7" s="13" t="n">
        <v>309.6479013799383</v>
      </c>
      <c r="J7" s="7" t="inlineStr">
        <is>
          <t>M1 LRFD4</t>
        </is>
      </c>
      <c r="K7" s="13" t="n">
        <v>4297.6</v>
      </c>
      <c r="L7" s="7" t="inlineStr">
        <is>
          <t>M3 ASD2(max)</t>
        </is>
      </c>
    </row>
    <row r="8">
      <c r="A8" s="15" t="n">
        <v>4</v>
      </c>
      <c r="B8" s="7" t="n">
        <v>1</v>
      </c>
      <c r="C8" s="13" t="n">
        <v>4667.6</v>
      </c>
      <c r="D8" s="7" t="inlineStr">
        <is>
          <t>M1 LRFD2(min)</t>
        </is>
      </c>
      <c r="E8" s="13" t="n">
        <v>6.7768</v>
      </c>
      <c r="F8" s="7" t="inlineStr">
        <is>
          <t>M1 LRFD2(max)</t>
        </is>
      </c>
      <c r="G8" s="13" t="n">
        <v>903.3420041468237</v>
      </c>
      <c r="H8" s="7" t="inlineStr">
        <is>
          <t>M3 LRFD2(max)</t>
        </is>
      </c>
      <c r="I8" s="13" t="n">
        <v>309.6270207669221</v>
      </c>
      <c r="J8" s="7" t="inlineStr">
        <is>
          <t>M1 LRFD4</t>
        </is>
      </c>
      <c r="K8" s="13" t="n">
        <v>5287.8</v>
      </c>
      <c r="L8" s="7" t="inlineStr">
        <is>
          <t>M3 ASD2(min)</t>
        </is>
      </c>
    </row>
    <row r="9">
      <c r="A9" s="15" t="n">
        <v>5</v>
      </c>
      <c r="B9" s="7" t="n">
        <v>2</v>
      </c>
      <c r="C9" s="13" t="n">
        <v>7148.4</v>
      </c>
      <c r="D9" s="7" t="inlineStr">
        <is>
          <t>M1 LRFD2(max)</t>
        </is>
      </c>
      <c r="E9" s="17" t="n">
        <v>-2439.8</v>
      </c>
      <c r="F9" s="7" t="inlineStr">
        <is>
          <t>M1 LRFD2(min)</t>
        </is>
      </c>
      <c r="G9" s="13" t="n">
        <v>894.6026101146809</v>
      </c>
      <c r="H9" s="7" t="inlineStr">
        <is>
          <t>M3 LRFD2(max)</t>
        </is>
      </c>
      <c r="I9" s="13" t="n">
        <v>309.7952150389028</v>
      </c>
      <c r="J9" s="7" t="inlineStr">
        <is>
          <t>M1 LRFD3</t>
        </is>
      </c>
      <c r="K9" s="13" t="n">
        <v>6892.7</v>
      </c>
      <c r="L9" s="7" t="inlineStr">
        <is>
          <t>M1 ASD2(max)</t>
        </is>
      </c>
    </row>
    <row r="10">
      <c r="A10" s="15" t="n">
        <v>6</v>
      </c>
      <c r="B10" s="7" t="n">
        <v>2</v>
      </c>
      <c r="C10" s="13" t="n">
        <v>5429.3</v>
      </c>
      <c r="D10" s="7" t="inlineStr">
        <is>
          <t>M3 LRFD2(max)</t>
        </is>
      </c>
      <c r="E10" s="13" t="n">
        <v>405.74</v>
      </c>
      <c r="F10" s="7" t="inlineStr">
        <is>
          <t>M1 LRFD2(min)</t>
        </is>
      </c>
      <c r="G10" s="13" t="n">
        <v>896.5818719587186</v>
      </c>
      <c r="H10" s="7" t="inlineStr">
        <is>
          <t>M3 LRFD2(max)</t>
        </is>
      </c>
      <c r="I10" s="13" t="n">
        <v>309.7421514760301</v>
      </c>
      <c r="J10" s="7" t="inlineStr">
        <is>
          <t>M1 LRFD4</t>
        </is>
      </c>
      <c r="K10" s="13" t="n">
        <v>5625.5</v>
      </c>
      <c r="L10" s="7" t="inlineStr">
        <is>
          <t>M3 ASD2(max)</t>
        </is>
      </c>
    </row>
    <row r="11">
      <c r="A11" s="15" t="n">
        <v>7</v>
      </c>
      <c r="B11" s="7" t="n">
        <v>2</v>
      </c>
      <c r="C11" s="13" t="n">
        <v>3099</v>
      </c>
      <c r="D11" s="7" t="inlineStr">
        <is>
          <t>M1 LRFD2(min)</t>
        </is>
      </c>
      <c r="E11" s="13" t="n">
        <v>1394.4</v>
      </c>
      <c r="F11" s="7" t="inlineStr">
        <is>
          <t>M1 LRFD4</t>
        </is>
      </c>
      <c r="G11" s="13" t="n">
        <v>899.8117763088012</v>
      </c>
      <c r="H11" s="7" t="inlineStr">
        <is>
          <t>M3 LRFD2(max)</t>
        </is>
      </c>
      <c r="I11" s="13" t="n">
        <v>309.7215582034935</v>
      </c>
      <c r="J11" s="7" t="inlineStr">
        <is>
          <t>M1 LRFD4</t>
        </is>
      </c>
      <c r="K11" s="13" t="n">
        <v>4211.2</v>
      </c>
      <c r="L11" s="7" t="inlineStr">
        <is>
          <t>M1 ASD2(min)</t>
        </is>
      </c>
    </row>
    <row r="12">
      <c r="A12" s="15" t="n">
        <v>8</v>
      </c>
      <c r="B12" s="7" t="n">
        <v>2</v>
      </c>
      <c r="C12" s="13" t="n">
        <v>4857.7</v>
      </c>
      <c r="D12" s="7" t="inlineStr">
        <is>
          <t>M3 LRFD2(min)</t>
        </is>
      </c>
      <c r="E12" s="17" t="n">
        <v>-378.61</v>
      </c>
      <c r="F12" s="7" t="inlineStr">
        <is>
          <t>M1 LRFD2(max)</t>
        </is>
      </c>
      <c r="G12" s="13" t="n">
        <v>904.1922161332733</v>
      </c>
      <c r="H12" s="7" t="inlineStr">
        <is>
          <t>M3 LRFD2(max)</t>
        </is>
      </c>
      <c r="I12" s="13" t="n">
        <v>309.7006775904761</v>
      </c>
      <c r="J12" s="7" t="inlineStr">
        <is>
          <t>M1 LRFD4</t>
        </is>
      </c>
      <c r="K12" s="13" t="n">
        <v>5397.5</v>
      </c>
      <c r="L12" s="7" t="inlineStr">
        <is>
          <t>M3 ASD2(min)</t>
        </is>
      </c>
    </row>
    <row r="15">
      <c r="A15" s="16" t="inlineStr">
        <is>
          <t>WPD</t>
        </is>
      </c>
    </row>
    <row r="16" ht="30" customHeight="1">
      <c r="A16" s="6" t="inlineStr">
        <is>
          <t>Pile</t>
        </is>
      </c>
      <c r="B16" s="6" t="inlineStr">
        <is>
          <t>Row</t>
        </is>
      </c>
      <c r="C16" s="6" t="inlineStr">
        <is>
          <t>Pu max (kN)</t>
        </is>
      </c>
      <c r="D16" s="6" t="inlineStr">
        <is>
          <t>LC</t>
        </is>
      </c>
      <c r="E16" s="6" t="inlineStr">
        <is>
          <t>Pu min (kN)</t>
        </is>
      </c>
      <c r="F16" s="6" t="inlineStr">
        <is>
          <t>LC</t>
        </is>
      </c>
      <c r="G16" s="6" t="inlineStr">
        <is>
          <t>Mu max (kNm)</t>
        </is>
      </c>
      <c r="H16" s="6" t="inlineStr">
        <is>
          <t>LC</t>
        </is>
      </c>
      <c r="I16" s="6" t="inlineStr">
        <is>
          <t>Vu max (kN)</t>
        </is>
      </c>
      <c r="J16" s="6" t="inlineStr">
        <is>
          <t>LC</t>
        </is>
      </c>
      <c r="K16" s="6" t="inlineStr">
        <is>
          <t>P max ASD (kN)</t>
        </is>
      </c>
      <c r="L16" s="6" t="inlineStr">
        <is>
          <t>LC</t>
        </is>
      </c>
    </row>
    <row r="17">
      <c r="A17" s="15" t="n">
        <v>1</v>
      </c>
      <c r="B17" s="7" t="n">
        <v>1</v>
      </c>
      <c r="C17" s="13" t="n">
        <v>6211.9</v>
      </c>
      <c r="D17" s="7" t="inlineStr">
        <is>
          <t>M1 LRFD2(max) 1C-A</t>
        </is>
      </c>
      <c r="E17" s="17" t="n">
        <v>-1722.3</v>
      </c>
      <c r="F17" s="7" t="inlineStr">
        <is>
          <t>M1 LRFD2(min) 1C-B</t>
        </is>
      </c>
      <c r="G17" s="13" t="n">
        <v>655.0703537788899</v>
      </c>
      <c r="H17" s="7" t="inlineStr">
        <is>
          <t>M1 LRFD4 1C-A</t>
        </is>
      </c>
      <c r="I17" s="13" t="n">
        <v>309.9390806416642</v>
      </c>
      <c r="J17" s="7" t="inlineStr">
        <is>
          <t>M1 LRFD3 1C-B</t>
        </is>
      </c>
      <c r="K17" s="13" t="n">
        <v>6726.6</v>
      </c>
      <c r="L17" s="7" t="inlineStr">
        <is>
          <t>M1 ASD2(max) 1C-A</t>
        </is>
      </c>
    </row>
    <row r="18">
      <c r="A18" s="15" t="n">
        <v>2</v>
      </c>
      <c r="B18" s="7" t="n">
        <v>1</v>
      </c>
      <c r="C18" s="13" t="n">
        <v>4881.6</v>
      </c>
      <c r="D18" s="7" t="inlineStr">
        <is>
          <t>M1 LRFD2(max) 1C-A</t>
        </is>
      </c>
      <c r="E18" s="13" t="n">
        <v>55.795</v>
      </c>
      <c r="F18" s="7" t="inlineStr">
        <is>
          <t>M1 LRFD2(min) 1C-B</t>
        </is>
      </c>
      <c r="G18" s="13" t="n">
        <v>655.0512633374582</v>
      </c>
      <c r="H18" s="7" t="inlineStr">
        <is>
          <t>M1 LRFD4 1C-A</t>
        </is>
      </c>
      <c r="I18" s="13" t="n">
        <v>309.754315869852</v>
      </c>
      <c r="J18" s="7" t="inlineStr">
        <is>
          <t>M1 LRFD3 1C-B</t>
        </is>
      </c>
      <c r="K18" s="13" t="n">
        <v>5506.7</v>
      </c>
      <c r="L18" s="7" t="inlineStr">
        <is>
          <t>M1 ASD2(max) 1C-A</t>
        </is>
      </c>
    </row>
    <row r="19">
      <c r="A19" s="15" t="n">
        <v>3</v>
      </c>
      <c r="B19" s="7" t="n">
        <v>1</v>
      </c>
      <c r="C19" s="13" t="n">
        <v>3702.7</v>
      </c>
      <c r="D19" s="7" t="inlineStr">
        <is>
          <t>M3 LRFD2(max) 1C-B</t>
        </is>
      </c>
      <c r="E19" s="13" t="n">
        <v>1051.3</v>
      </c>
      <c r="F19" s="7" t="inlineStr">
        <is>
          <t>M3 LRFD2(min) 1C-A</t>
        </is>
      </c>
      <c r="G19" s="13" t="n">
        <v>655.0226277770868</v>
      </c>
      <c r="H19" s="7" t="inlineStr">
        <is>
          <t>M1 LRFD4 1C-A</t>
        </is>
      </c>
      <c r="I19" s="13" t="n">
        <v>309.6792222994627</v>
      </c>
      <c r="J19" s="7" t="inlineStr">
        <is>
          <t>M1 LRFD3 1C-A</t>
        </is>
      </c>
      <c r="K19" s="13" t="n">
        <v>4800.1</v>
      </c>
      <c r="L19" s="7" t="inlineStr">
        <is>
          <t>M1 ASD2(max) 1C-B</t>
        </is>
      </c>
    </row>
    <row r="20">
      <c r="A20" s="15" t="n">
        <v>4</v>
      </c>
      <c r="B20" s="7" t="n">
        <v>1</v>
      </c>
      <c r="C20" s="13" t="n">
        <v>3368.3</v>
      </c>
      <c r="D20" s="7" t="inlineStr">
        <is>
          <t>M3 LRFD2(max) 1C-B</t>
        </is>
      </c>
      <c r="E20" s="13" t="n">
        <v>1235.9</v>
      </c>
      <c r="F20" s="7" t="inlineStr">
        <is>
          <t>M3 LRFD2(max) 1C-A</t>
        </is>
      </c>
      <c r="G20" s="13" t="n">
        <v>655.0035374713636</v>
      </c>
      <c r="H20" s="7" t="inlineStr">
        <is>
          <t>M1 LRFD4 1C-A</t>
        </is>
      </c>
      <c r="I20" s="13" t="n">
        <v>309.6585348412021</v>
      </c>
      <c r="J20" s="7" t="inlineStr">
        <is>
          <t>M1 LRFD4 1C-A</t>
        </is>
      </c>
      <c r="K20" s="13" t="n">
        <v>4962.6</v>
      </c>
      <c r="L20" s="7" t="inlineStr">
        <is>
          <t>M1 ASD2(min) 1C-B</t>
        </is>
      </c>
    </row>
    <row r="21">
      <c r="A21" s="15" t="n">
        <v>5</v>
      </c>
      <c r="B21" s="7" t="n">
        <v>2</v>
      </c>
      <c r="C21" s="13" t="n">
        <v>6022.3</v>
      </c>
      <c r="D21" s="7" t="inlineStr">
        <is>
          <t>M1 LRFD2(max) 1C-A</t>
        </is>
      </c>
      <c r="E21" s="17" t="n">
        <v>-1484.6</v>
      </c>
      <c r="F21" s="7" t="inlineStr">
        <is>
          <t>M1 LRFD2(min) 1C-B</t>
        </is>
      </c>
      <c r="G21" s="13" t="n">
        <v>655.0721641162903</v>
      </c>
      <c r="H21" s="7" t="inlineStr">
        <is>
          <t>M1 LRFD4 1C-A</t>
        </is>
      </c>
      <c r="I21" s="13" t="n">
        <v>310.0101515902342</v>
      </c>
      <c r="J21" s="7" t="inlineStr">
        <is>
          <t>M1 LRFD3 1C-B</t>
        </is>
      </c>
      <c r="K21" s="13" t="n">
        <v>6594.8</v>
      </c>
      <c r="L21" s="7" t="inlineStr">
        <is>
          <t>M1 ASD2(max) 1C-A</t>
        </is>
      </c>
    </row>
    <row r="22">
      <c r="A22" s="15" t="n">
        <v>6</v>
      </c>
      <c r="B22" s="7" t="n">
        <v>2</v>
      </c>
      <c r="C22" s="13" t="n">
        <v>4651.9</v>
      </c>
      <c r="D22" s="7" t="inlineStr">
        <is>
          <t>M1 LRFD2(max) 1C-A</t>
        </is>
      </c>
      <c r="E22" s="13" t="n">
        <v>348.29</v>
      </c>
      <c r="F22" s="7" t="inlineStr">
        <is>
          <t>M1 LRFD2(min) 1C-B</t>
        </is>
      </c>
      <c r="G22" s="13" t="n">
        <v>655.0435271796829</v>
      </c>
      <c r="H22" s="7" t="inlineStr">
        <is>
          <t>M1 LRFD4 1C-A</t>
        </is>
      </c>
      <c r="I22" s="13" t="n">
        <v>309.8328583284865</v>
      </c>
      <c r="J22" s="7" t="inlineStr">
        <is>
          <t>M1 LRFD4 1C-B</t>
        </is>
      </c>
      <c r="K22" s="13" t="n">
        <v>5375</v>
      </c>
      <c r="L22" s="7" t="inlineStr">
        <is>
          <t>M1 ASD2(max) 1C-A</t>
        </is>
      </c>
    </row>
    <row r="23">
      <c r="A23" s="15" t="n">
        <v>7</v>
      </c>
      <c r="B23" s="7" t="n">
        <v>2</v>
      </c>
      <c r="C23" s="13" t="n">
        <v>3455.6</v>
      </c>
      <c r="D23" s="7" t="inlineStr">
        <is>
          <t>M3 LRFD2(max) 1C-B</t>
        </is>
      </c>
      <c r="E23" s="13" t="n">
        <v>1289.1</v>
      </c>
      <c r="F23" s="7" t="inlineStr">
        <is>
          <t>M3 LRFD2(min) 1C-A</t>
        </is>
      </c>
      <c r="G23" s="13" t="n">
        <v>655.0244359564</v>
      </c>
      <c r="H23" s="7" t="inlineStr">
        <is>
          <t>M1 LRFD4 1C-A</t>
        </is>
      </c>
      <c r="I23" s="13" t="n">
        <v>309.7891813863099</v>
      </c>
      <c r="J23" s="7" t="inlineStr">
        <is>
          <t>M1 LRFD4 1C-A</t>
        </is>
      </c>
      <c r="K23" s="13" t="n">
        <v>4633.3</v>
      </c>
      <c r="L23" s="7" t="inlineStr">
        <is>
          <t>M1 ASD2(max) 1C-B</t>
        </is>
      </c>
    </row>
    <row r="24">
      <c r="A24" s="15" t="n">
        <v>8</v>
      </c>
      <c r="B24" s="7" t="n">
        <v>2</v>
      </c>
      <c r="C24" s="13" t="n">
        <v>3569.7</v>
      </c>
      <c r="D24" s="7" t="inlineStr">
        <is>
          <t>M1 LRFD2(min) 1C-B</t>
        </is>
      </c>
      <c r="E24" s="13" t="n">
        <v>887.49</v>
      </c>
      <c r="F24" s="7" t="inlineStr">
        <is>
          <t>M3 LRFD2(max) 1C-A</t>
        </is>
      </c>
      <c r="G24" s="13" t="n">
        <v>654.9957992231706</v>
      </c>
      <c r="H24" s="7" t="inlineStr">
        <is>
          <t>M1 LRFD4 1C-A</t>
        </is>
      </c>
      <c r="I24" s="13" t="n">
        <v>309.7897559636212</v>
      </c>
      <c r="J24" s="7" t="inlineStr">
        <is>
          <t>M1 LRFD4 1C-A</t>
        </is>
      </c>
      <c r="K24" s="13" t="n">
        <v>5077.8</v>
      </c>
      <c r="L24" s="7" t="inlineStr">
        <is>
          <t>M1 ASD2(min) 1C-B</t>
        </is>
      </c>
    </row>
    <row r="27">
      <c r="A27" s="10" t="inlineStr">
        <is>
          <t>Red = tension (uplift): cap top reinforcement and pile-to-cap anchorage must carry it.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6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7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PILE-HEAD FORCES - WPA M1 (Non-liquefied), GROUP +Icap</t>
        </is>
      </c>
    </row>
    <row r="2">
      <c r="A2" s="11" t="inlineStr">
        <is>
          <t>P = axial (+ compression, - tension); M, V = resultant moment / shear at the pile head (z = 0, fixed head into cap); y = head deflection.</t>
        </is>
      </c>
    </row>
    <row r="4">
      <c r="A4" s="16" t="inlineStr">
        <is>
          <t>Axial force P (kN)</t>
        </is>
      </c>
    </row>
    <row r="5" ht="22" customHeight="1">
      <c r="A5" s="6" t="inlineStr">
        <is>
          <t>Load combination</t>
        </is>
      </c>
      <c r="B5" s="6" t="inlineStr">
        <is>
          <t>Design</t>
        </is>
      </c>
      <c r="C5" s="6" t="inlineStr">
        <is>
          <t>Pile 1</t>
        </is>
      </c>
      <c r="D5" s="6" t="inlineStr">
        <is>
          <t>Pile 2</t>
        </is>
      </c>
      <c r="E5" s="6" t="inlineStr">
        <is>
          <t>Pile 3</t>
        </is>
      </c>
      <c r="F5" s="6" t="inlineStr">
        <is>
          <t>Pile 4</t>
        </is>
      </c>
      <c r="G5" s="6" t="inlineStr">
        <is>
          <t>Pile 5</t>
        </is>
      </c>
      <c r="H5" s="6" t="inlineStr">
        <is>
          <t>Pile 6</t>
        </is>
      </c>
      <c r="I5" s="6" t="inlineStr">
        <is>
          <t>Pile 7</t>
        </is>
      </c>
      <c r="J5" s="6" t="inlineStr">
        <is>
          <t>Pile 8</t>
        </is>
      </c>
      <c r="K5" s="6" t="inlineStr">
        <is>
          <t>Sum P (kN)</t>
        </is>
      </c>
    </row>
    <row r="6">
      <c r="A6" s="3" t="inlineStr">
        <is>
          <t>ASD1</t>
        </is>
      </c>
      <c r="B6" s="7" t="inlineStr">
        <is>
          <t>ASD</t>
        </is>
      </c>
      <c r="C6" s="13" t="n">
        <v>1117.6</v>
      </c>
      <c r="D6" s="13" t="n">
        <v>1117.6</v>
      </c>
      <c r="E6" s="13" t="n">
        <v>1117.6</v>
      </c>
      <c r="F6" s="13" t="n">
        <v>1117.6</v>
      </c>
      <c r="G6" s="13" t="n">
        <v>1117.6</v>
      </c>
      <c r="H6" s="13" t="n">
        <v>1117.6</v>
      </c>
      <c r="I6" s="13" t="n">
        <v>1117.6</v>
      </c>
      <c r="J6" s="13" t="n">
        <v>1117.6</v>
      </c>
      <c r="K6" s="18">
        <f>SUM(C6:J6)</f>
        <v/>
      </c>
    </row>
    <row r="7">
      <c r="A7" s="19" t="inlineStr">
        <is>
          <t>ASD2(max)</t>
        </is>
      </c>
      <c r="B7" s="20" t="inlineStr">
        <is>
          <t>ASD</t>
        </is>
      </c>
      <c r="C7" s="21" t="n">
        <v>7043.2</v>
      </c>
      <c r="D7" s="21" t="n">
        <v>5663.8</v>
      </c>
      <c r="E7" s="21" t="n">
        <v>4284.3</v>
      </c>
      <c r="F7" s="21" t="n">
        <v>2516.7</v>
      </c>
      <c r="G7" s="21" t="n">
        <v>6892.7</v>
      </c>
      <c r="H7" s="21" t="n">
        <v>5513.2</v>
      </c>
      <c r="I7" s="21" t="n">
        <v>4133.8</v>
      </c>
      <c r="J7" s="21" t="n">
        <v>2284.4</v>
      </c>
      <c r="K7" s="22">
        <f>SUM(C7:J7)</f>
        <v/>
      </c>
    </row>
    <row r="8">
      <c r="A8" s="3" t="inlineStr">
        <is>
          <t>ASD2(min)</t>
        </is>
      </c>
      <c r="B8" s="7" t="inlineStr">
        <is>
          <t>ASD</t>
        </is>
      </c>
      <c r="C8" s="13" t="n">
        <v>560.7</v>
      </c>
      <c r="D8" s="13" t="n">
        <v>2571.9</v>
      </c>
      <c r="E8" s="13" t="n">
        <v>4083.5</v>
      </c>
      <c r="F8" s="13" t="n">
        <v>5226.5</v>
      </c>
      <c r="G8" s="13" t="n">
        <v>795.5700000000001</v>
      </c>
      <c r="H8" s="13" t="n">
        <v>2768.8</v>
      </c>
      <c r="I8" s="13" t="n">
        <v>4211.2</v>
      </c>
      <c r="J8" s="13" t="n">
        <v>5354.1</v>
      </c>
      <c r="K8" s="18">
        <f>SUM(C8:J8)</f>
        <v/>
      </c>
    </row>
    <row r="9">
      <c r="A9" s="19" t="inlineStr">
        <is>
          <t>ASD3</t>
        </is>
      </c>
      <c r="B9" s="20" t="inlineStr">
        <is>
          <t>ASD</t>
        </is>
      </c>
      <c r="C9" s="21" t="n">
        <v>1020.8</v>
      </c>
      <c r="D9" s="21" t="n">
        <v>1198.1</v>
      </c>
      <c r="E9" s="21" t="n">
        <v>1375.4</v>
      </c>
      <c r="F9" s="21" t="n">
        <v>1552.8</v>
      </c>
      <c r="G9" s="21" t="n">
        <v>948.35</v>
      </c>
      <c r="H9" s="21" t="n">
        <v>1125.7</v>
      </c>
      <c r="I9" s="21" t="n">
        <v>1303</v>
      </c>
      <c r="J9" s="21" t="n">
        <v>1480.3</v>
      </c>
      <c r="K9" s="22">
        <f>SUM(C9:J9)</f>
        <v/>
      </c>
    </row>
    <row r="10">
      <c r="A10" s="3" t="inlineStr">
        <is>
          <t>ASD4</t>
        </is>
      </c>
      <c r="B10" s="7" t="inlineStr">
        <is>
          <t>ASD</t>
        </is>
      </c>
      <c r="C10" s="13" t="n">
        <v>1291.4</v>
      </c>
      <c r="D10" s="13" t="n">
        <v>1344.5</v>
      </c>
      <c r="E10" s="13" t="n">
        <v>1397.7</v>
      </c>
      <c r="F10" s="13" t="n">
        <v>1450.8</v>
      </c>
      <c r="G10" s="13" t="n">
        <v>1050.3</v>
      </c>
      <c r="H10" s="13" t="n">
        <v>1103.4</v>
      </c>
      <c r="I10" s="13" t="n">
        <v>1156.6</v>
      </c>
      <c r="J10" s="13" t="n">
        <v>1209.7</v>
      </c>
      <c r="K10" s="18">
        <f>SUM(C10:J10)</f>
        <v/>
      </c>
    </row>
    <row r="11">
      <c r="A11" s="19" t="inlineStr">
        <is>
          <t>LRFD1</t>
        </is>
      </c>
      <c r="B11" s="20" t="inlineStr">
        <is>
          <t>LRFD</t>
        </is>
      </c>
      <c r="C11" s="21" t="n">
        <v>1564.6</v>
      </c>
      <c r="D11" s="21" t="n">
        <v>1564.6</v>
      </c>
      <c r="E11" s="21" t="n">
        <v>1564.6</v>
      </c>
      <c r="F11" s="21" t="n">
        <v>1564.6</v>
      </c>
      <c r="G11" s="21" t="n">
        <v>1564.6</v>
      </c>
      <c r="H11" s="21" t="n">
        <v>1564.6</v>
      </c>
      <c r="I11" s="21" t="n">
        <v>1564.6</v>
      </c>
      <c r="J11" s="21" t="n">
        <v>1564.6</v>
      </c>
      <c r="K11" s="22">
        <f>SUM(C11:J11)</f>
        <v/>
      </c>
    </row>
    <row r="12">
      <c r="A12" s="3" t="inlineStr">
        <is>
          <t>LRFD2(max)</t>
        </is>
      </c>
      <c r="B12" s="7" t="inlineStr">
        <is>
          <t>LRFD</t>
        </is>
      </c>
      <c r="C12" s="13" t="n">
        <v>7350.1</v>
      </c>
      <c r="D12" s="13" t="n">
        <v>5401.9</v>
      </c>
      <c r="E12" s="13" t="n">
        <v>3363.5</v>
      </c>
      <c r="F12" s="13" t="n">
        <v>6.7768</v>
      </c>
      <c r="G12" s="13" t="n">
        <v>7148.4</v>
      </c>
      <c r="H12" s="13" t="n">
        <v>5200.2</v>
      </c>
      <c r="I12" s="13" t="n">
        <v>3052.4</v>
      </c>
      <c r="J12" s="17" t="n">
        <v>-378.61</v>
      </c>
      <c r="K12" s="18">
        <f>SUM(C12:J12)</f>
        <v/>
      </c>
    </row>
    <row r="13">
      <c r="A13" s="19" t="inlineStr">
        <is>
          <t>LRFD2(min)</t>
        </is>
      </c>
      <c r="B13" s="20" t="inlineStr">
        <is>
          <t>LRFD</t>
        </is>
      </c>
      <c r="C13" s="23" t="n">
        <v>-2727.7</v>
      </c>
      <c r="D13" s="21" t="n">
        <v>56.378</v>
      </c>
      <c r="E13" s="21" t="n">
        <v>2817.1</v>
      </c>
      <c r="F13" s="21" t="n">
        <v>4667.6</v>
      </c>
      <c r="G13" s="23" t="n">
        <v>-2439.8</v>
      </c>
      <c r="H13" s="21" t="n">
        <v>405.74</v>
      </c>
      <c r="I13" s="21" t="n">
        <v>3099</v>
      </c>
      <c r="J13" s="21" t="n">
        <v>4850.4</v>
      </c>
      <c r="K13" s="22">
        <f>SUM(C13:J13)</f>
        <v/>
      </c>
    </row>
    <row r="14">
      <c r="A14" s="3" t="inlineStr">
        <is>
          <t>LRFD3</t>
        </is>
      </c>
      <c r="B14" s="7" t="inlineStr">
        <is>
          <t>LRFD</t>
        </is>
      </c>
      <c r="C14" s="13" t="n">
        <v>1196.9</v>
      </c>
      <c r="D14" s="13" t="n">
        <v>1454.3</v>
      </c>
      <c r="E14" s="13" t="n">
        <v>1711.6</v>
      </c>
      <c r="F14" s="13" t="n">
        <v>1969</v>
      </c>
      <c r="G14" s="13" t="n">
        <v>1091.9</v>
      </c>
      <c r="H14" s="13" t="n">
        <v>1349.3</v>
      </c>
      <c r="I14" s="13" t="n">
        <v>1606.6</v>
      </c>
      <c r="J14" s="13" t="n">
        <v>1864</v>
      </c>
      <c r="K14" s="18">
        <f>SUM(C14:J14)</f>
        <v/>
      </c>
    </row>
    <row r="15">
      <c r="A15" s="19" t="inlineStr">
        <is>
          <t>LRFD4</t>
        </is>
      </c>
      <c r="B15" s="20" t="inlineStr">
        <is>
          <t>LRFD</t>
        </is>
      </c>
      <c r="C15" s="21" t="n">
        <v>1589.5</v>
      </c>
      <c r="D15" s="21" t="n">
        <v>1666.6</v>
      </c>
      <c r="E15" s="21" t="n">
        <v>1743.6</v>
      </c>
      <c r="F15" s="21" t="n">
        <v>1820.6</v>
      </c>
      <c r="G15" s="21" t="n">
        <v>1240.3</v>
      </c>
      <c r="H15" s="21" t="n">
        <v>1317.3</v>
      </c>
      <c r="I15" s="21" t="n">
        <v>1394.4</v>
      </c>
      <c r="J15" s="21" t="n">
        <v>1471.4</v>
      </c>
      <c r="K15" s="22">
        <f>SUM(C15:J15)</f>
        <v/>
      </c>
    </row>
    <row r="16">
      <c r="A16" s="24" t="inlineStr">
        <is>
          <t>max (all)</t>
        </is>
      </c>
      <c r="B16" s="25" t="inlineStr"/>
      <c r="C16" s="26">
        <f>MAX(C6:C15)</f>
        <v/>
      </c>
      <c r="D16" s="26">
        <f>MAX(D6:D15)</f>
        <v/>
      </c>
      <c r="E16" s="26">
        <f>MAX(E6:E15)</f>
        <v/>
      </c>
      <c r="F16" s="26">
        <f>MAX(F6:F15)</f>
        <v/>
      </c>
      <c r="G16" s="26">
        <f>MAX(G6:G15)</f>
        <v/>
      </c>
      <c r="H16" s="26">
        <f>MAX(H6:H15)</f>
        <v/>
      </c>
      <c r="I16" s="26">
        <f>MAX(I6:I15)</f>
        <v/>
      </c>
      <c r="J16" s="26">
        <f>MAX(J6:J15)</f>
        <v/>
      </c>
    </row>
    <row r="17">
      <c r="A17" s="24" t="inlineStr">
        <is>
          <t>min (all)</t>
        </is>
      </c>
      <c r="B17" s="25" t="inlineStr"/>
      <c r="C17" s="26">
        <f>MIN(C6:C15)</f>
        <v/>
      </c>
      <c r="D17" s="26">
        <f>MIN(D6:D15)</f>
        <v/>
      </c>
      <c r="E17" s="26">
        <f>MIN(E6:E15)</f>
        <v/>
      </c>
      <c r="F17" s="26">
        <f>MIN(F6:F15)</f>
        <v/>
      </c>
      <c r="G17" s="26">
        <f>MIN(G6:G15)</f>
        <v/>
      </c>
      <c r="H17" s="26">
        <f>MIN(H6:H15)</f>
        <v/>
      </c>
      <c r="I17" s="26">
        <f>MIN(I6:I15)</f>
        <v/>
      </c>
      <c r="J17" s="26">
        <f>MIN(J6:J15)</f>
        <v/>
      </c>
    </row>
    <row r="20">
      <c r="A20" s="16" t="inlineStr">
        <is>
          <t>Head moment M (kNm)</t>
        </is>
      </c>
    </row>
    <row r="21" ht="22" customHeight="1">
      <c r="A21" s="6" t="inlineStr">
        <is>
          <t>Load combination</t>
        </is>
      </c>
      <c r="B21" s="6" t="inlineStr">
        <is>
          <t>Design</t>
        </is>
      </c>
      <c r="C21" s="6" t="inlineStr">
        <is>
          <t>Pile 1</t>
        </is>
      </c>
      <c r="D21" s="6" t="inlineStr">
        <is>
          <t>Pile 2</t>
        </is>
      </c>
      <c r="E21" s="6" t="inlineStr">
        <is>
          <t>Pile 3</t>
        </is>
      </c>
      <c r="F21" s="6" t="inlineStr">
        <is>
          <t>Pile 4</t>
        </is>
      </c>
      <c r="G21" s="6" t="inlineStr">
        <is>
          <t>Pile 5</t>
        </is>
      </c>
      <c r="H21" s="6" t="inlineStr">
        <is>
          <t>Pile 6</t>
        </is>
      </c>
      <c r="I21" s="6" t="inlineStr">
        <is>
          <t>Pile 7</t>
        </is>
      </c>
      <c r="J21" s="6" t="inlineStr">
        <is>
          <t>Pile 8</t>
        </is>
      </c>
    </row>
    <row r="22">
      <c r="A22" s="3" t="inlineStr">
        <is>
          <t>ASD1</t>
        </is>
      </c>
      <c r="B22" s="7" t="inlineStr">
        <is>
          <t>ASD</t>
        </is>
      </c>
      <c r="C22" s="13" t="n">
        <v>1.113103087159496e-13</v>
      </c>
      <c r="D22" s="13" t="n">
        <v>1.113103087159496e-13</v>
      </c>
      <c r="E22" s="13" t="n">
        <v>1.113103087159496e-13</v>
      </c>
      <c r="F22" s="13" t="n">
        <v>1.113103087159496e-13</v>
      </c>
      <c r="G22" s="13" t="n">
        <v>1.113103087159496e-13</v>
      </c>
      <c r="H22" s="13" t="n">
        <v>1.113103087159496e-13</v>
      </c>
      <c r="I22" s="13" t="n">
        <v>1.113103087159496e-13</v>
      </c>
      <c r="J22" s="13" t="n">
        <v>1.113103087159496e-13</v>
      </c>
    </row>
    <row r="23">
      <c r="A23" s="19" t="inlineStr">
        <is>
          <t>ASD2(max)</t>
        </is>
      </c>
      <c r="B23" s="20" t="inlineStr">
        <is>
          <t>ASD</t>
        </is>
      </c>
      <c r="C23" s="21" t="n">
        <v>430.7681634522217</v>
      </c>
      <c r="D23" s="21" t="n">
        <v>431.6280955915636</v>
      </c>
      <c r="E23" s="21" t="n">
        <v>432.4780323484651</v>
      </c>
      <c r="F23" s="21" t="n">
        <v>433.5780675091857</v>
      </c>
      <c r="G23" s="21" t="n">
        <v>430.9181876888002</v>
      </c>
      <c r="H23" s="21" t="n">
        <v>431.7781198729273</v>
      </c>
      <c r="I23" s="21" t="n">
        <v>432.628056673397</v>
      </c>
      <c r="J23" s="21" t="n">
        <v>433.7781000016022</v>
      </c>
    </row>
    <row r="24">
      <c r="A24" s="3" t="inlineStr">
        <is>
          <t>ASD2(min)</t>
        </is>
      </c>
      <c r="B24" s="7" t="inlineStr">
        <is>
          <t>ASD</t>
        </is>
      </c>
      <c r="C24" s="13" t="n">
        <v>361.16523343755</v>
      </c>
      <c r="D24" s="13" t="n">
        <v>360.1351486594998</v>
      </c>
      <c r="E24" s="13" t="n">
        <v>359.3551620347202</v>
      </c>
      <c r="F24" s="13" t="n">
        <v>358.7652406644211</v>
      </c>
      <c r="G24" s="13" t="n">
        <v>360.9952185625178</v>
      </c>
      <c r="H24" s="13" t="n">
        <v>359.985125232974</v>
      </c>
      <c r="I24" s="13" t="n">
        <v>359.2451507661585</v>
      </c>
      <c r="J24" s="13" t="n">
        <v>358.6552588545161</v>
      </c>
    </row>
    <row r="25">
      <c r="A25" s="19" t="inlineStr">
        <is>
          <t>ASD3</t>
        </is>
      </c>
      <c r="B25" s="20" t="inlineStr">
        <is>
          <t>ASD</t>
        </is>
      </c>
      <c r="C25" s="21" t="n">
        <v>348.9342632932456</v>
      </c>
      <c r="D25" s="21" t="n">
        <v>348.9437951877064</v>
      </c>
      <c r="E25" s="21" t="n">
        <v>348.9437951877064</v>
      </c>
      <c r="F25" s="21" t="n">
        <v>348.9407716217754</v>
      </c>
      <c r="G25" s="21" t="n">
        <v>348.9342632932456</v>
      </c>
      <c r="H25" s="21" t="n">
        <v>348.9342632932456</v>
      </c>
      <c r="I25" s="21" t="n">
        <v>348.9437951877064</v>
      </c>
      <c r="J25" s="21" t="n">
        <v>348.9407716217754</v>
      </c>
    </row>
    <row r="26">
      <c r="A26" s="3" t="inlineStr">
        <is>
          <t>ASD4</t>
        </is>
      </c>
      <c r="B26" s="7" t="inlineStr">
        <is>
          <t>ASD</t>
        </is>
      </c>
      <c r="C26" s="13" t="n">
        <v>364.9855188908185</v>
      </c>
      <c r="D26" s="13" t="n">
        <v>364.9857918070236</v>
      </c>
      <c r="E26" s="13" t="n">
        <v>364.9857918070236</v>
      </c>
      <c r="F26" s="13" t="n">
        <v>364.9860647257645</v>
      </c>
      <c r="G26" s="13" t="n">
        <v>364.9844272513555</v>
      </c>
      <c r="H26" s="13" t="n">
        <v>364.9847001574175</v>
      </c>
      <c r="I26" s="13" t="n">
        <v>364.9847001574175</v>
      </c>
      <c r="J26" s="13" t="n">
        <v>364.9847001574175</v>
      </c>
    </row>
    <row r="27">
      <c r="A27" s="19" t="inlineStr">
        <is>
          <t>LRFD1</t>
        </is>
      </c>
      <c r="B27" s="20" t="inlineStr">
        <is>
          <t>LRFD</t>
        </is>
      </c>
      <c r="C27" s="21" t="n">
        <v>1.611259788476396e-13</v>
      </c>
      <c r="D27" s="21" t="n">
        <v>1.611259788476396e-13</v>
      </c>
      <c r="E27" s="21" t="n">
        <v>1.611259788476396e-13</v>
      </c>
      <c r="F27" s="21" t="n">
        <v>1.611259788476396e-13</v>
      </c>
      <c r="G27" s="21" t="n">
        <v>1.611259788476396e-13</v>
      </c>
      <c r="H27" s="21" t="n">
        <v>1.611259788476396e-13</v>
      </c>
      <c r="I27" s="21" t="n">
        <v>1.611259788476396e-13</v>
      </c>
      <c r="J27" s="21" t="n">
        <v>1.611259788476396e-13</v>
      </c>
    </row>
    <row r="28">
      <c r="A28" s="3" t="inlineStr">
        <is>
          <t>LRFD2(max)</t>
        </is>
      </c>
      <c r="B28" s="7" t="inlineStr">
        <is>
          <t>LRFD</t>
        </is>
      </c>
      <c r="C28" s="13" t="n">
        <v>604.6756542345657</v>
      </c>
      <c r="D28" s="13" t="n">
        <v>606.3853176331036</v>
      </c>
      <c r="E28" s="13" t="n">
        <v>608.1750079245282</v>
      </c>
      <c r="F28" s="13" t="n">
        <v>611.1051488647432</v>
      </c>
      <c r="G28" s="13" t="n">
        <v>604.9856478330705</v>
      </c>
      <c r="H28" s="13" t="n">
        <v>606.6953387458981</v>
      </c>
      <c r="I28" s="13" t="n">
        <v>608.5750775376856</v>
      </c>
      <c r="J28" s="13" t="n">
        <v>611.5752199983253</v>
      </c>
    </row>
    <row r="29">
      <c r="A29" s="19" t="inlineStr">
        <is>
          <t>LRFD2(min)</t>
        </is>
      </c>
      <c r="B29" s="20" t="inlineStr">
        <is>
          <t>LRFD</t>
        </is>
      </c>
      <c r="C29" s="21" t="n">
        <v>499.2633879987596</v>
      </c>
      <c r="D29" s="21" t="n">
        <v>497.3132607321064</v>
      </c>
      <c r="E29" s="21" t="n">
        <v>495.3730994159856</v>
      </c>
      <c r="F29" s="21" t="n">
        <v>494.0632871009543</v>
      </c>
      <c r="G29" s="21" t="n">
        <v>498.9733401335185</v>
      </c>
      <c r="H29" s="21" t="n">
        <v>496.9731752157253</v>
      </c>
      <c r="I29" s="21" t="n">
        <v>495.0730565492329</v>
      </c>
      <c r="J29" s="21" t="n">
        <v>493.8432680810785</v>
      </c>
    </row>
    <row r="30">
      <c r="A30" s="3" t="inlineStr">
        <is>
          <t>LRFD3</t>
        </is>
      </c>
      <c r="B30" s="7" t="inlineStr">
        <is>
          <t>LRFD</t>
        </is>
      </c>
      <c r="C30" s="13" t="n">
        <v>511.6328740415338</v>
      </c>
      <c r="D30" s="13" t="n">
        <v>511.6424076442452</v>
      </c>
      <c r="E30" s="13" t="n">
        <v>511.6519412647626</v>
      </c>
      <c r="F30" s="13" t="n">
        <v>511.6614749030848</v>
      </c>
      <c r="G30" s="13" t="n">
        <v>511.6328740415338</v>
      </c>
      <c r="H30" s="13" t="n">
        <v>511.6328740415338</v>
      </c>
      <c r="I30" s="13" t="n">
        <v>511.6424076442452</v>
      </c>
      <c r="J30" s="13" t="n">
        <v>511.6519412647626</v>
      </c>
    </row>
    <row r="31">
      <c r="A31" s="19" t="inlineStr">
        <is>
          <t>LRFD4</t>
        </is>
      </c>
      <c r="B31" s="20" t="inlineStr">
        <is>
          <t>LRFD</t>
        </is>
      </c>
      <c r="C31" s="21" t="n">
        <v>533.26307850816</v>
      </c>
      <c r="D31" s="21" t="n">
        <v>533.26307850816</v>
      </c>
      <c r="E31" s="21" t="n">
        <v>533.26307850816</v>
      </c>
      <c r="F31" s="21" t="n">
        <v>533.26307850816</v>
      </c>
      <c r="G31" s="21" t="n">
        <v>533.2603448598068</v>
      </c>
      <c r="H31" s="21" t="n">
        <v>533.2603448598068</v>
      </c>
      <c r="I31" s="21" t="n">
        <v>533.2603448598068</v>
      </c>
      <c r="J31" s="21" t="n">
        <v>533.26307850816</v>
      </c>
    </row>
    <row r="32">
      <c r="A32" s="24" t="inlineStr">
        <is>
          <t>max (all)</t>
        </is>
      </c>
      <c r="B32" s="25" t="inlineStr"/>
      <c r="C32" s="26">
        <f>MAX(C22:C31)</f>
        <v/>
      </c>
      <c r="D32" s="26">
        <f>MAX(D22:D31)</f>
        <v/>
      </c>
      <c r="E32" s="26">
        <f>MAX(E22:E31)</f>
        <v/>
      </c>
      <c r="F32" s="26">
        <f>MAX(F22:F31)</f>
        <v/>
      </c>
      <c r="G32" s="26">
        <f>MAX(G22:G31)</f>
        <v/>
      </c>
      <c r="H32" s="26">
        <f>MAX(H22:H31)</f>
        <v/>
      </c>
      <c r="I32" s="26">
        <f>MAX(I22:I31)</f>
        <v/>
      </c>
      <c r="J32" s="26">
        <f>MAX(J22:J31)</f>
        <v/>
      </c>
    </row>
    <row r="33">
      <c r="A33" s="24" t="inlineStr">
        <is>
          <t>min (all)</t>
        </is>
      </c>
      <c r="B33" s="25" t="inlineStr"/>
      <c r="C33" s="26">
        <f>MIN(C22:C31)</f>
        <v/>
      </c>
      <c r="D33" s="26">
        <f>MIN(D22:D31)</f>
        <v/>
      </c>
      <c r="E33" s="26">
        <f>MIN(E22:E31)</f>
        <v/>
      </c>
      <c r="F33" s="26">
        <f>MIN(F22:F31)</f>
        <v/>
      </c>
      <c r="G33" s="26">
        <f>MIN(G22:G31)</f>
        <v/>
      </c>
      <c r="H33" s="26">
        <f>MIN(H22:H31)</f>
        <v/>
      </c>
      <c r="I33" s="26">
        <f>MIN(I22:I31)</f>
        <v/>
      </c>
      <c r="J33" s="26">
        <f>MIN(J22:J31)</f>
        <v/>
      </c>
    </row>
    <row r="36">
      <c r="A36" s="16" t="inlineStr">
        <is>
          <t>Head shear V (kN)</t>
        </is>
      </c>
    </row>
    <row r="37" ht="22" customHeight="1">
      <c r="A37" s="6" t="inlineStr">
        <is>
          <t>Load combination</t>
        </is>
      </c>
      <c r="B37" s="6" t="inlineStr">
        <is>
          <t>Design</t>
        </is>
      </c>
      <c r="C37" s="6" t="inlineStr">
        <is>
          <t>Pile 1</t>
        </is>
      </c>
      <c r="D37" s="6" t="inlineStr">
        <is>
          <t>Pile 2</t>
        </is>
      </c>
      <c r="E37" s="6" t="inlineStr">
        <is>
          <t>Pile 3</t>
        </is>
      </c>
      <c r="F37" s="6" t="inlineStr">
        <is>
          <t>Pile 4</t>
        </is>
      </c>
      <c r="G37" s="6" t="inlineStr">
        <is>
          <t>Pile 5</t>
        </is>
      </c>
      <c r="H37" s="6" t="inlineStr">
        <is>
          <t>Pile 6</t>
        </is>
      </c>
      <c r="I37" s="6" t="inlineStr">
        <is>
          <t>Pile 7</t>
        </is>
      </c>
      <c r="J37" s="6" t="inlineStr">
        <is>
          <t>Pile 8</t>
        </is>
      </c>
    </row>
    <row r="38">
      <c r="A38" s="3" t="inlineStr">
        <is>
          <t>ASD1</t>
        </is>
      </c>
      <c r="B38" s="7" t="inlineStr">
        <is>
          <t>ASD</t>
        </is>
      </c>
      <c r="C38" s="13" t="n">
        <v>6.845800000181355e-14</v>
      </c>
      <c r="D38" s="13" t="n">
        <v>6.845800000181355e-14</v>
      </c>
      <c r="E38" s="13" t="n">
        <v>6.845800000181355e-14</v>
      </c>
      <c r="F38" s="13" t="n">
        <v>6.845800000181355e-14</v>
      </c>
      <c r="G38" s="13" t="n">
        <v>6.845800000181355e-14</v>
      </c>
      <c r="H38" s="13" t="n">
        <v>6.845800000181355e-14</v>
      </c>
      <c r="I38" s="13" t="n">
        <v>6.845800000181355e-14</v>
      </c>
      <c r="J38" s="13" t="n">
        <v>6.845800000181355e-14</v>
      </c>
    </row>
    <row r="39">
      <c r="A39" s="19" t="inlineStr">
        <is>
          <t>ASD2(max)</t>
        </is>
      </c>
      <c r="B39" s="20" t="inlineStr">
        <is>
          <t>ASD</t>
        </is>
      </c>
      <c r="C39" s="21" t="n">
        <v>1.493552843022302</v>
      </c>
      <c r="D39" s="21" t="n">
        <v>0.8346929014679592</v>
      </c>
      <c r="E39" s="21" t="n">
        <v>0.1756045975437147</v>
      </c>
      <c r="F39" s="21" t="n">
        <v>0.6694409489596524</v>
      </c>
      <c r="G39" s="21" t="n">
        <v>1.45400339204006</v>
      </c>
      <c r="H39" s="21" t="n">
        <v>0.7950457080721837</v>
      </c>
      <c r="I39" s="21" t="n">
        <v>0.1360023171758849</v>
      </c>
      <c r="J39" s="21" t="n">
        <v>0.7481040803096852</v>
      </c>
    </row>
    <row r="40">
      <c r="A40" s="3" t="inlineStr">
        <is>
          <t>ASD2(min)</t>
        </is>
      </c>
      <c r="B40" s="7" t="inlineStr">
        <is>
          <t>ASD</t>
        </is>
      </c>
      <c r="C40" s="13" t="n">
        <v>0.7892308457282952</v>
      </c>
      <c r="D40" s="13" t="n">
        <v>0.007949137977164568</v>
      </c>
      <c r="E40" s="13" t="n">
        <v>0.6051595970328819</v>
      </c>
      <c r="F40" s="13" t="n">
        <v>1.057297347445836</v>
      </c>
      <c r="G40" s="13" t="n">
        <v>0.722574986160606</v>
      </c>
      <c r="H40" s="13" t="n">
        <v>0.05859246695130697</v>
      </c>
      <c r="I40" s="13" t="n">
        <v>0.6292966949547725</v>
      </c>
      <c r="J40" s="13" t="n">
        <v>1.08143681564158</v>
      </c>
    </row>
    <row r="41">
      <c r="A41" s="19" t="inlineStr">
        <is>
          <t>ASD3</t>
        </is>
      </c>
      <c r="B41" s="20" t="inlineStr">
        <is>
          <t>ASD</t>
        </is>
      </c>
      <c r="C41" s="21" t="n">
        <v>216.793252007529</v>
      </c>
      <c r="D41" s="21" t="n">
        <v>216.7622184422368</v>
      </c>
      <c r="E41" s="21" t="n">
        <v>216.7311848811795</v>
      </c>
      <c r="F41" s="21" t="n">
        <v>216.7097295554586</v>
      </c>
      <c r="G41" s="21" t="n">
        <v>216.8039796682708</v>
      </c>
      <c r="H41" s="21" t="n">
        <v>216.7825243510187</v>
      </c>
      <c r="I41" s="21" t="n">
        <v>216.7514907814938</v>
      </c>
      <c r="J41" s="21" t="n">
        <v>216.7204572162028</v>
      </c>
    </row>
    <row r="42">
      <c r="A42" s="3" t="inlineStr">
        <is>
          <t>ASD4</t>
        </is>
      </c>
      <c r="B42" s="7" t="inlineStr">
        <is>
          <t>ASD</t>
        </is>
      </c>
      <c r="C42" s="13" t="n">
        <v>216.7512034314919</v>
      </c>
      <c r="D42" s="13" t="n">
        <v>216.7503414068822</v>
      </c>
      <c r="E42" s="13" t="n">
        <v>216.7401884376776</v>
      </c>
      <c r="F42" s="13" t="n">
        <v>216.7297481311691</v>
      </c>
      <c r="G42" s="13" t="n">
        <v>216.7926773117579</v>
      </c>
      <c r="H42" s="13" t="n">
        <v>216.7822370052491</v>
      </c>
      <c r="I42" s="13" t="n">
        <v>216.7717966987403</v>
      </c>
      <c r="J42" s="13" t="n">
        <v>216.7712220198982</v>
      </c>
    </row>
    <row r="43">
      <c r="A43" s="19" t="inlineStr">
        <is>
          <t>LRFD1</t>
        </is>
      </c>
      <c r="B43" s="20" t="inlineStr">
        <is>
          <t>LRFD</t>
        </is>
      </c>
      <c r="C43" s="21" t="n">
        <v>9.585700001012885e-14</v>
      </c>
      <c r="D43" s="21" t="n">
        <v>9.585700001012885e-14</v>
      </c>
      <c r="E43" s="21" t="n">
        <v>9.585700001012885e-14</v>
      </c>
      <c r="F43" s="21" t="n">
        <v>9.585700001012885e-14</v>
      </c>
      <c r="G43" s="21" t="n">
        <v>9.585700001012885e-14</v>
      </c>
      <c r="H43" s="21" t="n">
        <v>9.585700001012885e-14</v>
      </c>
      <c r="I43" s="21" t="n">
        <v>9.585700001012885e-14</v>
      </c>
      <c r="J43" s="21" t="n">
        <v>9.585700001012885e-14</v>
      </c>
    </row>
    <row r="44">
      <c r="A44" s="3" t="inlineStr">
        <is>
          <t>LRFD2(max)</t>
        </is>
      </c>
      <c r="B44" s="7" t="inlineStr">
        <is>
          <t>LRFD</t>
        </is>
      </c>
      <c r="C44" s="13" t="n">
        <v>2.793780544352043</v>
      </c>
      <c r="D44" s="13" t="n">
        <v>1.477700419599318</v>
      </c>
      <c r="E44" s="13" t="n">
        <v>0.100702825676542</v>
      </c>
      <c r="F44" s="13" t="n">
        <v>2.169314817783717</v>
      </c>
      <c r="G44" s="13" t="n">
        <v>2.731580524165451</v>
      </c>
      <c r="H44" s="13" t="n">
        <v>1.415606302608179</v>
      </c>
      <c r="I44" s="13" t="n">
        <v>0.03745698157887258</v>
      </c>
      <c r="J44" s="13" t="n">
        <v>2.355553738415025</v>
      </c>
    </row>
    <row r="45">
      <c r="A45" s="19" t="inlineStr">
        <is>
          <t>LRFD2(min)</t>
        </is>
      </c>
      <c r="B45" s="20" t="inlineStr">
        <is>
          <t>LRFD</t>
        </is>
      </c>
      <c r="C45" s="21" t="n">
        <v>2.042196499086462</v>
      </c>
      <c r="D45" s="21" t="n">
        <v>0.5302647679122194</v>
      </c>
      <c r="E45" s="21" t="n">
        <v>0.9678785500753697</v>
      </c>
      <c r="F45" s="21" t="n">
        <v>1.971795351703873</v>
      </c>
      <c r="G45" s="21" t="n">
        <v>1.942083394794363</v>
      </c>
      <c r="H45" s="21" t="n">
        <v>0.3969385616389519</v>
      </c>
      <c r="I45" s="21" t="n">
        <v>1.064686685481226</v>
      </c>
      <c r="J45" s="21" t="n">
        <v>2.014784600775974</v>
      </c>
    </row>
    <row r="46">
      <c r="A46" s="3" t="inlineStr">
        <is>
          <t>LRFD3</t>
        </is>
      </c>
      <c r="B46" s="7" t="inlineStr">
        <is>
          <t>LRFD</t>
        </is>
      </c>
      <c r="C46" s="13" t="n">
        <v>309.7743344258849</v>
      </c>
      <c r="D46" s="13" t="n">
        <v>309.7021143373096</v>
      </c>
      <c r="E46" s="13" t="n">
        <v>309.6397598565146</v>
      </c>
      <c r="F46" s="13" t="n">
        <v>309.5774053786872</v>
      </c>
      <c r="G46" s="13" t="n">
        <v>309.7952150389028</v>
      </c>
      <c r="H46" s="13" t="n">
        <v>309.7328605492159</v>
      </c>
      <c r="I46" s="13" t="n">
        <v>309.6609278307484</v>
      </c>
      <c r="J46" s="13" t="n">
        <v>309.5982859917025</v>
      </c>
    </row>
    <row r="47">
      <c r="A47" s="19" t="inlineStr">
        <is>
          <t>LRFD4</t>
        </is>
      </c>
      <c r="B47" s="20" t="inlineStr">
        <is>
          <t>LRFD</t>
        </is>
      </c>
      <c r="C47" s="21" t="n">
        <v>309.6797969774586</v>
      </c>
      <c r="D47" s="21" t="n">
        <v>309.6592037078827</v>
      </c>
      <c r="E47" s="21" t="n">
        <v>309.6479013799383</v>
      </c>
      <c r="F47" s="21" t="n">
        <v>309.6270207669221</v>
      </c>
      <c r="G47" s="21" t="n">
        <v>309.763032089047</v>
      </c>
      <c r="H47" s="21" t="n">
        <v>309.7421514760301</v>
      </c>
      <c r="I47" s="21" t="n">
        <v>309.7215582034935</v>
      </c>
      <c r="J47" s="21" t="n">
        <v>309.7006775904761</v>
      </c>
    </row>
    <row r="48">
      <c r="A48" s="24" t="inlineStr">
        <is>
          <t>max (all)</t>
        </is>
      </c>
      <c r="B48" s="25" t="inlineStr"/>
      <c r="C48" s="26">
        <f>MAX(C38:C47)</f>
        <v/>
      </c>
      <c r="D48" s="26">
        <f>MAX(D38:D47)</f>
        <v/>
      </c>
      <c r="E48" s="26">
        <f>MAX(E38:E47)</f>
        <v/>
      </c>
      <c r="F48" s="26">
        <f>MAX(F38:F47)</f>
        <v/>
      </c>
      <c r="G48" s="26">
        <f>MAX(G38:G47)</f>
        <v/>
      </c>
      <c r="H48" s="26">
        <f>MAX(H38:H47)</f>
        <v/>
      </c>
      <c r="I48" s="26">
        <f>MAX(I38:I47)</f>
        <v/>
      </c>
      <c r="J48" s="26">
        <f>MAX(J38:J47)</f>
        <v/>
      </c>
    </row>
    <row r="49">
      <c r="A49" s="24" t="inlineStr">
        <is>
          <t>min (all)</t>
        </is>
      </c>
      <c r="B49" s="25" t="inlineStr"/>
      <c r="C49" s="26">
        <f>MIN(C38:C47)</f>
        <v/>
      </c>
      <c r="D49" s="26">
        <f>MIN(D38:D47)</f>
        <v/>
      </c>
      <c r="E49" s="26">
        <f>MIN(E38:E47)</f>
        <v/>
      </c>
      <c r="F49" s="26">
        <f>MIN(F38:F47)</f>
        <v/>
      </c>
      <c r="G49" s="26">
        <f>MIN(G38:G47)</f>
        <v/>
      </c>
      <c r="H49" s="26">
        <f>MIN(H38:H47)</f>
        <v/>
      </c>
      <c r="I49" s="26">
        <f>MIN(I38:I47)</f>
        <v/>
      </c>
      <c r="J49" s="26">
        <f>MIN(J38:J47)</f>
        <v/>
      </c>
    </row>
    <row r="52">
      <c r="A52" s="16" t="inlineStr">
        <is>
          <t>Head deflection y (mm)</t>
        </is>
      </c>
    </row>
    <row r="53" ht="22" customHeight="1">
      <c r="A53" s="6" t="inlineStr">
        <is>
          <t>Load combination</t>
        </is>
      </c>
      <c r="B53" s="6" t="inlineStr">
        <is>
          <t>Design</t>
        </is>
      </c>
      <c r="C53" s="6" t="inlineStr">
        <is>
          <t>Pile 1</t>
        </is>
      </c>
      <c r="D53" s="6" t="inlineStr">
        <is>
          <t>Pile 2</t>
        </is>
      </c>
      <c r="E53" s="6" t="inlineStr">
        <is>
          <t>Pile 3</t>
        </is>
      </c>
      <c r="F53" s="6" t="inlineStr">
        <is>
          <t>Pile 4</t>
        </is>
      </c>
      <c r="G53" s="6" t="inlineStr">
        <is>
          <t>Pile 5</t>
        </is>
      </c>
      <c r="H53" s="6" t="inlineStr">
        <is>
          <t>Pile 6</t>
        </is>
      </c>
      <c r="I53" s="6" t="inlineStr">
        <is>
          <t>Pile 7</t>
        </is>
      </c>
      <c r="J53" s="6" t="inlineStr">
        <is>
          <t>Pile 8</t>
        </is>
      </c>
    </row>
    <row r="54">
      <c r="A54" s="3" t="inlineStr">
        <is>
          <t>ASD1</t>
        </is>
      </c>
      <c r="B54" s="7" t="inlineStr">
        <is>
          <t>ASD</t>
        </is>
      </c>
      <c r="C54" s="27" t="n">
        <v>3.425883778069682e-16</v>
      </c>
      <c r="D54" s="27" t="n">
        <v>3.425883778069682e-16</v>
      </c>
      <c r="E54" s="27" t="n">
        <v>3.425883778069682e-16</v>
      </c>
      <c r="F54" s="27" t="n">
        <v>3.425883778069682e-16</v>
      </c>
      <c r="G54" s="27" t="n">
        <v>3.425883778069682e-16</v>
      </c>
      <c r="H54" s="27" t="n">
        <v>3.425883778069682e-16</v>
      </c>
      <c r="I54" s="27" t="n">
        <v>3.425883778069682e-16</v>
      </c>
      <c r="J54" s="27" t="n">
        <v>3.425883778069682e-16</v>
      </c>
    </row>
    <row r="55">
      <c r="A55" s="19" t="inlineStr">
        <is>
          <t>ASD2(max)</t>
        </is>
      </c>
      <c r="B55" s="20" t="inlineStr">
        <is>
          <t>ASD</t>
        </is>
      </c>
      <c r="C55" s="28" t="n">
        <v>1.933695110354525</v>
      </c>
      <c r="D55" s="28" t="n">
        <v>1.933696229038056</v>
      </c>
      <c r="E55" s="28" t="n">
        <v>1.933697377222196</v>
      </c>
      <c r="F55" s="28" t="n">
        <v>1.933698497497735</v>
      </c>
      <c r="G55" s="28" t="n">
        <v>1.933595151475355</v>
      </c>
      <c r="H55" s="28" t="n">
        <v>1.933596270216717</v>
      </c>
      <c r="I55" s="28" t="n">
        <v>1.933597418460213</v>
      </c>
      <c r="J55" s="28" t="n">
        <v>1.933598538793666</v>
      </c>
    </row>
    <row r="56">
      <c r="A56" s="3" t="inlineStr">
        <is>
          <t>ASD2(min)</t>
        </is>
      </c>
      <c r="B56" s="7" t="inlineStr">
        <is>
          <t>ASD</t>
        </is>
      </c>
      <c r="C56" s="27" t="n">
        <v>1.599691476785446</v>
      </c>
      <c r="D56" s="27" t="n">
        <v>1.599690536323823</v>
      </c>
      <c r="E56" s="27" t="n">
        <v>1.599689567142638</v>
      </c>
      <c r="F56" s="27" t="n">
        <v>1.599688627980145</v>
      </c>
      <c r="G56" s="27" t="n">
        <v>1.599791433562513</v>
      </c>
      <c r="H56" s="27" t="n">
        <v>1.599790493159651</v>
      </c>
      <c r="I56" s="27" t="n">
        <v>1.599789524039022</v>
      </c>
      <c r="J56" s="27" t="n">
        <v>1.599788584935209</v>
      </c>
    </row>
    <row r="57">
      <c r="A57" s="19" t="inlineStr">
        <is>
          <t>ASD3</t>
        </is>
      </c>
      <c r="B57" s="20" t="inlineStr">
        <is>
          <t>ASD</t>
        </is>
      </c>
      <c r="C57" s="28" t="n">
        <v>1.167420530228932</v>
      </c>
      <c r="D57" s="28" t="n">
        <v>1.167420530228932</v>
      </c>
      <c r="E57" s="28" t="n">
        <v>1.167417865247915</v>
      </c>
      <c r="F57" s="28" t="n">
        <v>1.167417865247915</v>
      </c>
      <c r="G57" s="28" t="n">
        <v>1.167420530228932</v>
      </c>
      <c r="H57" s="28" t="n">
        <v>1.167420530228932</v>
      </c>
      <c r="I57" s="28" t="n">
        <v>1.167417865247915</v>
      </c>
      <c r="J57" s="28" t="n">
        <v>1.167417865247915</v>
      </c>
    </row>
    <row r="58">
      <c r="A58" s="3" t="inlineStr">
        <is>
          <t>ASD4</t>
        </is>
      </c>
      <c r="B58" s="7" t="inlineStr">
        <is>
          <t>ASD</t>
        </is>
      </c>
      <c r="C58" s="27" t="n">
        <v>1.088340908217641</v>
      </c>
      <c r="D58" s="27" t="n">
        <v>1.088340908217641</v>
      </c>
      <c r="E58" s="27" t="n">
        <v>1.088340908217641</v>
      </c>
      <c r="F58" s="27" t="n">
        <v>1.088340908217641</v>
      </c>
      <c r="G58" s="27" t="n">
        <v>1.088340908217641</v>
      </c>
      <c r="H58" s="27" t="n">
        <v>1.088340908217641</v>
      </c>
      <c r="I58" s="27" t="n">
        <v>1.088340908217641</v>
      </c>
      <c r="J58" s="27" t="n">
        <v>1.088340908217641</v>
      </c>
    </row>
    <row r="59">
      <c r="A59" s="19" t="inlineStr">
        <is>
          <t>LRFD1</t>
        </is>
      </c>
      <c r="B59" s="20" t="inlineStr">
        <is>
          <t>LRFD</t>
        </is>
      </c>
      <c r="C59" s="28" t="n">
        <v>4.571152815165995e-16</v>
      </c>
      <c r="D59" s="28" t="n">
        <v>4.571152815165995e-16</v>
      </c>
      <c r="E59" s="28" t="n">
        <v>4.571152815165995e-16</v>
      </c>
      <c r="F59" s="28" t="n">
        <v>4.571152815165995e-16</v>
      </c>
      <c r="G59" s="28" t="n">
        <v>4.571152815165995e-16</v>
      </c>
      <c r="H59" s="28" t="n">
        <v>4.571152815165995e-16</v>
      </c>
      <c r="I59" s="28" t="n">
        <v>4.571152815165995e-16</v>
      </c>
      <c r="J59" s="28" t="n">
        <v>4.571152815165995e-16</v>
      </c>
    </row>
    <row r="60">
      <c r="A60" s="3" t="inlineStr">
        <is>
          <t>LRFD2(max)</t>
        </is>
      </c>
      <c r="B60" s="7" t="inlineStr">
        <is>
          <t>LRFD</t>
        </is>
      </c>
      <c r="C60" s="27" t="n">
        <v>2.743913110185707</v>
      </c>
      <c r="D60" s="27" t="n">
        <v>2.743915720354581</v>
      </c>
      <c r="E60" s="27" t="n">
        <v>2.743918306638155</v>
      </c>
      <c r="F60" s="27" t="n">
        <v>2.743920923484494</v>
      </c>
      <c r="G60" s="27" t="n">
        <v>2.743613220964099</v>
      </c>
      <c r="H60" s="27" t="n">
        <v>2.743615831418276</v>
      </c>
      <c r="I60" s="27" t="n">
        <v>2.743618417984542</v>
      </c>
      <c r="J60" s="27" t="n">
        <v>2.743621035116913</v>
      </c>
    </row>
    <row r="61">
      <c r="A61" s="19" t="inlineStr">
        <is>
          <t>LRFD2(min)</t>
        </is>
      </c>
      <c r="B61" s="20" t="inlineStr">
        <is>
          <t>LRFD</t>
        </is>
      </c>
      <c r="C61" s="28" t="n">
        <v>2.191032827067865</v>
      </c>
      <c r="D61" s="28" t="n">
        <v>2.191030740450941</v>
      </c>
      <c r="E61" s="28" t="n">
        <v>2.19102862530365</v>
      </c>
      <c r="F61" s="28" t="n">
        <v>2.191026542934613</v>
      </c>
      <c r="G61" s="28" t="n">
        <v>2.191332685670754</v>
      </c>
      <c r="H61" s="28" t="n">
        <v>2.19133059933936</v>
      </c>
      <c r="I61" s="28" t="n">
        <v>2.191328484481503</v>
      </c>
      <c r="J61" s="28" t="n">
        <v>2.191326402397415</v>
      </c>
    </row>
    <row r="62">
      <c r="A62" s="3" t="inlineStr">
        <is>
          <t>LRFD3</t>
        </is>
      </c>
      <c r="B62" s="7" t="inlineStr">
        <is>
          <t>LRFD</t>
        </is>
      </c>
      <c r="C62" s="27" t="n">
        <v>1.730142283281927</v>
      </c>
      <c r="D62" s="27" t="n">
        <v>1.730142283281927</v>
      </c>
      <c r="E62" s="27" t="n">
        <v>1.73013961890363</v>
      </c>
      <c r="F62" s="27" t="n">
        <v>1.73013961890363</v>
      </c>
      <c r="G62" s="27" t="n">
        <v>1.730045898350677</v>
      </c>
      <c r="H62" s="27" t="n">
        <v>1.730045898350677</v>
      </c>
      <c r="I62" s="27" t="n">
        <v>1.730043233823941</v>
      </c>
      <c r="J62" s="27" t="n">
        <v>1.730043233823941</v>
      </c>
    </row>
    <row r="63">
      <c r="A63" s="19" t="inlineStr">
        <is>
          <t>LRFD4</t>
        </is>
      </c>
      <c r="B63" s="20" t="inlineStr">
        <is>
          <t>LRFD</t>
        </is>
      </c>
      <c r="C63" s="28" t="n">
        <v>1.607355721799005</v>
      </c>
      <c r="D63" s="28" t="n">
        <v>1.607355721799005</v>
      </c>
      <c r="E63" s="28" t="n">
        <v>1.607355721799005</v>
      </c>
      <c r="F63" s="28" t="n">
        <v>1.607355721799005</v>
      </c>
      <c r="G63" s="28" t="n">
        <v>1.607352626183813</v>
      </c>
      <c r="H63" s="28" t="n">
        <v>1.607352626183813</v>
      </c>
      <c r="I63" s="28" t="n">
        <v>1.607352626183813</v>
      </c>
      <c r="J63" s="28" t="n">
        <v>1.607352626183813</v>
      </c>
    </row>
    <row r="64">
      <c r="A64" s="24" t="inlineStr">
        <is>
          <t>max (all)</t>
        </is>
      </c>
      <c r="B64" s="25" t="inlineStr"/>
      <c r="C64" s="29">
        <f>MAX(C54:C63)</f>
        <v/>
      </c>
      <c r="D64" s="29">
        <f>MAX(D54:D63)</f>
        <v/>
      </c>
      <c r="E64" s="29">
        <f>MAX(E54:E63)</f>
        <v/>
      </c>
      <c r="F64" s="29">
        <f>MAX(F54:F63)</f>
        <v/>
      </c>
      <c r="G64" s="29">
        <f>MAX(G54:G63)</f>
        <v/>
      </c>
      <c r="H64" s="29">
        <f>MAX(H54:H63)</f>
        <v/>
      </c>
      <c r="I64" s="29">
        <f>MAX(I54:I63)</f>
        <v/>
      </c>
      <c r="J64" s="29">
        <f>MAX(J54:J63)</f>
        <v/>
      </c>
    </row>
    <row r="65">
      <c r="A65" s="24" t="inlineStr">
        <is>
          <t>min (all)</t>
        </is>
      </c>
      <c r="B65" s="25" t="inlineStr"/>
      <c r="C65" s="29">
        <f>MIN(C54:C63)</f>
        <v/>
      </c>
      <c r="D65" s="29">
        <f>MIN(D54:D63)</f>
        <v/>
      </c>
      <c r="E65" s="29">
        <f>MIN(E54:E63)</f>
        <v/>
      </c>
      <c r="F65" s="29">
        <f>MIN(F54:F63)</f>
        <v/>
      </c>
      <c r="G65" s="29">
        <f>MIN(G54:G63)</f>
        <v/>
      </c>
      <c r="H65" s="29">
        <f>MIN(H54:H63)</f>
        <v/>
      </c>
      <c r="I65" s="29">
        <f>MIN(I54:I63)</f>
        <v/>
      </c>
      <c r="J65" s="29">
        <f>MIN(J54:J63)</f>
        <v/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6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7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PILE-HEAD FORCES - WPA M3 (Liquefied), GROUP +Icap</t>
        </is>
      </c>
    </row>
    <row r="2">
      <c r="A2" s="11" t="inlineStr">
        <is>
          <t>P = axial (+ compression, - tension); M, V = resultant moment / shear at the pile head (z = 0, fixed head into cap); y = head deflection.</t>
        </is>
      </c>
    </row>
    <row r="4">
      <c r="A4" s="16" t="inlineStr">
        <is>
          <t>Axial force P (kN)</t>
        </is>
      </c>
    </row>
    <row r="5" ht="22" customHeight="1">
      <c r="A5" s="6" t="inlineStr">
        <is>
          <t>Load combination</t>
        </is>
      </c>
      <c r="B5" s="6" t="inlineStr">
        <is>
          <t>Design</t>
        </is>
      </c>
      <c r="C5" s="6" t="inlineStr">
        <is>
          <t>Pile 1</t>
        </is>
      </c>
      <c r="D5" s="6" t="inlineStr">
        <is>
          <t>Pile 2</t>
        </is>
      </c>
      <c r="E5" s="6" t="inlineStr">
        <is>
          <t>Pile 3</t>
        </is>
      </c>
      <c r="F5" s="6" t="inlineStr">
        <is>
          <t>Pile 4</t>
        </is>
      </c>
      <c r="G5" s="6" t="inlineStr">
        <is>
          <t>Pile 5</t>
        </is>
      </c>
      <c r="H5" s="6" t="inlineStr">
        <is>
          <t>Pile 6</t>
        </is>
      </c>
      <c r="I5" s="6" t="inlineStr">
        <is>
          <t>Pile 7</t>
        </is>
      </c>
      <c r="J5" s="6" t="inlineStr">
        <is>
          <t>Pile 8</t>
        </is>
      </c>
      <c r="K5" s="6" t="inlineStr">
        <is>
          <t>Sum P (kN)</t>
        </is>
      </c>
    </row>
    <row r="6">
      <c r="A6" s="3" t="inlineStr">
        <is>
          <t>ASD1</t>
        </is>
      </c>
      <c r="B6" s="7" t="inlineStr">
        <is>
          <t>ASD</t>
        </is>
      </c>
      <c r="C6" s="13" t="n">
        <v>1117.6</v>
      </c>
      <c r="D6" s="13" t="n">
        <v>1117.6</v>
      </c>
      <c r="E6" s="13" t="n">
        <v>1117.6</v>
      </c>
      <c r="F6" s="13" t="n">
        <v>1117.6</v>
      </c>
      <c r="G6" s="13" t="n">
        <v>1117.6</v>
      </c>
      <c r="H6" s="13" t="n">
        <v>1117.6</v>
      </c>
      <c r="I6" s="13" t="n">
        <v>1117.6</v>
      </c>
      <c r="J6" s="13" t="n">
        <v>1117.6</v>
      </c>
      <c r="K6" s="18">
        <f>SUM(C6:J6)</f>
        <v/>
      </c>
    </row>
    <row r="7">
      <c r="A7" s="19" t="inlineStr">
        <is>
          <t>ASD2(max)</t>
        </is>
      </c>
      <c r="B7" s="20" t="inlineStr">
        <is>
          <t>ASD</t>
        </is>
      </c>
      <c r="C7" s="21" t="n">
        <v>6831.1</v>
      </c>
      <c r="D7" s="21" t="n">
        <v>5781.5</v>
      </c>
      <c r="E7" s="21" t="n">
        <v>4297.6</v>
      </c>
      <c r="F7" s="21" t="n">
        <v>2590.2</v>
      </c>
      <c r="G7" s="21" t="n">
        <v>6765</v>
      </c>
      <c r="H7" s="21" t="n">
        <v>5625.5</v>
      </c>
      <c r="I7" s="21" t="n">
        <v>4074.2</v>
      </c>
      <c r="J7" s="21" t="n">
        <v>2366.9</v>
      </c>
      <c r="K7" s="22">
        <f>SUM(C7:J7)</f>
        <v/>
      </c>
    </row>
    <row r="8">
      <c r="A8" s="3" t="inlineStr">
        <is>
          <t>ASD2(min)</t>
        </is>
      </c>
      <c r="B8" s="7" t="inlineStr">
        <is>
          <t>ASD</t>
        </is>
      </c>
      <c r="C8" s="13" t="n">
        <v>738.1799999999999</v>
      </c>
      <c r="D8" s="13" t="n">
        <v>2514.3</v>
      </c>
      <c r="E8" s="13" t="n">
        <v>3906.2</v>
      </c>
      <c r="F8" s="13" t="n">
        <v>5287.8</v>
      </c>
      <c r="G8" s="13" t="n">
        <v>993.74</v>
      </c>
      <c r="H8" s="13" t="n">
        <v>2671.2</v>
      </c>
      <c r="I8" s="13" t="n">
        <v>4063.2</v>
      </c>
      <c r="J8" s="13" t="n">
        <v>5397.5</v>
      </c>
      <c r="K8" s="18">
        <f>SUM(C8:J8)</f>
        <v/>
      </c>
    </row>
    <row r="9">
      <c r="A9" s="19" t="inlineStr">
        <is>
          <t>ASD3</t>
        </is>
      </c>
      <c r="B9" s="20" t="inlineStr">
        <is>
          <t>ASD</t>
        </is>
      </c>
      <c r="C9" s="21" t="n">
        <v>1031.7</v>
      </c>
      <c r="D9" s="21" t="n">
        <v>1202.1</v>
      </c>
      <c r="E9" s="21" t="n">
        <v>1370.8</v>
      </c>
      <c r="F9" s="21" t="n">
        <v>1539.4</v>
      </c>
      <c r="G9" s="21" t="n">
        <v>953.72</v>
      </c>
      <c r="H9" s="21" t="n">
        <v>1133.6</v>
      </c>
      <c r="I9" s="21" t="n">
        <v>1302.2</v>
      </c>
      <c r="J9" s="21" t="n">
        <v>1470.9</v>
      </c>
      <c r="K9" s="22">
        <f>SUM(C9:J9)</f>
        <v/>
      </c>
    </row>
    <row r="10">
      <c r="A10" s="3" t="inlineStr">
        <is>
          <t>ASD4</t>
        </is>
      </c>
      <c r="B10" s="7" t="inlineStr">
        <is>
          <t>ASD</t>
        </is>
      </c>
      <c r="C10" s="13" t="n">
        <v>1291.9</v>
      </c>
      <c r="D10" s="13" t="n">
        <v>1343</v>
      </c>
      <c r="E10" s="13" t="n">
        <v>1394.2</v>
      </c>
      <c r="F10" s="13" t="n">
        <v>1445.3</v>
      </c>
      <c r="G10" s="13" t="n">
        <v>1055.8</v>
      </c>
      <c r="H10" s="13" t="n">
        <v>1106.9</v>
      </c>
      <c r="I10" s="13" t="n">
        <v>1158.1</v>
      </c>
      <c r="J10" s="13" t="n">
        <v>1209.2</v>
      </c>
      <c r="K10" s="18">
        <f>SUM(C10:J10)</f>
        <v/>
      </c>
    </row>
    <row r="11">
      <c r="A11" s="19" t="inlineStr">
        <is>
          <t>LRFD1</t>
        </is>
      </c>
      <c r="B11" s="20" t="inlineStr">
        <is>
          <t>LRFD</t>
        </is>
      </c>
      <c r="C11" s="21" t="n">
        <v>1564.6</v>
      </c>
      <c r="D11" s="21" t="n">
        <v>1564.6</v>
      </c>
      <c r="E11" s="21" t="n">
        <v>1564.6</v>
      </c>
      <c r="F11" s="21" t="n">
        <v>1564.6</v>
      </c>
      <c r="G11" s="21" t="n">
        <v>1564.6</v>
      </c>
      <c r="H11" s="21" t="n">
        <v>1564.6</v>
      </c>
      <c r="I11" s="21" t="n">
        <v>1564.6</v>
      </c>
      <c r="J11" s="21" t="n">
        <v>1564.6</v>
      </c>
      <c r="K11" s="22">
        <f>SUM(C11:J11)</f>
        <v/>
      </c>
    </row>
    <row r="12">
      <c r="A12" s="3" t="inlineStr">
        <is>
          <t>LRFD2(max)</t>
        </is>
      </c>
      <c r="B12" s="7" t="inlineStr">
        <is>
          <t>LRFD</t>
        </is>
      </c>
      <c r="C12" s="13" t="n">
        <v>7006</v>
      </c>
      <c r="D12" s="13" t="n">
        <v>5635.8</v>
      </c>
      <c r="E12" s="13" t="n">
        <v>3288.8</v>
      </c>
      <c r="F12" s="13" t="n">
        <v>182.08</v>
      </c>
      <c r="G12" s="13" t="n">
        <v>6918.6</v>
      </c>
      <c r="H12" s="13" t="n">
        <v>5429.3</v>
      </c>
      <c r="I12" s="13" t="n">
        <v>2993.2</v>
      </c>
      <c r="J12" s="17" t="n">
        <v>-309.1</v>
      </c>
      <c r="K12" s="18">
        <f>SUM(C12:J12)</f>
        <v/>
      </c>
    </row>
    <row r="13">
      <c r="A13" s="19" t="inlineStr">
        <is>
          <t>LRFD2(min)</t>
        </is>
      </c>
      <c r="B13" s="20" t="inlineStr">
        <is>
          <t>LRFD</t>
        </is>
      </c>
      <c r="C13" s="23" t="n">
        <v>-2559.9</v>
      </c>
      <c r="D13" s="21" t="n">
        <v>82.774</v>
      </c>
      <c r="E13" s="21" t="n">
        <v>2672.8</v>
      </c>
      <c r="F13" s="21" t="n">
        <v>4623.8</v>
      </c>
      <c r="G13" s="23" t="n">
        <v>-2322</v>
      </c>
      <c r="H13" s="21" t="n">
        <v>466.84</v>
      </c>
      <c r="I13" s="21" t="n">
        <v>2906.7</v>
      </c>
      <c r="J13" s="21" t="n">
        <v>4857.7</v>
      </c>
      <c r="K13" s="22">
        <f>SUM(C13:J13)</f>
        <v/>
      </c>
    </row>
    <row r="14">
      <c r="A14" s="3" t="inlineStr">
        <is>
          <t>LRFD3</t>
        </is>
      </c>
      <c r="B14" s="7" t="inlineStr">
        <is>
          <t>LRFD</t>
        </is>
      </c>
      <c r="C14" s="13" t="n">
        <v>1216</v>
      </c>
      <c r="D14" s="13" t="n">
        <v>1460.4</v>
      </c>
      <c r="E14" s="13" t="n">
        <v>1704.7</v>
      </c>
      <c r="F14" s="13" t="n">
        <v>1943.1</v>
      </c>
      <c r="G14" s="13" t="n">
        <v>1113.3</v>
      </c>
      <c r="H14" s="13" t="n">
        <v>1357.7</v>
      </c>
      <c r="I14" s="13" t="n">
        <v>1602.1</v>
      </c>
      <c r="J14" s="13" t="n">
        <v>1846.4</v>
      </c>
      <c r="K14" s="18">
        <f>SUM(C14:J14)</f>
        <v/>
      </c>
    </row>
    <row r="15">
      <c r="A15" s="19" t="inlineStr">
        <is>
          <t>LRFD4</t>
        </is>
      </c>
      <c r="B15" s="20" t="inlineStr">
        <is>
          <t>LRFD</t>
        </is>
      </c>
      <c r="C15" s="21" t="n">
        <v>1589.5</v>
      </c>
      <c r="D15" s="21" t="n">
        <v>1662.6</v>
      </c>
      <c r="E15" s="21" t="n">
        <v>1735.7</v>
      </c>
      <c r="F15" s="21" t="n">
        <v>1808.7</v>
      </c>
      <c r="G15" s="21" t="n">
        <v>1252.2</v>
      </c>
      <c r="H15" s="21" t="n">
        <v>1325.3</v>
      </c>
      <c r="I15" s="21" t="n">
        <v>1398.3</v>
      </c>
      <c r="J15" s="21" t="n">
        <v>1471.4</v>
      </c>
      <c r="K15" s="22">
        <f>SUM(C15:J15)</f>
        <v/>
      </c>
    </row>
    <row r="16">
      <c r="A16" s="24" t="inlineStr">
        <is>
          <t>max (all)</t>
        </is>
      </c>
      <c r="B16" s="25" t="inlineStr"/>
      <c r="C16" s="26">
        <f>MAX(C6:C15)</f>
        <v/>
      </c>
      <c r="D16" s="26">
        <f>MAX(D6:D15)</f>
        <v/>
      </c>
      <c r="E16" s="26">
        <f>MAX(E6:E15)</f>
        <v/>
      </c>
      <c r="F16" s="26">
        <f>MAX(F6:F15)</f>
        <v/>
      </c>
      <c r="G16" s="26">
        <f>MAX(G6:G15)</f>
        <v/>
      </c>
      <c r="H16" s="26">
        <f>MAX(H6:H15)</f>
        <v/>
      </c>
      <c r="I16" s="26">
        <f>MAX(I6:I15)</f>
        <v/>
      </c>
      <c r="J16" s="26">
        <f>MAX(J6:J15)</f>
        <v/>
      </c>
    </row>
    <row r="17">
      <c r="A17" s="24" t="inlineStr">
        <is>
          <t>min (all)</t>
        </is>
      </c>
      <c r="B17" s="25" t="inlineStr"/>
      <c r="C17" s="26">
        <f>MIN(C6:C15)</f>
        <v/>
      </c>
      <c r="D17" s="26">
        <f>MIN(D6:D15)</f>
        <v/>
      </c>
      <c r="E17" s="26">
        <f>MIN(E6:E15)</f>
        <v/>
      </c>
      <c r="F17" s="26">
        <f>MIN(F6:F15)</f>
        <v/>
      </c>
      <c r="G17" s="26">
        <f>MIN(G6:G15)</f>
        <v/>
      </c>
      <c r="H17" s="26">
        <f>MIN(H6:H15)</f>
        <v/>
      </c>
      <c r="I17" s="26">
        <f>MIN(I6:I15)</f>
        <v/>
      </c>
      <c r="J17" s="26">
        <f>MIN(J6:J15)</f>
        <v/>
      </c>
    </row>
    <row r="20">
      <c r="A20" s="16" t="inlineStr">
        <is>
          <t>Head moment M (kNm)</t>
        </is>
      </c>
    </row>
    <row r="21" ht="22" customHeight="1">
      <c r="A21" s="6" t="inlineStr">
        <is>
          <t>Load combination</t>
        </is>
      </c>
      <c r="B21" s="6" t="inlineStr">
        <is>
          <t>Design</t>
        </is>
      </c>
      <c r="C21" s="6" t="inlineStr">
        <is>
          <t>Pile 1</t>
        </is>
      </c>
      <c r="D21" s="6" t="inlineStr">
        <is>
          <t>Pile 2</t>
        </is>
      </c>
      <c r="E21" s="6" t="inlineStr">
        <is>
          <t>Pile 3</t>
        </is>
      </c>
      <c r="F21" s="6" t="inlineStr">
        <is>
          <t>Pile 4</t>
        </is>
      </c>
      <c r="G21" s="6" t="inlineStr">
        <is>
          <t>Pile 5</t>
        </is>
      </c>
      <c r="H21" s="6" t="inlineStr">
        <is>
          <t>Pile 6</t>
        </is>
      </c>
      <c r="I21" s="6" t="inlineStr">
        <is>
          <t>Pile 7</t>
        </is>
      </c>
      <c r="J21" s="6" t="inlineStr">
        <is>
          <t>Pile 8</t>
        </is>
      </c>
    </row>
    <row r="22">
      <c r="A22" s="3" t="inlineStr">
        <is>
          <t>ASD1</t>
        </is>
      </c>
      <c r="B22" s="7" t="inlineStr">
        <is>
          <t>ASD</t>
        </is>
      </c>
      <c r="C22" s="13" t="n">
        <v>1.116593080990564e-13</v>
      </c>
      <c r="D22" s="13" t="n">
        <v>1.116593080990564e-13</v>
      </c>
      <c r="E22" s="13" t="n">
        <v>1.116593080990564e-13</v>
      </c>
      <c r="F22" s="13" t="n">
        <v>1.116593080990564e-13</v>
      </c>
      <c r="G22" s="13" t="n">
        <v>1.116593080990564e-13</v>
      </c>
      <c r="H22" s="13" t="n">
        <v>1.116593080990564e-13</v>
      </c>
      <c r="I22" s="13" t="n">
        <v>1.116593080990564e-13</v>
      </c>
      <c r="J22" s="13" t="n">
        <v>1.116593080990564e-13</v>
      </c>
    </row>
    <row r="23">
      <c r="A23" s="19" t="inlineStr">
        <is>
          <t>ASD2(max)</t>
        </is>
      </c>
      <c r="B23" s="20" t="inlineStr">
        <is>
          <t>ASD</t>
        </is>
      </c>
      <c r="C23" s="21" t="n">
        <v>619.7980000976124</v>
      </c>
      <c r="D23" s="21" t="n">
        <v>620.7378901952095</v>
      </c>
      <c r="E23" s="21" t="n">
        <v>622.077991361212</v>
      </c>
      <c r="F23" s="21" t="n">
        <v>623.618215600699</v>
      </c>
      <c r="G23" s="21" t="n">
        <v>619.9279918256635</v>
      </c>
      <c r="H23" s="21" t="n">
        <v>620.9578975131889</v>
      </c>
      <c r="I23" s="21" t="n">
        <v>622.3580664705809</v>
      </c>
      <c r="J23" s="21" t="n">
        <v>623.8982907942608</v>
      </c>
    </row>
    <row r="24">
      <c r="A24" s="3" t="inlineStr">
        <is>
          <t>ASD2(min)</t>
        </is>
      </c>
      <c r="B24" s="7" t="inlineStr">
        <is>
          <t>ASD</t>
        </is>
      </c>
      <c r="C24" s="13" t="n">
        <v>515.2459082185903</v>
      </c>
      <c r="D24" s="13" t="n">
        <v>513.9358314575858</v>
      </c>
      <c r="E24" s="13" t="n">
        <v>512.9158946074883</v>
      </c>
      <c r="F24" s="13" t="n">
        <v>511.9059242175265</v>
      </c>
      <c r="G24" s="13" t="n">
        <v>514.9958401773746</v>
      </c>
      <c r="H24" s="13" t="n">
        <v>513.7558216322225</v>
      </c>
      <c r="I24" s="13" t="n">
        <v>512.7358551817885</v>
      </c>
      <c r="J24" s="13" t="n">
        <v>511.7559310110631</v>
      </c>
    </row>
    <row r="25">
      <c r="A25" s="19" t="inlineStr">
        <is>
          <t>ASD3</t>
        </is>
      </c>
      <c r="B25" s="20" t="inlineStr">
        <is>
          <t>ASD</t>
        </is>
      </c>
      <c r="C25" s="21" t="n">
        <v>327.7530931966928</v>
      </c>
      <c r="D25" s="21" t="n">
        <v>327.7625976221204</v>
      </c>
      <c r="E25" s="21" t="n">
        <v>327.7625976221204</v>
      </c>
      <c r="F25" s="21" t="n">
        <v>327.7721020770376</v>
      </c>
      <c r="G25" s="21" t="n">
        <v>327.7435888007575</v>
      </c>
      <c r="H25" s="21" t="n">
        <v>327.7530931966928</v>
      </c>
      <c r="I25" s="21" t="n">
        <v>327.7625976221204</v>
      </c>
      <c r="J25" s="21" t="n">
        <v>327.7721020770376</v>
      </c>
    </row>
    <row r="26">
      <c r="A26" s="3" t="inlineStr">
        <is>
          <t>ASD4</t>
        </is>
      </c>
      <c r="B26" s="7" t="inlineStr">
        <is>
          <t>ASD</t>
        </is>
      </c>
      <c r="C26" s="13" t="n">
        <v>351.7444935233528</v>
      </c>
      <c r="D26" s="13" t="n">
        <v>351.7444935233528</v>
      </c>
      <c r="E26" s="13" t="n">
        <v>351.7447588252027</v>
      </c>
      <c r="F26" s="13" t="n">
        <v>351.7450241296954</v>
      </c>
      <c r="G26" s="13" t="n">
        <v>351.7426364844046</v>
      </c>
      <c r="H26" s="13" t="n">
        <v>351.7429017677542</v>
      </c>
      <c r="I26" s="13" t="n">
        <v>351.7431670537467</v>
      </c>
      <c r="J26" s="13" t="n">
        <v>351.7431670537467</v>
      </c>
    </row>
    <row r="27">
      <c r="A27" s="19" t="inlineStr">
        <is>
          <t>LRFD1</t>
        </is>
      </c>
      <c r="B27" s="20" t="inlineStr">
        <is>
          <t>LRFD</t>
        </is>
      </c>
      <c r="C27" s="21" t="n">
        <v>1.56847013819199e-13</v>
      </c>
      <c r="D27" s="21" t="n">
        <v>1.56847013819199e-13</v>
      </c>
      <c r="E27" s="21" t="n">
        <v>1.56847013819199e-13</v>
      </c>
      <c r="F27" s="21" t="n">
        <v>1.56847013819199e-13</v>
      </c>
      <c r="G27" s="21" t="n">
        <v>1.56847013819199e-13</v>
      </c>
      <c r="H27" s="21" t="n">
        <v>1.56847013819199e-13</v>
      </c>
      <c r="I27" s="21" t="n">
        <v>1.56847013819199e-13</v>
      </c>
      <c r="J27" s="21" t="n">
        <v>1.56847013819199e-13</v>
      </c>
    </row>
    <row r="28">
      <c r="A28" s="3" t="inlineStr">
        <is>
          <t>LRFD2(max)</t>
        </is>
      </c>
      <c r="B28" s="7" t="inlineStr">
        <is>
          <t>LRFD</t>
        </is>
      </c>
      <c r="C28" s="13" t="n">
        <v>894.2926356601624</v>
      </c>
      <c r="D28" s="13" t="n">
        <v>896.1118500996402</v>
      </c>
      <c r="E28" s="13" t="n">
        <v>899.2316829382737</v>
      </c>
      <c r="F28" s="13" t="n">
        <v>903.3420041468237</v>
      </c>
      <c r="G28" s="13" t="n">
        <v>894.6026101146809</v>
      </c>
      <c r="H28" s="13" t="n">
        <v>896.5818719587186</v>
      </c>
      <c r="I28" s="13" t="n">
        <v>899.8117763088012</v>
      </c>
      <c r="J28" s="13" t="n">
        <v>904.1922161332733</v>
      </c>
    </row>
    <row r="29">
      <c r="A29" s="19" t="inlineStr">
        <is>
          <t>LRFD2(min)</t>
        </is>
      </c>
      <c r="B29" s="20" t="inlineStr">
        <is>
          <t>LRFD</t>
        </is>
      </c>
      <c r="C29" s="21" t="n">
        <v>717.815075228293</v>
      </c>
      <c r="D29" s="21" t="n">
        <v>715.1049386516639</v>
      </c>
      <c r="E29" s="21" t="n">
        <v>712.4448107916852</v>
      </c>
      <c r="F29" s="21" t="n">
        <v>710.435023945892</v>
      </c>
      <c r="G29" s="21" t="n">
        <v>717.4250165620098</v>
      </c>
      <c r="H29" s="21" t="n">
        <v>714.5647971492858</v>
      </c>
      <c r="I29" s="21" t="n">
        <v>712.0647476009468</v>
      </c>
      <c r="J29" s="21" t="n">
        <v>710.0549609720364</v>
      </c>
    </row>
    <row r="30">
      <c r="A30" s="3" t="inlineStr">
        <is>
          <t>LRFD3</t>
        </is>
      </c>
      <c r="B30" s="7" t="inlineStr">
        <is>
          <t>LRFD</t>
        </is>
      </c>
      <c r="C30" s="13" t="n">
        <v>467.4523228095032</v>
      </c>
      <c r="D30" s="13" t="n">
        <v>467.4618275324735</v>
      </c>
      <c r="E30" s="13" t="n">
        <v>467.4808370404074</v>
      </c>
      <c r="F30" s="13" t="n">
        <v>467.4903418253686</v>
      </c>
      <c r="G30" s="13" t="n">
        <v>467.4333134255623</v>
      </c>
      <c r="H30" s="13" t="n">
        <v>467.4523228095032</v>
      </c>
      <c r="I30" s="13" t="n">
        <v>467.4618275324735</v>
      </c>
      <c r="J30" s="13" t="n">
        <v>467.4808370404074</v>
      </c>
    </row>
    <row r="31">
      <c r="A31" s="19" t="inlineStr">
        <is>
          <t>LRFD4</t>
        </is>
      </c>
      <c r="B31" s="20" t="inlineStr">
        <is>
          <t>LRFD</t>
        </is>
      </c>
      <c r="C31" s="21" t="n">
        <v>502.653776669389</v>
      </c>
      <c r="D31" s="21" t="n">
        <v>502.653776669389</v>
      </c>
      <c r="E31" s="21" t="n">
        <v>502.6564298802911</v>
      </c>
      <c r="F31" s="21" t="n">
        <v>502.6467883116334</v>
      </c>
      <c r="G31" s="21" t="n">
        <v>502.6511236434272</v>
      </c>
      <c r="H31" s="21" t="n">
        <v>502.6511236434272</v>
      </c>
      <c r="I31" s="21" t="n">
        <v>502.6511236434272</v>
      </c>
      <c r="J31" s="21" t="n">
        <v>502.6414819729864</v>
      </c>
    </row>
    <row r="32">
      <c r="A32" s="24" t="inlineStr">
        <is>
          <t>max (all)</t>
        </is>
      </c>
      <c r="B32" s="25" t="inlineStr"/>
      <c r="C32" s="26">
        <f>MAX(C22:C31)</f>
        <v/>
      </c>
      <c r="D32" s="26">
        <f>MAX(D22:D31)</f>
        <v/>
      </c>
      <c r="E32" s="26">
        <f>MAX(E22:E31)</f>
        <v/>
      </c>
      <c r="F32" s="26">
        <f>MAX(F22:F31)</f>
        <v/>
      </c>
      <c r="G32" s="26">
        <f>MAX(G22:G31)</f>
        <v/>
      </c>
      <c r="H32" s="26">
        <f>MAX(H22:H31)</f>
        <v/>
      </c>
      <c r="I32" s="26">
        <f>MAX(I22:I31)</f>
        <v/>
      </c>
      <c r="J32" s="26">
        <f>MAX(J22:J31)</f>
        <v/>
      </c>
    </row>
    <row r="33">
      <c r="A33" s="24" t="inlineStr">
        <is>
          <t>min (all)</t>
        </is>
      </c>
      <c r="B33" s="25" t="inlineStr"/>
      <c r="C33" s="26">
        <f>MIN(C22:C31)</f>
        <v/>
      </c>
      <c r="D33" s="26">
        <f>MIN(D22:D31)</f>
        <v/>
      </c>
      <c r="E33" s="26">
        <f>MIN(E22:E31)</f>
        <v/>
      </c>
      <c r="F33" s="26">
        <f>MIN(F22:F31)</f>
        <v/>
      </c>
      <c r="G33" s="26">
        <f>MIN(G22:G31)</f>
        <v/>
      </c>
      <c r="H33" s="26">
        <f>MIN(H22:H31)</f>
        <v/>
      </c>
      <c r="I33" s="26">
        <f>MIN(I22:I31)</f>
        <v/>
      </c>
      <c r="J33" s="26">
        <f>MIN(J22:J31)</f>
        <v/>
      </c>
    </row>
    <row r="36">
      <c r="A36" s="16" t="inlineStr">
        <is>
          <t>Head shear V (kN)</t>
        </is>
      </c>
    </row>
    <row r="37" ht="22" customHeight="1">
      <c r="A37" s="6" t="inlineStr">
        <is>
          <t>Load combination</t>
        </is>
      </c>
      <c r="B37" s="6" t="inlineStr">
        <is>
          <t>Design</t>
        </is>
      </c>
      <c r="C37" s="6" t="inlineStr">
        <is>
          <t>Pile 1</t>
        </is>
      </c>
      <c r="D37" s="6" t="inlineStr">
        <is>
          <t>Pile 2</t>
        </is>
      </c>
      <c r="E37" s="6" t="inlineStr">
        <is>
          <t>Pile 3</t>
        </is>
      </c>
      <c r="F37" s="6" t="inlineStr">
        <is>
          <t>Pile 4</t>
        </is>
      </c>
      <c r="G37" s="6" t="inlineStr">
        <is>
          <t>Pile 5</t>
        </is>
      </c>
      <c r="H37" s="6" t="inlineStr">
        <is>
          <t>Pile 6</t>
        </is>
      </c>
      <c r="I37" s="6" t="inlineStr">
        <is>
          <t>Pile 7</t>
        </is>
      </c>
      <c r="J37" s="6" t="inlineStr">
        <is>
          <t>Pile 8</t>
        </is>
      </c>
    </row>
    <row r="38">
      <c r="A38" s="3" t="inlineStr">
        <is>
          <t>ASD1</t>
        </is>
      </c>
      <c r="B38" s="7" t="inlineStr">
        <is>
          <t>ASD</t>
        </is>
      </c>
      <c r="C38" s="13" t="n">
        <v>6.845800206902448e-14</v>
      </c>
      <c r="D38" s="13" t="n">
        <v>6.845800206902448e-14</v>
      </c>
      <c r="E38" s="13" t="n">
        <v>6.845800206902448e-14</v>
      </c>
      <c r="F38" s="13" t="n">
        <v>6.845800206902448e-14</v>
      </c>
      <c r="G38" s="13" t="n">
        <v>6.845800206902448e-14</v>
      </c>
      <c r="H38" s="13" t="n">
        <v>6.845800206902448e-14</v>
      </c>
      <c r="I38" s="13" t="n">
        <v>6.845800206902448e-14</v>
      </c>
      <c r="J38" s="13" t="n">
        <v>6.845800206902448e-14</v>
      </c>
    </row>
    <row r="39">
      <c r="A39" s="19" t="inlineStr">
        <is>
          <t>ASD2(max)</t>
        </is>
      </c>
      <c r="B39" s="20" t="inlineStr">
        <is>
          <t>ASD</t>
        </is>
      </c>
      <c r="C39" s="21" t="n">
        <v>2.019190348110846</v>
      </c>
      <c r="D39" s="21" t="n">
        <v>1.290803402922382</v>
      </c>
      <c r="E39" s="21" t="n">
        <v>0.2608310391162064</v>
      </c>
      <c r="F39" s="21" t="n">
        <v>0.9248574271318796</v>
      </c>
      <c r="G39" s="21" t="n">
        <v>2.014723869731036</v>
      </c>
      <c r="H39" s="21" t="n">
        <v>1.223906348806558</v>
      </c>
      <c r="I39" s="21" t="n">
        <v>0.1473064567242047</v>
      </c>
      <c r="J39" s="21" t="n">
        <v>1.038485098556546</v>
      </c>
    </row>
    <row r="40">
      <c r="A40" s="3" t="inlineStr">
        <is>
          <t>ASD2(min)</t>
        </is>
      </c>
      <c r="B40" s="7" t="inlineStr">
        <is>
          <t>ASD</t>
        </is>
      </c>
      <c r="C40" s="13" t="n">
        <v>1.024920076228386</v>
      </c>
      <c r="D40" s="13" t="n">
        <v>0.02298808767361914</v>
      </c>
      <c r="E40" s="13" t="n">
        <v>0.7630782804987964</v>
      </c>
      <c r="F40" s="13" t="n">
        <v>1.542365495789179</v>
      </c>
      <c r="G40" s="13" t="n">
        <v>0.9181354922319472</v>
      </c>
      <c r="H40" s="13" t="n">
        <v>0.02910959676876339</v>
      </c>
      <c r="I40" s="13" t="n">
        <v>0.8141396508241077</v>
      </c>
      <c r="J40" s="13" t="n">
        <v>1.566818512770704</v>
      </c>
    </row>
    <row r="41">
      <c r="A41" s="19" t="inlineStr">
        <is>
          <t>ASD3</t>
        </is>
      </c>
      <c r="B41" s="20" t="inlineStr">
        <is>
          <t>ASD</t>
        </is>
      </c>
      <c r="C41" s="21" t="n">
        <v>216.7929646575276</v>
      </c>
      <c r="D41" s="21" t="n">
        <v>216.7619310880026</v>
      </c>
      <c r="E41" s="21" t="n">
        <v>216.7308975227113</v>
      </c>
      <c r="F41" s="21" t="n">
        <v>216.7001513243588</v>
      </c>
      <c r="G41" s="21" t="n">
        <v>216.8036923140378</v>
      </c>
      <c r="H41" s="21" t="n">
        <v>216.7723713945114</v>
      </c>
      <c r="I41" s="21" t="n">
        <v>216.7416251876875</v>
      </c>
      <c r="J41" s="21" t="n">
        <v>216.7105916308661</v>
      </c>
    </row>
    <row r="42">
      <c r="A42" s="3" t="inlineStr">
        <is>
          <t>ASD4</t>
        </is>
      </c>
      <c r="B42" s="7" t="inlineStr">
        <is>
          <t>ASD</t>
        </is>
      </c>
      <c r="C42" s="13" t="n">
        <v>216.7509160857227</v>
      </c>
      <c r="D42" s="13" t="n">
        <v>216.7404757792139</v>
      </c>
      <c r="E42" s="13" t="n">
        <v>216.7396137673037</v>
      </c>
      <c r="F42" s="13" t="n">
        <v>216.7291734607965</v>
      </c>
      <c r="G42" s="13" t="n">
        <v>216.7921026329142</v>
      </c>
      <c r="H42" s="13" t="n">
        <v>216.7819496637116</v>
      </c>
      <c r="I42" s="13" t="n">
        <v>216.7715093572031</v>
      </c>
      <c r="J42" s="13" t="n">
        <v>216.7610690506946</v>
      </c>
    </row>
    <row r="43">
      <c r="A43" s="19" t="inlineStr">
        <is>
          <t>LRFD1</t>
        </is>
      </c>
      <c r="B43" s="20" t="inlineStr">
        <is>
          <t>LRFD</t>
        </is>
      </c>
      <c r="C43" s="21" t="n">
        <v>9.585600102982912e-14</v>
      </c>
      <c r="D43" s="21" t="n">
        <v>9.585600102982912e-14</v>
      </c>
      <c r="E43" s="21" t="n">
        <v>9.585600102982912e-14</v>
      </c>
      <c r="F43" s="21" t="n">
        <v>9.585600102982912e-14</v>
      </c>
      <c r="G43" s="21" t="n">
        <v>9.585600102982912e-14</v>
      </c>
      <c r="H43" s="21" t="n">
        <v>9.585600102982912e-14</v>
      </c>
      <c r="I43" s="21" t="n">
        <v>9.585600102982912e-14</v>
      </c>
      <c r="J43" s="21" t="n">
        <v>9.585600102982912e-14</v>
      </c>
    </row>
    <row r="44">
      <c r="A44" s="3" t="inlineStr">
        <is>
          <t>LRFD2(max)</t>
        </is>
      </c>
      <c r="B44" s="7" t="inlineStr">
        <is>
          <t>LRFD</t>
        </is>
      </c>
      <c r="C44" s="13" t="n">
        <v>3.856026659658877</v>
      </c>
      <c r="D44" s="13" t="n">
        <v>2.458673993827567</v>
      </c>
      <c r="E44" s="13" t="n">
        <v>0.06597852360427596</v>
      </c>
      <c r="F44" s="13" t="n">
        <v>3.106574274019535</v>
      </c>
      <c r="G44" s="13" t="n">
        <v>3.869177236829556</v>
      </c>
      <c r="H44" s="13" t="n">
        <v>2.3504897092923</v>
      </c>
      <c r="I44" s="13" t="n">
        <v>0.1354630131105904</v>
      </c>
      <c r="J44" s="13" t="n">
        <v>3.505286426242511</v>
      </c>
    </row>
    <row r="45">
      <c r="A45" s="19" t="inlineStr">
        <is>
          <t>LRFD2(min)</t>
        </is>
      </c>
      <c r="B45" s="20" t="inlineStr">
        <is>
          <t>LRFD</t>
        </is>
      </c>
      <c r="C45" s="21" t="n">
        <v>2.861218680912034</v>
      </c>
      <c r="D45" s="21" t="n">
        <v>0.7599660966016839</v>
      </c>
      <c r="E45" s="21" t="n">
        <v>1.298090872820543</v>
      </c>
      <c r="F45" s="21" t="n">
        <v>2.847697415456916</v>
      </c>
      <c r="G45" s="21" t="n">
        <v>2.752756073465283</v>
      </c>
      <c r="H45" s="21" t="n">
        <v>0.5352580808880889</v>
      </c>
      <c r="I45" s="21" t="n">
        <v>1.403544813081862</v>
      </c>
      <c r="J45" s="21" t="n">
        <v>2.953058050563856</v>
      </c>
    </row>
    <row r="46">
      <c r="A46" s="3" t="inlineStr">
        <is>
          <t>LRFD3</t>
        </is>
      </c>
      <c r="B46" s="7" t="inlineStr">
        <is>
          <t>LRFD</t>
        </is>
      </c>
      <c r="C46" s="13" t="n">
        <v>309.7540285145619</v>
      </c>
      <c r="D46" s="13" t="n">
        <v>309.6916740308012</v>
      </c>
      <c r="E46" s="13" t="n">
        <v>309.6296069112254</v>
      </c>
      <c r="F46" s="13" t="n">
        <v>309.5672524363648</v>
      </c>
      <c r="G46" s="13" t="n">
        <v>309.7844873859891</v>
      </c>
      <c r="H46" s="13" t="n">
        <v>309.7128420020713</v>
      </c>
      <c r="I46" s="13" t="n">
        <v>309.6504875242408</v>
      </c>
      <c r="J46" s="13" t="n">
        <v>309.5884204165266</v>
      </c>
    </row>
    <row r="47">
      <c r="A47" s="19" t="inlineStr">
        <is>
          <t>LRFD4</t>
        </is>
      </c>
      <c r="B47" s="20" t="inlineStr">
        <is>
          <t>LRFD</t>
        </is>
      </c>
      <c r="C47" s="21" t="n">
        <v>309.6693566709499</v>
      </c>
      <c r="D47" s="21" t="n">
        <v>309.6580543518932</v>
      </c>
      <c r="E47" s="21" t="n">
        <v>309.6371737388778</v>
      </c>
      <c r="F47" s="21" t="n">
        <v>309.616580460414</v>
      </c>
      <c r="G47" s="21" t="n">
        <v>309.7427261599536</v>
      </c>
      <c r="H47" s="21" t="n">
        <v>309.7314238320032</v>
      </c>
      <c r="I47" s="21" t="n">
        <v>309.710543218987</v>
      </c>
      <c r="J47" s="21" t="n">
        <v>309.6899499434878</v>
      </c>
    </row>
    <row r="48">
      <c r="A48" s="24" t="inlineStr">
        <is>
          <t>max (all)</t>
        </is>
      </c>
      <c r="B48" s="25" t="inlineStr"/>
      <c r="C48" s="26">
        <f>MAX(C38:C47)</f>
        <v/>
      </c>
      <c r="D48" s="26">
        <f>MAX(D38:D47)</f>
        <v/>
      </c>
      <c r="E48" s="26">
        <f>MAX(E38:E47)</f>
        <v/>
      </c>
      <c r="F48" s="26">
        <f>MAX(F38:F47)</f>
        <v/>
      </c>
      <c r="G48" s="26">
        <f>MAX(G38:G47)</f>
        <v/>
      </c>
      <c r="H48" s="26">
        <f>MAX(H38:H47)</f>
        <v/>
      </c>
      <c r="I48" s="26">
        <f>MAX(I38:I47)</f>
        <v/>
      </c>
      <c r="J48" s="26">
        <f>MAX(J38:J47)</f>
        <v/>
      </c>
    </row>
    <row r="49">
      <c r="A49" s="24" t="inlineStr">
        <is>
          <t>min (all)</t>
        </is>
      </c>
      <c r="B49" s="25" t="inlineStr"/>
      <c r="C49" s="26">
        <f>MIN(C38:C47)</f>
        <v/>
      </c>
      <c r="D49" s="26">
        <f>MIN(D38:D47)</f>
        <v/>
      </c>
      <c r="E49" s="26">
        <f>MIN(E38:E47)</f>
        <v/>
      </c>
      <c r="F49" s="26">
        <f>MIN(F38:F47)</f>
        <v/>
      </c>
      <c r="G49" s="26">
        <f>MIN(G38:G47)</f>
        <v/>
      </c>
      <c r="H49" s="26">
        <f>MIN(H38:H47)</f>
        <v/>
      </c>
      <c r="I49" s="26">
        <f>MIN(I38:I47)</f>
        <v/>
      </c>
      <c r="J49" s="26">
        <f>MIN(J38:J47)</f>
        <v/>
      </c>
    </row>
    <row r="52">
      <c r="A52" s="16" t="inlineStr">
        <is>
          <t>Head deflection y (mm)</t>
        </is>
      </c>
    </row>
    <row r="53" ht="22" customHeight="1">
      <c r="A53" s="6" t="inlineStr">
        <is>
          <t>Load combination</t>
        </is>
      </c>
      <c r="B53" s="6" t="inlineStr">
        <is>
          <t>Design</t>
        </is>
      </c>
      <c r="C53" s="6" t="inlineStr">
        <is>
          <t>Pile 1</t>
        </is>
      </c>
      <c r="D53" s="6" t="inlineStr">
        <is>
          <t>Pile 2</t>
        </is>
      </c>
      <c r="E53" s="6" t="inlineStr">
        <is>
          <t>Pile 3</t>
        </is>
      </c>
      <c r="F53" s="6" t="inlineStr">
        <is>
          <t>Pile 4</t>
        </is>
      </c>
      <c r="G53" s="6" t="inlineStr">
        <is>
          <t>Pile 5</t>
        </is>
      </c>
      <c r="H53" s="6" t="inlineStr">
        <is>
          <t>Pile 6</t>
        </is>
      </c>
      <c r="I53" s="6" t="inlineStr">
        <is>
          <t>Pile 7</t>
        </is>
      </c>
      <c r="J53" s="6" t="inlineStr">
        <is>
          <t>Pile 8</t>
        </is>
      </c>
    </row>
    <row r="54">
      <c r="A54" s="3" t="inlineStr">
        <is>
          <t>ASD1</t>
        </is>
      </c>
      <c r="B54" s="7" t="inlineStr">
        <is>
          <t>ASD</t>
        </is>
      </c>
      <c r="C54" s="27" t="n">
        <v>3.427855890042637e-16</v>
      </c>
      <c r="D54" s="27" t="n">
        <v>3.427855890042637e-16</v>
      </c>
      <c r="E54" s="27" t="n">
        <v>3.427855890042637e-16</v>
      </c>
      <c r="F54" s="27" t="n">
        <v>3.427855890042637e-16</v>
      </c>
      <c r="G54" s="27" t="n">
        <v>3.427855890042637e-16</v>
      </c>
      <c r="H54" s="27" t="n">
        <v>3.427855890042637e-16</v>
      </c>
      <c r="I54" s="27" t="n">
        <v>3.427855890042637e-16</v>
      </c>
      <c r="J54" s="27" t="n">
        <v>3.427855890042637e-16</v>
      </c>
    </row>
    <row r="55">
      <c r="A55" s="19" t="inlineStr">
        <is>
          <t>ASD2(max)</t>
        </is>
      </c>
      <c r="B55" s="20" t="inlineStr">
        <is>
          <t>ASD</t>
        </is>
      </c>
      <c r="C55" s="28" t="n">
        <v>2.826170197264136</v>
      </c>
      <c r="D55" s="28" t="n">
        <v>2.826172053998836</v>
      </c>
      <c r="E55" s="28" t="n">
        <v>2.826173911764101</v>
      </c>
      <c r="F55" s="28" t="n">
        <v>2.826175736128417</v>
      </c>
      <c r="G55" s="28" t="n">
        <v>2.825970315467592</v>
      </c>
      <c r="H55" s="28" t="n">
        <v>2.82597217233362</v>
      </c>
      <c r="I55" s="28" t="n">
        <v>2.825974030230285</v>
      </c>
      <c r="J55" s="28" t="n">
        <v>2.825975854723639</v>
      </c>
    </row>
    <row r="56">
      <c r="A56" s="3" t="inlineStr">
        <is>
          <t>ASD2(min)</t>
        </is>
      </c>
      <c r="B56" s="7" t="inlineStr">
        <is>
          <t>ASD</t>
        </is>
      </c>
      <c r="C56" s="27" t="n">
        <v>2.284907323197158</v>
      </c>
      <c r="D56" s="27" t="n">
        <v>2.284905957897611</v>
      </c>
      <c r="E56" s="27" t="n">
        <v>2.284904593523327</v>
      </c>
      <c r="F56" s="27" t="n">
        <v>2.284903230074307</v>
      </c>
      <c r="G56" s="27" t="n">
        <v>2.285007279113132</v>
      </c>
      <c r="H56" s="27" t="n">
        <v>2.28500591387331</v>
      </c>
      <c r="I56" s="27" t="n">
        <v>2.285004549558709</v>
      </c>
      <c r="J56" s="27" t="n">
        <v>2.285003186169333</v>
      </c>
    </row>
    <row r="57">
      <c r="A57" s="19" t="inlineStr">
        <is>
          <t>ASD3</t>
        </is>
      </c>
      <c r="B57" s="20" t="inlineStr">
        <is>
          <t>ASD</t>
        </is>
      </c>
      <c r="C57" s="28" t="n">
        <v>1.19838189276207</v>
      </c>
      <c r="D57" s="28" t="n">
        <v>1.198379306229876</v>
      </c>
      <c r="E57" s="28" t="n">
        <v>1.198379306229876</v>
      </c>
      <c r="F57" s="28" t="n">
        <v>1.198379306229876</v>
      </c>
      <c r="G57" s="28" t="n">
        <v>1.19838189276207</v>
      </c>
      <c r="H57" s="28" t="n">
        <v>1.198379306229876</v>
      </c>
      <c r="I57" s="28" t="n">
        <v>1.198379306229876</v>
      </c>
      <c r="J57" s="28" t="n">
        <v>1.198379306229876</v>
      </c>
    </row>
    <row r="58">
      <c r="A58" s="3" t="inlineStr">
        <is>
          <t>ASD4</t>
        </is>
      </c>
      <c r="B58" s="7" t="inlineStr">
        <is>
          <t>ASD</t>
        </is>
      </c>
      <c r="C58" s="27" t="n">
        <v>1.09237708786847</v>
      </c>
      <c r="D58" s="27" t="n">
        <v>1.09237708786847</v>
      </c>
      <c r="E58" s="27" t="n">
        <v>1.09237708786847</v>
      </c>
      <c r="F58" s="27" t="n">
        <v>1.09237708786847</v>
      </c>
      <c r="G58" s="27" t="n">
        <v>1.092373903203477</v>
      </c>
      <c r="H58" s="27" t="n">
        <v>1.092373903203477</v>
      </c>
      <c r="I58" s="27" t="n">
        <v>1.092373903203477</v>
      </c>
      <c r="J58" s="27" t="n">
        <v>1.092373903203477</v>
      </c>
    </row>
    <row r="59">
      <c r="A59" s="19" t="inlineStr">
        <is>
          <t>LRFD1</t>
        </is>
      </c>
      <c r="B59" s="20" t="inlineStr">
        <is>
          <t>LRFD</t>
        </is>
      </c>
      <c r="C59" s="28" t="n">
        <v>4.813632112043878e-16</v>
      </c>
      <c r="D59" s="28" t="n">
        <v>4.813632112043878e-16</v>
      </c>
      <c r="E59" s="28" t="n">
        <v>4.813632112043878e-16</v>
      </c>
      <c r="F59" s="28" t="n">
        <v>4.813632112043878e-16</v>
      </c>
      <c r="G59" s="28" t="n">
        <v>4.813632112043878e-16</v>
      </c>
      <c r="H59" s="28" t="n">
        <v>4.813632112043878e-16</v>
      </c>
      <c r="I59" s="28" t="n">
        <v>4.813632112043878e-16</v>
      </c>
      <c r="J59" s="28" t="n">
        <v>4.813632112043878e-16</v>
      </c>
    </row>
    <row r="60">
      <c r="A60" s="3" t="inlineStr">
        <is>
          <t>LRFD2(max)</t>
        </is>
      </c>
      <c r="B60" s="7" t="inlineStr">
        <is>
          <t>LRFD</t>
        </is>
      </c>
      <c r="C60" s="27" t="n">
        <v>4.211518013685802</v>
      </c>
      <c r="D60" s="27" t="n">
        <v>4.211522659335932</v>
      </c>
      <c r="E60" s="27" t="n">
        <v>4.211527310323418</v>
      </c>
      <c r="F60" s="27" t="n">
        <v>4.211531656060536</v>
      </c>
      <c r="G60" s="27" t="n">
        <v>4.210918301225992</v>
      </c>
      <c r="H60" s="27" t="n">
        <v>4.210922947537749</v>
      </c>
      <c r="I60" s="27" t="n">
        <v>4.210927599187618</v>
      </c>
      <c r="J60" s="27" t="n">
        <v>4.210931945543646</v>
      </c>
    </row>
    <row r="61">
      <c r="A61" s="19" t="inlineStr">
        <is>
          <t>LRFD2(min)</t>
        </is>
      </c>
      <c r="B61" s="20" t="inlineStr">
        <is>
          <t>LRFD</t>
        </is>
      </c>
      <c r="C61" s="28" t="n">
        <v>3.232912634142779</v>
      </c>
      <c r="D61" s="28" t="n">
        <v>3.232909477544956</v>
      </c>
      <c r="E61" s="28" t="n">
        <v>3.232906324037243</v>
      </c>
      <c r="F61" s="28" t="n">
        <v>3.232902858747846</v>
      </c>
      <c r="G61" s="28" t="n">
        <v>3.233312434640364</v>
      </c>
      <c r="H61" s="28" t="n">
        <v>3.233309278432857</v>
      </c>
      <c r="I61" s="28" t="n">
        <v>3.233306125315078</v>
      </c>
      <c r="J61" s="28" t="n">
        <v>3.233302660454168</v>
      </c>
    </row>
    <row r="62">
      <c r="A62" s="3" t="inlineStr">
        <is>
          <t>LRFD3</t>
        </is>
      </c>
      <c r="B62" s="7" t="inlineStr">
        <is>
          <t>LRFD</t>
        </is>
      </c>
      <c r="C62" s="27" t="n">
        <v>1.716615622205507</v>
      </c>
      <c r="D62" s="27" t="n">
        <v>1.716613033534349</v>
      </c>
      <c r="E62" s="27" t="n">
        <v>1.716613033534349</v>
      </c>
      <c r="F62" s="27" t="n">
        <v>1.716610444917541</v>
      </c>
      <c r="G62" s="27" t="n">
        <v>1.716615622205507</v>
      </c>
      <c r="H62" s="27" t="n">
        <v>1.716613033534349</v>
      </c>
      <c r="I62" s="27" t="n">
        <v>1.716613033534349</v>
      </c>
      <c r="J62" s="27" t="n">
        <v>1.716610444917541</v>
      </c>
    </row>
    <row r="63">
      <c r="A63" s="19" t="inlineStr">
        <is>
          <t>LRFD4</t>
        </is>
      </c>
      <c r="B63" s="20" t="inlineStr">
        <is>
          <t>LRFD</t>
        </is>
      </c>
      <c r="C63" s="28" t="n">
        <v>1.561075340782757</v>
      </c>
      <c r="D63" s="28" t="n">
        <v>1.561075340782757</v>
      </c>
      <c r="E63" s="28" t="n">
        <v>1.561075340782757</v>
      </c>
      <c r="F63" s="28" t="n">
        <v>1.561075340782757</v>
      </c>
      <c r="G63" s="28" t="n">
        <v>1.561072156211877</v>
      </c>
      <c r="H63" s="28" t="n">
        <v>1.561072156211877</v>
      </c>
      <c r="I63" s="28" t="n">
        <v>1.561072156211877</v>
      </c>
      <c r="J63" s="28" t="n">
        <v>1.561072156211877</v>
      </c>
    </row>
    <row r="64">
      <c r="A64" s="24" t="inlineStr">
        <is>
          <t>max (all)</t>
        </is>
      </c>
      <c r="B64" s="25" t="inlineStr"/>
      <c r="C64" s="29">
        <f>MAX(C54:C63)</f>
        <v/>
      </c>
      <c r="D64" s="29">
        <f>MAX(D54:D63)</f>
        <v/>
      </c>
      <c r="E64" s="29">
        <f>MAX(E54:E63)</f>
        <v/>
      </c>
      <c r="F64" s="29">
        <f>MAX(F54:F63)</f>
        <v/>
      </c>
      <c r="G64" s="29">
        <f>MAX(G54:G63)</f>
        <v/>
      </c>
      <c r="H64" s="29">
        <f>MAX(H54:H63)</f>
        <v/>
      </c>
      <c r="I64" s="29">
        <f>MAX(I54:I63)</f>
        <v/>
      </c>
      <c r="J64" s="29">
        <f>MAX(J54:J63)</f>
        <v/>
      </c>
    </row>
    <row r="65">
      <c r="A65" s="24" t="inlineStr">
        <is>
          <t>min (all)</t>
        </is>
      </c>
      <c r="B65" s="25" t="inlineStr"/>
      <c r="C65" s="29">
        <f>MIN(C54:C63)</f>
        <v/>
      </c>
      <c r="D65" s="29">
        <f>MIN(D54:D63)</f>
        <v/>
      </c>
      <c r="E65" s="29">
        <f>MIN(E54:E63)</f>
        <v/>
      </c>
      <c r="F65" s="29">
        <f>MIN(F54:F63)</f>
        <v/>
      </c>
      <c r="G65" s="29">
        <f>MIN(G54:G63)</f>
        <v/>
      </c>
      <c r="H65" s="29">
        <f>MIN(H54:H63)</f>
        <v/>
      </c>
      <c r="I65" s="29">
        <f>MIN(I54:I63)</f>
        <v/>
      </c>
      <c r="J65" s="29">
        <f>MIN(J54:J63)</f>
        <v/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0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7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PILE-HEAD FORCES - WPD M1 (Non-liquefied), GROUP +Icap</t>
        </is>
      </c>
    </row>
    <row r="2">
      <c r="A2" s="11" t="inlineStr">
        <is>
          <t>P = axial (+ compression, - tension); M, V = resultant moment / shear at the pile head (z = 0, fixed head into cap); y = head deflection.</t>
        </is>
      </c>
    </row>
    <row r="4">
      <c r="A4" s="16" t="inlineStr">
        <is>
          <t>Axial force P (kN)</t>
        </is>
      </c>
    </row>
    <row r="5" ht="22" customHeight="1">
      <c r="A5" s="6" t="inlineStr">
        <is>
          <t>Load combination</t>
        </is>
      </c>
      <c r="B5" s="6" t="inlineStr">
        <is>
          <t>Design</t>
        </is>
      </c>
      <c r="C5" s="6" t="inlineStr">
        <is>
          <t>Pile 1</t>
        </is>
      </c>
      <c r="D5" s="6" t="inlineStr">
        <is>
          <t>Pile 2</t>
        </is>
      </c>
      <c r="E5" s="6" t="inlineStr">
        <is>
          <t>Pile 3</t>
        </is>
      </c>
      <c r="F5" s="6" t="inlineStr">
        <is>
          <t>Pile 4</t>
        </is>
      </c>
      <c r="G5" s="6" t="inlineStr">
        <is>
          <t>Pile 5</t>
        </is>
      </c>
      <c r="H5" s="6" t="inlineStr">
        <is>
          <t>Pile 6</t>
        </is>
      </c>
      <c r="I5" s="6" t="inlineStr">
        <is>
          <t>Pile 7</t>
        </is>
      </c>
      <c r="J5" s="6" t="inlineStr">
        <is>
          <t>Pile 8</t>
        </is>
      </c>
      <c r="K5" s="6" t="inlineStr">
        <is>
          <t>Sum P (kN)</t>
        </is>
      </c>
    </row>
    <row r="6">
      <c r="A6" s="3" t="inlineStr">
        <is>
          <t>ASD1 1C-A</t>
        </is>
      </c>
      <c r="B6" s="7" t="inlineStr">
        <is>
          <t>ASD</t>
        </is>
      </c>
      <c r="C6" s="13" t="n">
        <v>1216.9</v>
      </c>
      <c r="D6" s="13" t="n">
        <v>1140</v>
      </c>
      <c r="E6" s="13" t="n">
        <v>1063</v>
      </c>
      <c r="F6" s="13" t="n">
        <v>986.11</v>
      </c>
      <c r="G6" s="13" t="n">
        <v>1216.9</v>
      </c>
      <c r="H6" s="13" t="n">
        <v>1140</v>
      </c>
      <c r="I6" s="13" t="n">
        <v>1063</v>
      </c>
      <c r="J6" s="13" t="n">
        <v>986.11</v>
      </c>
      <c r="K6" s="18">
        <f>SUM(C6:J6)</f>
        <v/>
      </c>
    </row>
    <row r="7">
      <c r="A7" s="19" t="inlineStr">
        <is>
          <t>ASD2(max) 1C-A</t>
        </is>
      </c>
      <c r="B7" s="20" t="inlineStr">
        <is>
          <t>ASD</t>
        </is>
      </c>
      <c r="C7" s="21" t="n">
        <v>6726.6</v>
      </c>
      <c r="D7" s="21" t="n">
        <v>5506.7</v>
      </c>
      <c r="E7" s="21" t="n">
        <v>4100.7</v>
      </c>
      <c r="F7" s="21" t="n">
        <v>2441.3</v>
      </c>
      <c r="G7" s="21" t="n">
        <v>6594.8</v>
      </c>
      <c r="H7" s="21" t="n">
        <v>5375</v>
      </c>
      <c r="I7" s="21" t="n">
        <v>3921.4</v>
      </c>
      <c r="J7" s="21" t="n">
        <v>2262</v>
      </c>
      <c r="K7" s="22">
        <f>SUM(C7:J7)</f>
        <v/>
      </c>
    </row>
    <row r="8">
      <c r="A8" s="3" t="inlineStr">
        <is>
          <t>ASD2(min) 1C-A</t>
        </is>
      </c>
      <c r="B8" s="7" t="inlineStr">
        <is>
          <t>ASD</t>
        </is>
      </c>
      <c r="C8" s="13" t="n">
        <v>3089.8</v>
      </c>
      <c r="D8" s="13" t="n">
        <v>2909.5</v>
      </c>
      <c r="E8" s="13" t="n">
        <v>2729.3</v>
      </c>
      <c r="F8" s="13" t="n">
        <v>2549.1</v>
      </c>
      <c r="G8" s="13" t="n">
        <v>3245.7</v>
      </c>
      <c r="H8" s="13" t="n">
        <v>3065.5</v>
      </c>
      <c r="I8" s="13" t="n">
        <v>2885.2</v>
      </c>
      <c r="J8" s="13" t="n">
        <v>2705</v>
      </c>
      <c r="K8" s="18">
        <f>SUM(C8:J8)</f>
        <v/>
      </c>
    </row>
    <row r="9">
      <c r="A9" s="19" t="inlineStr">
        <is>
          <t>ASD3 1C-A</t>
        </is>
      </c>
      <c r="B9" s="20" t="inlineStr">
        <is>
          <t>ASD</t>
        </is>
      </c>
      <c r="C9" s="21" t="n">
        <v>1096.8</v>
      </c>
      <c r="D9" s="21" t="n">
        <v>1223.3</v>
      </c>
      <c r="E9" s="21" t="n">
        <v>1336.9</v>
      </c>
      <c r="F9" s="21" t="n">
        <v>1438.3</v>
      </c>
      <c r="G9" s="21" t="n">
        <v>1006.6</v>
      </c>
      <c r="H9" s="21" t="n">
        <v>1133.1</v>
      </c>
      <c r="I9" s="21" t="n">
        <v>1259.6</v>
      </c>
      <c r="J9" s="21" t="n">
        <v>1366</v>
      </c>
      <c r="K9" s="22">
        <f>SUM(C9:J9)</f>
        <v/>
      </c>
    </row>
    <row r="10">
      <c r="A10" s="3" t="inlineStr">
        <is>
          <t>ASD4 1C-A</t>
        </is>
      </c>
      <c r="B10" s="7" t="inlineStr">
        <is>
          <t>ASD</t>
        </is>
      </c>
      <c r="C10" s="13" t="n">
        <v>1403.5</v>
      </c>
      <c r="D10" s="13" t="n">
        <v>1381.2</v>
      </c>
      <c r="E10" s="13" t="n">
        <v>1358.9</v>
      </c>
      <c r="F10" s="13" t="n">
        <v>1336.6</v>
      </c>
      <c r="G10" s="13" t="n">
        <v>1136.8</v>
      </c>
      <c r="H10" s="13" t="n">
        <v>1109</v>
      </c>
      <c r="I10" s="13" t="n">
        <v>1081.2</v>
      </c>
      <c r="J10" s="13" t="n">
        <v>1053.4</v>
      </c>
      <c r="K10" s="18">
        <f>SUM(C10:J10)</f>
        <v/>
      </c>
    </row>
    <row r="11">
      <c r="A11" s="19" t="inlineStr">
        <is>
          <t>LRFD1 1C-A</t>
        </is>
      </c>
      <c r="B11" s="20" t="inlineStr">
        <is>
          <t>LRFD</t>
        </is>
      </c>
      <c r="C11" s="21" t="n">
        <v>1702.1</v>
      </c>
      <c r="D11" s="21" t="n">
        <v>1595.4</v>
      </c>
      <c r="E11" s="21" t="n">
        <v>1488.8</v>
      </c>
      <c r="F11" s="21" t="n">
        <v>1382.2</v>
      </c>
      <c r="G11" s="21" t="n">
        <v>1702.1</v>
      </c>
      <c r="H11" s="21" t="n">
        <v>1595.4</v>
      </c>
      <c r="I11" s="21" t="n">
        <v>1488.8</v>
      </c>
      <c r="J11" s="21" t="n">
        <v>1382.2</v>
      </c>
      <c r="K11" s="22">
        <f>SUM(C11:J11)</f>
        <v/>
      </c>
    </row>
    <row r="12">
      <c r="A12" s="3" t="inlineStr">
        <is>
          <t>LRFD2(max) 1C-A</t>
        </is>
      </c>
      <c r="B12" s="7" t="inlineStr">
        <is>
          <t>LRFD</t>
        </is>
      </c>
      <c r="C12" s="13" t="n">
        <v>6211.9</v>
      </c>
      <c r="D12" s="13" t="n">
        <v>4881.6</v>
      </c>
      <c r="E12" s="13" t="n">
        <v>3100.1</v>
      </c>
      <c r="F12" s="13" t="n">
        <v>1290.4</v>
      </c>
      <c r="G12" s="13" t="n">
        <v>6022.3</v>
      </c>
      <c r="H12" s="13" t="n">
        <v>4651.9</v>
      </c>
      <c r="I12" s="13" t="n">
        <v>2842.2</v>
      </c>
      <c r="J12" s="13" t="n">
        <v>970.08</v>
      </c>
      <c r="K12" s="18">
        <f>SUM(C12:J12)</f>
        <v/>
      </c>
    </row>
    <row r="13">
      <c r="A13" s="19" t="inlineStr">
        <is>
          <t>LRFD2(min) 1C-A</t>
        </is>
      </c>
      <c r="B13" s="20" t="inlineStr">
        <is>
          <t>LRFD</t>
        </is>
      </c>
      <c r="C13" s="21" t="n">
        <v>334.08</v>
      </c>
      <c r="D13" s="21" t="n">
        <v>696.8099999999999</v>
      </c>
      <c r="E13" s="21" t="n">
        <v>1059.5</v>
      </c>
      <c r="F13" s="21" t="n">
        <v>1395</v>
      </c>
      <c r="G13" s="21" t="n">
        <v>599.34</v>
      </c>
      <c r="H13" s="21" t="n">
        <v>962.0599999999999</v>
      </c>
      <c r="I13" s="21" t="n">
        <v>1316.9</v>
      </c>
      <c r="J13" s="21" t="n">
        <v>1607.7</v>
      </c>
      <c r="K13" s="22">
        <f>SUM(C13:J13)</f>
        <v/>
      </c>
    </row>
    <row r="14">
      <c r="A14" s="3" t="inlineStr">
        <is>
          <t>LRFD3 1C-A</t>
        </is>
      </c>
      <c r="B14" s="7" t="inlineStr">
        <is>
          <t>LRFD</t>
        </is>
      </c>
      <c r="C14" s="13" t="n">
        <v>1292.3</v>
      </c>
      <c r="D14" s="13" t="n">
        <v>1476.1</v>
      </c>
      <c r="E14" s="13" t="n">
        <v>1659.9</v>
      </c>
      <c r="F14" s="13" t="n">
        <v>1843.7</v>
      </c>
      <c r="G14" s="13" t="n">
        <v>1153.6</v>
      </c>
      <c r="H14" s="13" t="n">
        <v>1363.5</v>
      </c>
      <c r="I14" s="13" t="n">
        <v>1547.3</v>
      </c>
      <c r="J14" s="13" t="n">
        <v>1731.1</v>
      </c>
      <c r="K14" s="18">
        <f>SUM(C14:J14)</f>
        <v/>
      </c>
    </row>
    <row r="15">
      <c r="A15" s="19" t="inlineStr">
        <is>
          <t>LRFD4 1C-A</t>
        </is>
      </c>
      <c r="B15" s="20" t="inlineStr">
        <is>
          <t>LRFD</t>
        </is>
      </c>
      <c r="C15" s="21" t="n">
        <v>1732.3</v>
      </c>
      <c r="D15" s="21" t="n">
        <v>1715.2</v>
      </c>
      <c r="E15" s="21" t="n">
        <v>1698.2</v>
      </c>
      <c r="F15" s="21" t="n">
        <v>1681.1</v>
      </c>
      <c r="G15" s="21" t="n">
        <v>1335.8</v>
      </c>
      <c r="H15" s="21" t="n">
        <v>1318.7</v>
      </c>
      <c r="I15" s="21" t="n">
        <v>1301.7</v>
      </c>
      <c r="J15" s="21" t="n">
        <v>1284.5</v>
      </c>
      <c r="K15" s="22">
        <f>SUM(C15:J15)</f>
        <v/>
      </c>
    </row>
    <row r="16">
      <c r="A16" s="3" t="inlineStr">
        <is>
          <t>ASD1 1C-B</t>
        </is>
      </c>
      <c r="B16" s="7" t="inlineStr">
        <is>
          <t>ASD</t>
        </is>
      </c>
      <c r="C16" s="13" t="n">
        <v>986.11</v>
      </c>
      <c r="D16" s="13" t="n">
        <v>1063</v>
      </c>
      <c r="E16" s="13" t="n">
        <v>1140</v>
      </c>
      <c r="F16" s="13" t="n">
        <v>1216.9</v>
      </c>
      <c r="G16" s="13" t="n">
        <v>986.11</v>
      </c>
      <c r="H16" s="13" t="n">
        <v>1063</v>
      </c>
      <c r="I16" s="13" t="n">
        <v>1140</v>
      </c>
      <c r="J16" s="13" t="n">
        <v>1216.9</v>
      </c>
      <c r="K16" s="18">
        <f>SUM(C16:J16)</f>
        <v/>
      </c>
    </row>
    <row r="17">
      <c r="A17" s="19" t="inlineStr">
        <is>
          <t>ASD2(max) 1C-B</t>
        </is>
      </c>
      <c r="B17" s="20" t="inlineStr">
        <is>
          <t>ASD</t>
        </is>
      </c>
      <c r="C17" s="21" t="n">
        <v>4424.2</v>
      </c>
      <c r="D17" s="21" t="n">
        <v>4612.2</v>
      </c>
      <c r="E17" s="21" t="n">
        <v>4800.1</v>
      </c>
      <c r="F17" s="21" t="n">
        <v>4939.2</v>
      </c>
      <c r="G17" s="21" t="n">
        <v>4257.5</v>
      </c>
      <c r="H17" s="21" t="n">
        <v>4445.4</v>
      </c>
      <c r="I17" s="21" t="n">
        <v>4633.3</v>
      </c>
      <c r="J17" s="21" t="n">
        <v>4816.5</v>
      </c>
      <c r="K17" s="22">
        <f>SUM(C17:J17)</f>
        <v/>
      </c>
    </row>
    <row r="18">
      <c r="A18" s="3" t="inlineStr">
        <is>
          <t>ASD2(min) 1C-B</t>
        </is>
      </c>
      <c r="B18" s="7" t="inlineStr">
        <is>
          <t>ASD</t>
        </is>
      </c>
      <c r="C18" s="13" t="n">
        <v>577.37</v>
      </c>
      <c r="D18" s="13" t="n">
        <v>2151.8</v>
      </c>
      <c r="E18" s="13" t="n">
        <v>3585.9</v>
      </c>
      <c r="F18" s="13" t="n">
        <v>4962.6</v>
      </c>
      <c r="G18" s="13" t="n">
        <v>772.72</v>
      </c>
      <c r="H18" s="13" t="n">
        <v>2308.4</v>
      </c>
      <c r="I18" s="13" t="n">
        <v>3742.5</v>
      </c>
      <c r="J18" s="13" t="n">
        <v>5077.8</v>
      </c>
      <c r="K18" s="18">
        <f>SUM(C18:J18)</f>
        <v/>
      </c>
    </row>
    <row r="19">
      <c r="A19" s="19" t="inlineStr">
        <is>
          <t>ASD3 1C-B</t>
        </is>
      </c>
      <c r="B19" s="20" t="inlineStr">
        <is>
          <t>ASD</t>
        </is>
      </c>
      <c r="C19" s="21" t="n">
        <v>829.41</v>
      </c>
      <c r="D19" s="21" t="n">
        <v>1148.3</v>
      </c>
      <c r="E19" s="21" t="n">
        <v>1431</v>
      </c>
      <c r="F19" s="21" t="n">
        <v>1686.7</v>
      </c>
      <c r="G19" s="21" t="n">
        <v>737.75</v>
      </c>
      <c r="H19" s="21" t="n">
        <v>1056.6</v>
      </c>
      <c r="I19" s="21" t="n">
        <v>1357.6</v>
      </c>
      <c r="J19" s="21" t="n">
        <v>1613.2</v>
      </c>
      <c r="K19" s="22">
        <f>SUM(C19:J19)</f>
        <v/>
      </c>
    </row>
    <row r="20">
      <c r="A20" s="3" t="inlineStr">
        <is>
          <t>ASD4 1C-B</t>
        </is>
      </c>
      <c r="B20" s="7" t="inlineStr">
        <is>
          <t>ASD</t>
        </is>
      </c>
      <c r="C20" s="13" t="n">
        <v>1158.1</v>
      </c>
      <c r="D20" s="13" t="n">
        <v>1312</v>
      </c>
      <c r="E20" s="13" t="n">
        <v>1440.7</v>
      </c>
      <c r="F20" s="13" t="n">
        <v>1569.5</v>
      </c>
      <c r="G20" s="13" t="n">
        <v>856.86</v>
      </c>
      <c r="H20" s="13" t="n">
        <v>1017.5</v>
      </c>
      <c r="I20" s="13" t="n">
        <v>1178</v>
      </c>
      <c r="J20" s="13" t="n">
        <v>1328</v>
      </c>
      <c r="K20" s="18">
        <f>SUM(C20:J20)</f>
        <v/>
      </c>
    </row>
    <row r="21">
      <c r="A21" s="19" t="inlineStr">
        <is>
          <t>LRFD1 1C-B</t>
        </is>
      </c>
      <c r="B21" s="20" t="inlineStr">
        <is>
          <t>LRFD</t>
        </is>
      </c>
      <c r="C21" s="21" t="n">
        <v>1382.2</v>
      </c>
      <c r="D21" s="21" t="n">
        <v>1488.8</v>
      </c>
      <c r="E21" s="21" t="n">
        <v>1595.4</v>
      </c>
      <c r="F21" s="21" t="n">
        <v>1702.1</v>
      </c>
      <c r="G21" s="21" t="n">
        <v>1382.2</v>
      </c>
      <c r="H21" s="21" t="n">
        <v>1488.8</v>
      </c>
      <c r="I21" s="21" t="n">
        <v>1595.4</v>
      </c>
      <c r="J21" s="21" t="n">
        <v>1702.1</v>
      </c>
      <c r="K21" s="22">
        <f>SUM(C21:J21)</f>
        <v/>
      </c>
    </row>
    <row r="22">
      <c r="A22" s="3" t="inlineStr">
        <is>
          <t>LRFD2(max) 1C-B</t>
        </is>
      </c>
      <c r="B22" s="7" t="inlineStr">
        <is>
          <t>LRFD</t>
        </is>
      </c>
      <c r="C22" s="13" t="n">
        <v>4386.6</v>
      </c>
      <c r="D22" s="13" t="n">
        <v>4042.9</v>
      </c>
      <c r="E22" s="13" t="n">
        <v>3699.2</v>
      </c>
      <c r="F22" s="13" t="n">
        <v>3355.6</v>
      </c>
      <c r="G22" s="13" t="n">
        <v>4137.1</v>
      </c>
      <c r="H22" s="13" t="n">
        <v>3793.4</v>
      </c>
      <c r="I22" s="13" t="n">
        <v>3449.7</v>
      </c>
      <c r="J22" s="13" t="n">
        <v>3106.1</v>
      </c>
      <c r="K22" s="18">
        <f>SUM(C22:J22)</f>
        <v/>
      </c>
    </row>
    <row r="23">
      <c r="A23" s="19" t="inlineStr">
        <is>
          <t>LRFD2(min) 1C-B</t>
        </is>
      </c>
      <c r="B23" s="20" t="inlineStr">
        <is>
          <t>LRFD</t>
        </is>
      </c>
      <c r="C23" s="23" t="n">
        <v>-1722.3</v>
      </c>
      <c r="D23" s="21" t="n">
        <v>55.795</v>
      </c>
      <c r="E23" s="21" t="n">
        <v>1817.4</v>
      </c>
      <c r="F23" s="21" t="n">
        <v>3335.3</v>
      </c>
      <c r="G23" s="23" t="n">
        <v>-1484.6</v>
      </c>
      <c r="H23" s="21" t="n">
        <v>348.29</v>
      </c>
      <c r="I23" s="21" t="n">
        <v>2051.8</v>
      </c>
      <c r="J23" s="21" t="n">
        <v>3569.7</v>
      </c>
      <c r="K23" s="22">
        <f>SUM(C23:J23)</f>
        <v/>
      </c>
    </row>
    <row r="24">
      <c r="A24" s="3" t="inlineStr">
        <is>
          <t>LRFD3 1C-B</t>
        </is>
      </c>
      <c r="B24" s="7" t="inlineStr">
        <is>
          <t>LRFD</t>
        </is>
      </c>
      <c r="C24" s="13" t="n">
        <v>957.16</v>
      </c>
      <c r="D24" s="13" t="n">
        <v>1397</v>
      </c>
      <c r="E24" s="13" t="n">
        <v>1771.8</v>
      </c>
      <c r="F24" s="13" t="n">
        <v>2146.7</v>
      </c>
      <c r="G24" s="13" t="n">
        <v>816.91</v>
      </c>
      <c r="H24" s="13" t="n">
        <v>1284.4</v>
      </c>
      <c r="I24" s="13" t="n">
        <v>1659.4</v>
      </c>
      <c r="J24" s="13" t="n">
        <v>2034.2</v>
      </c>
      <c r="K24" s="18">
        <f>SUM(C24:J24)</f>
        <v/>
      </c>
    </row>
    <row r="25">
      <c r="A25" s="19" t="inlineStr">
        <is>
          <t>LRFD4 1C-B</t>
        </is>
      </c>
      <c r="B25" s="20" t="inlineStr">
        <is>
          <t>LRFD</t>
        </is>
      </c>
      <c r="C25" s="21" t="n">
        <v>1431.8</v>
      </c>
      <c r="D25" s="21" t="n">
        <v>1615.3</v>
      </c>
      <c r="E25" s="21" t="n">
        <v>1798.7</v>
      </c>
      <c r="F25" s="21" t="n">
        <v>1982.2</v>
      </c>
      <c r="G25" s="21" t="n">
        <v>994.64</v>
      </c>
      <c r="H25" s="21" t="n">
        <v>1223.4</v>
      </c>
      <c r="I25" s="21" t="n">
        <v>1419.1</v>
      </c>
      <c r="J25" s="21" t="n">
        <v>1602.5</v>
      </c>
      <c r="K25" s="22">
        <f>SUM(C25:J25)</f>
        <v/>
      </c>
    </row>
    <row r="26">
      <c r="A26" s="24" t="inlineStr">
        <is>
          <t>max (all)</t>
        </is>
      </c>
      <c r="B26" s="25" t="inlineStr"/>
      <c r="C26" s="26">
        <f>MAX(C6:C25)</f>
        <v/>
      </c>
      <c r="D26" s="26">
        <f>MAX(D6:D25)</f>
        <v/>
      </c>
      <c r="E26" s="26">
        <f>MAX(E6:E25)</f>
        <v/>
      </c>
      <c r="F26" s="26">
        <f>MAX(F6:F25)</f>
        <v/>
      </c>
      <c r="G26" s="26">
        <f>MAX(G6:G25)</f>
        <v/>
      </c>
      <c r="H26" s="26">
        <f>MAX(H6:H25)</f>
        <v/>
      </c>
      <c r="I26" s="26">
        <f>MAX(I6:I25)</f>
        <v/>
      </c>
      <c r="J26" s="26">
        <f>MAX(J6:J25)</f>
        <v/>
      </c>
    </row>
    <row r="27">
      <c r="A27" s="24" t="inlineStr">
        <is>
          <t>min (all)</t>
        </is>
      </c>
      <c r="B27" s="25" t="inlineStr"/>
      <c r="C27" s="26">
        <f>MIN(C6:C25)</f>
        <v/>
      </c>
      <c r="D27" s="26">
        <f>MIN(D6:D25)</f>
        <v/>
      </c>
      <c r="E27" s="26">
        <f>MIN(E6:E25)</f>
        <v/>
      </c>
      <c r="F27" s="26">
        <f>MIN(F6:F25)</f>
        <v/>
      </c>
      <c r="G27" s="26">
        <f>MIN(G6:G25)</f>
        <v/>
      </c>
      <c r="H27" s="26">
        <f>MIN(H6:H25)</f>
        <v/>
      </c>
      <c r="I27" s="26">
        <f>MIN(I6:I25)</f>
        <v/>
      </c>
      <c r="J27" s="26">
        <f>MIN(J6:J25)</f>
        <v/>
      </c>
    </row>
    <row r="30">
      <c r="A30" s="16" t="inlineStr">
        <is>
          <t>Head moment M (kNm)</t>
        </is>
      </c>
    </row>
    <row r="31" ht="22" customHeight="1">
      <c r="A31" s="6" t="inlineStr">
        <is>
          <t>Load combination</t>
        </is>
      </c>
      <c r="B31" s="6" t="inlineStr">
        <is>
          <t>Design</t>
        </is>
      </c>
      <c r="C31" s="6" t="inlineStr">
        <is>
          <t>Pile 1</t>
        </is>
      </c>
      <c r="D31" s="6" t="inlineStr">
        <is>
          <t>Pile 2</t>
        </is>
      </c>
      <c r="E31" s="6" t="inlineStr">
        <is>
          <t>Pile 3</t>
        </is>
      </c>
      <c r="F31" s="6" t="inlineStr">
        <is>
          <t>Pile 4</t>
        </is>
      </c>
      <c r="G31" s="6" t="inlineStr">
        <is>
          <t>Pile 5</t>
        </is>
      </c>
      <c r="H31" s="6" t="inlineStr">
        <is>
          <t>Pile 6</t>
        </is>
      </c>
      <c r="I31" s="6" t="inlineStr">
        <is>
          <t>Pile 7</t>
        </is>
      </c>
      <c r="J31" s="6" t="inlineStr">
        <is>
          <t>Pile 8</t>
        </is>
      </c>
    </row>
    <row r="32">
      <c r="A32" s="3" t="inlineStr">
        <is>
          <t>ASD1 1C-A</t>
        </is>
      </c>
      <c r="B32" s="7" t="inlineStr">
        <is>
          <t>ASD</t>
        </is>
      </c>
      <c r="C32" s="13" t="n">
        <v>10.342</v>
      </c>
      <c r="D32" s="13" t="n">
        <v>10.344</v>
      </c>
      <c r="E32" s="13" t="n">
        <v>10.345</v>
      </c>
      <c r="F32" s="13" t="n">
        <v>10.346</v>
      </c>
      <c r="G32" s="13" t="n">
        <v>10.342</v>
      </c>
      <c r="H32" s="13" t="n">
        <v>10.344</v>
      </c>
      <c r="I32" s="13" t="n">
        <v>10.345</v>
      </c>
      <c r="J32" s="13" t="n">
        <v>10.346</v>
      </c>
    </row>
    <row r="33">
      <c r="A33" s="19" t="inlineStr">
        <is>
          <t>ASD2(max) 1C-A</t>
        </is>
      </c>
      <c r="B33" s="20" t="inlineStr">
        <is>
          <t>ASD</t>
        </is>
      </c>
      <c r="C33" s="21" t="n">
        <v>271.2901667520591</v>
      </c>
      <c r="D33" s="21" t="n">
        <v>271.8300076321414</v>
      </c>
      <c r="E33" s="21" t="n">
        <v>272.4498822103067</v>
      </c>
      <c r="F33" s="21" t="n">
        <v>273.1798011002277</v>
      </c>
      <c r="G33" s="21" t="n">
        <v>271.390174588709</v>
      </c>
      <c r="H33" s="21" t="n">
        <v>271.9400086351583</v>
      </c>
      <c r="I33" s="21" t="n">
        <v>272.5798922600308</v>
      </c>
      <c r="J33" s="21" t="n">
        <v>273.3098112220635</v>
      </c>
    </row>
    <row r="34">
      <c r="A34" s="3" t="inlineStr">
        <is>
          <t>ASD2(min) 1C-A</t>
        </is>
      </c>
      <c r="B34" s="7" t="inlineStr">
        <is>
          <t>ASD</t>
        </is>
      </c>
      <c r="C34" s="13" t="n">
        <v>30.68907379899237</v>
      </c>
      <c r="D34" s="13" t="n">
        <v>30.69691854828429</v>
      </c>
      <c r="E34" s="13" t="n">
        <v>30.70478557309919</v>
      </c>
      <c r="F34" s="13" t="n">
        <v>30.71165540979516</v>
      </c>
      <c r="G34" s="13" t="n">
        <v>30.67704031177063</v>
      </c>
      <c r="H34" s="13" t="n">
        <v>30.6839099596189</v>
      </c>
      <c r="I34" s="13" t="n">
        <v>30.69175471702457</v>
      </c>
      <c r="J34" s="13" t="n">
        <v>30.69962174946135</v>
      </c>
    </row>
    <row r="35">
      <c r="A35" s="19" t="inlineStr">
        <is>
          <t>ASD3 1C-A</t>
        </is>
      </c>
      <c r="B35" s="20" t="inlineStr">
        <is>
          <t>ASD</t>
        </is>
      </c>
      <c r="C35" s="21" t="n">
        <v>444.6591081941311</v>
      </c>
      <c r="D35" s="21" t="n">
        <v>444.6466296959868</v>
      </c>
      <c r="E35" s="21" t="n">
        <v>444.6437180485068</v>
      </c>
      <c r="F35" s="21" t="n">
        <v>444.6341512974459</v>
      </c>
      <c r="G35" s="21" t="n">
        <v>444.6399749235329</v>
      </c>
      <c r="H35" s="21" t="n">
        <v>444.6370630075725</v>
      </c>
      <c r="I35" s="21" t="n">
        <v>444.6274963382269</v>
      </c>
      <c r="J35" s="21" t="n">
        <v>444.6245845654511</v>
      </c>
    </row>
    <row r="36">
      <c r="A36" s="3" t="inlineStr">
        <is>
          <t>ASD4 1C-A</t>
        </is>
      </c>
      <c r="B36" s="7" t="inlineStr">
        <is>
          <t>ASD</t>
        </is>
      </c>
      <c r="C36" s="13" t="n">
        <v>452.4508955676848</v>
      </c>
      <c r="D36" s="13" t="n">
        <v>452.4413590731953</v>
      </c>
      <c r="E36" s="13" t="n">
        <v>452.4222861442615</v>
      </c>
      <c r="F36" s="13" t="n">
        <v>452.4127497098198</v>
      </c>
      <c r="G36" s="13" t="n">
        <v>452.4453890802734</v>
      </c>
      <c r="H36" s="13" t="n">
        <v>452.4358522486917</v>
      </c>
      <c r="I36" s="13" t="n">
        <v>452.4293237622867</v>
      </c>
      <c r="J36" s="13" t="n">
        <v>452.4197870341217</v>
      </c>
    </row>
    <row r="37">
      <c r="A37" s="19" t="inlineStr">
        <is>
          <t>LRFD1 1C-A</t>
        </is>
      </c>
      <c r="B37" s="20" t="inlineStr">
        <is>
          <t>LRFD</t>
        </is>
      </c>
      <c r="C37" s="21" t="n">
        <v>17.824</v>
      </c>
      <c r="D37" s="21" t="n">
        <v>17.827</v>
      </c>
      <c r="E37" s="21" t="n">
        <v>17.829</v>
      </c>
      <c r="F37" s="21" t="n">
        <v>17.832</v>
      </c>
      <c r="G37" s="21" t="n">
        <v>17.824</v>
      </c>
      <c r="H37" s="21" t="n">
        <v>17.827</v>
      </c>
      <c r="I37" s="21" t="n">
        <v>17.829</v>
      </c>
      <c r="J37" s="21" t="n">
        <v>17.832</v>
      </c>
    </row>
    <row r="38">
      <c r="A38" s="3" t="inlineStr">
        <is>
          <t>LRFD2(max) 1C-A</t>
        </is>
      </c>
      <c r="B38" s="7" t="inlineStr">
        <is>
          <t>LRFD</t>
        </is>
      </c>
      <c r="C38" s="13" t="n">
        <v>296.729825007531</v>
      </c>
      <c r="D38" s="13" t="n">
        <v>297.3794039001356</v>
      </c>
      <c r="E38" s="13" t="n">
        <v>298.2390994755718</v>
      </c>
      <c r="F38" s="13" t="n">
        <v>299.1188577739625</v>
      </c>
      <c r="G38" s="13" t="n">
        <v>296.9098105485907</v>
      </c>
      <c r="H38" s="13" t="n">
        <v>297.5794131723497</v>
      </c>
      <c r="I38" s="13" t="n">
        <v>298.4591324469734</v>
      </c>
      <c r="J38" s="13" t="n">
        <v>299.3588770372444</v>
      </c>
    </row>
    <row r="39">
      <c r="A39" s="19" t="inlineStr">
        <is>
          <t>LRFD2(min) 1C-A</t>
        </is>
      </c>
      <c r="B39" s="20" t="inlineStr">
        <is>
          <t>LRFD</t>
        </is>
      </c>
      <c r="C39" s="21" t="n">
        <v>49.54843833310995</v>
      </c>
      <c r="D39" s="21" t="n">
        <v>49.52369942007564</v>
      </c>
      <c r="E39" s="21" t="n">
        <v>49.49894189131723</v>
      </c>
      <c r="F39" s="21" t="n">
        <v>49.4752422196193</v>
      </c>
      <c r="G39" s="21" t="n">
        <v>49.51535231026838</v>
      </c>
      <c r="H39" s="21" t="n">
        <v>49.4906136010658</v>
      </c>
      <c r="I39" s="21" t="n">
        <v>49.46587517481117</v>
      </c>
      <c r="J39" s="21" t="n">
        <v>49.44623592155423</v>
      </c>
    </row>
    <row r="40">
      <c r="A40" s="3" t="inlineStr">
        <is>
          <t>LRFD3 1C-A</t>
        </is>
      </c>
      <c r="B40" s="7" t="inlineStr">
        <is>
          <t>LRFD</t>
        </is>
      </c>
      <c r="C40" s="13" t="n">
        <v>641.8338641735882</v>
      </c>
      <c r="D40" s="13" t="n">
        <v>641.8309329566471</v>
      </c>
      <c r="E40" s="13" t="n">
        <v>641.8184410719281</v>
      </c>
      <c r="F40" s="13" t="n">
        <v>641.8030183786923</v>
      </c>
      <c r="G40" s="13" t="n">
        <v>641.8081135355021</v>
      </c>
      <c r="H40" s="13" t="n">
        <v>641.7926899708348</v>
      </c>
      <c r="I40" s="13" t="n">
        <v>641.7897587216549</v>
      </c>
      <c r="J40" s="13" t="n">
        <v>641.7772668145858</v>
      </c>
    </row>
    <row r="41">
      <c r="A41" s="19" t="inlineStr">
        <is>
          <t>LRFD4 1C-A</t>
        </is>
      </c>
      <c r="B41" s="20" t="inlineStr">
        <is>
          <t>LRFD</t>
        </is>
      </c>
      <c r="C41" s="21" t="n">
        <v>655.0703537788899</v>
      </c>
      <c r="D41" s="21" t="n">
        <v>655.0512633374582</v>
      </c>
      <c r="E41" s="21" t="n">
        <v>655.0226277770868</v>
      </c>
      <c r="F41" s="21" t="n">
        <v>655.0035374713636</v>
      </c>
      <c r="G41" s="21" t="n">
        <v>655.0721641162903</v>
      </c>
      <c r="H41" s="21" t="n">
        <v>655.0435271796829</v>
      </c>
      <c r="I41" s="21" t="n">
        <v>655.0244359564</v>
      </c>
      <c r="J41" s="21" t="n">
        <v>654.9957992231706</v>
      </c>
    </row>
    <row r="42">
      <c r="A42" s="3" t="inlineStr">
        <is>
          <t>ASD1 1C-B</t>
        </is>
      </c>
      <c r="B42" s="7" t="inlineStr">
        <is>
          <t>ASD</t>
        </is>
      </c>
      <c r="C42" s="13" t="n">
        <v>10.346</v>
      </c>
      <c r="D42" s="13" t="n">
        <v>10.345</v>
      </c>
      <c r="E42" s="13" t="n">
        <v>10.344</v>
      </c>
      <c r="F42" s="13" t="n">
        <v>10.342</v>
      </c>
      <c r="G42" s="13" t="n">
        <v>10.346</v>
      </c>
      <c r="H42" s="13" t="n">
        <v>10.345</v>
      </c>
      <c r="I42" s="13" t="n">
        <v>10.344</v>
      </c>
      <c r="J42" s="13" t="n">
        <v>10.342</v>
      </c>
    </row>
    <row r="43">
      <c r="A43" s="19" t="inlineStr">
        <is>
          <t>ASD2(max) 1C-B</t>
        </is>
      </c>
      <c r="B43" s="20" t="inlineStr">
        <is>
          <t>ASD</t>
        </is>
      </c>
      <c r="C43" s="21" t="n">
        <v>31.82776378085649</v>
      </c>
      <c r="D43" s="21" t="n">
        <v>31.81988242608699</v>
      </c>
      <c r="E43" s="21" t="n">
        <v>31.81102735294791</v>
      </c>
      <c r="F43" s="21" t="n">
        <v>31.80520744406488</v>
      </c>
      <c r="G43" s="21" t="n">
        <v>31.84080982010351</v>
      </c>
      <c r="H43" s="21" t="n">
        <v>31.83292840691852</v>
      </c>
      <c r="I43" s="21" t="n">
        <v>31.8250470579385</v>
      </c>
      <c r="J43" s="21" t="n">
        <v>31.81718852145802</v>
      </c>
    </row>
    <row r="44">
      <c r="A44" s="3" t="inlineStr">
        <is>
          <t>ASD2(min) 1C-B</t>
        </is>
      </c>
      <c r="B44" s="7" t="inlineStr">
        <is>
          <t>ASD</t>
        </is>
      </c>
      <c r="C44" s="13" t="n">
        <v>237.9276875004042</v>
      </c>
      <c r="D44" s="13" t="n">
        <v>237.3277736736474</v>
      </c>
      <c r="E44" s="13" t="n">
        <v>236.7878787390943</v>
      </c>
      <c r="F44" s="13" t="n">
        <v>236.2679904599859</v>
      </c>
      <c r="G44" s="13" t="n">
        <v>237.8076766024175</v>
      </c>
      <c r="H44" s="13" t="n">
        <v>237.2277660814602</v>
      </c>
      <c r="I44" s="13" t="n">
        <v>236.6878712034269</v>
      </c>
      <c r="J44" s="13" t="n">
        <v>236.1779903532291</v>
      </c>
    </row>
    <row r="45">
      <c r="A45" s="19" t="inlineStr">
        <is>
          <t>ASD3 1C-B</t>
        </is>
      </c>
      <c r="B45" s="20" t="inlineStr">
        <is>
          <t>ASD</t>
        </is>
      </c>
      <c r="C45" s="21" t="n">
        <v>421.4541137537988</v>
      </c>
      <c r="D45" s="21" t="n">
        <v>421.4636289171344</v>
      </c>
      <c r="E45" s="21" t="n">
        <v>421.4636289171344</v>
      </c>
      <c r="F45" s="21" t="n">
        <v>421.4636289171344</v>
      </c>
      <c r="G45" s="21" t="n">
        <v>421.4731441029191</v>
      </c>
      <c r="H45" s="21" t="n">
        <v>421.4731441029191</v>
      </c>
      <c r="I45" s="21" t="n">
        <v>421.4731441029191</v>
      </c>
      <c r="J45" s="21" t="n">
        <v>421.4731441029191</v>
      </c>
    </row>
    <row r="46">
      <c r="A46" s="3" t="inlineStr">
        <is>
          <t>ASD4 1C-B</t>
        </is>
      </c>
      <c r="B46" s="7" t="inlineStr">
        <is>
          <t>ASD</t>
        </is>
      </c>
      <c r="C46" s="13" t="n">
        <v>445.6977829202205</v>
      </c>
      <c r="D46" s="13" t="n">
        <v>445.7074645998202</v>
      </c>
      <c r="E46" s="13" t="n">
        <v>445.7074645998202</v>
      </c>
      <c r="F46" s="13" t="n">
        <v>445.7196493312808</v>
      </c>
      <c r="G46" s="13" t="n">
        <v>445.7271597064733</v>
      </c>
      <c r="H46" s="13" t="n">
        <v>445.7271597064733</v>
      </c>
      <c r="I46" s="13" t="n">
        <v>445.7393450212804</v>
      </c>
      <c r="J46" s="13" t="n">
        <v>445.7393450212804</v>
      </c>
    </row>
    <row r="47">
      <c r="A47" s="19" t="inlineStr">
        <is>
          <t>LRFD1 1C-B</t>
        </is>
      </c>
      <c r="B47" s="20" t="inlineStr">
        <is>
          <t>LRFD</t>
        </is>
      </c>
      <c r="C47" s="21" t="n">
        <v>17.832</v>
      </c>
      <c r="D47" s="21" t="n">
        <v>17.829</v>
      </c>
      <c r="E47" s="21" t="n">
        <v>17.827</v>
      </c>
      <c r="F47" s="21" t="n">
        <v>17.824</v>
      </c>
      <c r="G47" s="21" t="n">
        <v>17.832</v>
      </c>
      <c r="H47" s="21" t="n">
        <v>17.829</v>
      </c>
      <c r="I47" s="21" t="n">
        <v>17.827</v>
      </c>
      <c r="J47" s="21" t="n">
        <v>17.824</v>
      </c>
    </row>
    <row r="48">
      <c r="A48" s="3" t="inlineStr">
        <is>
          <t>LRFD2(max) 1C-B</t>
        </is>
      </c>
      <c r="B48" s="7" t="inlineStr">
        <is>
          <t>LRFD</t>
        </is>
      </c>
      <c r="C48" s="13" t="n">
        <v>57.74650626661322</v>
      </c>
      <c r="D48" s="13" t="n">
        <v>57.77419601344531</v>
      </c>
      <c r="E48" s="13" t="n">
        <v>57.80286831118332</v>
      </c>
      <c r="F48" s="13" t="n">
        <v>57.83055870385483</v>
      </c>
      <c r="G48" s="13" t="n">
        <v>57.78458142099846</v>
      </c>
      <c r="H48" s="13" t="n">
        <v>57.81325363616893</v>
      </c>
      <c r="I48" s="13" t="n">
        <v>57.84094394976624</v>
      </c>
      <c r="J48" s="13" t="n">
        <v>57.86961683819931</v>
      </c>
    </row>
    <row r="49">
      <c r="A49" s="19" t="inlineStr">
        <is>
          <t>LRFD2(min) 1C-B</t>
        </is>
      </c>
      <c r="B49" s="20" t="inlineStr">
        <is>
          <t>LRFD</t>
        </is>
      </c>
      <c r="C49" s="21" t="n">
        <v>253.9982770728967</v>
      </c>
      <c r="D49" s="21" t="n">
        <v>253.2884550783948</v>
      </c>
      <c r="E49" s="21" t="n">
        <v>252.5786344804326</v>
      </c>
      <c r="F49" s="21" t="n">
        <v>251.9688952311376</v>
      </c>
      <c r="G49" s="21" t="n">
        <v>253.8282545344391</v>
      </c>
      <c r="H49" s="21" t="n">
        <v>253.0984086496792</v>
      </c>
      <c r="I49" s="21" t="n">
        <v>252.4086530232274</v>
      </c>
      <c r="J49" s="21" t="n">
        <v>251.7989140663637</v>
      </c>
    </row>
    <row r="50">
      <c r="A50" s="3" t="inlineStr">
        <is>
          <t>LRFD3 1C-B</t>
        </is>
      </c>
      <c r="B50" s="7" t="inlineStr">
        <is>
          <t>LRFD</t>
        </is>
      </c>
      <c r="C50" s="13" t="n">
        <v>614.9539008738785</v>
      </c>
      <c r="D50" s="13" t="n">
        <v>614.9634185055237</v>
      </c>
      <c r="E50" s="13" t="n">
        <v>614.9698679610245</v>
      </c>
      <c r="F50" s="13" t="n">
        <v>614.979385670772</v>
      </c>
      <c r="G50" s="13" t="n">
        <v>614.9729361524782</v>
      </c>
      <c r="H50" s="13" t="n">
        <v>614.982453814741</v>
      </c>
      <c r="I50" s="13" t="n">
        <v>614.9919714923114</v>
      </c>
      <c r="J50" s="13" t="n">
        <v>614.9889033958256</v>
      </c>
    </row>
    <row r="51">
      <c r="A51" s="19" t="inlineStr">
        <is>
          <t>LRFD4 1C-B</t>
        </is>
      </c>
      <c r="B51" s="20" t="inlineStr">
        <is>
          <t>LRFD</t>
        </is>
      </c>
      <c r="C51" s="21" t="n">
        <v>647.5446391562515</v>
      </c>
      <c r="D51" s="21" t="n">
        <v>647.5543147875705</v>
      </c>
      <c r="E51" s="21" t="n">
        <v>647.566516737856</v>
      </c>
      <c r="F51" s="21" t="n">
        <v>647.5761923511395</v>
      </c>
      <c r="G51" s="21" t="n">
        <v>647.5816776283899</v>
      </c>
      <c r="H51" s="21" t="n">
        <v>647.5913530151557</v>
      </c>
      <c r="I51" s="21" t="n">
        <v>647.6035556573173</v>
      </c>
      <c r="J51" s="21" t="n">
        <v>647.61323102605</v>
      </c>
    </row>
    <row r="52">
      <c r="A52" s="24" t="inlineStr">
        <is>
          <t>max (all)</t>
        </is>
      </c>
      <c r="B52" s="25" t="inlineStr"/>
      <c r="C52" s="26">
        <f>MAX(C32:C51)</f>
        <v/>
      </c>
      <c r="D52" s="26">
        <f>MAX(D32:D51)</f>
        <v/>
      </c>
      <c r="E52" s="26">
        <f>MAX(E32:E51)</f>
        <v/>
      </c>
      <c r="F52" s="26">
        <f>MAX(F32:F51)</f>
        <v/>
      </c>
      <c r="G52" s="26">
        <f>MAX(G32:G51)</f>
        <v/>
      </c>
      <c r="H52" s="26">
        <f>MAX(H32:H51)</f>
        <v/>
      </c>
      <c r="I52" s="26">
        <f>MAX(I32:I51)</f>
        <v/>
      </c>
      <c r="J52" s="26">
        <f>MAX(J32:J51)</f>
        <v/>
      </c>
    </row>
    <row r="53">
      <c r="A53" s="24" t="inlineStr">
        <is>
          <t>min (all)</t>
        </is>
      </c>
      <c r="B53" s="25" t="inlineStr"/>
      <c r="C53" s="26">
        <f>MIN(C32:C51)</f>
        <v/>
      </c>
      <c r="D53" s="26">
        <f>MIN(D32:D51)</f>
        <v/>
      </c>
      <c r="E53" s="26">
        <f>MIN(E32:E51)</f>
        <v/>
      </c>
      <c r="F53" s="26">
        <f>MIN(F32:F51)</f>
        <v/>
      </c>
      <c r="G53" s="26">
        <f>MIN(G32:G51)</f>
        <v/>
      </c>
      <c r="H53" s="26">
        <f>MIN(H32:H51)</f>
        <v/>
      </c>
      <c r="I53" s="26">
        <f>MIN(I32:I51)</f>
        <v/>
      </c>
      <c r="J53" s="26">
        <f>MIN(J32:J51)</f>
        <v/>
      </c>
    </row>
    <row r="56">
      <c r="A56" s="16" t="inlineStr">
        <is>
          <t>Head shear V (kN)</t>
        </is>
      </c>
    </row>
    <row r="57" ht="22" customHeight="1">
      <c r="A57" s="6" t="inlineStr">
        <is>
          <t>Load combination</t>
        </is>
      </c>
      <c r="B57" s="6" t="inlineStr">
        <is>
          <t>Design</t>
        </is>
      </c>
      <c r="C57" s="6" t="inlineStr">
        <is>
          <t>Pile 1</t>
        </is>
      </c>
      <c r="D57" s="6" t="inlineStr">
        <is>
          <t>Pile 2</t>
        </is>
      </c>
      <c r="E57" s="6" t="inlineStr">
        <is>
          <t>Pile 3</t>
        </is>
      </c>
      <c r="F57" s="6" t="inlineStr">
        <is>
          <t>Pile 4</t>
        </is>
      </c>
      <c r="G57" s="6" t="inlineStr">
        <is>
          <t>Pile 5</t>
        </is>
      </c>
      <c r="H57" s="6" t="inlineStr">
        <is>
          <t>Pile 6</t>
        </is>
      </c>
      <c r="I57" s="6" t="inlineStr">
        <is>
          <t>Pile 7</t>
        </is>
      </c>
      <c r="J57" s="6" t="inlineStr">
        <is>
          <t>Pile 8</t>
        </is>
      </c>
    </row>
    <row r="58">
      <c r="A58" s="3" t="inlineStr">
        <is>
          <t>ASD1 1C-A</t>
        </is>
      </c>
      <c r="B58" s="7" t="inlineStr">
        <is>
          <t>ASD</t>
        </is>
      </c>
      <c r="C58" s="13" t="n">
        <v>0.0041186</v>
      </c>
      <c r="D58" s="13" t="n">
        <v>0.0029659</v>
      </c>
      <c r="E58" s="13" t="n">
        <v>0.0018131</v>
      </c>
      <c r="F58" s="13" t="n">
        <v>0.00066024</v>
      </c>
      <c r="G58" s="13" t="n">
        <v>0.0041186</v>
      </c>
      <c r="H58" s="13" t="n">
        <v>0.0029659</v>
      </c>
      <c r="I58" s="13" t="n">
        <v>0.0018131</v>
      </c>
      <c r="J58" s="13" t="n">
        <v>0.00066024</v>
      </c>
    </row>
    <row r="59">
      <c r="A59" s="19" t="inlineStr">
        <is>
          <t>ASD2(max) 1C-A</t>
        </is>
      </c>
      <c r="B59" s="20" t="inlineStr">
        <is>
          <t>ASD</t>
        </is>
      </c>
      <c r="C59" s="21" t="n">
        <v>1.044145291200415</v>
      </c>
      <c r="D59" s="21" t="n">
        <v>0.5863469520889487</v>
      </c>
      <c r="E59" s="21" t="n">
        <v>0.05833198104162073</v>
      </c>
      <c r="F59" s="21" t="n">
        <v>0.5658608265015348</v>
      </c>
      <c r="G59" s="21" t="n">
        <v>1.018210492462634</v>
      </c>
      <c r="H59" s="21" t="n">
        <v>0.560413851549906</v>
      </c>
      <c r="I59" s="21" t="n">
        <v>0.0149077804722903</v>
      </c>
      <c r="J59" s="21" t="n">
        <v>0.6097032782067028</v>
      </c>
    </row>
    <row r="60">
      <c r="A60" s="3" t="inlineStr">
        <is>
          <t>ASD2(min) 1C-A</t>
        </is>
      </c>
      <c r="B60" s="7" t="inlineStr">
        <is>
          <t>ASD</t>
        </is>
      </c>
      <c r="C60" s="13" t="n">
        <v>0.028760446884567</v>
      </c>
      <c r="D60" s="13" t="n">
        <v>0.02061285287411716</v>
      </c>
      <c r="E60" s="13" t="n">
        <v>0.01248969357670555</v>
      </c>
      <c r="F60" s="13" t="n">
        <v>0.004537242530711798</v>
      </c>
      <c r="G60" s="13" t="n">
        <v>0.03299247810350111</v>
      </c>
      <c r="H60" s="13" t="n">
        <v>0.02483553388675186</v>
      </c>
      <c r="I60" s="13" t="n">
        <v>0.0166880518099028</v>
      </c>
      <c r="J60" s="13" t="n">
        <v>0.008579575006956929</v>
      </c>
    </row>
    <row r="61">
      <c r="A61" s="19" t="inlineStr">
        <is>
          <t>ASD3 1C-A</t>
        </is>
      </c>
      <c r="B61" s="20" t="inlineStr">
        <is>
          <t>ASD</t>
        </is>
      </c>
      <c r="C61" s="21" t="n">
        <v>216.8149946959389</v>
      </c>
      <c r="D61" s="21" t="n">
        <v>216.7830990552538</v>
      </c>
      <c r="E61" s="21" t="n">
        <v>216.7607817133902</v>
      </c>
      <c r="F61" s="21" t="n">
        <v>216.7294607938662</v>
      </c>
      <c r="G61" s="21" t="n">
        <v>216.8358753089534</v>
      </c>
      <c r="H61" s="21" t="n">
        <v>216.8039796682708</v>
      </c>
      <c r="I61" s="21" t="n">
        <v>216.7720840445097</v>
      </c>
      <c r="J61" s="21" t="n">
        <v>216.7404757792139</v>
      </c>
    </row>
    <row r="62">
      <c r="A62" s="3" t="inlineStr">
        <is>
          <t>ASD4 1C-A</t>
        </is>
      </c>
      <c r="B62" s="7" t="inlineStr">
        <is>
          <t>ASD</t>
        </is>
      </c>
      <c r="C62" s="13" t="n">
        <v>216.7549393116568</v>
      </c>
      <c r="D62" s="13" t="n">
        <v>216.7552267166815</v>
      </c>
      <c r="E62" s="13" t="n">
        <v>216.7558015394283</v>
      </c>
      <c r="F62" s="13" t="n">
        <v>216.7560889571502</v>
      </c>
      <c r="G62" s="13" t="n">
        <v>216.8095355283065</v>
      </c>
      <c r="H62" s="13" t="n">
        <v>216.8101101055945</v>
      </c>
      <c r="I62" s="13" t="n">
        <v>216.810684699809</v>
      </c>
      <c r="J62" s="13" t="n">
        <v>216.81125931095</v>
      </c>
    </row>
    <row r="63">
      <c r="A63" s="19" t="inlineStr">
        <is>
          <t>LRFD1 1C-A</t>
        </is>
      </c>
      <c r="B63" s="20" t="inlineStr">
        <is>
          <t>LRFD</t>
        </is>
      </c>
      <c r="C63" s="21" t="n">
        <v>0.0098835</v>
      </c>
      <c r="D63" s="21" t="n">
        <v>0.0071382</v>
      </c>
      <c r="E63" s="21" t="n">
        <v>0.0043927</v>
      </c>
      <c r="F63" s="21" t="n">
        <v>0.0016469</v>
      </c>
      <c r="G63" s="21" t="n">
        <v>0.0098835</v>
      </c>
      <c r="H63" s="21" t="n">
        <v>0.0071382</v>
      </c>
      <c r="I63" s="21" t="n">
        <v>0.0043927</v>
      </c>
      <c r="J63" s="21" t="n">
        <v>0.0016469</v>
      </c>
    </row>
    <row r="64">
      <c r="A64" s="3" t="inlineStr">
        <is>
          <t>LRFD2(max) 1C-A</t>
        </is>
      </c>
      <c r="B64" s="7" t="inlineStr">
        <is>
          <t>LRFD</t>
        </is>
      </c>
      <c r="C64" s="13" t="n">
        <v>1.219741234244379</v>
      </c>
      <c r="D64" s="13" t="n">
        <v>0.6769466668770886</v>
      </c>
      <c r="E64" s="13" t="n">
        <v>0.05091367119163575</v>
      </c>
      <c r="F64" s="13" t="n">
        <v>0.7910167811930414</v>
      </c>
      <c r="G64" s="13" t="n">
        <v>1.184138215568183</v>
      </c>
      <c r="H64" s="13" t="n">
        <v>0.6249388842126884</v>
      </c>
      <c r="I64" s="13" t="n">
        <v>0.114295300170217</v>
      </c>
      <c r="J64" s="13" t="n">
        <v>0.8800539076420263</v>
      </c>
    </row>
    <row r="65">
      <c r="A65" s="19" t="inlineStr">
        <is>
          <t>LRFD2(min) 1C-A</t>
        </is>
      </c>
      <c r="B65" s="20" t="inlineStr">
        <is>
          <t>LRFD</t>
        </is>
      </c>
      <c r="C65" s="21" t="n">
        <v>0.03341172403827734</v>
      </c>
      <c r="D65" s="21" t="n">
        <v>0.007591754185298678</v>
      </c>
      <c r="E65" s="21" t="n">
        <v>0.01837122105250492</v>
      </c>
      <c r="F65" s="21" t="n">
        <v>0.04230388795418218</v>
      </c>
      <c r="G65" s="21" t="n">
        <v>0.02157007352235963</v>
      </c>
      <c r="H65" s="21" t="n">
        <v>0.004341295646463162</v>
      </c>
      <c r="I65" s="21" t="n">
        <v>0.02962277193916869</v>
      </c>
      <c r="J65" s="21" t="n">
        <v>0.05044136743784807</v>
      </c>
    </row>
    <row r="66">
      <c r="A66" s="3" t="inlineStr">
        <is>
          <t>LRFD3 1C-A</t>
        </is>
      </c>
      <c r="B66" s="7" t="inlineStr">
        <is>
          <t>LRFD</t>
        </is>
      </c>
      <c r="C66" s="13" t="n">
        <v>309.8172450671524</v>
      </c>
      <c r="D66" s="13" t="n">
        <v>309.7433008557247</v>
      </c>
      <c r="E66" s="13" t="n">
        <v>309.6792222994627</v>
      </c>
      <c r="F66" s="13" t="n">
        <v>309.605565487767</v>
      </c>
      <c r="G66" s="13" t="n">
        <v>309.8500028223334</v>
      </c>
      <c r="H66" s="13" t="n">
        <v>309.77548384112</v>
      </c>
      <c r="I66" s="13" t="n">
        <v>309.7018269820183</v>
      </c>
      <c r="J66" s="13" t="n">
        <v>309.6278827883561</v>
      </c>
    </row>
    <row r="67">
      <c r="A67" s="19" t="inlineStr">
        <is>
          <t>LRFD4 1C-A</t>
        </is>
      </c>
      <c r="B67" s="20" t="inlineStr">
        <is>
          <t>LRFD</t>
        </is>
      </c>
      <c r="C67" s="21" t="n">
        <v>309.6762537312152</v>
      </c>
      <c r="D67" s="21" t="n">
        <v>309.6672505270779</v>
      </c>
      <c r="E67" s="21" t="n">
        <v>309.6675379564348</v>
      </c>
      <c r="F67" s="21" t="n">
        <v>309.6585348412021</v>
      </c>
      <c r="G67" s="21" t="n">
        <v>309.7976107654803</v>
      </c>
      <c r="H67" s="21" t="n">
        <v>309.7981853013345</v>
      </c>
      <c r="I67" s="21" t="n">
        <v>309.7891813863099</v>
      </c>
      <c r="J67" s="21" t="n">
        <v>309.7897559636212</v>
      </c>
    </row>
    <row r="68">
      <c r="A68" s="3" t="inlineStr">
        <is>
          <t>ASD1 1C-B</t>
        </is>
      </c>
      <c r="B68" s="7" t="inlineStr">
        <is>
          <t>ASD</t>
        </is>
      </c>
      <c r="C68" s="13" t="n">
        <v>0.00066024</v>
      </c>
      <c r="D68" s="13" t="n">
        <v>0.0018131</v>
      </c>
      <c r="E68" s="13" t="n">
        <v>0.0029659</v>
      </c>
      <c r="F68" s="13" t="n">
        <v>0.0041186</v>
      </c>
      <c r="G68" s="13" t="n">
        <v>0.00066024</v>
      </c>
      <c r="H68" s="13" t="n">
        <v>0.0018131</v>
      </c>
      <c r="I68" s="13" t="n">
        <v>0.0029659</v>
      </c>
      <c r="J68" s="13" t="n">
        <v>0.0041186</v>
      </c>
    </row>
    <row r="69">
      <c r="A69" s="19" t="inlineStr">
        <is>
          <t>ASD2(max) 1C-B</t>
        </is>
      </c>
      <c r="B69" s="20" t="inlineStr">
        <is>
          <t>ASD</t>
        </is>
      </c>
      <c r="C69" s="21" t="n">
        <v>0.02031464230278249</v>
      </c>
      <c r="D69" s="21" t="n">
        <v>0.02915910743507078</v>
      </c>
      <c r="E69" s="21" t="n">
        <v>0.03802161082713356</v>
      </c>
      <c r="F69" s="21" t="n">
        <v>0.04463354860416097</v>
      </c>
      <c r="G69" s="21" t="n">
        <v>0.01541813057442439</v>
      </c>
      <c r="H69" s="21" t="n">
        <v>0.02422291616238639</v>
      </c>
      <c r="I69" s="21" t="n">
        <v>0.03307100365410763</v>
      </c>
      <c r="J69" s="21" t="n">
        <v>0.04171651664508915</v>
      </c>
    </row>
    <row r="70">
      <c r="A70" s="3" t="inlineStr">
        <is>
          <t>ASD2(min) 1C-B</t>
        </is>
      </c>
      <c r="B70" s="7" t="inlineStr">
        <is>
          <t>ASD</t>
        </is>
      </c>
      <c r="C70" s="13" t="n">
        <v>0.602649476429707</v>
      </c>
      <c r="D70" s="13" t="n">
        <v>0.08882863833899515</v>
      </c>
      <c r="E70" s="13" t="n">
        <v>0.3786337673913936</v>
      </c>
      <c r="F70" s="13" t="n">
        <v>0.8269028309063889</v>
      </c>
      <c r="G70" s="13" t="n">
        <v>0.5592104492442894</v>
      </c>
      <c r="H70" s="13" t="n">
        <v>0.0580930879998645</v>
      </c>
      <c r="I70" s="13" t="n">
        <v>0.4093667190002138</v>
      </c>
      <c r="J70" s="13" t="n">
        <v>0.8441317064303414</v>
      </c>
    </row>
    <row r="71">
      <c r="A71" s="19" t="inlineStr">
        <is>
          <t>ASD3 1C-B</t>
        </is>
      </c>
      <c r="B71" s="20" t="inlineStr">
        <is>
          <t>ASD</t>
        </is>
      </c>
      <c r="C71" s="21" t="n">
        <v>216.8857780584057</v>
      </c>
      <c r="D71" s="21" t="n">
        <v>216.7935393617624</v>
      </c>
      <c r="E71" s="21" t="n">
        <v>216.7117411240102</v>
      </c>
      <c r="F71" s="21" t="n">
        <v>216.6398085394279</v>
      </c>
      <c r="G71" s="21" t="n">
        <v>216.9162370040565</v>
      </c>
      <c r="H71" s="21" t="n">
        <v>216.8239982312843</v>
      </c>
      <c r="I71" s="21" t="n">
        <v>216.7419125503879</v>
      </c>
      <c r="J71" s="21" t="n">
        <v>216.6699798980006</v>
      </c>
    </row>
    <row r="72">
      <c r="A72" s="3" t="inlineStr">
        <is>
          <t>ASD4 1C-B</t>
        </is>
      </c>
      <c r="B72" s="7" t="inlineStr">
        <is>
          <t>ASD</t>
        </is>
      </c>
      <c r="C72" s="13" t="n">
        <v>216.7895167875975</v>
      </c>
      <c r="D72" s="13" t="n">
        <v>216.7567594355479</v>
      </c>
      <c r="E72" s="13" t="n">
        <v>216.7242894462916</v>
      </c>
      <c r="F72" s="13" t="n">
        <v>216.7016853556981</v>
      </c>
      <c r="G72" s="13" t="n">
        <v>216.8712197503394</v>
      </c>
      <c r="H72" s="13" t="n">
        <v>216.8381743628183</v>
      </c>
      <c r="I72" s="13" t="n">
        <v>216.7952635760293</v>
      </c>
      <c r="J72" s="13" t="n">
        <v>216.7720840445097</v>
      </c>
    </row>
    <row r="73">
      <c r="A73" s="19" t="inlineStr">
        <is>
          <t>LRFD1 1C-B</t>
        </is>
      </c>
      <c r="B73" s="20" t="inlineStr">
        <is>
          <t>LRFD</t>
        </is>
      </c>
      <c r="C73" s="21" t="n">
        <v>0.0016469</v>
      </c>
      <c r="D73" s="21" t="n">
        <v>0.0043927</v>
      </c>
      <c r="E73" s="21" t="n">
        <v>0.0071382</v>
      </c>
      <c r="F73" s="21" t="n">
        <v>0.0098835</v>
      </c>
      <c r="G73" s="21" t="n">
        <v>0.0016469</v>
      </c>
      <c r="H73" s="21" t="n">
        <v>0.0043927</v>
      </c>
      <c r="I73" s="21" t="n">
        <v>0.0071382</v>
      </c>
      <c r="J73" s="21" t="n">
        <v>0.0098835</v>
      </c>
    </row>
    <row r="74">
      <c r="A74" s="3" t="inlineStr">
        <is>
          <t>LRFD2(max) 1C-B</t>
        </is>
      </c>
      <c r="B74" s="7" t="inlineStr">
        <is>
          <t>LRFD</t>
        </is>
      </c>
      <c r="C74" s="13" t="n">
        <v>0.09499620218198199</v>
      </c>
      <c r="D74" s="13" t="n">
        <v>0.06611382999040367</v>
      </c>
      <c r="E74" s="13" t="n">
        <v>0.03725368694827399</v>
      </c>
      <c r="F74" s="13" t="n">
        <v>0.008747940731943718</v>
      </c>
      <c r="G74" s="13" t="n">
        <v>0.08244486829390898</v>
      </c>
      <c r="H74" s="13" t="n">
        <v>0.05358272365231166</v>
      </c>
      <c r="I74" s="13" t="n">
        <v>0.02481250490055367</v>
      </c>
      <c r="J74" s="13" t="n">
        <v>0.005701201140987749</v>
      </c>
    </row>
    <row r="75">
      <c r="A75" s="19" t="inlineStr">
        <is>
          <t>LRFD2(min) 1C-B</t>
        </is>
      </c>
      <c r="B75" s="20" t="inlineStr">
        <is>
          <t>LRFD</t>
        </is>
      </c>
      <c r="C75" s="21" t="n">
        <v>0.8671056502001356</v>
      </c>
      <c r="D75" s="21" t="n">
        <v>0.2540706786781977</v>
      </c>
      <c r="E75" s="21" t="n">
        <v>0.3523665163945064</v>
      </c>
      <c r="F75" s="21" t="n">
        <v>0.8743316351185059</v>
      </c>
      <c r="G75" s="21" t="n">
        <v>0.8188932335878714</v>
      </c>
      <c r="H75" s="21" t="n">
        <v>0.1870446198130275</v>
      </c>
      <c r="I75" s="21" t="n">
        <v>0.3993746174408183</v>
      </c>
      <c r="J75" s="21" t="n">
        <v>0.9213415872519812</v>
      </c>
    </row>
    <row r="76">
      <c r="A76" s="3" t="inlineStr">
        <is>
          <t>LRFD3 1C-B</t>
        </is>
      </c>
      <c r="B76" s="7" t="inlineStr">
        <is>
          <t>LRFD</t>
        </is>
      </c>
      <c r="C76" s="13" t="n">
        <v>309.9390806416642</v>
      </c>
      <c r="D76" s="13" t="n">
        <v>309.754315869852</v>
      </c>
      <c r="E76" s="13" t="n">
        <v>309.6005849881424</v>
      </c>
      <c r="F76" s="13" t="n">
        <v>309.4465669885514</v>
      </c>
      <c r="G76" s="13" t="n">
        <v>310.0101515902342</v>
      </c>
      <c r="H76" s="13" t="n">
        <v>309.8152336215894</v>
      </c>
      <c r="I76" s="13" t="n">
        <v>309.6612151949288</v>
      </c>
      <c r="J76" s="13" t="n">
        <v>309.5071970084056</v>
      </c>
    </row>
    <row r="77">
      <c r="A77" s="19" t="inlineStr">
        <is>
          <t>LRFD4 1C-B</t>
        </is>
      </c>
      <c r="B77" s="20" t="inlineStr">
        <is>
          <t>LRFD</t>
        </is>
      </c>
      <c r="C77" s="21" t="n">
        <v>309.73726714104</v>
      </c>
      <c r="D77" s="21" t="n">
        <v>309.6821928703683</v>
      </c>
      <c r="E77" s="21" t="n">
        <v>309.6172530544769</v>
      </c>
      <c r="F77" s="21" t="n">
        <v>309.562179317823</v>
      </c>
      <c r="G77" s="21" t="n">
        <v>309.9091021961117</v>
      </c>
      <c r="H77" s="21" t="n">
        <v>309.8328583284865</v>
      </c>
      <c r="I77" s="21" t="n">
        <v>309.76762989215</v>
      </c>
      <c r="J77" s="21" t="n">
        <v>309.7125546438181</v>
      </c>
    </row>
    <row r="78">
      <c r="A78" s="24" t="inlineStr">
        <is>
          <t>max (all)</t>
        </is>
      </c>
      <c r="B78" s="25" t="inlineStr"/>
      <c r="C78" s="26">
        <f>MAX(C58:C77)</f>
        <v/>
      </c>
      <c r="D78" s="26">
        <f>MAX(D58:D77)</f>
        <v/>
      </c>
      <c r="E78" s="26">
        <f>MAX(E58:E77)</f>
        <v/>
      </c>
      <c r="F78" s="26">
        <f>MAX(F58:F77)</f>
        <v/>
      </c>
      <c r="G78" s="26">
        <f>MAX(G58:G77)</f>
        <v/>
      </c>
      <c r="H78" s="26">
        <f>MAX(H58:H77)</f>
        <v/>
      </c>
      <c r="I78" s="26">
        <f>MAX(I58:I77)</f>
        <v/>
      </c>
      <c r="J78" s="26">
        <f>MAX(J58:J77)</f>
        <v/>
      </c>
    </row>
    <row r="79">
      <c r="A79" s="24" t="inlineStr">
        <is>
          <t>min (all)</t>
        </is>
      </c>
      <c r="B79" s="25" t="inlineStr"/>
      <c r="C79" s="26">
        <f>MIN(C58:C77)</f>
        <v/>
      </c>
      <c r="D79" s="26">
        <f>MIN(D58:D77)</f>
        <v/>
      </c>
      <c r="E79" s="26">
        <f>MIN(E58:E77)</f>
        <v/>
      </c>
      <c r="F79" s="26">
        <f>MIN(F58:F77)</f>
        <v/>
      </c>
      <c r="G79" s="26">
        <f>MIN(G58:G77)</f>
        <v/>
      </c>
      <c r="H79" s="26">
        <f>MIN(H58:H77)</f>
        <v/>
      </c>
      <c r="I79" s="26">
        <f>MIN(I58:I77)</f>
        <v/>
      </c>
      <c r="J79" s="26">
        <f>MIN(J58:J77)</f>
        <v/>
      </c>
    </row>
    <row r="82">
      <c r="A82" s="16" t="inlineStr">
        <is>
          <t>Head deflection y (mm)</t>
        </is>
      </c>
    </row>
    <row r="83" ht="22" customHeight="1">
      <c r="A83" s="6" t="inlineStr">
        <is>
          <t>Load combination</t>
        </is>
      </c>
      <c r="B83" s="6" t="inlineStr">
        <is>
          <t>Design</t>
        </is>
      </c>
      <c r="C83" s="6" t="inlineStr">
        <is>
          <t>Pile 1</t>
        </is>
      </c>
      <c r="D83" s="6" t="inlineStr">
        <is>
          <t>Pile 2</t>
        </is>
      </c>
      <c r="E83" s="6" t="inlineStr">
        <is>
          <t>Pile 3</t>
        </is>
      </c>
      <c r="F83" s="6" t="inlineStr">
        <is>
          <t>Pile 4</t>
        </is>
      </c>
      <c r="G83" s="6" t="inlineStr">
        <is>
          <t>Pile 5</t>
        </is>
      </c>
      <c r="H83" s="6" t="inlineStr">
        <is>
          <t>Pile 6</t>
        </is>
      </c>
      <c r="I83" s="6" t="inlineStr">
        <is>
          <t>Pile 7</t>
        </is>
      </c>
      <c r="J83" s="6" t="inlineStr">
        <is>
          <t>Pile 8</t>
        </is>
      </c>
    </row>
    <row r="84">
      <c r="A84" s="3" t="inlineStr">
        <is>
          <t>ASD1 1C-A</t>
        </is>
      </c>
      <c r="B84" s="7" t="inlineStr">
        <is>
          <t>ASD</t>
        </is>
      </c>
      <c r="C84" s="27" t="n">
        <v>0.06479500000000001</v>
      </c>
      <c r="D84" s="27" t="n">
        <v>0.06479500000000001</v>
      </c>
      <c r="E84" s="27" t="n">
        <v>0.06479500000000001</v>
      </c>
      <c r="F84" s="27" t="n">
        <v>0.06479500000000001</v>
      </c>
      <c r="G84" s="27" t="n">
        <v>0.06479500000000001</v>
      </c>
      <c r="H84" s="27" t="n">
        <v>0.06479500000000001</v>
      </c>
      <c r="I84" s="27" t="n">
        <v>0.06479500000000001</v>
      </c>
      <c r="J84" s="27" t="n">
        <v>0.06479500000000001</v>
      </c>
    </row>
    <row r="85">
      <c r="A85" s="19" t="inlineStr">
        <is>
          <t>ASD2(max) 1C-A</t>
        </is>
      </c>
      <c r="B85" s="20" t="inlineStr">
        <is>
          <t>ASD</t>
        </is>
      </c>
      <c r="C85" s="28" t="n">
        <v>1.769412737913062</v>
      </c>
      <c r="D85" s="28" t="n">
        <v>1.769414015611948</v>
      </c>
      <c r="E85" s="28" t="n">
        <v>1.769415322886066</v>
      </c>
      <c r="F85" s="28" t="n">
        <v>1.769416602897407</v>
      </c>
      <c r="G85" s="28" t="n">
        <v>1.769312778196382</v>
      </c>
      <c r="H85" s="28" t="n">
        <v>1.769314055967453</v>
      </c>
      <c r="I85" s="28" t="n">
        <v>1.769315363315427</v>
      </c>
      <c r="J85" s="28" t="n">
        <v>1.769316643399083</v>
      </c>
    </row>
    <row r="86">
      <c r="A86" s="3" t="inlineStr">
        <is>
          <t>ASD2(min) 1C-A</t>
        </is>
      </c>
      <c r="B86" s="7" t="inlineStr">
        <is>
          <t>ASD</t>
        </is>
      </c>
      <c r="C86" s="27" t="n">
        <v>0.195691668368891</v>
      </c>
      <c r="D86" s="27" t="n">
        <v>0.1956927782622547</v>
      </c>
      <c r="E86" s="27" t="n">
        <v>0.195693666264394</v>
      </c>
      <c r="F86" s="27" t="n">
        <v>0.1956947763763765</v>
      </c>
      <c r="G86" s="27" t="n">
        <v>0.1957111695049621</v>
      </c>
      <c r="H86" s="27" t="n">
        <v>0.195712279287734</v>
      </c>
      <c r="I86" s="27" t="n">
        <v>0.1957131672013919</v>
      </c>
      <c r="J86" s="27" t="n">
        <v>0.1957142772027631</v>
      </c>
    </row>
    <row r="87">
      <c r="A87" s="19" t="inlineStr">
        <is>
          <t>ASD3 1C-A</t>
        </is>
      </c>
      <c r="B87" s="20" t="inlineStr">
        <is>
          <t>ASD</t>
        </is>
      </c>
      <c r="C87" s="28" t="n">
        <v>1.766170587004551</v>
      </c>
      <c r="D87" s="28" t="n">
        <v>1.766164966813689</v>
      </c>
      <c r="E87" s="28" t="n">
        <v>1.766159346831423</v>
      </c>
      <c r="F87" s="28" t="n">
        <v>1.766153727057755</v>
      </c>
      <c r="G87" s="28" t="n">
        <v>1.766074616883443</v>
      </c>
      <c r="H87" s="28" t="n">
        <v>1.766068996387174</v>
      </c>
      <c r="I87" s="28" t="n">
        <v>1.76606337609951</v>
      </c>
      <c r="J87" s="28" t="n">
        <v>1.766057756020454</v>
      </c>
    </row>
    <row r="88">
      <c r="A88" s="3" t="inlineStr">
        <is>
          <t>ASD4 1C-A</t>
        </is>
      </c>
      <c r="B88" s="7" t="inlineStr">
        <is>
          <t>ASD</t>
        </is>
      </c>
      <c r="C88" s="27" t="n">
        <v>1.713300849267285</v>
      </c>
      <c r="D88" s="27" t="n">
        <v>1.713300849267285</v>
      </c>
      <c r="E88" s="27" t="n">
        <v>1.713204392388719</v>
      </c>
      <c r="F88" s="27" t="n">
        <v>1.713204392388719</v>
      </c>
      <c r="G88" s="27" t="n">
        <v>1.713248095314861</v>
      </c>
      <c r="H88" s="27" t="n">
        <v>1.713248095314861</v>
      </c>
      <c r="I88" s="27" t="n">
        <v>1.71315163546605</v>
      </c>
      <c r="J88" s="27" t="n">
        <v>1.71315163546605</v>
      </c>
    </row>
    <row r="89">
      <c r="A89" s="19" t="inlineStr">
        <is>
          <t>LRFD1 1C-A</t>
        </is>
      </c>
      <c r="B89" s="20" t="inlineStr">
        <is>
          <t>LRFD</t>
        </is>
      </c>
      <c r="C89" s="28" t="n">
        <v>0.1124</v>
      </c>
      <c r="D89" s="28" t="n">
        <v>0.1124</v>
      </c>
      <c r="E89" s="28" t="n">
        <v>0.1124</v>
      </c>
      <c r="F89" s="28" t="n">
        <v>0.1124</v>
      </c>
      <c r="G89" s="28" t="n">
        <v>0.1124</v>
      </c>
      <c r="H89" s="28" t="n">
        <v>0.1124</v>
      </c>
      <c r="I89" s="28" t="n">
        <v>0.1124</v>
      </c>
      <c r="J89" s="28" t="n">
        <v>0.1124</v>
      </c>
    </row>
    <row r="90">
      <c r="A90" s="3" t="inlineStr">
        <is>
          <t>LRFD2(max) 1C-A</t>
        </is>
      </c>
      <c r="B90" s="7" t="inlineStr">
        <is>
          <t>LRFD</t>
        </is>
      </c>
      <c r="C90" s="27" t="n">
        <v>1.92784938621356</v>
      </c>
      <c r="D90" s="27" t="n">
        <v>1.927852380553034</v>
      </c>
      <c r="E90" s="27" t="n">
        <v>1.927855415699269</v>
      </c>
      <c r="F90" s="27" t="n">
        <v>1.927858416710366</v>
      </c>
      <c r="G90" s="27" t="n">
        <v>1.927549596229368</v>
      </c>
      <c r="H90" s="27" t="n">
        <v>1.927552591034548</v>
      </c>
      <c r="I90" s="27" t="n">
        <v>1.927555626652834</v>
      </c>
      <c r="J90" s="27" t="n">
        <v>1.927558628130672</v>
      </c>
    </row>
    <row r="91">
      <c r="A91" s="19" t="inlineStr">
        <is>
          <t>LRFD2(min) 1C-A</t>
        </is>
      </c>
      <c r="B91" s="20" t="inlineStr">
        <is>
          <t>LRFD</t>
        </is>
      </c>
      <c r="C91" s="28" t="n">
        <v>0.3133909341780645</v>
      </c>
      <c r="D91" s="28" t="n">
        <v>0.3133886658591851</v>
      </c>
      <c r="E91" s="28" t="n">
        <v>0.3133863979833841</v>
      </c>
      <c r="F91" s="28" t="n">
        <v>0.3133839416179457</v>
      </c>
      <c r="G91" s="28" t="n">
        <v>0.3134400327415118</v>
      </c>
      <c r="H91" s="28" t="n">
        <v>0.313437764777954</v>
      </c>
      <c r="I91" s="28" t="n">
        <v>0.3134354972574102</v>
      </c>
      <c r="J91" s="28" t="n">
        <v>0.3134330412767614</v>
      </c>
    </row>
    <row r="92">
      <c r="A92" s="3" t="inlineStr">
        <is>
          <t>LRFD3 1C-A</t>
        </is>
      </c>
      <c r="B92" s="7" t="inlineStr">
        <is>
          <t>LRFD</t>
        </is>
      </c>
      <c r="C92" s="27" t="n">
        <v>2.659245190368876</v>
      </c>
      <c r="D92" s="27" t="n">
        <v>2.659234079974909</v>
      </c>
      <c r="E92" s="27" t="n">
        <v>2.659222970136201</v>
      </c>
      <c r="F92" s="27" t="n">
        <v>2.659211860852761</v>
      </c>
      <c r="G92" s="27" t="n">
        <v>2.659053061241915</v>
      </c>
      <c r="H92" s="27" t="n">
        <v>2.659041950045166</v>
      </c>
      <c r="I92" s="27" t="n">
        <v>2.659030839403711</v>
      </c>
      <c r="J92" s="27" t="n">
        <v>2.659019729317555</v>
      </c>
    </row>
    <row r="93">
      <c r="A93" s="19" t="inlineStr">
        <is>
          <t>LRFD4 1C-A</t>
        </is>
      </c>
      <c r="B93" s="20" t="inlineStr">
        <is>
          <t>LRFD</t>
        </is>
      </c>
      <c r="C93" s="28" t="n">
        <v>2.557811819290075</v>
      </c>
      <c r="D93" s="28" t="n">
        <v>2.557715490999732</v>
      </c>
      <c r="E93" s="28" t="n">
        <v>2.557619162991238</v>
      </c>
      <c r="F93" s="28" t="n">
        <v>2.557522835264623</v>
      </c>
      <c r="G93" s="28" t="n">
        <v>2.557712505267158</v>
      </c>
      <c r="H93" s="28" t="n">
        <v>2.55761617323632</v>
      </c>
      <c r="I93" s="28" t="n">
        <v>2.557519841487061</v>
      </c>
      <c r="J93" s="28" t="n">
        <v>2.55742351001941</v>
      </c>
    </row>
    <row r="94">
      <c r="A94" s="3" t="inlineStr">
        <is>
          <t>ASD1 1C-B</t>
        </is>
      </c>
      <c r="B94" s="7" t="inlineStr">
        <is>
          <t>ASD</t>
        </is>
      </c>
      <c r="C94" s="27" t="n">
        <v>0.06479500000000001</v>
      </c>
      <c r="D94" s="27" t="n">
        <v>0.06479500000000001</v>
      </c>
      <c r="E94" s="27" t="n">
        <v>0.06479500000000001</v>
      </c>
      <c r="F94" s="27" t="n">
        <v>0.06479500000000001</v>
      </c>
      <c r="G94" s="27" t="n">
        <v>0.06479500000000001</v>
      </c>
      <c r="H94" s="27" t="n">
        <v>0.06479500000000001</v>
      </c>
      <c r="I94" s="27" t="n">
        <v>0.06479500000000001</v>
      </c>
      <c r="J94" s="27" t="n">
        <v>0.06479500000000001</v>
      </c>
    </row>
    <row r="95">
      <c r="A95" s="19" t="inlineStr">
        <is>
          <t>ASD2(max) 1C-B</t>
        </is>
      </c>
      <c r="B95" s="20" t="inlineStr">
        <is>
          <t>ASD</t>
        </is>
      </c>
      <c r="C95" s="28" t="n">
        <v>0.2048391939156176</v>
      </c>
      <c r="D95" s="28" t="n">
        <v>0.2048380566911335</v>
      </c>
      <c r="E95" s="28" t="n">
        <v>0.2048369195823839</v>
      </c>
      <c r="F95" s="28" t="n">
        <v>0.2048357825893709</v>
      </c>
      <c r="G95" s="28" t="n">
        <v>0.2048197182011537</v>
      </c>
      <c r="H95" s="28" t="n">
        <v>0.2048185808685335</v>
      </c>
      <c r="I95" s="28" t="n">
        <v>0.2048174436516577</v>
      </c>
      <c r="J95" s="28" t="n">
        <v>0.2048163065505283</v>
      </c>
    </row>
    <row r="96">
      <c r="A96" s="3" t="inlineStr">
        <is>
          <t>ASD2(min) 1C-B</t>
        </is>
      </c>
      <c r="B96" s="7" t="inlineStr">
        <is>
          <t>ASD</t>
        </is>
      </c>
      <c r="C96" s="27" t="n">
        <v>1.525831457091182</v>
      </c>
      <c r="D96" s="27" t="n">
        <v>1.525830364432757</v>
      </c>
      <c r="E96" s="27" t="n">
        <v>1.525829244003404</v>
      </c>
      <c r="F96" s="27" t="n">
        <v>1.525828153261041</v>
      </c>
      <c r="G96" s="27" t="n">
        <v>1.525931415709435</v>
      </c>
      <c r="H96" s="27" t="n">
        <v>1.525930323122586</v>
      </c>
      <c r="I96" s="27" t="n">
        <v>1.525929202766629</v>
      </c>
      <c r="J96" s="27" t="n">
        <v>1.525928112095718</v>
      </c>
    </row>
    <row r="97">
      <c r="A97" s="19" t="inlineStr">
        <is>
          <t>ASD3 1C-B</t>
        </is>
      </c>
      <c r="B97" s="20" t="inlineStr">
        <is>
          <t>ASD</t>
        </is>
      </c>
      <c r="C97" s="28" t="n">
        <v>1.927534440263001</v>
      </c>
      <c r="D97" s="28" t="n">
        <v>1.927537019852018</v>
      </c>
      <c r="E97" s="28" t="n">
        <v>1.927542179175335</v>
      </c>
      <c r="F97" s="28" t="n">
        <v>1.927544758909634</v>
      </c>
      <c r="G97" s="28" t="n">
        <v>1.927631056089313</v>
      </c>
      <c r="H97" s="28" t="n">
        <v>1.927633635549038</v>
      </c>
      <c r="I97" s="28" t="n">
        <v>1.927638794613763</v>
      </c>
      <c r="J97" s="28" t="n">
        <v>1.927641374218763</v>
      </c>
    </row>
    <row r="98">
      <c r="A98" s="3" t="inlineStr">
        <is>
          <t>ASD4 1C-B</t>
        </is>
      </c>
      <c r="B98" s="7" t="inlineStr">
        <is>
          <t>ASD</t>
        </is>
      </c>
      <c r="C98" s="27" t="n">
        <v>1.764520345051312</v>
      </c>
      <c r="D98" s="27" t="n">
        <v>1.764520345051312</v>
      </c>
      <c r="E98" s="27" t="n">
        <v>1.764614104584909</v>
      </c>
      <c r="F98" s="27" t="n">
        <v>1.764614104584909</v>
      </c>
      <c r="G98" s="27" t="n">
        <v>1.764579467635278</v>
      </c>
      <c r="H98" s="27" t="n">
        <v>1.764579467635278</v>
      </c>
      <c r="I98" s="27" t="n">
        <v>1.76467322402761</v>
      </c>
      <c r="J98" s="27" t="n">
        <v>1.76467322402761</v>
      </c>
    </row>
    <row r="99">
      <c r="A99" s="19" t="inlineStr">
        <is>
          <t>LRFD1 1C-B</t>
        </is>
      </c>
      <c r="B99" s="20" t="inlineStr">
        <is>
          <t>LRFD</t>
        </is>
      </c>
      <c r="C99" s="28" t="n">
        <v>0.1124</v>
      </c>
      <c r="D99" s="28" t="n">
        <v>0.1124</v>
      </c>
      <c r="E99" s="28" t="n">
        <v>0.1124</v>
      </c>
      <c r="F99" s="28" t="n">
        <v>0.1124</v>
      </c>
      <c r="G99" s="28" t="n">
        <v>0.1124</v>
      </c>
      <c r="H99" s="28" t="n">
        <v>0.1124</v>
      </c>
      <c r="I99" s="28" t="n">
        <v>0.1124</v>
      </c>
      <c r="J99" s="28" t="n">
        <v>0.1124</v>
      </c>
    </row>
    <row r="100">
      <c r="A100" s="3" t="inlineStr">
        <is>
          <t>LRFD2(max) 1C-B</t>
        </is>
      </c>
      <c r="B100" s="7" t="inlineStr">
        <is>
          <t>LRFD</t>
        </is>
      </c>
      <c r="C100" s="27" t="n">
        <v>0.3718209924157053</v>
      </c>
      <c r="D100" s="27" t="n">
        <v>0.3718238066019979</v>
      </c>
      <c r="E100" s="27" t="n">
        <v>0.371826621372112</v>
      </c>
      <c r="F100" s="27" t="n">
        <v>0.3718292490176102</v>
      </c>
      <c r="G100" s="27" t="n">
        <v>0.3717718801913346</v>
      </c>
      <c r="H100" s="27" t="n">
        <v>0.3717746947493871</v>
      </c>
      <c r="I100" s="27" t="n">
        <v>0.3717775098913327</v>
      </c>
      <c r="J100" s="27" t="n">
        <v>0.3717801378839381</v>
      </c>
    </row>
    <row r="101">
      <c r="A101" s="19" t="inlineStr">
        <is>
          <t>LRFD2(min) 1C-B</t>
        </is>
      </c>
      <c r="B101" s="20" t="inlineStr">
        <is>
          <t>LRFD</t>
        </is>
      </c>
      <c r="C101" s="28" t="n">
        <v>1.611433246637601</v>
      </c>
      <c r="D101" s="28" t="n">
        <v>1.611430645026028</v>
      </c>
      <c r="E101" s="28" t="n">
        <v>1.611428045952099</v>
      </c>
      <c r="F101" s="28" t="n">
        <v>1.611425449415827</v>
      </c>
      <c r="G101" s="28" t="n">
        <v>1.611732998473693</v>
      </c>
      <c r="H101" s="28" t="n">
        <v>1.61173039734597</v>
      </c>
      <c r="I101" s="28" t="n">
        <v>1.611727798755423</v>
      </c>
      <c r="J101" s="28" t="n">
        <v>1.611725202702061</v>
      </c>
    </row>
    <row r="102">
      <c r="A102" s="3" t="inlineStr">
        <is>
          <t>LRFD3 1C-B</t>
        </is>
      </c>
      <c r="B102" s="7" t="inlineStr">
        <is>
          <t>LRFD</t>
        </is>
      </c>
      <c r="C102" s="27" t="n">
        <v>2.868621976995226</v>
      </c>
      <c r="D102" s="27" t="n">
        <v>2.868627142397561</v>
      </c>
      <c r="E102" s="27" t="n">
        <v>2.868629725147531</v>
      </c>
      <c r="F102" s="27" t="n">
        <v>2.868634890745073</v>
      </c>
      <c r="G102" s="27" t="n">
        <v>2.868718584472865</v>
      </c>
      <c r="H102" s="27" t="n">
        <v>2.86872374970125</v>
      </c>
      <c r="I102" s="27" t="n">
        <v>2.868726332364243</v>
      </c>
      <c r="J102" s="27" t="n">
        <v>2.868731497787829</v>
      </c>
    </row>
    <row r="103">
      <c r="A103" s="19" t="inlineStr">
        <is>
          <t>LRFD4 1C-B</t>
        </is>
      </c>
      <c r="B103" s="20" t="inlineStr">
        <is>
          <t>LRFD</t>
        </is>
      </c>
      <c r="C103" s="28" t="n">
        <v>2.622737028011005</v>
      </c>
      <c r="D103" s="28" t="n">
        <v>2.622830880575414</v>
      </c>
      <c r="E103" s="28" t="n">
        <v>2.622924733594161</v>
      </c>
      <c r="F103" s="28" t="n">
        <v>2.623018587067198</v>
      </c>
      <c r="G103" s="28" t="n">
        <v>2.622840607833423</v>
      </c>
      <c r="H103" s="28" t="n">
        <v>2.622934456691588</v>
      </c>
      <c r="I103" s="28" t="n">
        <v>2.62302830600434</v>
      </c>
      <c r="J103" s="28" t="n">
        <v>2.623122155771629</v>
      </c>
    </row>
    <row r="104">
      <c r="A104" s="24" t="inlineStr">
        <is>
          <t>max (all)</t>
        </is>
      </c>
      <c r="B104" s="25" t="inlineStr"/>
      <c r="C104" s="29">
        <f>MAX(C84:C103)</f>
        <v/>
      </c>
      <c r="D104" s="29">
        <f>MAX(D84:D103)</f>
        <v/>
      </c>
      <c r="E104" s="29">
        <f>MAX(E84:E103)</f>
        <v/>
      </c>
      <c r="F104" s="29">
        <f>MAX(F84:F103)</f>
        <v/>
      </c>
      <c r="G104" s="29">
        <f>MAX(G84:G103)</f>
        <v/>
      </c>
      <c r="H104" s="29">
        <f>MAX(H84:H103)</f>
        <v/>
      </c>
      <c r="I104" s="29">
        <f>MAX(I84:I103)</f>
        <v/>
      </c>
      <c r="J104" s="29">
        <f>MAX(J84:J103)</f>
        <v/>
      </c>
    </row>
    <row r="105">
      <c r="A105" s="24" t="inlineStr">
        <is>
          <t>min (all)</t>
        </is>
      </c>
      <c r="B105" s="25" t="inlineStr"/>
      <c r="C105" s="29">
        <f>MIN(C84:C103)</f>
        <v/>
      </c>
      <c r="D105" s="29">
        <f>MIN(D84:D103)</f>
        <v/>
      </c>
      <c r="E105" s="29">
        <f>MIN(E84:E103)</f>
        <v/>
      </c>
      <c r="F105" s="29">
        <f>MIN(F84:F103)</f>
        <v/>
      </c>
      <c r="G105" s="29">
        <f>MIN(G84:G103)</f>
        <v/>
      </c>
      <c r="H105" s="29">
        <f>MIN(H84:H103)</f>
        <v/>
      </c>
      <c r="I105" s="29">
        <f>MIN(I84:I103)</f>
        <v/>
      </c>
      <c r="J105" s="29">
        <f>MIN(J84:J103)</f>
        <v/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0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7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PILE-HEAD FORCES - WPD M3 (Liquefied), GROUP +Icap</t>
        </is>
      </c>
    </row>
    <row r="2">
      <c r="A2" s="11" t="inlineStr">
        <is>
          <t>P = axial (+ compression, - tension); M, V = resultant moment / shear at the pile head (z = 0, fixed head into cap); y = head deflection.</t>
        </is>
      </c>
    </row>
    <row r="4">
      <c r="A4" s="16" t="inlineStr">
        <is>
          <t>Axial force P (kN)</t>
        </is>
      </c>
    </row>
    <row r="5" ht="22" customHeight="1">
      <c r="A5" s="6" t="inlineStr">
        <is>
          <t>Load combination</t>
        </is>
      </c>
      <c r="B5" s="6" t="inlineStr">
        <is>
          <t>Design</t>
        </is>
      </c>
      <c r="C5" s="6" t="inlineStr">
        <is>
          <t>Pile 1</t>
        </is>
      </c>
      <c r="D5" s="6" t="inlineStr">
        <is>
          <t>Pile 2</t>
        </is>
      </c>
      <c r="E5" s="6" t="inlineStr">
        <is>
          <t>Pile 3</t>
        </is>
      </c>
      <c r="F5" s="6" t="inlineStr">
        <is>
          <t>Pile 4</t>
        </is>
      </c>
      <c r="G5" s="6" t="inlineStr">
        <is>
          <t>Pile 5</t>
        </is>
      </c>
      <c r="H5" s="6" t="inlineStr">
        <is>
          <t>Pile 6</t>
        </is>
      </c>
      <c r="I5" s="6" t="inlineStr">
        <is>
          <t>Pile 7</t>
        </is>
      </c>
      <c r="J5" s="6" t="inlineStr">
        <is>
          <t>Pile 8</t>
        </is>
      </c>
      <c r="K5" s="6" t="inlineStr">
        <is>
          <t>Sum P (kN)</t>
        </is>
      </c>
    </row>
    <row r="6">
      <c r="A6" s="3" t="inlineStr">
        <is>
          <t>ASD1 1C-A</t>
        </is>
      </c>
      <c r="B6" s="7" t="inlineStr">
        <is>
          <t>ASD</t>
        </is>
      </c>
      <c r="C6" s="13" t="n">
        <v>1214.9</v>
      </c>
      <c r="D6" s="13" t="n">
        <v>1139.3</v>
      </c>
      <c r="E6" s="13" t="n">
        <v>1063.7</v>
      </c>
      <c r="F6" s="13" t="n">
        <v>988.11</v>
      </c>
      <c r="G6" s="13" t="n">
        <v>1214.9</v>
      </c>
      <c r="H6" s="13" t="n">
        <v>1139.3</v>
      </c>
      <c r="I6" s="13" t="n">
        <v>1063.7</v>
      </c>
      <c r="J6" s="13" t="n">
        <v>988.11</v>
      </c>
      <c r="K6" s="18">
        <f>SUM(C6:J6)</f>
        <v/>
      </c>
    </row>
    <row r="7">
      <c r="A7" s="19" t="inlineStr">
        <is>
          <t>ASD2(max) 1C-A</t>
        </is>
      </c>
      <c r="B7" s="20" t="inlineStr">
        <is>
          <t>ASD</t>
        </is>
      </c>
      <c r="C7" s="21" t="n">
        <v>6650.8</v>
      </c>
      <c r="D7" s="21" t="n">
        <v>5443.6</v>
      </c>
      <c r="E7" s="21" t="n">
        <v>4188.5</v>
      </c>
      <c r="F7" s="21" t="n">
        <v>2489.9</v>
      </c>
      <c r="G7" s="21" t="n">
        <v>6531.4</v>
      </c>
      <c r="H7" s="21" t="n">
        <v>5324.1</v>
      </c>
      <c r="I7" s="21" t="n">
        <v>4028</v>
      </c>
      <c r="J7" s="21" t="n">
        <v>2272.1</v>
      </c>
      <c r="K7" s="22">
        <f>SUM(C7:J7)</f>
        <v/>
      </c>
    </row>
    <row r="8">
      <c r="A8" s="3" t="inlineStr">
        <is>
          <t>ASD2(min) 1C-A</t>
        </is>
      </c>
      <c r="B8" s="7" t="inlineStr">
        <is>
          <t>ASD</t>
        </is>
      </c>
      <c r="C8" s="13" t="n">
        <v>3083.8</v>
      </c>
      <c r="D8" s="13" t="n">
        <v>2920.3</v>
      </c>
      <c r="E8" s="13" t="n">
        <v>2748.8</v>
      </c>
      <c r="F8" s="13" t="n">
        <v>2526.9</v>
      </c>
      <c r="G8" s="13" t="n">
        <v>3224.1</v>
      </c>
      <c r="H8" s="13" t="n">
        <v>3060.6</v>
      </c>
      <c r="I8" s="13" t="n">
        <v>2897.1</v>
      </c>
      <c r="J8" s="13" t="n">
        <v>2717.3</v>
      </c>
      <c r="K8" s="18">
        <f>SUM(C8:J8)</f>
        <v/>
      </c>
    </row>
    <row r="9">
      <c r="A9" s="19" t="inlineStr">
        <is>
          <t>ASD3 1C-A</t>
        </is>
      </c>
      <c r="B9" s="20" t="inlineStr">
        <is>
          <t>ASD</t>
        </is>
      </c>
      <c r="C9" s="21" t="n">
        <v>1102.6</v>
      </c>
      <c r="D9" s="21" t="n">
        <v>1216.4</v>
      </c>
      <c r="E9" s="21" t="n">
        <v>1330.2</v>
      </c>
      <c r="F9" s="21" t="n">
        <v>1444</v>
      </c>
      <c r="G9" s="21" t="n">
        <v>1021.2</v>
      </c>
      <c r="H9" s="21" t="n">
        <v>1135</v>
      </c>
      <c r="I9" s="21" t="n">
        <v>1248.8</v>
      </c>
      <c r="J9" s="21" t="n">
        <v>1362.6</v>
      </c>
      <c r="K9" s="22">
        <f>SUM(C9:J9)</f>
        <v/>
      </c>
    </row>
    <row r="10">
      <c r="A10" s="3" t="inlineStr">
        <is>
          <t>ASD4 1C-A</t>
        </is>
      </c>
      <c r="B10" s="7" t="inlineStr">
        <is>
          <t>ASD</t>
        </is>
      </c>
      <c r="C10" s="13" t="n">
        <v>1406</v>
      </c>
      <c r="D10" s="13" t="n">
        <v>1380.8</v>
      </c>
      <c r="E10" s="13" t="n">
        <v>1355.7</v>
      </c>
      <c r="F10" s="13" t="n">
        <v>1330.5</v>
      </c>
      <c r="G10" s="13" t="n">
        <v>1134.6</v>
      </c>
      <c r="H10" s="13" t="n">
        <v>1109.5</v>
      </c>
      <c r="I10" s="13" t="n">
        <v>1084.3</v>
      </c>
      <c r="J10" s="13" t="n">
        <v>1059.1</v>
      </c>
      <c r="K10" s="18">
        <f>SUM(C10:J10)</f>
        <v/>
      </c>
    </row>
    <row r="11">
      <c r="A11" s="19" t="inlineStr">
        <is>
          <t>LRFD1 1C-A</t>
        </is>
      </c>
      <c r="B11" s="20" t="inlineStr">
        <is>
          <t>LRFD</t>
        </is>
      </c>
      <c r="C11" s="21" t="n">
        <v>1700.9</v>
      </c>
      <c r="D11" s="21" t="n">
        <v>1595</v>
      </c>
      <c r="E11" s="21" t="n">
        <v>1489.2</v>
      </c>
      <c r="F11" s="21" t="n">
        <v>1383.3</v>
      </c>
      <c r="G11" s="21" t="n">
        <v>1700.9</v>
      </c>
      <c r="H11" s="21" t="n">
        <v>1595</v>
      </c>
      <c r="I11" s="21" t="n">
        <v>1489.2</v>
      </c>
      <c r="J11" s="21" t="n">
        <v>1383.3</v>
      </c>
      <c r="K11" s="22">
        <f>SUM(C11:J11)</f>
        <v/>
      </c>
    </row>
    <row r="12">
      <c r="A12" s="3" t="inlineStr">
        <is>
          <t>LRFD2(max) 1C-A</t>
        </is>
      </c>
      <c r="B12" s="7" t="inlineStr">
        <is>
          <t>LRFD</t>
        </is>
      </c>
      <c r="C12" s="13" t="n">
        <v>6086</v>
      </c>
      <c r="D12" s="13" t="n">
        <v>4837.8</v>
      </c>
      <c r="E12" s="13" t="n">
        <v>3319.3</v>
      </c>
      <c r="F12" s="13" t="n">
        <v>1235.9</v>
      </c>
      <c r="G12" s="13" t="n">
        <v>5895</v>
      </c>
      <c r="H12" s="13" t="n">
        <v>4646.7</v>
      </c>
      <c r="I12" s="13" t="n">
        <v>3062.5</v>
      </c>
      <c r="J12" s="13" t="n">
        <v>887.49</v>
      </c>
      <c r="K12" s="18">
        <f>SUM(C12:J12)</f>
        <v/>
      </c>
    </row>
    <row r="13">
      <c r="A13" s="19" t="inlineStr">
        <is>
          <t>LRFD2(min) 1C-A</t>
        </is>
      </c>
      <c r="B13" s="20" t="inlineStr">
        <is>
          <t>LRFD</t>
        </is>
      </c>
      <c r="C13" s="21" t="n">
        <v>333.85</v>
      </c>
      <c r="D13" s="21" t="n">
        <v>718.87</v>
      </c>
      <c r="E13" s="21" t="n">
        <v>1051.3</v>
      </c>
      <c r="F13" s="21" t="n">
        <v>1383.7</v>
      </c>
      <c r="G13" s="21" t="n">
        <v>616.41</v>
      </c>
      <c r="H13" s="21" t="n">
        <v>956.73</v>
      </c>
      <c r="I13" s="21" t="n">
        <v>1289.1</v>
      </c>
      <c r="J13" s="21" t="n">
        <v>1621.5</v>
      </c>
      <c r="K13" s="22">
        <f>SUM(C13:J13)</f>
        <v/>
      </c>
    </row>
    <row r="14">
      <c r="A14" s="3" t="inlineStr">
        <is>
          <t>LRFD3 1C-A</t>
        </is>
      </c>
      <c r="B14" s="7" t="inlineStr">
        <is>
          <t>LRFD</t>
        </is>
      </c>
      <c r="C14" s="13" t="n">
        <v>1297</v>
      </c>
      <c r="D14" s="13" t="n">
        <v>1476.7</v>
      </c>
      <c r="E14" s="13" t="n">
        <v>1656.4</v>
      </c>
      <c r="F14" s="13" t="n">
        <v>1836.2</v>
      </c>
      <c r="G14" s="13" t="n">
        <v>1180.7</v>
      </c>
      <c r="H14" s="13" t="n">
        <v>1360.5</v>
      </c>
      <c r="I14" s="13" t="n">
        <v>1540.2</v>
      </c>
      <c r="J14" s="13" t="n">
        <v>1719.9</v>
      </c>
      <c r="K14" s="18">
        <f>SUM(C14:J14)</f>
        <v/>
      </c>
    </row>
    <row r="15">
      <c r="A15" s="19" t="inlineStr">
        <is>
          <t>LRFD4 1C-A</t>
        </is>
      </c>
      <c r="B15" s="20" t="inlineStr">
        <is>
          <t>LRFD</t>
        </is>
      </c>
      <c r="C15" s="21" t="n">
        <v>1730.1</v>
      </c>
      <c r="D15" s="21" t="n">
        <v>1711.4</v>
      </c>
      <c r="E15" s="21" t="n">
        <v>1692.8</v>
      </c>
      <c r="F15" s="21" t="n">
        <v>1674.2</v>
      </c>
      <c r="G15" s="21" t="n">
        <v>1342.7</v>
      </c>
      <c r="H15" s="21" t="n">
        <v>1324.1</v>
      </c>
      <c r="I15" s="21" t="n">
        <v>1305.5</v>
      </c>
      <c r="J15" s="21" t="n">
        <v>1286.8</v>
      </c>
      <c r="K15" s="22">
        <f>SUM(C15:J15)</f>
        <v/>
      </c>
    </row>
    <row r="16">
      <c r="A16" s="3" t="inlineStr">
        <is>
          <t>ASD1 1C-B</t>
        </is>
      </c>
      <c r="B16" s="7" t="inlineStr">
        <is>
          <t>ASD</t>
        </is>
      </c>
      <c r="C16" s="13" t="n">
        <v>988.11</v>
      </c>
      <c r="D16" s="13" t="n">
        <v>1063.7</v>
      </c>
      <c r="E16" s="13" t="n">
        <v>1139.3</v>
      </c>
      <c r="F16" s="13" t="n">
        <v>1214.9</v>
      </c>
      <c r="G16" s="13" t="n">
        <v>988.11</v>
      </c>
      <c r="H16" s="13" t="n">
        <v>1063.7</v>
      </c>
      <c r="I16" s="13" t="n">
        <v>1139.3</v>
      </c>
      <c r="J16" s="13" t="n">
        <v>1214.9</v>
      </c>
      <c r="K16" s="18">
        <f>SUM(C16:J16)</f>
        <v/>
      </c>
    </row>
    <row r="17">
      <c r="A17" s="19" t="inlineStr">
        <is>
          <t>ASD2(max) 1C-B</t>
        </is>
      </c>
      <c r="B17" s="20" t="inlineStr">
        <is>
          <t>ASD</t>
        </is>
      </c>
      <c r="C17" s="21" t="n">
        <v>4441.7</v>
      </c>
      <c r="D17" s="21" t="n">
        <v>4609</v>
      </c>
      <c r="E17" s="21" t="n">
        <v>4776.3</v>
      </c>
      <c r="F17" s="21" t="n">
        <v>4943.6</v>
      </c>
      <c r="G17" s="21" t="n">
        <v>4267.9</v>
      </c>
      <c r="H17" s="21" t="n">
        <v>4462.7</v>
      </c>
      <c r="I17" s="21" t="n">
        <v>4630</v>
      </c>
      <c r="J17" s="21" t="n">
        <v>4797.2</v>
      </c>
      <c r="K17" s="22">
        <f>SUM(C17:J17)</f>
        <v/>
      </c>
    </row>
    <row r="18">
      <c r="A18" s="3" t="inlineStr">
        <is>
          <t>ASD2(min) 1C-B</t>
        </is>
      </c>
      <c r="B18" s="7" t="inlineStr">
        <is>
          <t>ASD</t>
        </is>
      </c>
      <c r="C18" s="13" t="n">
        <v>503.84</v>
      </c>
      <c r="D18" s="13" t="n">
        <v>2270.4</v>
      </c>
      <c r="E18" s="13" t="n">
        <v>3687.2</v>
      </c>
      <c r="F18" s="13" t="n">
        <v>4818</v>
      </c>
      <c r="G18" s="13" t="n">
        <v>710.45</v>
      </c>
      <c r="H18" s="13" t="n">
        <v>2451.3</v>
      </c>
      <c r="I18" s="13" t="n">
        <v>3820.6</v>
      </c>
      <c r="J18" s="13" t="n">
        <v>4917.2</v>
      </c>
      <c r="K18" s="18">
        <f>SUM(C18:J18)</f>
        <v/>
      </c>
    </row>
    <row r="19">
      <c r="A19" s="19" t="inlineStr">
        <is>
          <t>ASD3 1C-B</t>
        </is>
      </c>
      <c r="B19" s="20" t="inlineStr">
        <is>
          <t>ASD</t>
        </is>
      </c>
      <c r="C19" s="21" t="n">
        <v>848.4</v>
      </c>
      <c r="D19" s="21" t="n">
        <v>1131.7</v>
      </c>
      <c r="E19" s="21" t="n">
        <v>1414.9</v>
      </c>
      <c r="F19" s="21" t="n">
        <v>1698.2</v>
      </c>
      <c r="G19" s="21" t="n">
        <v>766.96</v>
      </c>
      <c r="H19" s="21" t="n">
        <v>1050.2</v>
      </c>
      <c r="I19" s="21" t="n">
        <v>1333.5</v>
      </c>
      <c r="J19" s="21" t="n">
        <v>1616.8</v>
      </c>
      <c r="K19" s="22">
        <f>SUM(C19:J19)</f>
        <v/>
      </c>
    </row>
    <row r="20">
      <c r="A20" s="3" t="inlineStr">
        <is>
          <t>ASD4 1C-B</t>
        </is>
      </c>
      <c r="B20" s="7" t="inlineStr">
        <is>
          <t>ASD</t>
        </is>
      </c>
      <c r="C20" s="13" t="n">
        <v>1151.9</v>
      </c>
      <c r="D20" s="13" t="n">
        <v>1296.1</v>
      </c>
      <c r="E20" s="13" t="n">
        <v>1440.4</v>
      </c>
      <c r="F20" s="13" t="n">
        <v>1584.7</v>
      </c>
      <c r="G20" s="13" t="n">
        <v>880.48</v>
      </c>
      <c r="H20" s="13" t="n">
        <v>1024.8</v>
      </c>
      <c r="I20" s="13" t="n">
        <v>1169</v>
      </c>
      <c r="J20" s="13" t="n">
        <v>1313.3</v>
      </c>
      <c r="K20" s="18">
        <f>SUM(C20:J20)</f>
        <v/>
      </c>
    </row>
    <row r="21">
      <c r="A21" s="19" t="inlineStr">
        <is>
          <t>LRFD1 1C-B</t>
        </is>
      </c>
      <c r="B21" s="20" t="inlineStr">
        <is>
          <t>LRFD</t>
        </is>
      </c>
      <c r="C21" s="21" t="n">
        <v>1383.3</v>
      </c>
      <c r="D21" s="21" t="n">
        <v>1489.2</v>
      </c>
      <c r="E21" s="21" t="n">
        <v>1595</v>
      </c>
      <c r="F21" s="21" t="n">
        <v>1700.9</v>
      </c>
      <c r="G21" s="21" t="n">
        <v>1383.3</v>
      </c>
      <c r="H21" s="21" t="n">
        <v>1489.2</v>
      </c>
      <c r="I21" s="21" t="n">
        <v>1595</v>
      </c>
      <c r="J21" s="21" t="n">
        <v>1700.9</v>
      </c>
      <c r="K21" s="22">
        <f>SUM(C21:J21)</f>
        <v/>
      </c>
    </row>
    <row r="22">
      <c r="A22" s="3" t="inlineStr">
        <is>
          <t>LRFD2(max) 1C-B</t>
        </is>
      </c>
      <c r="B22" s="7" t="inlineStr">
        <is>
          <t>LRFD</t>
        </is>
      </c>
      <c r="C22" s="13" t="n">
        <v>4371.4</v>
      </c>
      <c r="D22" s="13" t="n">
        <v>4037</v>
      </c>
      <c r="E22" s="13" t="n">
        <v>3702.7</v>
      </c>
      <c r="F22" s="13" t="n">
        <v>3368.3</v>
      </c>
      <c r="G22" s="13" t="n">
        <v>4124.4</v>
      </c>
      <c r="H22" s="13" t="n">
        <v>3790</v>
      </c>
      <c r="I22" s="13" t="n">
        <v>3455.6</v>
      </c>
      <c r="J22" s="13" t="n">
        <v>3121.2</v>
      </c>
      <c r="K22" s="18">
        <f>SUM(C22:J22)</f>
        <v/>
      </c>
    </row>
    <row r="23">
      <c r="A23" s="19" t="inlineStr">
        <is>
          <t>LRFD2(min) 1C-B</t>
        </is>
      </c>
      <c r="B23" s="20" t="inlineStr">
        <is>
          <t>LRFD</t>
        </is>
      </c>
      <c r="C23" s="23" t="n">
        <v>-1716.9</v>
      </c>
      <c r="D23" s="21" t="n">
        <v>71.336</v>
      </c>
      <c r="E23" s="21" t="n">
        <v>1829</v>
      </c>
      <c r="F23" s="21" t="n">
        <v>3304.9</v>
      </c>
      <c r="G23" s="23" t="n">
        <v>-1461</v>
      </c>
      <c r="H23" s="21" t="n">
        <v>371.49</v>
      </c>
      <c r="I23" s="21" t="n">
        <v>2081.6</v>
      </c>
      <c r="J23" s="21" t="n">
        <v>3491.1</v>
      </c>
      <c r="K23" s="22">
        <f>SUM(C23:J23)</f>
        <v/>
      </c>
    </row>
    <row r="24">
      <c r="A24" s="3" t="inlineStr">
        <is>
          <t>LRFD3 1C-B</t>
        </is>
      </c>
      <c r="B24" s="7" t="inlineStr">
        <is>
          <t>LRFD</t>
        </is>
      </c>
      <c r="C24" s="13" t="n">
        <v>985.97</v>
      </c>
      <c r="D24" s="13" t="n">
        <v>1373</v>
      </c>
      <c r="E24" s="13" t="n">
        <v>1760.1</v>
      </c>
      <c r="F24" s="13" t="n">
        <v>2147.2</v>
      </c>
      <c r="G24" s="13" t="n">
        <v>869.73</v>
      </c>
      <c r="H24" s="13" t="n">
        <v>1256.8</v>
      </c>
      <c r="I24" s="13" t="n">
        <v>1643.9</v>
      </c>
      <c r="J24" s="13" t="n">
        <v>2030.9</v>
      </c>
      <c r="K24" s="18">
        <f>SUM(C24:J24)</f>
        <v/>
      </c>
    </row>
    <row r="25">
      <c r="A25" s="19" t="inlineStr">
        <is>
          <t>LRFD4 1C-B</t>
        </is>
      </c>
      <c r="B25" s="20" t="inlineStr">
        <is>
          <t>LRFD</t>
        </is>
      </c>
      <c r="C25" s="21" t="n">
        <v>1419.2</v>
      </c>
      <c r="D25" s="21" t="n">
        <v>1607.8</v>
      </c>
      <c r="E25" s="21" t="n">
        <v>1796.5</v>
      </c>
      <c r="F25" s="21" t="n">
        <v>1985.1</v>
      </c>
      <c r="G25" s="21" t="n">
        <v>1031.8</v>
      </c>
      <c r="H25" s="21" t="n">
        <v>1220.5</v>
      </c>
      <c r="I25" s="21" t="n">
        <v>1409.1</v>
      </c>
      <c r="J25" s="21" t="n">
        <v>1597.8</v>
      </c>
      <c r="K25" s="22">
        <f>SUM(C25:J25)</f>
        <v/>
      </c>
    </row>
    <row r="26">
      <c r="A26" s="24" t="inlineStr">
        <is>
          <t>max (all)</t>
        </is>
      </c>
      <c r="B26" s="25" t="inlineStr"/>
      <c r="C26" s="26">
        <f>MAX(C6:C25)</f>
        <v/>
      </c>
      <c r="D26" s="26">
        <f>MAX(D6:D25)</f>
        <v/>
      </c>
      <c r="E26" s="26">
        <f>MAX(E6:E25)</f>
        <v/>
      </c>
      <c r="F26" s="26">
        <f>MAX(F6:F25)</f>
        <v/>
      </c>
      <c r="G26" s="26">
        <f>MAX(G6:G25)</f>
        <v/>
      </c>
      <c r="H26" s="26">
        <f>MAX(H6:H25)</f>
        <v/>
      </c>
      <c r="I26" s="26">
        <f>MAX(I6:I25)</f>
        <v/>
      </c>
      <c r="J26" s="26">
        <f>MAX(J6:J25)</f>
        <v/>
      </c>
    </row>
    <row r="27">
      <c r="A27" s="24" t="inlineStr">
        <is>
          <t>min (all)</t>
        </is>
      </c>
      <c r="B27" s="25" t="inlineStr"/>
      <c r="C27" s="26">
        <f>MIN(C6:C25)</f>
        <v/>
      </c>
      <c r="D27" s="26">
        <f>MIN(D6:D25)</f>
        <v/>
      </c>
      <c r="E27" s="26">
        <f>MIN(E6:E25)</f>
        <v/>
      </c>
      <c r="F27" s="26">
        <f>MIN(F6:F25)</f>
        <v/>
      </c>
      <c r="G27" s="26">
        <f>MIN(G6:G25)</f>
        <v/>
      </c>
      <c r="H27" s="26">
        <f>MIN(H6:H25)</f>
        <v/>
      </c>
      <c r="I27" s="26">
        <f>MIN(I6:I25)</f>
        <v/>
      </c>
      <c r="J27" s="26">
        <f>MIN(J6:J25)</f>
        <v/>
      </c>
    </row>
    <row r="30">
      <c r="A30" s="16" t="inlineStr">
        <is>
          <t>Head moment M (kNm)</t>
        </is>
      </c>
    </row>
    <row r="31" ht="22" customHeight="1">
      <c r="A31" s="6" t="inlineStr">
        <is>
          <t>Load combination</t>
        </is>
      </c>
      <c r="B31" s="6" t="inlineStr">
        <is>
          <t>Design</t>
        </is>
      </c>
      <c r="C31" s="6" t="inlineStr">
        <is>
          <t>Pile 1</t>
        </is>
      </c>
      <c r="D31" s="6" t="inlineStr">
        <is>
          <t>Pile 2</t>
        </is>
      </c>
      <c r="E31" s="6" t="inlineStr">
        <is>
          <t>Pile 3</t>
        </is>
      </c>
      <c r="F31" s="6" t="inlineStr">
        <is>
          <t>Pile 4</t>
        </is>
      </c>
      <c r="G31" s="6" t="inlineStr">
        <is>
          <t>Pile 5</t>
        </is>
      </c>
      <c r="H31" s="6" t="inlineStr">
        <is>
          <t>Pile 6</t>
        </is>
      </c>
      <c r="I31" s="6" t="inlineStr">
        <is>
          <t>Pile 7</t>
        </is>
      </c>
      <c r="J31" s="6" t="inlineStr">
        <is>
          <t>Pile 8</t>
        </is>
      </c>
    </row>
    <row r="32">
      <c r="A32" s="3" t="inlineStr">
        <is>
          <t>ASD1 1C-A</t>
        </is>
      </c>
      <c r="B32" s="7" t="inlineStr">
        <is>
          <t>ASD</t>
        </is>
      </c>
      <c r="C32" s="13" t="n">
        <v>14.509</v>
      </c>
      <c r="D32" s="13" t="n">
        <v>14.51</v>
      </c>
      <c r="E32" s="13" t="n">
        <v>14.512</v>
      </c>
      <c r="F32" s="13" t="n">
        <v>14.513</v>
      </c>
      <c r="G32" s="13" t="n">
        <v>14.509</v>
      </c>
      <c r="H32" s="13" t="n">
        <v>14.51</v>
      </c>
      <c r="I32" s="13" t="n">
        <v>14.512</v>
      </c>
      <c r="J32" s="13" t="n">
        <v>14.513</v>
      </c>
    </row>
    <row r="33">
      <c r="A33" s="19" t="inlineStr">
        <is>
          <t>ASD2(max) 1C-A</t>
        </is>
      </c>
      <c r="B33" s="20" t="inlineStr">
        <is>
          <t>ASD</t>
        </is>
      </c>
      <c r="C33" s="21" t="n">
        <v>411.7302571053043</v>
      </c>
      <c r="D33" s="21" t="n">
        <v>412.5699975870762</v>
      </c>
      <c r="E33" s="21" t="n">
        <v>413.4397549837219</v>
      </c>
      <c r="F33" s="21" t="n">
        <v>414.6196166138308</v>
      </c>
      <c r="G33" s="21" t="n">
        <v>411.890254805816</v>
      </c>
      <c r="H33" s="21" t="n">
        <v>412.7299953977176</v>
      </c>
      <c r="I33" s="21" t="n">
        <v>413.6297687594547</v>
      </c>
      <c r="J33" s="21" t="n">
        <v>414.8496429659787</v>
      </c>
    </row>
    <row r="34">
      <c r="A34" s="3" t="inlineStr">
        <is>
          <t>ASD2(min) 1C-A</t>
        </is>
      </c>
      <c r="B34" s="7" t="inlineStr">
        <is>
          <t>ASD</t>
        </is>
      </c>
      <c r="C34" s="13" t="n">
        <v>43.22141006596152</v>
      </c>
      <c r="D34" s="13" t="n">
        <v>43.23120858835663</v>
      </c>
      <c r="E34" s="13" t="n">
        <v>43.24100720392623</v>
      </c>
      <c r="F34" s="13" t="n">
        <v>43.25388641498009</v>
      </c>
      <c r="G34" s="13" t="n">
        <v>43.20440910184978</v>
      </c>
      <c r="H34" s="13" t="n">
        <v>43.21418551135726</v>
      </c>
      <c r="I34" s="13" t="n">
        <v>43.22396202339623</v>
      </c>
      <c r="J34" s="13" t="n">
        <v>43.2347801493196</v>
      </c>
    </row>
    <row r="35">
      <c r="A35" s="19" t="inlineStr">
        <is>
          <t>ASD3 1C-A</t>
        </is>
      </c>
      <c r="B35" s="20" t="inlineStr">
        <is>
          <t>ASD</t>
        </is>
      </c>
      <c r="C35" s="21" t="n">
        <v>433.9139911318832</v>
      </c>
      <c r="D35" s="21" t="n">
        <v>433.9015036848801</v>
      </c>
      <c r="E35" s="21" t="n">
        <v>433.8985791633801</v>
      </c>
      <c r="F35" s="21" t="n">
        <v>433.8985791633801</v>
      </c>
      <c r="G35" s="21" t="n">
        <v>433.894865722101</v>
      </c>
      <c r="H35" s="21" t="n">
        <v>433.8919409253876</v>
      </c>
      <c r="I35" s="21" t="n">
        <v>433.8794535351957</v>
      </c>
      <c r="J35" s="21" t="n">
        <v>433.8794535351957</v>
      </c>
    </row>
    <row r="36">
      <c r="A36" s="3" t="inlineStr">
        <is>
          <t>ASD4 1C-A</t>
        </is>
      </c>
      <c r="B36" s="7" t="inlineStr">
        <is>
          <t>ASD</t>
        </is>
      </c>
      <c r="C36" s="13" t="n">
        <v>444.2169002863353</v>
      </c>
      <c r="D36" s="13" t="n">
        <v>444.2073788220993</v>
      </c>
      <c r="E36" s="13" t="n">
        <v>444.18833595672</v>
      </c>
      <c r="F36" s="13" t="n">
        <v>444.1788145555797</v>
      </c>
      <c r="G36" s="13" t="n">
        <v>444.211142701306</v>
      </c>
      <c r="H36" s="13" t="n">
        <v>444.204676359896</v>
      </c>
      <c r="I36" s="13" t="n">
        <v>444.1951546336362</v>
      </c>
      <c r="J36" s="13" t="n">
        <v>444.1761112441775</v>
      </c>
    </row>
    <row r="37">
      <c r="A37" s="19" t="inlineStr">
        <is>
          <t>LRFD1 1C-A</t>
        </is>
      </c>
      <c r="B37" s="20" t="inlineStr">
        <is>
          <t>LRFD</t>
        </is>
      </c>
      <c r="C37" s="21" t="n">
        <v>20.262</v>
      </c>
      <c r="D37" s="21" t="n">
        <v>20.265</v>
      </c>
      <c r="E37" s="21" t="n">
        <v>20.268</v>
      </c>
      <c r="F37" s="21" t="n">
        <v>20.271</v>
      </c>
      <c r="G37" s="21" t="n">
        <v>20.262</v>
      </c>
      <c r="H37" s="21" t="n">
        <v>20.265</v>
      </c>
      <c r="I37" s="21" t="n">
        <v>20.268</v>
      </c>
      <c r="J37" s="21" t="n">
        <v>20.271</v>
      </c>
    </row>
    <row r="38">
      <c r="A38" s="3" t="inlineStr">
        <is>
          <t>LRFD2(max) 1C-A</t>
        </is>
      </c>
      <c r="B38" s="7" t="inlineStr">
        <is>
          <t>LRFD</t>
        </is>
      </c>
      <c r="C38" s="13" t="n">
        <v>427.1380996598173</v>
      </c>
      <c r="D38" s="13" t="n">
        <v>428.0475207555815</v>
      </c>
      <c r="E38" s="13" t="n">
        <v>429.1371204510279</v>
      </c>
      <c r="F38" s="13" t="n">
        <v>430.6370343166041</v>
      </c>
      <c r="G38" s="13" t="n">
        <v>427.3981299783611</v>
      </c>
      <c r="H38" s="13" t="n">
        <v>428.2975595319216</v>
      </c>
      <c r="I38" s="13" t="n">
        <v>429.4471512258523</v>
      </c>
      <c r="J38" s="13" t="n">
        <v>431.0071375569087</v>
      </c>
    </row>
    <row r="39">
      <c r="A39" s="19" t="inlineStr">
        <is>
          <t>LRFD2(min) 1C-A</t>
        </is>
      </c>
      <c r="B39" s="20" t="inlineStr">
        <is>
          <t>LRFD</t>
        </is>
      </c>
      <c r="C39" s="21" t="n">
        <v>64.78314593318234</v>
      </c>
      <c r="D39" s="21" t="n">
        <v>64.74856481034927</v>
      </c>
      <c r="E39" s="21" t="n">
        <v>64.71791505448859</v>
      </c>
      <c r="F39" s="21" t="n">
        <v>64.68726564788467</v>
      </c>
      <c r="G39" s="21" t="n">
        <v>64.73799747443537</v>
      </c>
      <c r="H39" s="21" t="n">
        <v>64.70636483376268</v>
      </c>
      <c r="I39" s="21" t="n">
        <v>64.67590040347332</v>
      </c>
      <c r="J39" s="21" t="n">
        <v>64.6462339815708</v>
      </c>
    </row>
    <row r="40">
      <c r="A40" s="3" t="inlineStr">
        <is>
          <t>LRFD3 1C-A</t>
        </is>
      </c>
      <c r="B40" s="7" t="inlineStr">
        <is>
          <t>LRFD</t>
        </is>
      </c>
      <c r="C40" s="13" t="n">
        <v>615.9429652979244</v>
      </c>
      <c r="D40" s="13" t="n">
        <v>615.9304675854248</v>
      </c>
      <c r="E40" s="13" t="n">
        <v>615.9150306657567</v>
      </c>
      <c r="F40" s="13" t="n">
        <v>615.912091535797</v>
      </c>
      <c r="G40" s="13" t="n">
        <v>615.9047326494577</v>
      </c>
      <c r="H40" s="13" t="n">
        <v>615.9017929832645</v>
      </c>
      <c r="I40" s="13" t="n">
        <v>615.8892952471247</v>
      </c>
      <c r="J40" s="13" t="n">
        <v>615.8834165651807</v>
      </c>
    </row>
    <row r="41">
      <c r="A41" s="19" t="inlineStr">
        <is>
          <t>LRFD4 1C-A</t>
        </is>
      </c>
      <c r="B41" s="20" t="inlineStr">
        <is>
          <t>LRFD</t>
        </is>
      </c>
      <c r="C41" s="21" t="n">
        <v>632.7337356266062</v>
      </c>
      <c r="D41" s="21" t="n">
        <v>632.717671714644</v>
      </c>
      <c r="E41" s="21" t="n">
        <v>632.6890623363107</v>
      </c>
      <c r="F41" s="21" t="n">
        <v>632.6699894889911</v>
      </c>
      <c r="G41" s="21" t="n">
        <v>632.7287420372177</v>
      </c>
      <c r="H41" s="21" t="n">
        <v>632.7126761018779</v>
      </c>
      <c r="I41" s="21" t="n">
        <v>632.6840655493072</v>
      </c>
      <c r="J41" s="21" t="n">
        <v>632.6649919191041</v>
      </c>
    </row>
    <row r="42">
      <c r="A42" s="3" t="inlineStr">
        <is>
          <t>ASD1 1C-B</t>
        </is>
      </c>
      <c r="B42" s="7" t="inlineStr">
        <is>
          <t>ASD</t>
        </is>
      </c>
      <c r="C42" s="13" t="n">
        <v>14.513</v>
      </c>
      <c r="D42" s="13" t="n">
        <v>14.512</v>
      </c>
      <c r="E42" s="13" t="n">
        <v>14.51</v>
      </c>
      <c r="F42" s="13" t="n">
        <v>14.509</v>
      </c>
      <c r="G42" s="13" t="n">
        <v>14.513</v>
      </c>
      <c r="H42" s="13" t="n">
        <v>14.512</v>
      </c>
      <c r="I42" s="13" t="n">
        <v>14.51</v>
      </c>
      <c r="J42" s="13" t="n">
        <v>14.509</v>
      </c>
    </row>
    <row r="43">
      <c r="A43" s="19" t="inlineStr">
        <is>
          <t>ASD2(max) 1C-B</t>
        </is>
      </c>
      <c r="B43" s="20" t="inlineStr">
        <is>
          <t>ASD</t>
        </is>
      </c>
      <c r="C43" s="21" t="n">
        <v>59.03747232055248</v>
      </c>
      <c r="D43" s="21" t="n">
        <v>59.02360481197332</v>
      </c>
      <c r="E43" s="21" t="n">
        <v>59.00996177765243</v>
      </c>
      <c r="F43" s="21" t="n">
        <v>58.99631891058966</v>
      </c>
      <c r="G43" s="21" t="n">
        <v>59.06348277065957</v>
      </c>
      <c r="H43" s="21" t="n">
        <v>59.04669160080012</v>
      </c>
      <c r="I43" s="21" t="n">
        <v>59.03304844745865</v>
      </c>
      <c r="J43" s="21" t="n">
        <v>59.01940546125486</v>
      </c>
    </row>
    <row r="44">
      <c r="A44" s="3" t="inlineStr">
        <is>
          <t>ASD2(min) 1C-B</t>
        </is>
      </c>
      <c r="B44" s="7" t="inlineStr">
        <is>
          <t>ASD</t>
        </is>
      </c>
      <c r="C44" s="13" t="n">
        <v>330.602847748231</v>
      </c>
      <c r="D44" s="13" t="n">
        <v>329.6529340139414</v>
      </c>
      <c r="E44" s="13" t="n">
        <v>328.8830904863307</v>
      </c>
      <c r="F44" s="13" t="n">
        <v>328.2733027700547</v>
      </c>
      <c r="G44" s="13" t="n">
        <v>330.4328291460157</v>
      </c>
      <c r="H44" s="13" t="n">
        <v>329.4929199550273</v>
      </c>
      <c r="I44" s="13" t="n">
        <v>328.7530871673907</v>
      </c>
      <c r="J44" s="13" t="n">
        <v>328.1633057229891</v>
      </c>
    </row>
    <row r="45">
      <c r="A45" s="19" t="inlineStr">
        <is>
          <t>ASD3 1C-B</t>
        </is>
      </c>
      <c r="B45" s="20" t="inlineStr">
        <is>
          <t>ASD</t>
        </is>
      </c>
      <c r="C45" s="21" t="n">
        <v>403.2794217413033</v>
      </c>
      <c r="D45" s="21" t="n">
        <v>403.2889134355171</v>
      </c>
      <c r="E45" s="21" t="n">
        <v>403.2857659278343</v>
      </c>
      <c r="F45" s="21" t="n">
        <v>403.2952577206928</v>
      </c>
      <c r="G45" s="21" t="n">
        <v>403.2889134355171</v>
      </c>
      <c r="H45" s="21" t="n">
        <v>403.2984051542977</v>
      </c>
      <c r="I45" s="21" t="n">
        <v>403.2984051542977</v>
      </c>
      <c r="J45" s="21" t="n">
        <v>403.304749538113</v>
      </c>
    </row>
    <row r="46">
      <c r="A46" s="3" t="inlineStr">
        <is>
          <t>ASD4 1C-B</t>
        </is>
      </c>
      <c r="B46" s="7" t="inlineStr">
        <is>
          <t>ASD</t>
        </is>
      </c>
      <c r="C46" s="13" t="n">
        <v>435.4490451246851</v>
      </c>
      <c r="D46" s="13" t="n">
        <v>435.4490451246851</v>
      </c>
      <c r="E46" s="13" t="n">
        <v>435.458758552403</v>
      </c>
      <c r="F46" s="13" t="n">
        <v>435.4611354644637</v>
      </c>
      <c r="G46" s="13" t="n">
        <v>435.4658899385806</v>
      </c>
      <c r="H46" s="13" t="n">
        <v>435.4682675006297</v>
      </c>
      <c r="I46" s="13" t="n">
        <v>435.4779807292213</v>
      </c>
      <c r="J46" s="13" t="n">
        <v>435.4779807292213</v>
      </c>
    </row>
    <row r="47">
      <c r="A47" s="19" t="inlineStr">
        <is>
          <t>LRFD1 1C-B</t>
        </is>
      </c>
      <c r="B47" s="20" t="inlineStr">
        <is>
          <t>LRFD</t>
        </is>
      </c>
      <c r="C47" s="21" t="n">
        <v>20.271</v>
      </c>
      <c r="D47" s="21" t="n">
        <v>20.268</v>
      </c>
      <c r="E47" s="21" t="n">
        <v>20.265</v>
      </c>
      <c r="F47" s="21" t="n">
        <v>20.262</v>
      </c>
      <c r="G47" s="21" t="n">
        <v>20.271</v>
      </c>
      <c r="H47" s="21" t="n">
        <v>20.268</v>
      </c>
      <c r="I47" s="21" t="n">
        <v>20.265</v>
      </c>
      <c r="J47" s="21" t="n">
        <v>20.262</v>
      </c>
    </row>
    <row r="48">
      <c r="A48" s="3" t="inlineStr">
        <is>
          <t>LRFD2(max) 1C-B</t>
        </is>
      </c>
      <c r="B48" s="7" t="inlineStr">
        <is>
          <t>LRFD</t>
        </is>
      </c>
      <c r="C48" s="13" t="n">
        <v>87.29404846838071</v>
      </c>
      <c r="D48" s="13" t="n">
        <v>87.33644815310501</v>
      </c>
      <c r="E48" s="13" t="n">
        <v>87.37903927716303</v>
      </c>
      <c r="F48" s="13" t="n">
        <v>87.4214400762193</v>
      </c>
      <c r="G48" s="13" t="n">
        <v>87.35212685447333</v>
      </c>
      <c r="H48" s="13" t="n">
        <v>87.3945269682261</v>
      </c>
      <c r="I48" s="13" t="n">
        <v>87.43711846235557</v>
      </c>
      <c r="J48" s="13" t="n">
        <v>87.47971040189833</v>
      </c>
    </row>
    <row r="49">
      <c r="A49" s="19" t="inlineStr">
        <is>
          <t>LRFD2(min) 1C-B</t>
        </is>
      </c>
      <c r="B49" s="20" t="inlineStr">
        <is>
          <t>LRFD</t>
        </is>
      </c>
      <c r="C49" s="21" t="n">
        <v>318.6827990039625</v>
      </c>
      <c r="D49" s="21" t="n">
        <v>317.7730040201653</v>
      </c>
      <c r="E49" s="21" t="n">
        <v>316.8732427264883</v>
      </c>
      <c r="F49" s="21" t="n">
        <v>316.1135711749814</v>
      </c>
      <c r="G49" s="21" t="n">
        <v>318.4627345938611</v>
      </c>
      <c r="H49" s="21" t="n">
        <v>317.5229637112881</v>
      </c>
      <c r="I49" s="21" t="n">
        <v>316.6531787302948</v>
      </c>
      <c r="J49" s="21" t="n">
        <v>315.9235634215973</v>
      </c>
    </row>
    <row r="50">
      <c r="A50" s="3" t="inlineStr">
        <is>
          <t>LRFD3 1C-B</t>
        </is>
      </c>
      <c r="B50" s="7" t="inlineStr">
        <is>
          <t>LRFD</t>
        </is>
      </c>
      <c r="C50" s="13" t="n">
        <v>578.5736426765395</v>
      </c>
      <c r="D50" s="13" t="n">
        <v>578.5926376994439</v>
      </c>
      <c r="E50" s="13" t="n">
        <v>578.6021352362951</v>
      </c>
      <c r="F50" s="13" t="n">
        <v>578.6211303607914</v>
      </c>
      <c r="G50" s="13" t="n">
        <v>578.5831401795251</v>
      </c>
      <c r="H50" s="13" t="n">
        <v>578.6021352362951</v>
      </c>
      <c r="I50" s="13" t="n">
        <v>578.6116327900779</v>
      </c>
      <c r="J50" s="13" t="n">
        <v>578.6306279484347</v>
      </c>
    </row>
    <row r="51">
      <c r="A51" s="19" t="inlineStr">
        <is>
          <t>LRFD4 1C-B</t>
        </is>
      </c>
      <c r="B51" s="20" t="inlineStr">
        <is>
          <t>LRFD</t>
        </is>
      </c>
      <c r="C51" s="21" t="n">
        <v>622.0141543405583</v>
      </c>
      <c r="D51" s="21" t="n">
        <v>622.026282724452</v>
      </c>
      <c r="E51" s="21" t="n">
        <v>622.0359836054503</v>
      </c>
      <c r="F51" s="21" t="n">
        <v>622.0481120460057</v>
      </c>
      <c r="G51" s="21" t="n">
        <v>622.0481230580154</v>
      </c>
      <c r="H51" s="21" t="n">
        <v>622.0578237591744</v>
      </c>
      <c r="I51" s="21" t="n">
        <v>622.0699527384361</v>
      </c>
      <c r="J51" s="21" t="n">
        <v>622.0820818027152</v>
      </c>
    </row>
    <row r="52">
      <c r="A52" s="24" t="inlineStr">
        <is>
          <t>max (all)</t>
        </is>
      </c>
      <c r="B52" s="25" t="inlineStr"/>
      <c r="C52" s="26">
        <f>MAX(C32:C51)</f>
        <v/>
      </c>
      <c r="D52" s="26">
        <f>MAX(D32:D51)</f>
        <v/>
      </c>
      <c r="E52" s="26">
        <f>MAX(E32:E51)</f>
        <v/>
      </c>
      <c r="F52" s="26">
        <f>MAX(F32:F51)</f>
        <v/>
      </c>
      <c r="G52" s="26">
        <f>MAX(G32:G51)</f>
        <v/>
      </c>
      <c r="H52" s="26">
        <f>MAX(H32:H51)</f>
        <v/>
      </c>
      <c r="I52" s="26">
        <f>MAX(I32:I51)</f>
        <v/>
      </c>
      <c r="J52" s="26">
        <f>MAX(J32:J51)</f>
        <v/>
      </c>
    </row>
    <row r="53">
      <c r="A53" s="24" t="inlineStr">
        <is>
          <t>min (all)</t>
        </is>
      </c>
      <c r="B53" s="25" t="inlineStr"/>
      <c r="C53" s="26">
        <f>MIN(C32:C51)</f>
        <v/>
      </c>
      <c r="D53" s="26">
        <f>MIN(D32:D51)</f>
        <v/>
      </c>
      <c r="E53" s="26">
        <f>MIN(E32:E51)</f>
        <v/>
      </c>
      <c r="F53" s="26">
        <f>MIN(F32:F51)</f>
        <v/>
      </c>
      <c r="G53" s="26">
        <f>MIN(G32:G51)</f>
        <v/>
      </c>
      <c r="H53" s="26">
        <f>MIN(H32:H51)</f>
        <v/>
      </c>
      <c r="I53" s="26">
        <f>MIN(I32:I51)</f>
        <v/>
      </c>
      <c r="J53" s="26">
        <f>MIN(J32:J51)</f>
        <v/>
      </c>
    </row>
    <row r="56">
      <c r="A56" s="16" t="inlineStr">
        <is>
          <t>Head shear V (kN)</t>
        </is>
      </c>
    </row>
    <row r="57" ht="22" customHeight="1">
      <c r="A57" s="6" t="inlineStr">
        <is>
          <t>Load combination</t>
        </is>
      </c>
      <c r="B57" s="6" t="inlineStr">
        <is>
          <t>Design</t>
        </is>
      </c>
      <c r="C57" s="6" t="inlineStr">
        <is>
          <t>Pile 1</t>
        </is>
      </c>
      <c r="D57" s="6" t="inlineStr">
        <is>
          <t>Pile 2</t>
        </is>
      </c>
      <c r="E57" s="6" t="inlineStr">
        <is>
          <t>Pile 3</t>
        </is>
      </c>
      <c r="F57" s="6" t="inlineStr">
        <is>
          <t>Pile 4</t>
        </is>
      </c>
      <c r="G57" s="6" t="inlineStr">
        <is>
          <t>Pile 5</t>
        </is>
      </c>
      <c r="H57" s="6" t="inlineStr">
        <is>
          <t>Pile 6</t>
        </is>
      </c>
      <c r="I57" s="6" t="inlineStr">
        <is>
          <t>Pile 7</t>
        </is>
      </c>
      <c r="J57" s="6" t="inlineStr">
        <is>
          <t>Pile 8</t>
        </is>
      </c>
    </row>
    <row r="58">
      <c r="A58" s="3" t="inlineStr">
        <is>
          <t>ASD1 1C-A</t>
        </is>
      </c>
      <c r="B58" s="7" t="inlineStr">
        <is>
          <t>ASD</t>
        </is>
      </c>
      <c r="C58" s="13" t="n">
        <v>0.005729</v>
      </c>
      <c r="D58" s="13" t="n">
        <v>0.0041444</v>
      </c>
      <c r="E58" s="13" t="n">
        <v>0.0025597</v>
      </c>
      <c r="F58" s="13" t="n">
        <v>0.0009748700000000001</v>
      </c>
      <c r="G58" s="13" t="n">
        <v>0.005729</v>
      </c>
      <c r="H58" s="13" t="n">
        <v>0.0041444</v>
      </c>
      <c r="I58" s="13" t="n">
        <v>0.0025597</v>
      </c>
      <c r="J58" s="13" t="n">
        <v>0.0009748700000000001</v>
      </c>
    </row>
    <row r="59">
      <c r="A59" s="19" t="inlineStr">
        <is>
          <t>ASD2(max) 1C-A</t>
        </is>
      </c>
      <c r="B59" s="20" t="inlineStr">
        <is>
          <t>ASD</t>
        </is>
      </c>
      <c r="C59" s="21" t="n">
        <v>1.525090515952742</v>
      </c>
      <c r="D59" s="21" t="n">
        <v>0.8469460551038656</v>
      </c>
      <c r="E59" s="21" t="n">
        <v>0.1414019308464439</v>
      </c>
      <c r="F59" s="21" t="n">
        <v>0.814874518192832</v>
      </c>
      <c r="G59" s="21" t="n">
        <v>1.494646878575672</v>
      </c>
      <c r="H59" s="21" t="n">
        <v>0.8165051289024461</v>
      </c>
      <c r="I59" s="21" t="n">
        <v>0.08792798548704503</v>
      </c>
      <c r="J59" s="21" t="n">
        <v>0.9006333550479907</v>
      </c>
    </row>
    <row r="60">
      <c r="A60" s="3" t="inlineStr">
        <is>
          <t>ASD2(min) 1C-A</t>
        </is>
      </c>
      <c r="B60" s="7" t="inlineStr">
        <is>
          <t>ASD</t>
        </is>
      </c>
      <c r="C60" s="13" t="n">
        <v>0.04005514539094821</v>
      </c>
      <c r="D60" s="13" t="n">
        <v>0.02968418680055089</v>
      </c>
      <c r="E60" s="13" t="n">
        <v>0.01885157633329372</v>
      </c>
      <c r="F60" s="13" t="n">
        <v>0.005208884719102545</v>
      </c>
      <c r="G60" s="13" t="n">
        <v>0.04500730288519853</v>
      </c>
      <c r="H60" s="13" t="n">
        <v>0.03462237742862266</v>
      </c>
      <c r="I60" s="13" t="n">
        <v>0.02425215574768561</v>
      </c>
      <c r="J60" s="13" t="n">
        <v>0.01292559711928234</v>
      </c>
    </row>
    <row r="61">
      <c r="A61" s="19" t="inlineStr">
        <is>
          <t>ASD3 1C-A</t>
        </is>
      </c>
      <c r="B61" s="20" t="inlineStr">
        <is>
          <t>ASD</t>
        </is>
      </c>
      <c r="C61" s="21" t="n">
        <v>216.8147073332434</v>
      </c>
      <c r="D61" s="21" t="n">
        <v>216.7828117010202</v>
      </c>
      <c r="E61" s="21" t="n">
        <v>216.7607817133902</v>
      </c>
      <c r="F61" s="21" t="n">
        <v>216.7291734607965</v>
      </c>
      <c r="G61" s="21" t="n">
        <v>216.8260097405291</v>
      </c>
      <c r="H61" s="21" t="n">
        <v>216.7941140829243</v>
      </c>
      <c r="I61" s="21" t="n">
        <v>216.7720840445097</v>
      </c>
      <c r="J61" s="21" t="n">
        <v>216.7401884376776</v>
      </c>
    </row>
    <row r="62">
      <c r="A62" s="3" t="inlineStr">
        <is>
          <t>ASD4 1C-A</t>
        </is>
      </c>
      <c r="B62" s="7" t="inlineStr">
        <is>
          <t>ASD</t>
        </is>
      </c>
      <c r="C62" s="13" t="n">
        <v>216.7549393116568</v>
      </c>
      <c r="D62" s="13" t="n">
        <v>216.7552267166815</v>
      </c>
      <c r="E62" s="13" t="n">
        <v>216.746223498819</v>
      </c>
      <c r="F62" s="13" t="n">
        <v>216.7465109292419</v>
      </c>
      <c r="G62" s="13" t="n">
        <v>216.8098228148347</v>
      </c>
      <c r="H62" s="13" t="n">
        <v>216.8101101055945</v>
      </c>
      <c r="I62" s="13" t="n">
        <v>216.810684699809</v>
      </c>
      <c r="J62" s="13" t="n">
        <v>216.8109720032637</v>
      </c>
    </row>
    <row r="63">
      <c r="A63" s="19" t="inlineStr">
        <is>
          <t>LRFD1 1C-A</t>
        </is>
      </c>
      <c r="B63" s="20" t="inlineStr">
        <is>
          <t>LRFD</t>
        </is>
      </c>
      <c r="C63" s="21" t="n">
        <v>0.011194</v>
      </c>
      <c r="D63" s="21" t="n">
        <v>0.008101000000000001</v>
      </c>
      <c r="E63" s="21" t="n">
        <v>0.0050074</v>
      </c>
      <c r="F63" s="21" t="n">
        <v>0.001913400000000001</v>
      </c>
      <c r="G63" s="21" t="n">
        <v>0.011194</v>
      </c>
      <c r="H63" s="21" t="n">
        <v>0.008101000000000001</v>
      </c>
      <c r="I63" s="21" t="n">
        <v>0.0050074</v>
      </c>
      <c r="J63" s="21" t="n">
        <v>0.001913400000000001</v>
      </c>
    </row>
    <row r="64">
      <c r="A64" s="3" t="inlineStr">
        <is>
          <t>LRFD2(max) 1C-A</t>
        </is>
      </c>
      <c r="B64" s="7" t="inlineStr">
        <is>
          <t>LRFD</t>
        </is>
      </c>
      <c r="C64" s="13" t="n">
        <v>1.666792422566169</v>
      </c>
      <c r="D64" s="13" t="n">
        <v>0.9424613042369432</v>
      </c>
      <c r="E64" s="13" t="n">
        <v>0.06091268045128206</v>
      </c>
      <c r="F64" s="13" t="n">
        <v>1.151014090202201</v>
      </c>
      <c r="G64" s="13" t="n">
        <v>1.612627853749587</v>
      </c>
      <c r="H64" s="13" t="n">
        <v>0.8883059445759665</v>
      </c>
      <c r="I64" s="13" t="n">
        <v>0.03288400603636971</v>
      </c>
      <c r="J64" s="13" t="n">
        <v>1.296645554222124</v>
      </c>
    </row>
    <row r="65">
      <c r="A65" s="19" t="inlineStr">
        <is>
          <t>LRFD2(min) 1C-A</t>
        </is>
      </c>
      <c r="B65" s="20" t="inlineStr">
        <is>
          <t>LRFD</t>
        </is>
      </c>
      <c r="C65" s="21" t="n">
        <v>0.04334731772555252</v>
      </c>
      <c r="D65" s="21" t="n">
        <v>0.007798899271692128</v>
      </c>
      <c r="E65" s="21" t="n">
        <v>0.02324817685948728</v>
      </c>
      <c r="F65" s="21" t="n">
        <v>0.05408262771907445</v>
      </c>
      <c r="G65" s="21" t="n">
        <v>0.02646207622258692</v>
      </c>
      <c r="H65" s="21" t="n">
        <v>0.005194978561312838</v>
      </c>
      <c r="I65" s="21" t="n">
        <v>0.03601910698504337</v>
      </c>
      <c r="J65" s="21" t="n">
        <v>0.06687308293326993</v>
      </c>
    </row>
    <row r="66">
      <c r="A66" s="3" t="inlineStr">
        <is>
          <t>LRFD3 1C-A</t>
        </is>
      </c>
      <c r="B66" s="7" t="inlineStr">
        <is>
          <t>LRFD</t>
        </is>
      </c>
      <c r="C66" s="13" t="n">
        <v>309.8065174023943</v>
      </c>
      <c r="D66" s="13" t="n">
        <v>309.7331479015444</v>
      </c>
      <c r="E66" s="13" t="n">
        <v>309.6693566709499</v>
      </c>
      <c r="F66" s="13" t="n">
        <v>309.605565487767</v>
      </c>
      <c r="G66" s="13" t="n">
        <v>309.8291222093236</v>
      </c>
      <c r="H66" s="13" t="n">
        <v>309.7653308958251</v>
      </c>
      <c r="I66" s="13" t="n">
        <v>309.7012522803225</v>
      </c>
      <c r="J66" s="13" t="n">
        <v>309.6278827883561</v>
      </c>
    </row>
    <row r="67">
      <c r="A67" s="19" t="inlineStr">
        <is>
          <t>LRFD4 1C-A</t>
        </is>
      </c>
      <c r="B67" s="20" t="inlineStr">
        <is>
          <t>LRFD</t>
        </is>
      </c>
      <c r="C67" s="21" t="n">
        <v>309.666100839275</v>
      </c>
      <c r="D67" s="21" t="n">
        <v>309.6666756772514</v>
      </c>
      <c r="E67" s="21" t="n">
        <v>309.6576725175722</v>
      </c>
      <c r="F67" s="21" t="n">
        <v>309.6579599558196</v>
      </c>
      <c r="G67" s="21" t="n">
        <v>309.7877449948593</v>
      </c>
      <c r="H67" s="21" t="n">
        <v>309.7883195425547</v>
      </c>
      <c r="I67" s="21" t="n">
        <v>309.7790283669958</v>
      </c>
      <c r="J67" s="21" t="n">
        <v>309.7796029502265</v>
      </c>
    </row>
    <row r="68">
      <c r="A68" s="3" t="inlineStr">
        <is>
          <t>ASD1 1C-B</t>
        </is>
      </c>
      <c r="B68" s="7" t="inlineStr">
        <is>
          <t>ASD</t>
        </is>
      </c>
      <c r="C68" s="13" t="n">
        <v>0.0009748700000000025</v>
      </c>
      <c r="D68" s="13" t="n">
        <v>0.0025597</v>
      </c>
      <c r="E68" s="13" t="n">
        <v>0.0041444</v>
      </c>
      <c r="F68" s="13" t="n">
        <v>0.005729</v>
      </c>
      <c r="G68" s="13" t="n">
        <v>0.0009748700000000025</v>
      </c>
      <c r="H68" s="13" t="n">
        <v>0.0025597</v>
      </c>
      <c r="I68" s="13" t="n">
        <v>0.0041444</v>
      </c>
      <c r="J68" s="13" t="n">
        <v>0.005729</v>
      </c>
    </row>
    <row r="69">
      <c r="A69" s="19" t="inlineStr">
        <is>
          <t>ASD2(max) 1C-B</t>
        </is>
      </c>
      <c r="B69" s="20" t="inlineStr">
        <is>
          <t>ASD</t>
        </is>
      </c>
      <c r="C69" s="21" t="n">
        <v>0.03938282450777242</v>
      </c>
      <c r="D69" s="21" t="n">
        <v>0.05384834293643584</v>
      </c>
      <c r="E69" s="21" t="n">
        <v>0.06834727357400586</v>
      </c>
      <c r="F69" s="21" t="n">
        <v>0.08286138960939528</v>
      </c>
      <c r="G69" s="21" t="n">
        <v>0.02982083888977639</v>
      </c>
      <c r="H69" s="21" t="n">
        <v>0.04654634726850217</v>
      </c>
      <c r="I69" s="21" t="n">
        <v>0.06101849817883098</v>
      </c>
      <c r="J69" s="21" t="n">
        <v>0.07551710490345878</v>
      </c>
    </row>
    <row r="70">
      <c r="A70" s="3" t="inlineStr">
        <is>
          <t>ASD2(min) 1C-B</t>
        </is>
      </c>
      <c r="B70" s="7" t="inlineStr">
        <is>
          <t>ASD</t>
        </is>
      </c>
      <c r="C70" s="13" t="n">
        <v>0.859127529416326</v>
      </c>
      <c r="D70" s="13" t="n">
        <v>0.06665573354753512</v>
      </c>
      <c r="E70" s="13" t="n">
        <v>0.5683169577656467</v>
      </c>
      <c r="F70" s="13" t="n">
        <v>1.074560664004132</v>
      </c>
      <c r="G70" s="13" t="n">
        <v>0.7949768130008573</v>
      </c>
      <c r="H70" s="13" t="n">
        <v>0.01440525094852568</v>
      </c>
      <c r="I70" s="13" t="n">
        <v>0.5995547572023759</v>
      </c>
      <c r="J70" s="13" t="n">
        <v>1.090495711042001</v>
      </c>
    </row>
    <row r="71">
      <c r="A71" s="19" t="inlineStr">
        <is>
          <t>ASD3 1C-B</t>
        </is>
      </c>
      <c r="B71" s="20" t="inlineStr">
        <is>
          <t>ASD</t>
        </is>
      </c>
      <c r="C71" s="21" t="n">
        <v>216.8852034049349</v>
      </c>
      <c r="D71" s="21" t="n">
        <v>216.7938267202275</v>
      </c>
      <c r="E71" s="21" t="n">
        <v>216.7117411240102</v>
      </c>
      <c r="F71" s="21" t="n">
        <v>216.6296556337567</v>
      </c>
      <c r="G71" s="21" t="n">
        <v>216.9060840179454</v>
      </c>
      <c r="H71" s="21" t="n">
        <v>216.8239982312843</v>
      </c>
      <c r="I71" s="21" t="n">
        <v>216.7421999173211</v>
      </c>
      <c r="J71" s="21" t="n">
        <v>216.6601143634887</v>
      </c>
    </row>
    <row r="72">
      <c r="A72" s="3" t="inlineStr">
        <is>
          <t>ASD4 1C-B</t>
        </is>
      </c>
      <c r="B72" s="7" t="inlineStr">
        <is>
          <t>ASD</t>
        </is>
      </c>
      <c r="C72" s="13" t="n">
        <v>216.7895167875975</v>
      </c>
      <c r="D72" s="13" t="n">
        <v>216.7564721617327</v>
      </c>
      <c r="E72" s="13" t="n">
        <v>216.723714936783</v>
      </c>
      <c r="F72" s="13" t="n">
        <v>216.690670590591</v>
      </c>
      <c r="G72" s="13" t="n">
        <v>216.8607794438635</v>
      </c>
      <c r="H72" s="13" t="n">
        <v>216.8277340563241</v>
      </c>
      <c r="I72" s="13" t="n">
        <v>216.7949761964054</v>
      </c>
      <c r="J72" s="13" t="n">
        <v>216.7715093572031</v>
      </c>
    </row>
    <row r="73">
      <c r="A73" s="19" t="inlineStr">
        <is>
          <t>LRFD1 1C-B</t>
        </is>
      </c>
      <c r="B73" s="20" t="inlineStr">
        <is>
          <t>LRFD</t>
        </is>
      </c>
      <c r="C73" s="21" t="n">
        <v>0.001913400000000003</v>
      </c>
      <c r="D73" s="21" t="n">
        <v>0.0050074</v>
      </c>
      <c r="E73" s="21" t="n">
        <v>0.008101000000000001</v>
      </c>
      <c r="F73" s="21" t="n">
        <v>0.011194</v>
      </c>
      <c r="G73" s="21" t="n">
        <v>0.001913400000000003</v>
      </c>
      <c r="H73" s="21" t="n">
        <v>0.0050074</v>
      </c>
      <c r="I73" s="21" t="n">
        <v>0.008101000000000001</v>
      </c>
      <c r="J73" s="21" t="n">
        <v>0.011194</v>
      </c>
    </row>
    <row r="74">
      <c r="A74" s="3" t="inlineStr">
        <is>
          <t>LRFD2(max) 1C-B</t>
        </is>
      </c>
      <c r="B74" s="7" t="inlineStr">
        <is>
          <t>LRFD</t>
        </is>
      </c>
      <c r="C74" s="13" t="n">
        <v>0.1411368103118389</v>
      </c>
      <c r="D74" s="13" t="n">
        <v>0.09903379279821611</v>
      </c>
      <c r="E74" s="13" t="n">
        <v>0.05695247391465975</v>
      </c>
      <c r="F74" s="13" t="n">
        <v>0.01531170530313329</v>
      </c>
      <c r="G74" s="13" t="n">
        <v>0.122479712213901</v>
      </c>
      <c r="H74" s="13" t="n">
        <v>0.08036525617454349</v>
      </c>
      <c r="I74" s="13" t="n">
        <v>0.03841404503563768</v>
      </c>
      <c r="J74" s="13" t="n">
        <v>0.006972954933168577</v>
      </c>
    </row>
    <row r="75">
      <c r="A75" s="19" t="inlineStr">
        <is>
          <t>LRFD2(min) 1C-B</t>
        </is>
      </c>
      <c r="B75" s="20" t="inlineStr">
        <is>
          <t>LRFD</t>
        </is>
      </c>
      <c r="C75" s="21" t="n">
        <v>1.077215842891293</v>
      </c>
      <c r="D75" s="21" t="n">
        <v>0.3092716922319274</v>
      </c>
      <c r="E75" s="21" t="n">
        <v>0.4443729835183503</v>
      </c>
      <c r="F75" s="21" t="n">
        <v>1.076618455220326</v>
      </c>
      <c r="G75" s="21" t="n">
        <v>1.009474155493344</v>
      </c>
      <c r="H75" s="21" t="n">
        <v>0.2227171538633699</v>
      </c>
      <c r="I75" s="21" t="n">
        <v>0.5106094365060246</v>
      </c>
      <c r="J75" s="21" t="n">
        <v>1.114338296714243</v>
      </c>
    </row>
    <row r="76">
      <c r="A76" s="3" t="inlineStr">
        <is>
          <t>LRFD3 1C-B</t>
        </is>
      </c>
      <c r="B76" s="7" t="inlineStr">
        <is>
          <t>LRFD</t>
        </is>
      </c>
      <c r="C76" s="13" t="n">
        <v>309.9182000286527</v>
      </c>
      <c r="D76" s="13" t="n">
        <v>309.754315869852</v>
      </c>
      <c r="E76" s="13" t="n">
        <v>309.6002976032162</v>
      </c>
      <c r="F76" s="13" t="n">
        <v>309.4367015142192</v>
      </c>
      <c r="G76" s="13" t="n">
        <v>309.9692522880293</v>
      </c>
      <c r="H76" s="13" t="n">
        <v>309.8152336215894</v>
      </c>
      <c r="I76" s="13" t="n">
        <v>309.6513496256717</v>
      </c>
      <c r="J76" s="13" t="n">
        <v>309.4973314925348</v>
      </c>
    </row>
    <row r="77">
      <c r="A77" s="19" t="inlineStr">
        <is>
          <t>LRFD4 1C-B</t>
        </is>
      </c>
      <c r="B77" s="20" t="inlineStr">
        <is>
          <t>LRFD</t>
        </is>
      </c>
      <c r="C77" s="21" t="n">
        <v>309.7369798538754</v>
      </c>
      <c r="D77" s="21" t="n">
        <v>309.6720398243923</v>
      </c>
      <c r="E77" s="21" t="n">
        <v>309.616678589833</v>
      </c>
      <c r="F77" s="21" t="n">
        <v>309.5613177142777</v>
      </c>
      <c r="G77" s="21" t="n">
        <v>309.8774938326435</v>
      </c>
      <c r="H77" s="21" t="n">
        <v>309.8221306104521</v>
      </c>
      <c r="I77" s="21" t="n">
        <v>309.7664803702944</v>
      </c>
      <c r="J77" s="21" t="n">
        <v>309.7015396296893</v>
      </c>
    </row>
    <row r="78">
      <c r="A78" s="24" t="inlineStr">
        <is>
          <t>max (all)</t>
        </is>
      </c>
      <c r="B78" s="25" t="inlineStr"/>
      <c r="C78" s="26">
        <f>MAX(C58:C77)</f>
        <v/>
      </c>
      <c r="D78" s="26">
        <f>MAX(D58:D77)</f>
        <v/>
      </c>
      <c r="E78" s="26">
        <f>MAX(E58:E77)</f>
        <v/>
      </c>
      <c r="F78" s="26">
        <f>MAX(F58:F77)</f>
        <v/>
      </c>
      <c r="G78" s="26">
        <f>MAX(G58:G77)</f>
        <v/>
      </c>
      <c r="H78" s="26">
        <f>MAX(H58:H77)</f>
        <v/>
      </c>
      <c r="I78" s="26">
        <f>MAX(I58:I77)</f>
        <v/>
      </c>
      <c r="J78" s="26">
        <f>MAX(J58:J77)</f>
        <v/>
      </c>
    </row>
    <row r="79">
      <c r="A79" s="24" t="inlineStr">
        <is>
          <t>min (all)</t>
        </is>
      </c>
      <c r="B79" s="25" t="inlineStr"/>
      <c r="C79" s="26">
        <f>MIN(C58:C77)</f>
        <v/>
      </c>
      <c r="D79" s="26">
        <f>MIN(D58:D77)</f>
        <v/>
      </c>
      <c r="E79" s="26">
        <f>MIN(E58:E77)</f>
        <v/>
      </c>
      <c r="F79" s="26">
        <f>MIN(F58:F77)</f>
        <v/>
      </c>
      <c r="G79" s="26">
        <f>MIN(G58:G77)</f>
        <v/>
      </c>
      <c r="H79" s="26">
        <f>MIN(H58:H77)</f>
        <v/>
      </c>
      <c r="I79" s="26">
        <f>MIN(I58:I77)</f>
        <v/>
      </c>
      <c r="J79" s="26">
        <f>MIN(J58:J77)</f>
        <v/>
      </c>
    </row>
    <row r="82">
      <c r="A82" s="16" t="inlineStr">
        <is>
          <t>Head deflection y (mm)</t>
        </is>
      </c>
    </row>
    <row r="83" ht="22" customHeight="1">
      <c r="A83" s="6" t="inlineStr">
        <is>
          <t>Load combination</t>
        </is>
      </c>
      <c r="B83" s="6" t="inlineStr">
        <is>
          <t>Design</t>
        </is>
      </c>
      <c r="C83" s="6" t="inlineStr">
        <is>
          <t>Pile 1</t>
        </is>
      </c>
      <c r="D83" s="6" t="inlineStr">
        <is>
          <t>Pile 2</t>
        </is>
      </c>
      <c r="E83" s="6" t="inlineStr">
        <is>
          <t>Pile 3</t>
        </is>
      </c>
      <c r="F83" s="6" t="inlineStr">
        <is>
          <t>Pile 4</t>
        </is>
      </c>
      <c r="G83" s="6" t="inlineStr">
        <is>
          <t>Pile 5</t>
        </is>
      </c>
      <c r="H83" s="6" t="inlineStr">
        <is>
          <t>Pile 6</t>
        </is>
      </c>
      <c r="I83" s="6" t="inlineStr">
        <is>
          <t>Pile 7</t>
        </is>
      </c>
      <c r="J83" s="6" t="inlineStr">
        <is>
          <t>Pile 8</t>
        </is>
      </c>
    </row>
    <row r="84">
      <c r="A84" s="3" t="inlineStr">
        <is>
          <t>ASD1 1C-A</t>
        </is>
      </c>
      <c r="B84" s="7" t="inlineStr">
        <is>
          <t>ASD</t>
        </is>
      </c>
      <c r="C84" s="27" t="n">
        <v>0.09113299999999999</v>
      </c>
      <c r="D84" s="27" t="n">
        <v>0.09113299999999999</v>
      </c>
      <c r="E84" s="27" t="n">
        <v>0.09113299999999999</v>
      </c>
      <c r="F84" s="27" t="n">
        <v>0.09113299999999999</v>
      </c>
      <c r="G84" s="27" t="n">
        <v>0.09113299999999999</v>
      </c>
      <c r="H84" s="27" t="n">
        <v>0.09113299999999999</v>
      </c>
      <c r="I84" s="27" t="n">
        <v>0.09113299999999999</v>
      </c>
      <c r="J84" s="27" t="n">
        <v>0.09113299999999999</v>
      </c>
    </row>
    <row r="85">
      <c r="A85" s="19" t="inlineStr">
        <is>
          <t>ASD2(max) 1C-A</t>
        </is>
      </c>
      <c r="B85" s="20" t="inlineStr">
        <is>
          <t>ASD</t>
        </is>
      </c>
      <c r="C85" s="28" t="n">
        <v>2.686506810267935</v>
      </c>
      <c r="D85" s="28" t="n">
        <v>2.686508655800126</v>
      </c>
      <c r="E85" s="28" t="n">
        <v>2.686510529240673</v>
      </c>
      <c r="F85" s="28" t="n">
        <v>2.686512378549557</v>
      </c>
      <c r="G85" s="28" t="n">
        <v>2.686206911541998</v>
      </c>
      <c r="H85" s="28" t="n">
        <v>2.68620875728023</v>
      </c>
      <c r="I85" s="28" t="n">
        <v>2.686210630929935</v>
      </c>
      <c r="J85" s="28" t="n">
        <v>2.686212480445283</v>
      </c>
    </row>
    <row r="86">
      <c r="A86" s="3" t="inlineStr">
        <is>
          <t>ASD2(min) 1C-A</t>
        </is>
      </c>
      <c r="B86" s="7" t="inlineStr">
        <is>
          <t>ASD</t>
        </is>
      </c>
      <c r="C86" s="27" t="n">
        <v>0.2762596502006762</v>
      </c>
      <c r="D86" s="27" t="n">
        <v>0.2762611915488674</v>
      </c>
      <c r="E86" s="27" t="n">
        <v>0.2762627330658263</v>
      </c>
      <c r="F86" s="27" t="n">
        <v>0.2762640545004</v>
      </c>
      <c r="G86" s="27" t="n">
        <v>0.2762791594185128</v>
      </c>
      <c r="H86" s="27" t="n">
        <v>0.2762807006578635</v>
      </c>
      <c r="I86" s="27" t="n">
        <v>0.2762822420659714</v>
      </c>
      <c r="J86" s="27" t="n">
        <v>0.2762835634072356</v>
      </c>
    </row>
    <row r="87">
      <c r="A87" s="19" t="inlineStr">
        <is>
          <t>ASD3 1C-A</t>
        </is>
      </c>
      <c r="B87" s="20" t="inlineStr">
        <is>
          <t>ASD</t>
        </is>
      </c>
      <c r="C87" s="28" t="n">
        <v>1.762350827275886</v>
      </c>
      <c r="D87" s="28" t="n">
        <v>1.762345240751653</v>
      </c>
      <c r="E87" s="28" t="n">
        <v>1.762339654436681</v>
      </c>
      <c r="F87" s="28" t="n">
        <v>1.762336861357669</v>
      </c>
      <c r="G87" s="28" t="n">
        <v>1.762254808022949</v>
      </c>
      <c r="H87" s="28" t="n">
        <v>1.762249221194323</v>
      </c>
      <c r="I87" s="28" t="n">
        <v>1.76224363457497</v>
      </c>
      <c r="J87" s="28" t="n">
        <v>1.76224084134377</v>
      </c>
    </row>
    <row r="88">
      <c r="A88" s="3" t="inlineStr">
        <is>
          <t>ASD4 1C-A</t>
        </is>
      </c>
      <c r="B88" s="7" t="inlineStr">
        <is>
          <t>ASD</t>
        </is>
      </c>
      <c r="C88" s="27" t="n">
        <v>1.698238503155549</v>
      </c>
      <c r="D88" s="27" t="n">
        <v>1.698141856147477</v>
      </c>
      <c r="E88" s="27" t="n">
        <v>1.698141856147477</v>
      </c>
      <c r="F88" s="27" t="n">
        <v>1.698045209527709</v>
      </c>
      <c r="G88" s="27" t="n">
        <v>1.698189726414572</v>
      </c>
      <c r="H88" s="27" t="n">
        <v>1.698093076630371</v>
      </c>
      <c r="I88" s="27" t="n">
        <v>1.698093076630371</v>
      </c>
      <c r="J88" s="27" t="n">
        <v>1.697996427234168</v>
      </c>
    </row>
    <row r="89">
      <c r="A89" s="19" t="inlineStr">
        <is>
          <t>LRFD1 1C-A</t>
        </is>
      </c>
      <c r="B89" s="20" t="inlineStr">
        <is>
          <t>LRFD</t>
        </is>
      </c>
      <c r="C89" s="28" t="n">
        <v>0.1279</v>
      </c>
      <c r="D89" s="28" t="n">
        <v>0.1279</v>
      </c>
      <c r="E89" s="28" t="n">
        <v>0.1279</v>
      </c>
      <c r="F89" s="28" t="n">
        <v>0.1279</v>
      </c>
      <c r="G89" s="28" t="n">
        <v>0.1279</v>
      </c>
      <c r="H89" s="28" t="n">
        <v>0.1279</v>
      </c>
      <c r="I89" s="28" t="n">
        <v>0.1279</v>
      </c>
      <c r="J89" s="28" t="n">
        <v>0.1279</v>
      </c>
    </row>
    <row r="90">
      <c r="A90" s="3" t="inlineStr">
        <is>
          <t>LRFD2(max) 1C-A</t>
        </is>
      </c>
      <c r="B90" s="7" t="inlineStr">
        <is>
          <t>LRFD</t>
        </is>
      </c>
      <c r="C90" s="27" t="n">
        <v>2.775641637693886</v>
      </c>
      <c r="D90" s="27" t="n">
        <v>2.775646059857056</v>
      </c>
      <c r="E90" s="27" t="n">
        <v>2.775650486372519</v>
      </c>
      <c r="F90" s="27" t="n">
        <v>2.775654917240254</v>
      </c>
      <c r="G90" s="27" t="n">
        <v>2.775142041571927</v>
      </c>
      <c r="H90" s="27" t="n">
        <v>2.775146464531197</v>
      </c>
      <c r="I90" s="27" t="n">
        <v>2.775150891843541</v>
      </c>
      <c r="J90" s="27" t="n">
        <v>2.775155323508939</v>
      </c>
    </row>
    <row r="91">
      <c r="A91" s="19" t="inlineStr">
        <is>
          <t>LRFD2(min) 1C-A</t>
        </is>
      </c>
      <c r="B91" s="20" t="inlineStr">
        <is>
          <t>LRFD</t>
        </is>
      </c>
      <c r="C91" s="28" t="n">
        <v>0.4104036509645108</v>
      </c>
      <c r="D91" s="28" t="n">
        <v>0.4104005042199632</v>
      </c>
      <c r="E91" s="28" t="n">
        <v>0.410397543199274</v>
      </c>
      <c r="F91" s="28" t="n">
        <v>0.4103943977748721</v>
      </c>
      <c r="G91" s="28" t="n">
        <v>0.4104626140405482</v>
      </c>
      <c r="H91" s="28" t="n">
        <v>0.4104594677480348</v>
      </c>
      <c r="I91" s="28" t="n">
        <v>0.4104565071527067</v>
      </c>
      <c r="J91" s="28" t="n">
        <v>0.4104533621801629</v>
      </c>
    </row>
    <row r="92">
      <c r="A92" s="3" t="inlineStr">
        <is>
          <t>LRFD3 1C-A</t>
        </is>
      </c>
      <c r="B92" s="7" t="inlineStr">
        <is>
          <t>LRFD</t>
        </is>
      </c>
      <c r="C92" s="27" t="n">
        <v>2.557437092168642</v>
      </c>
      <c r="D92" s="27" t="n">
        <v>2.55742877564557</v>
      </c>
      <c r="E92" s="27" t="n">
        <v>2.557420459447371</v>
      </c>
      <c r="F92" s="27" t="n">
        <v>2.557409371688467</v>
      </c>
      <c r="G92" s="27" t="n">
        <v>2.557341011754201</v>
      </c>
      <c r="H92" s="27" t="n">
        <v>2.557332694918673</v>
      </c>
      <c r="I92" s="27" t="n">
        <v>2.557324378408027</v>
      </c>
      <c r="J92" s="27" t="n">
        <v>2.557313290232544</v>
      </c>
    </row>
    <row r="93">
      <c r="A93" s="19" t="inlineStr">
        <is>
          <t>LRFD4 1C-A</t>
        </is>
      </c>
      <c r="B93" s="20" t="inlineStr">
        <is>
          <t>LRFD</t>
        </is>
      </c>
      <c r="C93" s="28" t="n">
        <v>2.451589125934442</v>
      </c>
      <c r="D93" s="28" t="n">
        <v>2.451589125934442</v>
      </c>
      <c r="E93" s="28" t="n">
        <v>2.451492702905722</v>
      </c>
      <c r="F93" s="28" t="n">
        <v>2.451396280163613</v>
      </c>
      <c r="G93" s="28" t="n">
        <v>2.451501676544399</v>
      </c>
      <c r="H93" s="28" t="n">
        <v>2.451501676544399</v>
      </c>
      <c r="I93" s="28" t="n">
        <v>2.451405250075964</v>
      </c>
      <c r="J93" s="28" t="n">
        <v>2.45130882389388</v>
      </c>
    </row>
    <row r="94">
      <c r="A94" s="3" t="inlineStr">
        <is>
          <t>ASD1 1C-B</t>
        </is>
      </c>
      <c r="B94" s="7" t="inlineStr">
        <is>
          <t>ASD</t>
        </is>
      </c>
      <c r="C94" s="27" t="n">
        <v>0.09113299999999999</v>
      </c>
      <c r="D94" s="27" t="n">
        <v>0.09113299999999999</v>
      </c>
      <c r="E94" s="27" t="n">
        <v>0.09113299999999999</v>
      </c>
      <c r="F94" s="27" t="n">
        <v>0.09113299999999999</v>
      </c>
      <c r="G94" s="27" t="n">
        <v>0.09113299999999999</v>
      </c>
      <c r="H94" s="27" t="n">
        <v>0.09113299999999999</v>
      </c>
      <c r="I94" s="27" t="n">
        <v>0.09113299999999999</v>
      </c>
      <c r="J94" s="27" t="n">
        <v>0.09113299999999999</v>
      </c>
    </row>
    <row r="95">
      <c r="A95" s="19" t="inlineStr">
        <is>
          <t>ASD2(max) 1C-B</t>
        </is>
      </c>
      <c r="B95" s="20" t="inlineStr">
        <is>
          <t>ASD</t>
        </is>
      </c>
      <c r="C95" s="28" t="n">
        <v>0.3815085262952848</v>
      </c>
      <c r="D95" s="28" t="n">
        <v>0.381506506902569</v>
      </c>
      <c r="E95" s="28" t="n">
        <v>0.3815042633693626</v>
      </c>
      <c r="F95" s="28" t="n">
        <v>0.3815022444023102</v>
      </c>
      <c r="G95" s="28" t="n">
        <v>0.3814792913593082</v>
      </c>
      <c r="H95" s="28" t="n">
        <v>0.3814772718118342</v>
      </c>
      <c r="I95" s="28" t="n">
        <v>0.3814750281066901</v>
      </c>
      <c r="J95" s="28" t="n">
        <v>0.3814730089849084</v>
      </c>
    </row>
    <row r="96">
      <c r="A96" s="3" t="inlineStr">
        <is>
          <t>ASD2(min) 1C-B</t>
        </is>
      </c>
      <c r="B96" s="7" t="inlineStr">
        <is>
          <t>ASD</t>
        </is>
      </c>
      <c r="C96" s="27" t="n">
        <v>2.120694735413138</v>
      </c>
      <c r="D96" s="27" t="n">
        <v>2.120693230527225</v>
      </c>
      <c r="E96" s="27" t="n">
        <v>2.120691727066666</v>
      </c>
      <c r="F96" s="27" t="n">
        <v>2.120690225031464</v>
      </c>
      <c r="G96" s="27" t="n">
        <v>2.120894660469728</v>
      </c>
      <c r="H96" s="27" t="n">
        <v>2.120893155725672</v>
      </c>
      <c r="I96" s="27" t="n">
        <v>2.120891652406836</v>
      </c>
      <c r="J96" s="27" t="n">
        <v>2.120890150513223</v>
      </c>
    </row>
    <row r="97">
      <c r="A97" s="19" t="inlineStr">
        <is>
          <t>ASD3 1C-B</t>
        </is>
      </c>
      <c r="B97" s="20" t="inlineStr">
        <is>
          <t>ASD</t>
        </is>
      </c>
      <c r="C97" s="28" t="n">
        <v>1.959065842793447</v>
      </c>
      <c r="D97" s="28" t="n">
        <v>1.959068353810045</v>
      </c>
      <c r="E97" s="28" t="n">
        <v>1.959068353810045</v>
      </c>
      <c r="F97" s="28" t="n">
        <v>1.959070864874469</v>
      </c>
      <c r="G97" s="28" t="n">
        <v>1.959065842793447</v>
      </c>
      <c r="H97" s="28" t="n">
        <v>1.959068353810045</v>
      </c>
      <c r="I97" s="28" t="n">
        <v>1.959068353810045</v>
      </c>
      <c r="J97" s="28" t="n">
        <v>1.959070864874469</v>
      </c>
    </row>
    <row r="98">
      <c r="A98" s="3" t="inlineStr">
        <is>
          <t>ASD4 1C-B</t>
        </is>
      </c>
      <c r="B98" s="7" t="inlineStr">
        <is>
          <t>ASD</t>
        </is>
      </c>
      <c r="C98" s="27" t="n">
        <v>1.761530660562001</v>
      </c>
      <c r="D98" s="27" t="n">
        <v>1.761623807201753</v>
      </c>
      <c r="E98" s="27" t="n">
        <v>1.761623807201753</v>
      </c>
      <c r="F98" s="27" t="n">
        <v>1.761716954592877</v>
      </c>
      <c r="G98" s="27" t="n">
        <v>1.761588880783482</v>
      </c>
      <c r="H98" s="27" t="n">
        <v>1.761682024344916</v>
      </c>
      <c r="I98" s="27" t="n">
        <v>1.761682024344916</v>
      </c>
      <c r="J98" s="27" t="n">
        <v>1.761775168658021</v>
      </c>
    </row>
    <row r="99">
      <c r="A99" s="19" t="inlineStr">
        <is>
          <t>LRFD1 1C-B</t>
        </is>
      </c>
      <c r="B99" s="20" t="inlineStr">
        <is>
          <t>LRFD</t>
        </is>
      </c>
      <c r="C99" s="28" t="n">
        <v>0.1279</v>
      </c>
      <c r="D99" s="28" t="n">
        <v>0.1279</v>
      </c>
      <c r="E99" s="28" t="n">
        <v>0.1279</v>
      </c>
      <c r="F99" s="28" t="n">
        <v>0.1279</v>
      </c>
      <c r="G99" s="28" t="n">
        <v>0.1279</v>
      </c>
      <c r="H99" s="28" t="n">
        <v>0.1279</v>
      </c>
      <c r="I99" s="28" t="n">
        <v>0.1279</v>
      </c>
      <c r="J99" s="28" t="n">
        <v>0.1279</v>
      </c>
    </row>
    <row r="100">
      <c r="A100" s="3" t="inlineStr">
        <is>
          <t>LRFD2(max) 1C-B</t>
        </is>
      </c>
      <c r="B100" s="7" t="inlineStr">
        <is>
          <t>LRFD</t>
        </is>
      </c>
      <c r="C100" s="27" t="n">
        <v>0.5633362592626183</v>
      </c>
      <c r="D100" s="27" t="n">
        <v>0.563341983257062</v>
      </c>
      <c r="E100" s="27" t="n">
        <v>0.563345800108601</v>
      </c>
      <c r="F100" s="27" t="n">
        <v>0.5633496176443186</v>
      </c>
      <c r="G100" s="27" t="n">
        <v>0.5632479124683908</v>
      </c>
      <c r="H100" s="27" t="n">
        <v>0.5632536373606477</v>
      </c>
      <c r="I100" s="27" t="n">
        <v>0.563257454810853</v>
      </c>
      <c r="J100" s="27" t="n">
        <v>0.5632612729453358</v>
      </c>
    </row>
    <row r="101">
      <c r="A101" s="19" t="inlineStr">
        <is>
          <t>LRFD2(min) 1C-B</t>
        </is>
      </c>
      <c r="B101" s="20" t="inlineStr">
        <is>
          <t>LRFD</t>
        </is>
      </c>
      <c r="C101" s="28" t="n">
        <v>2.022418672827415</v>
      </c>
      <c r="D101" s="28" t="n">
        <v>2.022415474318024</v>
      </c>
      <c r="E101" s="28" t="n">
        <v>2.022412239046234</v>
      </c>
      <c r="F101" s="28" t="n">
        <v>2.022409007013418</v>
      </c>
      <c r="G101" s="28" t="n">
        <v>2.022718432753556</v>
      </c>
      <c r="H101" s="28" t="n">
        <v>2.022715234718174</v>
      </c>
      <c r="I101" s="28" t="n">
        <v>2.022711999925842</v>
      </c>
      <c r="J101" s="28" t="n">
        <v>2.022708768372007</v>
      </c>
    </row>
    <row r="102">
      <c r="A102" s="3" t="inlineStr">
        <is>
          <t>LRFD3 1C-B</t>
        </is>
      </c>
      <c r="B102" s="7" t="inlineStr">
        <is>
          <t>LRFD</t>
        </is>
      </c>
      <c r="C102" s="27" t="n">
        <v>2.797486864115719</v>
      </c>
      <c r="D102" s="27" t="n">
        <v>2.797489396512523</v>
      </c>
      <c r="E102" s="27" t="n">
        <v>2.797491928942781</v>
      </c>
      <c r="F102" s="27" t="n">
        <v>2.797496993903657</v>
      </c>
      <c r="G102" s="27" t="n">
        <v>2.797486864115719</v>
      </c>
      <c r="H102" s="27" t="n">
        <v>2.797489396512523</v>
      </c>
      <c r="I102" s="27" t="n">
        <v>2.797491928942781</v>
      </c>
      <c r="J102" s="27" t="n">
        <v>2.797496993903657</v>
      </c>
    </row>
    <row r="103">
      <c r="A103" s="19" t="inlineStr">
        <is>
          <t>LRFD4 1C-B</t>
        </is>
      </c>
      <c r="B103" s="20" t="inlineStr">
        <is>
          <t>LRFD</t>
        </is>
      </c>
      <c r="C103" s="28" t="n">
        <v>2.528859998279857</v>
      </c>
      <c r="D103" s="28" t="n">
        <v>2.528859998279857</v>
      </c>
      <c r="E103" s="28" t="n">
        <v>2.528953451706851</v>
      </c>
      <c r="F103" s="28" t="n">
        <v>2.529046905634611</v>
      </c>
      <c r="G103" s="28" t="n">
        <v>2.528952538680787</v>
      </c>
      <c r="H103" s="28" t="n">
        <v>2.528952538680787</v>
      </c>
      <c r="I103" s="28" t="n">
        <v>2.529045988688225</v>
      </c>
      <c r="J103" s="28" t="n">
        <v>2.529139439196661</v>
      </c>
    </row>
    <row r="104">
      <c r="A104" s="24" t="inlineStr">
        <is>
          <t>max (all)</t>
        </is>
      </c>
      <c r="B104" s="25" t="inlineStr"/>
      <c r="C104" s="29">
        <f>MAX(C84:C103)</f>
        <v/>
      </c>
      <c r="D104" s="29">
        <f>MAX(D84:D103)</f>
        <v/>
      </c>
      <c r="E104" s="29">
        <f>MAX(E84:E103)</f>
        <v/>
      </c>
      <c r="F104" s="29">
        <f>MAX(F84:F103)</f>
        <v/>
      </c>
      <c r="G104" s="29">
        <f>MAX(G84:G103)</f>
        <v/>
      </c>
      <c r="H104" s="29">
        <f>MAX(H84:H103)</f>
        <v/>
      </c>
      <c r="I104" s="29">
        <f>MAX(I84:I103)</f>
        <v/>
      </c>
      <c r="J104" s="29">
        <f>MAX(J84:J103)</f>
        <v/>
      </c>
    </row>
    <row r="105">
      <c r="A105" s="24" t="inlineStr">
        <is>
          <t>min (all)</t>
        </is>
      </c>
      <c r="B105" s="25" t="inlineStr"/>
      <c r="C105" s="29">
        <f>MIN(C84:C103)</f>
        <v/>
      </c>
      <c r="D105" s="29">
        <f>MIN(D84:D103)</f>
        <v/>
      </c>
      <c r="E105" s="29">
        <f>MIN(E84:E103)</f>
        <v/>
      </c>
      <c r="F105" s="29">
        <f>MIN(F84:F103)</f>
        <v/>
      </c>
      <c r="G105" s="29">
        <f>MIN(G84:G103)</f>
        <v/>
      </c>
      <c r="H105" s="29">
        <f>MIN(H84:H103)</f>
        <v/>
      </c>
      <c r="I105" s="29">
        <f>MIN(I84:I103)</f>
        <v/>
      </c>
      <c r="J105" s="29">
        <f>MIN(J84:J103)</f>
        <v/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13" customWidth="1" min="3" max="3"/>
    <col width="18" customWidth="1" min="4" max="4"/>
    <col width="7" customWidth="1" min="5" max="5"/>
    <col width="6" customWidth="1" min="6" max="6"/>
    <col width="6" customWidth="1" min="7" max="7"/>
    <col width="10" customWidth="1" min="8" max="8"/>
    <col width="10" customWidth="1" min="9" max="9"/>
    <col width="10" customWidth="1" min="10" max="10"/>
    <col width="9" customWidth="1" min="11" max="11"/>
  </cols>
  <sheetData>
    <row r="1" ht="30" customHeight="1">
      <c r="A1" s="6" t="inlineStr">
        <is>
          <t>Wellpad</t>
        </is>
      </c>
      <c r="B1" s="6" t="inlineStr">
        <is>
          <t>Model</t>
        </is>
      </c>
      <c r="C1" s="6" t="inlineStr">
        <is>
          <t>Condition</t>
        </is>
      </c>
      <c r="D1" s="6" t="inlineStr">
        <is>
          <t>Load combination</t>
        </is>
      </c>
      <c r="E1" s="6" t="inlineStr">
        <is>
          <t>Design</t>
        </is>
      </c>
      <c r="F1" s="6" t="inlineStr">
        <is>
          <t>Pile</t>
        </is>
      </c>
      <c r="G1" s="6" t="inlineStr">
        <is>
          <t>Row</t>
        </is>
      </c>
      <c r="H1" s="6" t="inlineStr">
        <is>
          <t>P (kN)</t>
        </is>
      </c>
      <c r="I1" s="6" t="inlineStr">
        <is>
          <t>M (kNm)</t>
        </is>
      </c>
      <c r="J1" s="6" t="inlineStr">
        <is>
          <t>V (kN)</t>
        </is>
      </c>
      <c r="K1" s="6" t="inlineStr">
        <is>
          <t>y (mm)</t>
        </is>
      </c>
    </row>
    <row r="2">
      <c r="A2" s="7" t="inlineStr">
        <is>
          <t>WPA</t>
        </is>
      </c>
      <c r="B2" s="7" t="inlineStr">
        <is>
          <t>M1</t>
        </is>
      </c>
      <c r="C2" s="7" t="inlineStr">
        <is>
          <t>Non-liquefied</t>
        </is>
      </c>
      <c r="D2" s="7" t="inlineStr">
        <is>
          <t>ASD1</t>
        </is>
      </c>
      <c r="E2" s="7" t="inlineStr">
        <is>
          <t>ASD</t>
        </is>
      </c>
      <c r="F2" s="7" t="n">
        <v>1</v>
      </c>
      <c r="G2" s="7" t="n">
        <v>1</v>
      </c>
      <c r="H2" s="13" t="n">
        <v>1117.6</v>
      </c>
      <c r="I2" s="13" t="n">
        <v>1.113103087159496e-13</v>
      </c>
      <c r="J2" s="13" t="n">
        <v>6.845800000181355e-14</v>
      </c>
      <c r="K2" s="13" t="n">
        <v>3.425883778069682e-16</v>
      </c>
    </row>
    <row r="3">
      <c r="A3" s="7" t="inlineStr">
        <is>
          <t>WPA</t>
        </is>
      </c>
      <c r="B3" s="7" t="inlineStr">
        <is>
          <t>M1</t>
        </is>
      </c>
      <c r="C3" s="7" t="inlineStr">
        <is>
          <t>Non-liquefied</t>
        </is>
      </c>
      <c r="D3" s="7" t="inlineStr">
        <is>
          <t>ASD1</t>
        </is>
      </c>
      <c r="E3" s="7" t="inlineStr">
        <is>
          <t>ASD</t>
        </is>
      </c>
      <c r="F3" s="7" t="n">
        <v>2</v>
      </c>
      <c r="G3" s="7" t="n">
        <v>1</v>
      </c>
      <c r="H3" s="13" t="n">
        <v>1117.6</v>
      </c>
      <c r="I3" s="13" t="n">
        <v>1.113103087159496e-13</v>
      </c>
      <c r="J3" s="13" t="n">
        <v>6.845800000181355e-14</v>
      </c>
      <c r="K3" s="13" t="n">
        <v>3.425883778069682e-16</v>
      </c>
    </row>
    <row r="4">
      <c r="A4" s="7" t="inlineStr">
        <is>
          <t>WPA</t>
        </is>
      </c>
      <c r="B4" s="7" t="inlineStr">
        <is>
          <t>M1</t>
        </is>
      </c>
      <c r="C4" s="7" t="inlineStr">
        <is>
          <t>Non-liquefied</t>
        </is>
      </c>
      <c r="D4" s="7" t="inlineStr">
        <is>
          <t>ASD1</t>
        </is>
      </c>
      <c r="E4" s="7" t="inlineStr">
        <is>
          <t>ASD</t>
        </is>
      </c>
      <c r="F4" s="7" t="n">
        <v>3</v>
      </c>
      <c r="G4" s="7" t="n">
        <v>1</v>
      </c>
      <c r="H4" s="13" t="n">
        <v>1117.6</v>
      </c>
      <c r="I4" s="13" t="n">
        <v>1.113103087159496e-13</v>
      </c>
      <c r="J4" s="13" t="n">
        <v>6.845800000181355e-14</v>
      </c>
      <c r="K4" s="13" t="n">
        <v>3.425883778069682e-16</v>
      </c>
    </row>
    <row r="5">
      <c r="A5" s="7" t="inlineStr">
        <is>
          <t>WPA</t>
        </is>
      </c>
      <c r="B5" s="7" t="inlineStr">
        <is>
          <t>M1</t>
        </is>
      </c>
      <c r="C5" s="7" t="inlineStr">
        <is>
          <t>Non-liquefied</t>
        </is>
      </c>
      <c r="D5" s="7" t="inlineStr">
        <is>
          <t>ASD1</t>
        </is>
      </c>
      <c r="E5" s="7" t="inlineStr">
        <is>
          <t>ASD</t>
        </is>
      </c>
      <c r="F5" s="7" t="n">
        <v>4</v>
      </c>
      <c r="G5" s="7" t="n">
        <v>1</v>
      </c>
      <c r="H5" s="13" t="n">
        <v>1117.6</v>
      </c>
      <c r="I5" s="13" t="n">
        <v>1.113103087159496e-13</v>
      </c>
      <c r="J5" s="13" t="n">
        <v>6.845800000181355e-14</v>
      </c>
      <c r="K5" s="13" t="n">
        <v>3.425883778069682e-16</v>
      </c>
    </row>
    <row r="6">
      <c r="A6" s="7" t="inlineStr">
        <is>
          <t>WPA</t>
        </is>
      </c>
      <c r="B6" s="7" t="inlineStr">
        <is>
          <t>M1</t>
        </is>
      </c>
      <c r="C6" s="7" t="inlineStr">
        <is>
          <t>Non-liquefied</t>
        </is>
      </c>
      <c r="D6" s="7" t="inlineStr">
        <is>
          <t>ASD1</t>
        </is>
      </c>
      <c r="E6" s="7" t="inlineStr">
        <is>
          <t>ASD</t>
        </is>
      </c>
      <c r="F6" s="7" t="n">
        <v>5</v>
      </c>
      <c r="G6" s="7" t="n">
        <v>2</v>
      </c>
      <c r="H6" s="13" t="n">
        <v>1117.6</v>
      </c>
      <c r="I6" s="13" t="n">
        <v>1.113103087159496e-13</v>
      </c>
      <c r="J6" s="13" t="n">
        <v>6.845800000181355e-14</v>
      </c>
      <c r="K6" s="13" t="n">
        <v>3.425883778069682e-16</v>
      </c>
    </row>
    <row r="7">
      <c r="A7" s="7" t="inlineStr">
        <is>
          <t>WPA</t>
        </is>
      </c>
      <c r="B7" s="7" t="inlineStr">
        <is>
          <t>M1</t>
        </is>
      </c>
      <c r="C7" s="7" t="inlineStr">
        <is>
          <t>Non-liquefied</t>
        </is>
      </c>
      <c r="D7" s="7" t="inlineStr">
        <is>
          <t>ASD1</t>
        </is>
      </c>
      <c r="E7" s="7" t="inlineStr">
        <is>
          <t>ASD</t>
        </is>
      </c>
      <c r="F7" s="7" t="n">
        <v>6</v>
      </c>
      <c r="G7" s="7" t="n">
        <v>2</v>
      </c>
      <c r="H7" s="13" t="n">
        <v>1117.6</v>
      </c>
      <c r="I7" s="13" t="n">
        <v>1.113103087159496e-13</v>
      </c>
      <c r="J7" s="13" t="n">
        <v>6.845800000181355e-14</v>
      </c>
      <c r="K7" s="13" t="n">
        <v>3.425883778069682e-16</v>
      </c>
    </row>
    <row r="8">
      <c r="A8" s="7" t="inlineStr">
        <is>
          <t>WPA</t>
        </is>
      </c>
      <c r="B8" s="7" t="inlineStr">
        <is>
          <t>M1</t>
        </is>
      </c>
      <c r="C8" s="7" t="inlineStr">
        <is>
          <t>Non-liquefied</t>
        </is>
      </c>
      <c r="D8" s="7" t="inlineStr">
        <is>
          <t>ASD1</t>
        </is>
      </c>
      <c r="E8" s="7" t="inlineStr">
        <is>
          <t>ASD</t>
        </is>
      </c>
      <c r="F8" s="7" t="n">
        <v>7</v>
      </c>
      <c r="G8" s="7" t="n">
        <v>2</v>
      </c>
      <c r="H8" s="13" t="n">
        <v>1117.6</v>
      </c>
      <c r="I8" s="13" t="n">
        <v>1.113103087159496e-13</v>
      </c>
      <c r="J8" s="13" t="n">
        <v>6.845800000181355e-14</v>
      </c>
      <c r="K8" s="13" t="n">
        <v>3.425883778069682e-16</v>
      </c>
    </row>
    <row r="9">
      <c r="A9" s="7" t="inlineStr">
        <is>
          <t>WPA</t>
        </is>
      </c>
      <c r="B9" s="7" t="inlineStr">
        <is>
          <t>M1</t>
        </is>
      </c>
      <c r="C9" s="7" t="inlineStr">
        <is>
          <t>Non-liquefied</t>
        </is>
      </c>
      <c r="D9" s="7" t="inlineStr">
        <is>
          <t>ASD1</t>
        </is>
      </c>
      <c r="E9" s="7" t="inlineStr">
        <is>
          <t>ASD</t>
        </is>
      </c>
      <c r="F9" s="7" t="n">
        <v>8</v>
      </c>
      <c r="G9" s="7" t="n">
        <v>2</v>
      </c>
      <c r="H9" s="13" t="n">
        <v>1117.6</v>
      </c>
      <c r="I9" s="13" t="n">
        <v>1.113103087159496e-13</v>
      </c>
      <c r="J9" s="13" t="n">
        <v>6.845800000181355e-14</v>
      </c>
      <c r="K9" s="13" t="n">
        <v>3.425883778069682e-16</v>
      </c>
    </row>
    <row r="10">
      <c r="A10" s="7" t="inlineStr">
        <is>
          <t>WPA</t>
        </is>
      </c>
      <c r="B10" s="7" t="inlineStr">
        <is>
          <t>M1</t>
        </is>
      </c>
      <c r="C10" s="7" t="inlineStr">
        <is>
          <t>Non-liquefied</t>
        </is>
      </c>
      <c r="D10" s="7" t="inlineStr">
        <is>
          <t>ASD2(max)</t>
        </is>
      </c>
      <c r="E10" s="7" t="inlineStr">
        <is>
          <t>ASD</t>
        </is>
      </c>
      <c r="F10" s="7" t="n">
        <v>1</v>
      </c>
      <c r="G10" s="7" t="n">
        <v>1</v>
      </c>
      <c r="H10" s="13" t="n">
        <v>7043.2</v>
      </c>
      <c r="I10" s="13" t="n">
        <v>430.7681634522217</v>
      </c>
      <c r="J10" s="13" t="n">
        <v>1.493552843022302</v>
      </c>
      <c r="K10" s="13" t="n">
        <v>1.933695110354525</v>
      </c>
    </row>
    <row r="11">
      <c r="A11" s="7" t="inlineStr">
        <is>
          <t>WPA</t>
        </is>
      </c>
      <c r="B11" s="7" t="inlineStr">
        <is>
          <t>M1</t>
        </is>
      </c>
      <c r="C11" s="7" t="inlineStr">
        <is>
          <t>Non-liquefied</t>
        </is>
      </c>
      <c r="D11" s="7" t="inlineStr">
        <is>
          <t>ASD2(max)</t>
        </is>
      </c>
      <c r="E11" s="7" t="inlineStr">
        <is>
          <t>ASD</t>
        </is>
      </c>
      <c r="F11" s="7" t="n">
        <v>2</v>
      </c>
      <c r="G11" s="7" t="n">
        <v>1</v>
      </c>
      <c r="H11" s="13" t="n">
        <v>5663.8</v>
      </c>
      <c r="I11" s="13" t="n">
        <v>431.6280955915636</v>
      </c>
      <c r="J11" s="13" t="n">
        <v>0.8346929014679592</v>
      </c>
      <c r="K11" s="13" t="n">
        <v>1.933696229038056</v>
      </c>
    </row>
    <row r="12">
      <c r="A12" s="7" t="inlineStr">
        <is>
          <t>WPA</t>
        </is>
      </c>
      <c r="B12" s="7" t="inlineStr">
        <is>
          <t>M1</t>
        </is>
      </c>
      <c r="C12" s="7" t="inlineStr">
        <is>
          <t>Non-liquefied</t>
        </is>
      </c>
      <c r="D12" s="7" t="inlineStr">
        <is>
          <t>ASD2(max)</t>
        </is>
      </c>
      <c r="E12" s="7" t="inlineStr">
        <is>
          <t>ASD</t>
        </is>
      </c>
      <c r="F12" s="7" t="n">
        <v>3</v>
      </c>
      <c r="G12" s="7" t="n">
        <v>1</v>
      </c>
      <c r="H12" s="13" t="n">
        <v>4284.3</v>
      </c>
      <c r="I12" s="13" t="n">
        <v>432.4780323484651</v>
      </c>
      <c r="J12" s="13" t="n">
        <v>0.1756045975437147</v>
      </c>
      <c r="K12" s="13" t="n">
        <v>1.933697377222196</v>
      </c>
    </row>
    <row r="13">
      <c r="A13" s="7" t="inlineStr">
        <is>
          <t>WPA</t>
        </is>
      </c>
      <c r="B13" s="7" t="inlineStr">
        <is>
          <t>M1</t>
        </is>
      </c>
      <c r="C13" s="7" t="inlineStr">
        <is>
          <t>Non-liquefied</t>
        </is>
      </c>
      <c r="D13" s="7" t="inlineStr">
        <is>
          <t>ASD2(max)</t>
        </is>
      </c>
      <c r="E13" s="7" t="inlineStr">
        <is>
          <t>ASD</t>
        </is>
      </c>
      <c r="F13" s="7" t="n">
        <v>4</v>
      </c>
      <c r="G13" s="7" t="n">
        <v>1</v>
      </c>
      <c r="H13" s="13" t="n">
        <v>2516.7</v>
      </c>
      <c r="I13" s="13" t="n">
        <v>433.5780675091857</v>
      </c>
      <c r="J13" s="13" t="n">
        <v>0.6694409489596524</v>
      </c>
      <c r="K13" s="13" t="n">
        <v>1.933698497497735</v>
      </c>
    </row>
    <row r="14">
      <c r="A14" s="7" t="inlineStr">
        <is>
          <t>WPA</t>
        </is>
      </c>
      <c r="B14" s="7" t="inlineStr">
        <is>
          <t>M1</t>
        </is>
      </c>
      <c r="C14" s="7" t="inlineStr">
        <is>
          <t>Non-liquefied</t>
        </is>
      </c>
      <c r="D14" s="7" t="inlineStr">
        <is>
          <t>ASD2(max)</t>
        </is>
      </c>
      <c r="E14" s="7" t="inlineStr">
        <is>
          <t>ASD</t>
        </is>
      </c>
      <c r="F14" s="7" t="n">
        <v>5</v>
      </c>
      <c r="G14" s="7" t="n">
        <v>2</v>
      </c>
      <c r="H14" s="13" t="n">
        <v>6892.7</v>
      </c>
      <c r="I14" s="13" t="n">
        <v>430.9181876888002</v>
      </c>
      <c r="J14" s="13" t="n">
        <v>1.45400339204006</v>
      </c>
      <c r="K14" s="13" t="n">
        <v>1.933595151475355</v>
      </c>
    </row>
    <row r="15">
      <c r="A15" s="7" t="inlineStr">
        <is>
          <t>WPA</t>
        </is>
      </c>
      <c r="B15" s="7" t="inlineStr">
        <is>
          <t>M1</t>
        </is>
      </c>
      <c r="C15" s="7" t="inlineStr">
        <is>
          <t>Non-liquefied</t>
        </is>
      </c>
      <c r="D15" s="7" t="inlineStr">
        <is>
          <t>ASD2(max)</t>
        </is>
      </c>
      <c r="E15" s="7" t="inlineStr">
        <is>
          <t>ASD</t>
        </is>
      </c>
      <c r="F15" s="7" t="n">
        <v>6</v>
      </c>
      <c r="G15" s="7" t="n">
        <v>2</v>
      </c>
      <c r="H15" s="13" t="n">
        <v>5513.2</v>
      </c>
      <c r="I15" s="13" t="n">
        <v>431.7781198729273</v>
      </c>
      <c r="J15" s="13" t="n">
        <v>0.7950457080721837</v>
      </c>
      <c r="K15" s="13" t="n">
        <v>1.933596270216717</v>
      </c>
    </row>
    <row r="16">
      <c r="A16" s="7" t="inlineStr">
        <is>
          <t>WPA</t>
        </is>
      </c>
      <c r="B16" s="7" t="inlineStr">
        <is>
          <t>M1</t>
        </is>
      </c>
      <c r="C16" s="7" t="inlineStr">
        <is>
          <t>Non-liquefied</t>
        </is>
      </c>
      <c r="D16" s="7" t="inlineStr">
        <is>
          <t>ASD2(max)</t>
        </is>
      </c>
      <c r="E16" s="7" t="inlineStr">
        <is>
          <t>ASD</t>
        </is>
      </c>
      <c r="F16" s="7" t="n">
        <v>7</v>
      </c>
      <c r="G16" s="7" t="n">
        <v>2</v>
      </c>
      <c r="H16" s="13" t="n">
        <v>4133.8</v>
      </c>
      <c r="I16" s="13" t="n">
        <v>432.628056673397</v>
      </c>
      <c r="J16" s="13" t="n">
        <v>0.1360023171758849</v>
      </c>
      <c r="K16" s="13" t="n">
        <v>1.933597418460213</v>
      </c>
    </row>
    <row r="17">
      <c r="A17" s="7" t="inlineStr">
        <is>
          <t>WPA</t>
        </is>
      </c>
      <c r="B17" s="7" t="inlineStr">
        <is>
          <t>M1</t>
        </is>
      </c>
      <c r="C17" s="7" t="inlineStr">
        <is>
          <t>Non-liquefied</t>
        </is>
      </c>
      <c r="D17" s="7" t="inlineStr">
        <is>
          <t>ASD2(max)</t>
        </is>
      </c>
      <c r="E17" s="7" t="inlineStr">
        <is>
          <t>ASD</t>
        </is>
      </c>
      <c r="F17" s="7" t="n">
        <v>8</v>
      </c>
      <c r="G17" s="7" t="n">
        <v>2</v>
      </c>
      <c r="H17" s="13" t="n">
        <v>2284.4</v>
      </c>
      <c r="I17" s="13" t="n">
        <v>433.7781000016022</v>
      </c>
      <c r="J17" s="13" t="n">
        <v>0.7481040803096852</v>
      </c>
      <c r="K17" s="13" t="n">
        <v>1.933598538793666</v>
      </c>
    </row>
    <row r="18">
      <c r="A18" s="7" t="inlineStr">
        <is>
          <t>WPA</t>
        </is>
      </c>
      <c r="B18" s="7" t="inlineStr">
        <is>
          <t>M1</t>
        </is>
      </c>
      <c r="C18" s="7" t="inlineStr">
        <is>
          <t>Non-liquefied</t>
        </is>
      </c>
      <c r="D18" s="7" t="inlineStr">
        <is>
          <t>ASD2(min)</t>
        </is>
      </c>
      <c r="E18" s="7" t="inlineStr">
        <is>
          <t>ASD</t>
        </is>
      </c>
      <c r="F18" s="7" t="n">
        <v>1</v>
      </c>
      <c r="G18" s="7" t="n">
        <v>1</v>
      </c>
      <c r="H18" s="13" t="n">
        <v>560.7</v>
      </c>
      <c r="I18" s="13" t="n">
        <v>361.16523343755</v>
      </c>
      <c r="J18" s="13" t="n">
        <v>0.7892308457282952</v>
      </c>
      <c r="K18" s="13" t="n">
        <v>1.599691476785446</v>
      </c>
    </row>
    <row r="19">
      <c r="A19" s="7" t="inlineStr">
        <is>
          <t>WPA</t>
        </is>
      </c>
      <c r="B19" s="7" t="inlineStr">
        <is>
          <t>M1</t>
        </is>
      </c>
      <c r="C19" s="7" t="inlineStr">
        <is>
          <t>Non-liquefied</t>
        </is>
      </c>
      <c r="D19" s="7" t="inlineStr">
        <is>
          <t>ASD2(min)</t>
        </is>
      </c>
      <c r="E19" s="7" t="inlineStr">
        <is>
          <t>ASD</t>
        </is>
      </c>
      <c r="F19" s="7" t="n">
        <v>2</v>
      </c>
      <c r="G19" s="7" t="n">
        <v>1</v>
      </c>
      <c r="H19" s="13" t="n">
        <v>2571.9</v>
      </c>
      <c r="I19" s="13" t="n">
        <v>360.1351486594998</v>
      </c>
      <c r="J19" s="13" t="n">
        <v>0.007949137977164568</v>
      </c>
      <c r="K19" s="13" t="n">
        <v>1.599690536323823</v>
      </c>
    </row>
    <row r="20">
      <c r="A20" s="7" t="inlineStr">
        <is>
          <t>WPA</t>
        </is>
      </c>
      <c r="B20" s="7" t="inlineStr">
        <is>
          <t>M1</t>
        </is>
      </c>
      <c r="C20" s="7" t="inlineStr">
        <is>
          <t>Non-liquefied</t>
        </is>
      </c>
      <c r="D20" s="7" t="inlineStr">
        <is>
          <t>ASD2(min)</t>
        </is>
      </c>
      <c r="E20" s="7" t="inlineStr">
        <is>
          <t>ASD</t>
        </is>
      </c>
      <c r="F20" s="7" t="n">
        <v>3</v>
      </c>
      <c r="G20" s="7" t="n">
        <v>1</v>
      </c>
      <c r="H20" s="13" t="n">
        <v>4083.5</v>
      </c>
      <c r="I20" s="13" t="n">
        <v>359.3551620347202</v>
      </c>
      <c r="J20" s="13" t="n">
        <v>0.6051595970328819</v>
      </c>
      <c r="K20" s="13" t="n">
        <v>1.599689567142638</v>
      </c>
    </row>
    <row r="21">
      <c r="A21" s="7" t="inlineStr">
        <is>
          <t>WPA</t>
        </is>
      </c>
      <c r="B21" s="7" t="inlineStr">
        <is>
          <t>M1</t>
        </is>
      </c>
      <c r="C21" s="7" t="inlineStr">
        <is>
          <t>Non-liquefied</t>
        </is>
      </c>
      <c r="D21" s="7" t="inlineStr">
        <is>
          <t>ASD2(min)</t>
        </is>
      </c>
      <c r="E21" s="7" t="inlineStr">
        <is>
          <t>ASD</t>
        </is>
      </c>
      <c r="F21" s="7" t="n">
        <v>4</v>
      </c>
      <c r="G21" s="7" t="n">
        <v>1</v>
      </c>
      <c r="H21" s="13" t="n">
        <v>5226.5</v>
      </c>
      <c r="I21" s="13" t="n">
        <v>358.7652406644211</v>
      </c>
      <c r="J21" s="13" t="n">
        <v>1.057297347445836</v>
      </c>
      <c r="K21" s="13" t="n">
        <v>1.599688627980145</v>
      </c>
    </row>
    <row r="22">
      <c r="A22" s="7" t="inlineStr">
        <is>
          <t>WPA</t>
        </is>
      </c>
      <c r="B22" s="7" t="inlineStr">
        <is>
          <t>M1</t>
        </is>
      </c>
      <c r="C22" s="7" t="inlineStr">
        <is>
          <t>Non-liquefied</t>
        </is>
      </c>
      <c r="D22" s="7" t="inlineStr">
        <is>
          <t>ASD2(min)</t>
        </is>
      </c>
      <c r="E22" s="7" t="inlineStr">
        <is>
          <t>ASD</t>
        </is>
      </c>
      <c r="F22" s="7" t="n">
        <v>5</v>
      </c>
      <c r="G22" s="7" t="n">
        <v>2</v>
      </c>
      <c r="H22" s="13" t="n">
        <v>795.5700000000001</v>
      </c>
      <c r="I22" s="13" t="n">
        <v>360.9952185625178</v>
      </c>
      <c r="J22" s="13" t="n">
        <v>0.722574986160606</v>
      </c>
      <c r="K22" s="13" t="n">
        <v>1.599791433562513</v>
      </c>
    </row>
    <row r="23">
      <c r="A23" s="7" t="inlineStr">
        <is>
          <t>WPA</t>
        </is>
      </c>
      <c r="B23" s="7" t="inlineStr">
        <is>
          <t>M1</t>
        </is>
      </c>
      <c r="C23" s="7" t="inlineStr">
        <is>
          <t>Non-liquefied</t>
        </is>
      </c>
      <c r="D23" s="7" t="inlineStr">
        <is>
          <t>ASD2(min)</t>
        </is>
      </c>
      <c r="E23" s="7" t="inlineStr">
        <is>
          <t>ASD</t>
        </is>
      </c>
      <c r="F23" s="7" t="n">
        <v>6</v>
      </c>
      <c r="G23" s="7" t="n">
        <v>2</v>
      </c>
      <c r="H23" s="13" t="n">
        <v>2768.8</v>
      </c>
      <c r="I23" s="13" t="n">
        <v>359.985125232974</v>
      </c>
      <c r="J23" s="13" t="n">
        <v>0.05859246695130697</v>
      </c>
      <c r="K23" s="13" t="n">
        <v>1.599790493159651</v>
      </c>
    </row>
    <row r="24">
      <c r="A24" s="7" t="inlineStr">
        <is>
          <t>WPA</t>
        </is>
      </c>
      <c r="B24" s="7" t="inlineStr">
        <is>
          <t>M1</t>
        </is>
      </c>
      <c r="C24" s="7" t="inlineStr">
        <is>
          <t>Non-liquefied</t>
        </is>
      </c>
      <c r="D24" s="7" t="inlineStr">
        <is>
          <t>ASD2(min)</t>
        </is>
      </c>
      <c r="E24" s="7" t="inlineStr">
        <is>
          <t>ASD</t>
        </is>
      </c>
      <c r="F24" s="7" t="n">
        <v>7</v>
      </c>
      <c r="G24" s="7" t="n">
        <v>2</v>
      </c>
      <c r="H24" s="13" t="n">
        <v>4211.2</v>
      </c>
      <c r="I24" s="13" t="n">
        <v>359.2451507661585</v>
      </c>
      <c r="J24" s="13" t="n">
        <v>0.6292966949547725</v>
      </c>
      <c r="K24" s="13" t="n">
        <v>1.599789524039022</v>
      </c>
    </row>
    <row r="25">
      <c r="A25" s="7" t="inlineStr">
        <is>
          <t>WPA</t>
        </is>
      </c>
      <c r="B25" s="7" t="inlineStr">
        <is>
          <t>M1</t>
        </is>
      </c>
      <c r="C25" s="7" t="inlineStr">
        <is>
          <t>Non-liquefied</t>
        </is>
      </c>
      <c r="D25" s="7" t="inlineStr">
        <is>
          <t>ASD2(min)</t>
        </is>
      </c>
      <c r="E25" s="7" t="inlineStr">
        <is>
          <t>ASD</t>
        </is>
      </c>
      <c r="F25" s="7" t="n">
        <v>8</v>
      </c>
      <c r="G25" s="7" t="n">
        <v>2</v>
      </c>
      <c r="H25" s="13" t="n">
        <v>5354.1</v>
      </c>
      <c r="I25" s="13" t="n">
        <v>358.6552588545161</v>
      </c>
      <c r="J25" s="13" t="n">
        <v>1.08143681564158</v>
      </c>
      <c r="K25" s="13" t="n">
        <v>1.599788584935209</v>
      </c>
    </row>
    <row r="26">
      <c r="A26" s="7" t="inlineStr">
        <is>
          <t>WPA</t>
        </is>
      </c>
      <c r="B26" s="7" t="inlineStr">
        <is>
          <t>M1</t>
        </is>
      </c>
      <c r="C26" s="7" t="inlineStr">
        <is>
          <t>Non-liquefied</t>
        </is>
      </c>
      <c r="D26" s="7" t="inlineStr">
        <is>
          <t>ASD3</t>
        </is>
      </c>
      <c r="E26" s="7" t="inlineStr">
        <is>
          <t>ASD</t>
        </is>
      </c>
      <c r="F26" s="7" t="n">
        <v>1</v>
      </c>
      <c r="G26" s="7" t="n">
        <v>1</v>
      </c>
      <c r="H26" s="13" t="n">
        <v>1020.8</v>
      </c>
      <c r="I26" s="13" t="n">
        <v>348.9342632932456</v>
      </c>
      <c r="J26" s="13" t="n">
        <v>216.793252007529</v>
      </c>
      <c r="K26" s="13" t="n">
        <v>1.167420530228932</v>
      </c>
    </row>
    <row r="27">
      <c r="A27" s="7" t="inlineStr">
        <is>
          <t>WPA</t>
        </is>
      </c>
      <c r="B27" s="7" t="inlineStr">
        <is>
          <t>M1</t>
        </is>
      </c>
      <c r="C27" s="7" t="inlineStr">
        <is>
          <t>Non-liquefied</t>
        </is>
      </c>
      <c r="D27" s="7" t="inlineStr">
        <is>
          <t>ASD3</t>
        </is>
      </c>
      <c r="E27" s="7" t="inlineStr">
        <is>
          <t>ASD</t>
        </is>
      </c>
      <c r="F27" s="7" t="n">
        <v>2</v>
      </c>
      <c r="G27" s="7" t="n">
        <v>1</v>
      </c>
      <c r="H27" s="13" t="n">
        <v>1198.1</v>
      </c>
      <c r="I27" s="13" t="n">
        <v>348.9437951877064</v>
      </c>
      <c r="J27" s="13" t="n">
        <v>216.7622184422368</v>
      </c>
      <c r="K27" s="13" t="n">
        <v>1.167420530228932</v>
      </c>
    </row>
    <row r="28">
      <c r="A28" s="7" t="inlineStr">
        <is>
          <t>WPA</t>
        </is>
      </c>
      <c r="B28" s="7" t="inlineStr">
        <is>
          <t>M1</t>
        </is>
      </c>
      <c r="C28" s="7" t="inlineStr">
        <is>
          <t>Non-liquefied</t>
        </is>
      </c>
      <c r="D28" s="7" t="inlineStr">
        <is>
          <t>ASD3</t>
        </is>
      </c>
      <c r="E28" s="7" t="inlineStr">
        <is>
          <t>ASD</t>
        </is>
      </c>
      <c r="F28" s="7" t="n">
        <v>3</v>
      </c>
      <c r="G28" s="7" t="n">
        <v>1</v>
      </c>
      <c r="H28" s="13" t="n">
        <v>1375.4</v>
      </c>
      <c r="I28" s="13" t="n">
        <v>348.9437951877064</v>
      </c>
      <c r="J28" s="13" t="n">
        <v>216.7311848811795</v>
      </c>
      <c r="K28" s="13" t="n">
        <v>1.167417865247915</v>
      </c>
    </row>
    <row r="29">
      <c r="A29" s="7" t="inlineStr">
        <is>
          <t>WPA</t>
        </is>
      </c>
      <c r="B29" s="7" t="inlineStr">
        <is>
          <t>M1</t>
        </is>
      </c>
      <c r="C29" s="7" t="inlineStr">
        <is>
          <t>Non-liquefied</t>
        </is>
      </c>
      <c r="D29" s="7" t="inlineStr">
        <is>
          <t>ASD3</t>
        </is>
      </c>
      <c r="E29" s="7" t="inlineStr">
        <is>
          <t>ASD</t>
        </is>
      </c>
      <c r="F29" s="7" t="n">
        <v>4</v>
      </c>
      <c r="G29" s="7" t="n">
        <v>1</v>
      </c>
      <c r="H29" s="13" t="n">
        <v>1552.8</v>
      </c>
      <c r="I29" s="13" t="n">
        <v>348.9407716217754</v>
      </c>
      <c r="J29" s="13" t="n">
        <v>216.7097295554586</v>
      </c>
      <c r="K29" s="13" t="n">
        <v>1.167417865247915</v>
      </c>
    </row>
    <row r="30">
      <c r="A30" s="7" t="inlineStr">
        <is>
          <t>WPA</t>
        </is>
      </c>
      <c r="B30" s="7" t="inlineStr">
        <is>
          <t>M1</t>
        </is>
      </c>
      <c r="C30" s="7" t="inlineStr">
        <is>
          <t>Non-liquefied</t>
        </is>
      </c>
      <c r="D30" s="7" t="inlineStr">
        <is>
          <t>ASD3</t>
        </is>
      </c>
      <c r="E30" s="7" t="inlineStr">
        <is>
          <t>ASD</t>
        </is>
      </c>
      <c r="F30" s="7" t="n">
        <v>5</v>
      </c>
      <c r="G30" s="7" t="n">
        <v>2</v>
      </c>
      <c r="H30" s="13" t="n">
        <v>948.35</v>
      </c>
      <c r="I30" s="13" t="n">
        <v>348.9342632932456</v>
      </c>
      <c r="J30" s="13" t="n">
        <v>216.8039796682708</v>
      </c>
      <c r="K30" s="13" t="n">
        <v>1.167420530228932</v>
      </c>
    </row>
    <row r="31">
      <c r="A31" s="7" t="inlineStr">
        <is>
          <t>WPA</t>
        </is>
      </c>
      <c r="B31" s="7" t="inlineStr">
        <is>
          <t>M1</t>
        </is>
      </c>
      <c r="C31" s="7" t="inlineStr">
        <is>
          <t>Non-liquefied</t>
        </is>
      </c>
      <c r="D31" s="7" t="inlineStr">
        <is>
          <t>ASD3</t>
        </is>
      </c>
      <c r="E31" s="7" t="inlineStr">
        <is>
          <t>ASD</t>
        </is>
      </c>
      <c r="F31" s="7" t="n">
        <v>6</v>
      </c>
      <c r="G31" s="7" t="n">
        <v>2</v>
      </c>
      <c r="H31" s="13" t="n">
        <v>1125.7</v>
      </c>
      <c r="I31" s="13" t="n">
        <v>348.9342632932456</v>
      </c>
      <c r="J31" s="13" t="n">
        <v>216.7825243510187</v>
      </c>
      <c r="K31" s="13" t="n">
        <v>1.167420530228932</v>
      </c>
    </row>
    <row r="32">
      <c r="A32" s="7" t="inlineStr">
        <is>
          <t>WPA</t>
        </is>
      </c>
      <c r="B32" s="7" t="inlineStr">
        <is>
          <t>M1</t>
        </is>
      </c>
      <c r="C32" s="7" t="inlineStr">
        <is>
          <t>Non-liquefied</t>
        </is>
      </c>
      <c r="D32" s="7" t="inlineStr">
        <is>
          <t>ASD3</t>
        </is>
      </c>
      <c r="E32" s="7" t="inlineStr">
        <is>
          <t>ASD</t>
        </is>
      </c>
      <c r="F32" s="7" t="n">
        <v>7</v>
      </c>
      <c r="G32" s="7" t="n">
        <v>2</v>
      </c>
      <c r="H32" s="13" t="n">
        <v>1303</v>
      </c>
      <c r="I32" s="13" t="n">
        <v>348.9437951877064</v>
      </c>
      <c r="J32" s="13" t="n">
        <v>216.7514907814938</v>
      </c>
      <c r="K32" s="13" t="n">
        <v>1.167417865247915</v>
      </c>
    </row>
    <row r="33">
      <c r="A33" s="7" t="inlineStr">
        <is>
          <t>WPA</t>
        </is>
      </c>
      <c r="B33" s="7" t="inlineStr">
        <is>
          <t>M1</t>
        </is>
      </c>
      <c r="C33" s="7" t="inlineStr">
        <is>
          <t>Non-liquefied</t>
        </is>
      </c>
      <c r="D33" s="7" t="inlineStr">
        <is>
          <t>ASD3</t>
        </is>
      </c>
      <c r="E33" s="7" t="inlineStr">
        <is>
          <t>ASD</t>
        </is>
      </c>
      <c r="F33" s="7" t="n">
        <v>8</v>
      </c>
      <c r="G33" s="7" t="n">
        <v>2</v>
      </c>
      <c r="H33" s="13" t="n">
        <v>1480.3</v>
      </c>
      <c r="I33" s="13" t="n">
        <v>348.9407716217754</v>
      </c>
      <c r="J33" s="13" t="n">
        <v>216.7204572162028</v>
      </c>
      <c r="K33" s="13" t="n">
        <v>1.167417865247915</v>
      </c>
    </row>
    <row r="34">
      <c r="A34" s="7" t="inlineStr">
        <is>
          <t>WPA</t>
        </is>
      </c>
      <c r="B34" s="7" t="inlineStr">
        <is>
          <t>M1</t>
        </is>
      </c>
      <c r="C34" s="7" t="inlineStr">
        <is>
          <t>Non-liquefied</t>
        </is>
      </c>
      <c r="D34" s="7" t="inlineStr">
        <is>
          <t>ASD4</t>
        </is>
      </c>
      <c r="E34" s="7" t="inlineStr">
        <is>
          <t>ASD</t>
        </is>
      </c>
      <c r="F34" s="7" t="n">
        <v>1</v>
      </c>
      <c r="G34" s="7" t="n">
        <v>1</v>
      </c>
      <c r="H34" s="13" t="n">
        <v>1291.4</v>
      </c>
      <c r="I34" s="13" t="n">
        <v>364.9855188908185</v>
      </c>
      <c r="J34" s="13" t="n">
        <v>216.7512034314919</v>
      </c>
      <c r="K34" s="13" t="n">
        <v>1.088340908217641</v>
      </c>
    </row>
    <row r="35">
      <c r="A35" s="7" t="inlineStr">
        <is>
          <t>WPA</t>
        </is>
      </c>
      <c r="B35" s="7" t="inlineStr">
        <is>
          <t>M1</t>
        </is>
      </c>
      <c r="C35" s="7" t="inlineStr">
        <is>
          <t>Non-liquefied</t>
        </is>
      </c>
      <c r="D35" s="7" t="inlineStr">
        <is>
          <t>ASD4</t>
        </is>
      </c>
      <c r="E35" s="7" t="inlineStr">
        <is>
          <t>ASD</t>
        </is>
      </c>
      <c r="F35" s="7" t="n">
        <v>2</v>
      </c>
      <c r="G35" s="7" t="n">
        <v>1</v>
      </c>
      <c r="H35" s="13" t="n">
        <v>1344.5</v>
      </c>
      <c r="I35" s="13" t="n">
        <v>364.9857918070236</v>
      </c>
      <c r="J35" s="13" t="n">
        <v>216.7503414068822</v>
      </c>
      <c r="K35" s="13" t="n">
        <v>1.088340908217641</v>
      </c>
    </row>
    <row r="36">
      <c r="A36" s="7" t="inlineStr">
        <is>
          <t>WPA</t>
        </is>
      </c>
      <c r="B36" s="7" t="inlineStr">
        <is>
          <t>M1</t>
        </is>
      </c>
      <c r="C36" s="7" t="inlineStr">
        <is>
          <t>Non-liquefied</t>
        </is>
      </c>
      <c r="D36" s="7" t="inlineStr">
        <is>
          <t>ASD4</t>
        </is>
      </c>
      <c r="E36" s="7" t="inlineStr">
        <is>
          <t>ASD</t>
        </is>
      </c>
      <c r="F36" s="7" t="n">
        <v>3</v>
      </c>
      <c r="G36" s="7" t="n">
        <v>1</v>
      </c>
      <c r="H36" s="13" t="n">
        <v>1397.7</v>
      </c>
      <c r="I36" s="13" t="n">
        <v>364.9857918070236</v>
      </c>
      <c r="J36" s="13" t="n">
        <v>216.7401884376776</v>
      </c>
      <c r="K36" s="13" t="n">
        <v>1.088340908217641</v>
      </c>
    </row>
    <row r="37">
      <c r="A37" s="7" t="inlineStr">
        <is>
          <t>WPA</t>
        </is>
      </c>
      <c r="B37" s="7" t="inlineStr">
        <is>
          <t>M1</t>
        </is>
      </c>
      <c r="C37" s="7" t="inlineStr">
        <is>
          <t>Non-liquefied</t>
        </is>
      </c>
      <c r="D37" s="7" t="inlineStr">
        <is>
          <t>ASD4</t>
        </is>
      </c>
      <c r="E37" s="7" t="inlineStr">
        <is>
          <t>ASD</t>
        </is>
      </c>
      <c r="F37" s="7" t="n">
        <v>4</v>
      </c>
      <c r="G37" s="7" t="n">
        <v>1</v>
      </c>
      <c r="H37" s="13" t="n">
        <v>1450.8</v>
      </c>
      <c r="I37" s="13" t="n">
        <v>364.9860647257645</v>
      </c>
      <c r="J37" s="13" t="n">
        <v>216.7297481311691</v>
      </c>
      <c r="K37" s="13" t="n">
        <v>1.088340908217641</v>
      </c>
    </row>
    <row r="38">
      <c r="A38" s="7" t="inlineStr">
        <is>
          <t>WPA</t>
        </is>
      </c>
      <c r="B38" s="7" t="inlineStr">
        <is>
          <t>M1</t>
        </is>
      </c>
      <c r="C38" s="7" t="inlineStr">
        <is>
          <t>Non-liquefied</t>
        </is>
      </c>
      <c r="D38" s="7" t="inlineStr">
        <is>
          <t>ASD4</t>
        </is>
      </c>
      <c r="E38" s="7" t="inlineStr">
        <is>
          <t>ASD</t>
        </is>
      </c>
      <c r="F38" s="7" t="n">
        <v>5</v>
      </c>
      <c r="G38" s="7" t="n">
        <v>2</v>
      </c>
      <c r="H38" s="13" t="n">
        <v>1050.3</v>
      </c>
      <c r="I38" s="13" t="n">
        <v>364.9844272513555</v>
      </c>
      <c r="J38" s="13" t="n">
        <v>216.7926773117579</v>
      </c>
      <c r="K38" s="13" t="n">
        <v>1.088340908217641</v>
      </c>
    </row>
    <row r="39">
      <c r="A39" s="7" t="inlineStr">
        <is>
          <t>WPA</t>
        </is>
      </c>
      <c r="B39" s="7" t="inlineStr">
        <is>
          <t>M1</t>
        </is>
      </c>
      <c r="C39" s="7" t="inlineStr">
        <is>
          <t>Non-liquefied</t>
        </is>
      </c>
      <c r="D39" s="7" t="inlineStr">
        <is>
          <t>ASD4</t>
        </is>
      </c>
      <c r="E39" s="7" t="inlineStr">
        <is>
          <t>ASD</t>
        </is>
      </c>
      <c r="F39" s="7" t="n">
        <v>6</v>
      </c>
      <c r="G39" s="7" t="n">
        <v>2</v>
      </c>
      <c r="H39" s="13" t="n">
        <v>1103.4</v>
      </c>
      <c r="I39" s="13" t="n">
        <v>364.9847001574175</v>
      </c>
      <c r="J39" s="13" t="n">
        <v>216.7822370052491</v>
      </c>
      <c r="K39" s="13" t="n">
        <v>1.088340908217641</v>
      </c>
    </row>
    <row r="40">
      <c r="A40" s="7" t="inlineStr">
        <is>
          <t>WPA</t>
        </is>
      </c>
      <c r="B40" s="7" t="inlineStr">
        <is>
          <t>M1</t>
        </is>
      </c>
      <c r="C40" s="7" t="inlineStr">
        <is>
          <t>Non-liquefied</t>
        </is>
      </c>
      <c r="D40" s="7" t="inlineStr">
        <is>
          <t>ASD4</t>
        </is>
      </c>
      <c r="E40" s="7" t="inlineStr">
        <is>
          <t>ASD</t>
        </is>
      </c>
      <c r="F40" s="7" t="n">
        <v>7</v>
      </c>
      <c r="G40" s="7" t="n">
        <v>2</v>
      </c>
      <c r="H40" s="13" t="n">
        <v>1156.6</v>
      </c>
      <c r="I40" s="13" t="n">
        <v>364.9847001574175</v>
      </c>
      <c r="J40" s="13" t="n">
        <v>216.7717966987403</v>
      </c>
      <c r="K40" s="13" t="n">
        <v>1.088340908217641</v>
      </c>
    </row>
    <row r="41">
      <c r="A41" s="7" t="inlineStr">
        <is>
          <t>WPA</t>
        </is>
      </c>
      <c r="B41" s="7" t="inlineStr">
        <is>
          <t>M1</t>
        </is>
      </c>
      <c r="C41" s="7" t="inlineStr">
        <is>
          <t>Non-liquefied</t>
        </is>
      </c>
      <c r="D41" s="7" t="inlineStr">
        <is>
          <t>ASD4</t>
        </is>
      </c>
      <c r="E41" s="7" t="inlineStr">
        <is>
          <t>ASD</t>
        </is>
      </c>
      <c r="F41" s="7" t="n">
        <v>8</v>
      </c>
      <c r="G41" s="7" t="n">
        <v>2</v>
      </c>
      <c r="H41" s="13" t="n">
        <v>1209.7</v>
      </c>
      <c r="I41" s="13" t="n">
        <v>364.9847001574175</v>
      </c>
      <c r="J41" s="13" t="n">
        <v>216.7712220198982</v>
      </c>
      <c r="K41" s="13" t="n">
        <v>1.088340908217641</v>
      </c>
    </row>
    <row r="42">
      <c r="A42" s="7" t="inlineStr">
        <is>
          <t>WPA</t>
        </is>
      </c>
      <c r="B42" s="7" t="inlineStr">
        <is>
          <t>M1</t>
        </is>
      </c>
      <c r="C42" s="7" t="inlineStr">
        <is>
          <t>Non-liquefied</t>
        </is>
      </c>
      <c r="D42" s="7" t="inlineStr">
        <is>
          <t>LRFD1</t>
        </is>
      </c>
      <c r="E42" s="7" t="inlineStr">
        <is>
          <t>LRFD</t>
        </is>
      </c>
      <c r="F42" s="7" t="n">
        <v>1</v>
      </c>
      <c r="G42" s="7" t="n">
        <v>1</v>
      </c>
      <c r="H42" s="13" t="n">
        <v>1564.6</v>
      </c>
      <c r="I42" s="13" t="n">
        <v>1.611259788476396e-13</v>
      </c>
      <c r="J42" s="13" t="n">
        <v>9.585700001012885e-14</v>
      </c>
      <c r="K42" s="13" t="n">
        <v>4.571152815165995e-16</v>
      </c>
    </row>
    <row r="43">
      <c r="A43" s="7" t="inlineStr">
        <is>
          <t>WPA</t>
        </is>
      </c>
      <c r="B43" s="7" t="inlineStr">
        <is>
          <t>M1</t>
        </is>
      </c>
      <c r="C43" s="7" t="inlineStr">
        <is>
          <t>Non-liquefied</t>
        </is>
      </c>
      <c r="D43" s="7" t="inlineStr">
        <is>
          <t>LRFD1</t>
        </is>
      </c>
      <c r="E43" s="7" t="inlineStr">
        <is>
          <t>LRFD</t>
        </is>
      </c>
      <c r="F43" s="7" t="n">
        <v>2</v>
      </c>
      <c r="G43" s="7" t="n">
        <v>1</v>
      </c>
      <c r="H43" s="13" t="n">
        <v>1564.6</v>
      </c>
      <c r="I43" s="13" t="n">
        <v>1.611259788476396e-13</v>
      </c>
      <c r="J43" s="13" t="n">
        <v>9.585700001012885e-14</v>
      </c>
      <c r="K43" s="13" t="n">
        <v>4.571152815165995e-16</v>
      </c>
    </row>
    <row r="44">
      <c r="A44" s="7" t="inlineStr">
        <is>
          <t>WPA</t>
        </is>
      </c>
      <c r="B44" s="7" t="inlineStr">
        <is>
          <t>M1</t>
        </is>
      </c>
      <c r="C44" s="7" t="inlineStr">
        <is>
          <t>Non-liquefied</t>
        </is>
      </c>
      <c r="D44" s="7" t="inlineStr">
        <is>
          <t>LRFD1</t>
        </is>
      </c>
      <c r="E44" s="7" t="inlineStr">
        <is>
          <t>LRFD</t>
        </is>
      </c>
      <c r="F44" s="7" t="n">
        <v>3</v>
      </c>
      <c r="G44" s="7" t="n">
        <v>1</v>
      </c>
      <c r="H44" s="13" t="n">
        <v>1564.6</v>
      </c>
      <c r="I44" s="13" t="n">
        <v>1.611259788476396e-13</v>
      </c>
      <c r="J44" s="13" t="n">
        <v>9.585700001012885e-14</v>
      </c>
      <c r="K44" s="13" t="n">
        <v>4.571152815165995e-16</v>
      </c>
    </row>
    <row r="45">
      <c r="A45" s="7" t="inlineStr">
        <is>
          <t>WPA</t>
        </is>
      </c>
      <c r="B45" s="7" t="inlineStr">
        <is>
          <t>M1</t>
        </is>
      </c>
      <c r="C45" s="7" t="inlineStr">
        <is>
          <t>Non-liquefied</t>
        </is>
      </c>
      <c r="D45" s="7" t="inlineStr">
        <is>
          <t>LRFD1</t>
        </is>
      </c>
      <c r="E45" s="7" t="inlineStr">
        <is>
          <t>LRFD</t>
        </is>
      </c>
      <c r="F45" s="7" t="n">
        <v>4</v>
      </c>
      <c r="G45" s="7" t="n">
        <v>1</v>
      </c>
      <c r="H45" s="13" t="n">
        <v>1564.6</v>
      </c>
      <c r="I45" s="13" t="n">
        <v>1.611259788476396e-13</v>
      </c>
      <c r="J45" s="13" t="n">
        <v>9.585700001012885e-14</v>
      </c>
      <c r="K45" s="13" t="n">
        <v>4.571152815165995e-16</v>
      </c>
    </row>
    <row r="46">
      <c r="A46" s="7" t="inlineStr">
        <is>
          <t>WPA</t>
        </is>
      </c>
      <c r="B46" s="7" t="inlineStr">
        <is>
          <t>M1</t>
        </is>
      </c>
      <c r="C46" s="7" t="inlineStr">
        <is>
          <t>Non-liquefied</t>
        </is>
      </c>
      <c r="D46" s="7" t="inlineStr">
        <is>
          <t>LRFD1</t>
        </is>
      </c>
      <c r="E46" s="7" t="inlineStr">
        <is>
          <t>LRFD</t>
        </is>
      </c>
      <c r="F46" s="7" t="n">
        <v>5</v>
      </c>
      <c r="G46" s="7" t="n">
        <v>2</v>
      </c>
      <c r="H46" s="13" t="n">
        <v>1564.6</v>
      </c>
      <c r="I46" s="13" t="n">
        <v>1.611259788476396e-13</v>
      </c>
      <c r="J46" s="13" t="n">
        <v>9.585700001012885e-14</v>
      </c>
      <c r="K46" s="13" t="n">
        <v>4.571152815165995e-16</v>
      </c>
    </row>
    <row r="47">
      <c r="A47" s="7" t="inlineStr">
        <is>
          <t>WPA</t>
        </is>
      </c>
      <c r="B47" s="7" t="inlineStr">
        <is>
          <t>M1</t>
        </is>
      </c>
      <c r="C47" s="7" t="inlineStr">
        <is>
          <t>Non-liquefied</t>
        </is>
      </c>
      <c r="D47" s="7" t="inlineStr">
        <is>
          <t>LRFD1</t>
        </is>
      </c>
      <c r="E47" s="7" t="inlineStr">
        <is>
          <t>LRFD</t>
        </is>
      </c>
      <c r="F47" s="7" t="n">
        <v>6</v>
      </c>
      <c r="G47" s="7" t="n">
        <v>2</v>
      </c>
      <c r="H47" s="13" t="n">
        <v>1564.6</v>
      </c>
      <c r="I47" s="13" t="n">
        <v>1.611259788476396e-13</v>
      </c>
      <c r="J47" s="13" t="n">
        <v>9.585700001012885e-14</v>
      </c>
      <c r="K47" s="13" t="n">
        <v>4.571152815165995e-16</v>
      </c>
    </row>
    <row r="48">
      <c r="A48" s="7" t="inlineStr">
        <is>
          <t>WPA</t>
        </is>
      </c>
      <c r="B48" s="7" t="inlineStr">
        <is>
          <t>M1</t>
        </is>
      </c>
      <c r="C48" s="7" t="inlineStr">
        <is>
          <t>Non-liquefied</t>
        </is>
      </c>
      <c r="D48" s="7" t="inlineStr">
        <is>
          <t>LRFD1</t>
        </is>
      </c>
      <c r="E48" s="7" t="inlineStr">
        <is>
          <t>LRFD</t>
        </is>
      </c>
      <c r="F48" s="7" t="n">
        <v>7</v>
      </c>
      <c r="G48" s="7" t="n">
        <v>2</v>
      </c>
      <c r="H48" s="13" t="n">
        <v>1564.6</v>
      </c>
      <c r="I48" s="13" t="n">
        <v>1.611259788476396e-13</v>
      </c>
      <c r="J48" s="13" t="n">
        <v>9.585700001012885e-14</v>
      </c>
      <c r="K48" s="13" t="n">
        <v>4.571152815165995e-16</v>
      </c>
    </row>
    <row r="49">
      <c r="A49" s="7" t="inlineStr">
        <is>
          <t>WPA</t>
        </is>
      </c>
      <c r="B49" s="7" t="inlineStr">
        <is>
          <t>M1</t>
        </is>
      </c>
      <c r="C49" s="7" t="inlineStr">
        <is>
          <t>Non-liquefied</t>
        </is>
      </c>
      <c r="D49" s="7" t="inlineStr">
        <is>
          <t>LRFD1</t>
        </is>
      </c>
      <c r="E49" s="7" t="inlineStr">
        <is>
          <t>LRFD</t>
        </is>
      </c>
      <c r="F49" s="7" t="n">
        <v>8</v>
      </c>
      <c r="G49" s="7" t="n">
        <v>2</v>
      </c>
      <c r="H49" s="13" t="n">
        <v>1564.6</v>
      </c>
      <c r="I49" s="13" t="n">
        <v>1.611259788476396e-13</v>
      </c>
      <c r="J49" s="13" t="n">
        <v>9.585700001012885e-14</v>
      </c>
      <c r="K49" s="13" t="n">
        <v>4.571152815165995e-16</v>
      </c>
    </row>
    <row r="50">
      <c r="A50" s="7" t="inlineStr">
        <is>
          <t>WPA</t>
        </is>
      </c>
      <c r="B50" s="7" t="inlineStr">
        <is>
          <t>M1</t>
        </is>
      </c>
      <c r="C50" s="7" t="inlineStr">
        <is>
          <t>Non-liquefied</t>
        </is>
      </c>
      <c r="D50" s="7" t="inlineStr">
        <is>
          <t>LRFD2(max)</t>
        </is>
      </c>
      <c r="E50" s="7" t="inlineStr">
        <is>
          <t>LRFD</t>
        </is>
      </c>
      <c r="F50" s="7" t="n">
        <v>1</v>
      </c>
      <c r="G50" s="7" t="n">
        <v>1</v>
      </c>
      <c r="H50" s="13" t="n">
        <v>7350.1</v>
      </c>
      <c r="I50" s="13" t="n">
        <v>604.6756542345657</v>
      </c>
      <c r="J50" s="13" t="n">
        <v>2.793780544352043</v>
      </c>
      <c r="K50" s="13" t="n">
        <v>2.743913110185707</v>
      </c>
    </row>
    <row r="51">
      <c r="A51" s="7" t="inlineStr">
        <is>
          <t>WPA</t>
        </is>
      </c>
      <c r="B51" s="7" t="inlineStr">
        <is>
          <t>M1</t>
        </is>
      </c>
      <c r="C51" s="7" t="inlineStr">
        <is>
          <t>Non-liquefied</t>
        </is>
      </c>
      <c r="D51" s="7" t="inlineStr">
        <is>
          <t>LRFD2(max)</t>
        </is>
      </c>
      <c r="E51" s="7" t="inlineStr">
        <is>
          <t>LRFD</t>
        </is>
      </c>
      <c r="F51" s="7" t="n">
        <v>2</v>
      </c>
      <c r="G51" s="7" t="n">
        <v>1</v>
      </c>
      <c r="H51" s="13" t="n">
        <v>5401.9</v>
      </c>
      <c r="I51" s="13" t="n">
        <v>606.3853176331036</v>
      </c>
      <c r="J51" s="13" t="n">
        <v>1.477700419599318</v>
      </c>
      <c r="K51" s="13" t="n">
        <v>2.743915720354581</v>
      </c>
    </row>
    <row r="52">
      <c r="A52" s="7" t="inlineStr">
        <is>
          <t>WPA</t>
        </is>
      </c>
      <c r="B52" s="7" t="inlineStr">
        <is>
          <t>M1</t>
        </is>
      </c>
      <c r="C52" s="7" t="inlineStr">
        <is>
          <t>Non-liquefied</t>
        </is>
      </c>
      <c r="D52" s="7" t="inlineStr">
        <is>
          <t>LRFD2(max)</t>
        </is>
      </c>
      <c r="E52" s="7" t="inlineStr">
        <is>
          <t>LRFD</t>
        </is>
      </c>
      <c r="F52" s="7" t="n">
        <v>3</v>
      </c>
      <c r="G52" s="7" t="n">
        <v>1</v>
      </c>
      <c r="H52" s="13" t="n">
        <v>3363.5</v>
      </c>
      <c r="I52" s="13" t="n">
        <v>608.1750079245282</v>
      </c>
      <c r="J52" s="13" t="n">
        <v>0.100702825676542</v>
      </c>
      <c r="K52" s="13" t="n">
        <v>2.743918306638155</v>
      </c>
    </row>
    <row r="53">
      <c r="A53" s="7" t="inlineStr">
        <is>
          <t>WPA</t>
        </is>
      </c>
      <c r="B53" s="7" t="inlineStr">
        <is>
          <t>M1</t>
        </is>
      </c>
      <c r="C53" s="7" t="inlineStr">
        <is>
          <t>Non-liquefied</t>
        </is>
      </c>
      <c r="D53" s="7" t="inlineStr">
        <is>
          <t>LRFD2(max)</t>
        </is>
      </c>
      <c r="E53" s="7" t="inlineStr">
        <is>
          <t>LRFD</t>
        </is>
      </c>
      <c r="F53" s="7" t="n">
        <v>4</v>
      </c>
      <c r="G53" s="7" t="n">
        <v>1</v>
      </c>
      <c r="H53" s="13" t="n">
        <v>6.7768</v>
      </c>
      <c r="I53" s="13" t="n">
        <v>611.1051488647432</v>
      </c>
      <c r="J53" s="13" t="n">
        <v>2.169314817783717</v>
      </c>
      <c r="K53" s="13" t="n">
        <v>2.743920923484494</v>
      </c>
    </row>
    <row r="54">
      <c r="A54" s="7" t="inlineStr">
        <is>
          <t>WPA</t>
        </is>
      </c>
      <c r="B54" s="7" t="inlineStr">
        <is>
          <t>M1</t>
        </is>
      </c>
      <c r="C54" s="7" t="inlineStr">
        <is>
          <t>Non-liquefied</t>
        </is>
      </c>
      <c r="D54" s="7" t="inlineStr">
        <is>
          <t>LRFD2(max)</t>
        </is>
      </c>
      <c r="E54" s="7" t="inlineStr">
        <is>
          <t>LRFD</t>
        </is>
      </c>
      <c r="F54" s="7" t="n">
        <v>5</v>
      </c>
      <c r="G54" s="7" t="n">
        <v>2</v>
      </c>
      <c r="H54" s="13" t="n">
        <v>7148.4</v>
      </c>
      <c r="I54" s="13" t="n">
        <v>604.9856478330705</v>
      </c>
      <c r="J54" s="13" t="n">
        <v>2.731580524165451</v>
      </c>
      <c r="K54" s="13" t="n">
        <v>2.743613220964099</v>
      </c>
    </row>
    <row r="55">
      <c r="A55" s="7" t="inlineStr">
        <is>
          <t>WPA</t>
        </is>
      </c>
      <c r="B55" s="7" t="inlineStr">
        <is>
          <t>M1</t>
        </is>
      </c>
      <c r="C55" s="7" t="inlineStr">
        <is>
          <t>Non-liquefied</t>
        </is>
      </c>
      <c r="D55" s="7" t="inlineStr">
        <is>
          <t>LRFD2(max)</t>
        </is>
      </c>
      <c r="E55" s="7" t="inlineStr">
        <is>
          <t>LRFD</t>
        </is>
      </c>
      <c r="F55" s="7" t="n">
        <v>6</v>
      </c>
      <c r="G55" s="7" t="n">
        <v>2</v>
      </c>
      <c r="H55" s="13" t="n">
        <v>5200.2</v>
      </c>
      <c r="I55" s="13" t="n">
        <v>606.6953387458981</v>
      </c>
      <c r="J55" s="13" t="n">
        <v>1.415606302608179</v>
      </c>
      <c r="K55" s="13" t="n">
        <v>2.743615831418276</v>
      </c>
    </row>
    <row r="56">
      <c r="A56" s="7" t="inlineStr">
        <is>
          <t>WPA</t>
        </is>
      </c>
      <c r="B56" s="7" t="inlineStr">
        <is>
          <t>M1</t>
        </is>
      </c>
      <c r="C56" s="7" t="inlineStr">
        <is>
          <t>Non-liquefied</t>
        </is>
      </c>
      <c r="D56" s="7" t="inlineStr">
        <is>
          <t>LRFD2(max)</t>
        </is>
      </c>
      <c r="E56" s="7" t="inlineStr">
        <is>
          <t>LRFD</t>
        </is>
      </c>
      <c r="F56" s="7" t="n">
        <v>7</v>
      </c>
      <c r="G56" s="7" t="n">
        <v>2</v>
      </c>
      <c r="H56" s="13" t="n">
        <v>3052.4</v>
      </c>
      <c r="I56" s="13" t="n">
        <v>608.5750775376856</v>
      </c>
      <c r="J56" s="13" t="n">
        <v>0.03745698157887258</v>
      </c>
      <c r="K56" s="13" t="n">
        <v>2.743618417984542</v>
      </c>
    </row>
    <row r="57">
      <c r="A57" s="7" t="inlineStr">
        <is>
          <t>WPA</t>
        </is>
      </c>
      <c r="B57" s="7" t="inlineStr">
        <is>
          <t>M1</t>
        </is>
      </c>
      <c r="C57" s="7" t="inlineStr">
        <is>
          <t>Non-liquefied</t>
        </is>
      </c>
      <c r="D57" s="7" t="inlineStr">
        <is>
          <t>LRFD2(max)</t>
        </is>
      </c>
      <c r="E57" s="7" t="inlineStr">
        <is>
          <t>LRFD</t>
        </is>
      </c>
      <c r="F57" s="7" t="n">
        <v>8</v>
      </c>
      <c r="G57" s="7" t="n">
        <v>2</v>
      </c>
      <c r="H57" s="13" t="n">
        <v>-378.61</v>
      </c>
      <c r="I57" s="13" t="n">
        <v>611.5752199983253</v>
      </c>
      <c r="J57" s="13" t="n">
        <v>2.355553738415025</v>
      </c>
      <c r="K57" s="13" t="n">
        <v>2.743621035116913</v>
      </c>
    </row>
    <row r="58">
      <c r="A58" s="7" t="inlineStr">
        <is>
          <t>WPA</t>
        </is>
      </c>
      <c r="B58" s="7" t="inlineStr">
        <is>
          <t>M1</t>
        </is>
      </c>
      <c r="C58" s="7" t="inlineStr">
        <is>
          <t>Non-liquefied</t>
        </is>
      </c>
      <c r="D58" s="7" t="inlineStr">
        <is>
          <t>LRFD2(min)</t>
        </is>
      </c>
      <c r="E58" s="7" t="inlineStr">
        <is>
          <t>LRFD</t>
        </is>
      </c>
      <c r="F58" s="7" t="n">
        <v>1</v>
      </c>
      <c r="G58" s="7" t="n">
        <v>1</v>
      </c>
      <c r="H58" s="13" t="n">
        <v>-2727.7</v>
      </c>
      <c r="I58" s="13" t="n">
        <v>499.2633879987596</v>
      </c>
      <c r="J58" s="13" t="n">
        <v>2.042196499086462</v>
      </c>
      <c r="K58" s="13" t="n">
        <v>2.191032827067865</v>
      </c>
    </row>
    <row r="59">
      <c r="A59" s="7" t="inlineStr">
        <is>
          <t>WPA</t>
        </is>
      </c>
      <c r="B59" s="7" t="inlineStr">
        <is>
          <t>M1</t>
        </is>
      </c>
      <c r="C59" s="7" t="inlineStr">
        <is>
          <t>Non-liquefied</t>
        </is>
      </c>
      <c r="D59" s="7" t="inlineStr">
        <is>
          <t>LRFD2(min)</t>
        </is>
      </c>
      <c r="E59" s="7" t="inlineStr">
        <is>
          <t>LRFD</t>
        </is>
      </c>
      <c r="F59" s="7" t="n">
        <v>2</v>
      </c>
      <c r="G59" s="7" t="n">
        <v>1</v>
      </c>
      <c r="H59" s="13" t="n">
        <v>56.378</v>
      </c>
      <c r="I59" s="13" t="n">
        <v>497.3132607321064</v>
      </c>
      <c r="J59" s="13" t="n">
        <v>0.5302647679122194</v>
      </c>
      <c r="K59" s="13" t="n">
        <v>2.191030740450941</v>
      </c>
    </row>
    <row r="60">
      <c r="A60" s="7" t="inlineStr">
        <is>
          <t>WPA</t>
        </is>
      </c>
      <c r="B60" s="7" t="inlineStr">
        <is>
          <t>M1</t>
        </is>
      </c>
      <c r="C60" s="7" t="inlineStr">
        <is>
          <t>Non-liquefied</t>
        </is>
      </c>
      <c r="D60" s="7" t="inlineStr">
        <is>
          <t>LRFD2(min)</t>
        </is>
      </c>
      <c r="E60" s="7" t="inlineStr">
        <is>
          <t>LRFD</t>
        </is>
      </c>
      <c r="F60" s="7" t="n">
        <v>3</v>
      </c>
      <c r="G60" s="7" t="n">
        <v>1</v>
      </c>
      <c r="H60" s="13" t="n">
        <v>2817.1</v>
      </c>
      <c r="I60" s="13" t="n">
        <v>495.3730994159856</v>
      </c>
      <c r="J60" s="13" t="n">
        <v>0.9678785500753697</v>
      </c>
      <c r="K60" s="13" t="n">
        <v>2.19102862530365</v>
      </c>
    </row>
    <row r="61">
      <c r="A61" s="7" t="inlineStr">
        <is>
          <t>WPA</t>
        </is>
      </c>
      <c r="B61" s="7" t="inlineStr">
        <is>
          <t>M1</t>
        </is>
      </c>
      <c r="C61" s="7" t="inlineStr">
        <is>
          <t>Non-liquefied</t>
        </is>
      </c>
      <c r="D61" s="7" t="inlineStr">
        <is>
          <t>LRFD2(min)</t>
        </is>
      </c>
      <c r="E61" s="7" t="inlineStr">
        <is>
          <t>LRFD</t>
        </is>
      </c>
      <c r="F61" s="7" t="n">
        <v>4</v>
      </c>
      <c r="G61" s="7" t="n">
        <v>1</v>
      </c>
      <c r="H61" s="13" t="n">
        <v>4667.6</v>
      </c>
      <c r="I61" s="13" t="n">
        <v>494.0632871009543</v>
      </c>
      <c r="J61" s="13" t="n">
        <v>1.971795351703873</v>
      </c>
      <c r="K61" s="13" t="n">
        <v>2.191026542934613</v>
      </c>
    </row>
    <row r="62">
      <c r="A62" s="7" t="inlineStr">
        <is>
          <t>WPA</t>
        </is>
      </c>
      <c r="B62" s="7" t="inlineStr">
        <is>
          <t>M1</t>
        </is>
      </c>
      <c r="C62" s="7" t="inlineStr">
        <is>
          <t>Non-liquefied</t>
        </is>
      </c>
      <c r="D62" s="7" t="inlineStr">
        <is>
          <t>LRFD2(min)</t>
        </is>
      </c>
      <c r="E62" s="7" t="inlineStr">
        <is>
          <t>LRFD</t>
        </is>
      </c>
      <c r="F62" s="7" t="n">
        <v>5</v>
      </c>
      <c r="G62" s="7" t="n">
        <v>2</v>
      </c>
      <c r="H62" s="13" t="n">
        <v>-2439.8</v>
      </c>
      <c r="I62" s="13" t="n">
        <v>498.9733401335185</v>
      </c>
      <c r="J62" s="13" t="n">
        <v>1.942083394794363</v>
      </c>
      <c r="K62" s="13" t="n">
        <v>2.191332685670754</v>
      </c>
    </row>
    <row r="63">
      <c r="A63" s="7" t="inlineStr">
        <is>
          <t>WPA</t>
        </is>
      </c>
      <c r="B63" s="7" t="inlineStr">
        <is>
          <t>M1</t>
        </is>
      </c>
      <c r="C63" s="7" t="inlineStr">
        <is>
          <t>Non-liquefied</t>
        </is>
      </c>
      <c r="D63" s="7" t="inlineStr">
        <is>
          <t>LRFD2(min)</t>
        </is>
      </c>
      <c r="E63" s="7" t="inlineStr">
        <is>
          <t>LRFD</t>
        </is>
      </c>
      <c r="F63" s="7" t="n">
        <v>6</v>
      </c>
      <c r="G63" s="7" t="n">
        <v>2</v>
      </c>
      <c r="H63" s="13" t="n">
        <v>405.74</v>
      </c>
      <c r="I63" s="13" t="n">
        <v>496.9731752157253</v>
      </c>
      <c r="J63" s="13" t="n">
        <v>0.3969385616389519</v>
      </c>
      <c r="K63" s="13" t="n">
        <v>2.19133059933936</v>
      </c>
    </row>
    <row r="64">
      <c r="A64" s="7" t="inlineStr">
        <is>
          <t>WPA</t>
        </is>
      </c>
      <c r="B64" s="7" t="inlineStr">
        <is>
          <t>M1</t>
        </is>
      </c>
      <c r="C64" s="7" t="inlineStr">
        <is>
          <t>Non-liquefied</t>
        </is>
      </c>
      <c r="D64" s="7" t="inlineStr">
        <is>
          <t>LRFD2(min)</t>
        </is>
      </c>
      <c r="E64" s="7" t="inlineStr">
        <is>
          <t>LRFD</t>
        </is>
      </c>
      <c r="F64" s="7" t="n">
        <v>7</v>
      </c>
      <c r="G64" s="7" t="n">
        <v>2</v>
      </c>
      <c r="H64" s="13" t="n">
        <v>3099</v>
      </c>
      <c r="I64" s="13" t="n">
        <v>495.0730565492329</v>
      </c>
      <c r="J64" s="13" t="n">
        <v>1.064686685481226</v>
      </c>
      <c r="K64" s="13" t="n">
        <v>2.191328484481503</v>
      </c>
    </row>
    <row r="65">
      <c r="A65" s="7" t="inlineStr">
        <is>
          <t>WPA</t>
        </is>
      </c>
      <c r="B65" s="7" t="inlineStr">
        <is>
          <t>M1</t>
        </is>
      </c>
      <c r="C65" s="7" t="inlineStr">
        <is>
          <t>Non-liquefied</t>
        </is>
      </c>
      <c r="D65" s="7" t="inlineStr">
        <is>
          <t>LRFD2(min)</t>
        </is>
      </c>
      <c r="E65" s="7" t="inlineStr">
        <is>
          <t>LRFD</t>
        </is>
      </c>
      <c r="F65" s="7" t="n">
        <v>8</v>
      </c>
      <c r="G65" s="7" t="n">
        <v>2</v>
      </c>
      <c r="H65" s="13" t="n">
        <v>4850.4</v>
      </c>
      <c r="I65" s="13" t="n">
        <v>493.8432680810785</v>
      </c>
      <c r="J65" s="13" t="n">
        <v>2.014784600775974</v>
      </c>
      <c r="K65" s="13" t="n">
        <v>2.191326402397415</v>
      </c>
    </row>
    <row r="66">
      <c r="A66" s="7" t="inlineStr">
        <is>
          <t>WPA</t>
        </is>
      </c>
      <c r="B66" s="7" t="inlineStr">
        <is>
          <t>M1</t>
        </is>
      </c>
      <c r="C66" s="7" t="inlineStr">
        <is>
          <t>Non-liquefied</t>
        </is>
      </c>
      <c r="D66" s="7" t="inlineStr">
        <is>
          <t>LRFD3</t>
        </is>
      </c>
      <c r="E66" s="7" t="inlineStr">
        <is>
          <t>LRFD</t>
        </is>
      </c>
      <c r="F66" s="7" t="n">
        <v>1</v>
      </c>
      <c r="G66" s="7" t="n">
        <v>1</v>
      </c>
      <c r="H66" s="13" t="n">
        <v>1196.9</v>
      </c>
      <c r="I66" s="13" t="n">
        <v>511.6328740415338</v>
      </c>
      <c r="J66" s="13" t="n">
        <v>309.7743344258849</v>
      </c>
      <c r="K66" s="13" t="n">
        <v>1.730142283281927</v>
      </c>
    </row>
    <row r="67">
      <c r="A67" s="7" t="inlineStr">
        <is>
          <t>WPA</t>
        </is>
      </c>
      <c r="B67" s="7" t="inlineStr">
        <is>
          <t>M1</t>
        </is>
      </c>
      <c r="C67" s="7" t="inlineStr">
        <is>
          <t>Non-liquefied</t>
        </is>
      </c>
      <c r="D67" s="7" t="inlineStr">
        <is>
          <t>LRFD3</t>
        </is>
      </c>
      <c r="E67" s="7" t="inlineStr">
        <is>
          <t>LRFD</t>
        </is>
      </c>
      <c r="F67" s="7" t="n">
        <v>2</v>
      </c>
      <c r="G67" s="7" t="n">
        <v>1</v>
      </c>
      <c r="H67" s="13" t="n">
        <v>1454.3</v>
      </c>
      <c r="I67" s="13" t="n">
        <v>511.6424076442452</v>
      </c>
      <c r="J67" s="13" t="n">
        <v>309.7021143373096</v>
      </c>
      <c r="K67" s="13" t="n">
        <v>1.730142283281927</v>
      </c>
    </row>
    <row r="68">
      <c r="A68" s="7" t="inlineStr">
        <is>
          <t>WPA</t>
        </is>
      </c>
      <c r="B68" s="7" t="inlineStr">
        <is>
          <t>M1</t>
        </is>
      </c>
      <c r="C68" s="7" t="inlineStr">
        <is>
          <t>Non-liquefied</t>
        </is>
      </c>
      <c r="D68" s="7" t="inlineStr">
        <is>
          <t>LRFD3</t>
        </is>
      </c>
      <c r="E68" s="7" t="inlineStr">
        <is>
          <t>LRFD</t>
        </is>
      </c>
      <c r="F68" s="7" t="n">
        <v>3</v>
      </c>
      <c r="G68" s="7" t="n">
        <v>1</v>
      </c>
      <c r="H68" s="13" t="n">
        <v>1711.6</v>
      </c>
      <c r="I68" s="13" t="n">
        <v>511.6519412647626</v>
      </c>
      <c r="J68" s="13" t="n">
        <v>309.6397598565146</v>
      </c>
      <c r="K68" s="13" t="n">
        <v>1.73013961890363</v>
      </c>
    </row>
    <row r="69">
      <c r="A69" s="7" t="inlineStr">
        <is>
          <t>WPA</t>
        </is>
      </c>
      <c r="B69" s="7" t="inlineStr">
        <is>
          <t>M1</t>
        </is>
      </c>
      <c r="C69" s="7" t="inlineStr">
        <is>
          <t>Non-liquefied</t>
        </is>
      </c>
      <c r="D69" s="7" t="inlineStr">
        <is>
          <t>LRFD3</t>
        </is>
      </c>
      <c r="E69" s="7" t="inlineStr">
        <is>
          <t>LRFD</t>
        </is>
      </c>
      <c r="F69" s="7" t="n">
        <v>4</v>
      </c>
      <c r="G69" s="7" t="n">
        <v>1</v>
      </c>
      <c r="H69" s="13" t="n">
        <v>1969</v>
      </c>
      <c r="I69" s="13" t="n">
        <v>511.6614749030848</v>
      </c>
      <c r="J69" s="13" t="n">
        <v>309.5774053786872</v>
      </c>
      <c r="K69" s="13" t="n">
        <v>1.73013961890363</v>
      </c>
    </row>
    <row r="70">
      <c r="A70" s="7" t="inlineStr">
        <is>
          <t>WPA</t>
        </is>
      </c>
      <c r="B70" s="7" t="inlineStr">
        <is>
          <t>M1</t>
        </is>
      </c>
      <c r="C70" s="7" t="inlineStr">
        <is>
          <t>Non-liquefied</t>
        </is>
      </c>
      <c r="D70" s="7" t="inlineStr">
        <is>
          <t>LRFD3</t>
        </is>
      </c>
      <c r="E70" s="7" t="inlineStr">
        <is>
          <t>LRFD</t>
        </is>
      </c>
      <c r="F70" s="7" t="n">
        <v>5</v>
      </c>
      <c r="G70" s="7" t="n">
        <v>2</v>
      </c>
      <c r="H70" s="13" t="n">
        <v>1091.9</v>
      </c>
      <c r="I70" s="13" t="n">
        <v>511.6328740415338</v>
      </c>
      <c r="J70" s="13" t="n">
        <v>309.7952150389028</v>
      </c>
      <c r="K70" s="13" t="n">
        <v>1.730045898350677</v>
      </c>
    </row>
    <row r="71">
      <c r="A71" s="7" t="inlineStr">
        <is>
          <t>WPA</t>
        </is>
      </c>
      <c r="B71" s="7" t="inlineStr">
        <is>
          <t>M1</t>
        </is>
      </c>
      <c r="C71" s="7" t="inlineStr">
        <is>
          <t>Non-liquefied</t>
        </is>
      </c>
      <c r="D71" s="7" t="inlineStr">
        <is>
          <t>LRFD3</t>
        </is>
      </c>
      <c r="E71" s="7" t="inlineStr">
        <is>
          <t>LRFD</t>
        </is>
      </c>
      <c r="F71" s="7" t="n">
        <v>6</v>
      </c>
      <c r="G71" s="7" t="n">
        <v>2</v>
      </c>
      <c r="H71" s="13" t="n">
        <v>1349.3</v>
      </c>
      <c r="I71" s="13" t="n">
        <v>511.6328740415338</v>
      </c>
      <c r="J71" s="13" t="n">
        <v>309.7328605492159</v>
      </c>
      <c r="K71" s="13" t="n">
        <v>1.730045898350677</v>
      </c>
    </row>
    <row r="72">
      <c r="A72" s="7" t="inlineStr">
        <is>
          <t>WPA</t>
        </is>
      </c>
      <c r="B72" s="7" t="inlineStr">
        <is>
          <t>M1</t>
        </is>
      </c>
      <c r="C72" s="7" t="inlineStr">
        <is>
          <t>Non-liquefied</t>
        </is>
      </c>
      <c r="D72" s="7" t="inlineStr">
        <is>
          <t>LRFD3</t>
        </is>
      </c>
      <c r="E72" s="7" t="inlineStr">
        <is>
          <t>LRFD</t>
        </is>
      </c>
      <c r="F72" s="7" t="n">
        <v>7</v>
      </c>
      <c r="G72" s="7" t="n">
        <v>2</v>
      </c>
      <c r="H72" s="13" t="n">
        <v>1606.6</v>
      </c>
      <c r="I72" s="13" t="n">
        <v>511.6424076442452</v>
      </c>
      <c r="J72" s="13" t="n">
        <v>309.6609278307484</v>
      </c>
      <c r="K72" s="13" t="n">
        <v>1.730043233823941</v>
      </c>
    </row>
    <row r="73">
      <c r="A73" s="7" t="inlineStr">
        <is>
          <t>WPA</t>
        </is>
      </c>
      <c r="B73" s="7" t="inlineStr">
        <is>
          <t>M1</t>
        </is>
      </c>
      <c r="C73" s="7" t="inlineStr">
        <is>
          <t>Non-liquefied</t>
        </is>
      </c>
      <c r="D73" s="7" t="inlineStr">
        <is>
          <t>LRFD3</t>
        </is>
      </c>
      <c r="E73" s="7" t="inlineStr">
        <is>
          <t>LRFD</t>
        </is>
      </c>
      <c r="F73" s="7" t="n">
        <v>8</v>
      </c>
      <c r="G73" s="7" t="n">
        <v>2</v>
      </c>
      <c r="H73" s="13" t="n">
        <v>1864</v>
      </c>
      <c r="I73" s="13" t="n">
        <v>511.6519412647626</v>
      </c>
      <c r="J73" s="13" t="n">
        <v>309.5982859917025</v>
      </c>
      <c r="K73" s="13" t="n">
        <v>1.730043233823941</v>
      </c>
    </row>
    <row r="74">
      <c r="A74" s="7" t="inlineStr">
        <is>
          <t>WPA</t>
        </is>
      </c>
      <c r="B74" s="7" t="inlineStr">
        <is>
          <t>M1</t>
        </is>
      </c>
      <c r="C74" s="7" t="inlineStr">
        <is>
          <t>Non-liquefied</t>
        </is>
      </c>
      <c r="D74" s="7" t="inlineStr">
        <is>
          <t>LRFD4</t>
        </is>
      </c>
      <c r="E74" s="7" t="inlineStr">
        <is>
          <t>LRFD</t>
        </is>
      </c>
      <c r="F74" s="7" t="n">
        <v>1</v>
      </c>
      <c r="G74" s="7" t="n">
        <v>1</v>
      </c>
      <c r="H74" s="13" t="n">
        <v>1589.5</v>
      </c>
      <c r="I74" s="13" t="n">
        <v>533.26307850816</v>
      </c>
      <c r="J74" s="13" t="n">
        <v>309.6797969774586</v>
      </c>
      <c r="K74" s="13" t="n">
        <v>1.607355721799005</v>
      </c>
    </row>
    <row r="75">
      <c r="A75" s="7" t="inlineStr">
        <is>
          <t>WPA</t>
        </is>
      </c>
      <c r="B75" s="7" t="inlineStr">
        <is>
          <t>M1</t>
        </is>
      </c>
      <c r="C75" s="7" t="inlineStr">
        <is>
          <t>Non-liquefied</t>
        </is>
      </c>
      <c r="D75" s="7" t="inlineStr">
        <is>
          <t>LRFD4</t>
        </is>
      </c>
      <c r="E75" s="7" t="inlineStr">
        <is>
          <t>LRFD</t>
        </is>
      </c>
      <c r="F75" s="7" t="n">
        <v>2</v>
      </c>
      <c r="G75" s="7" t="n">
        <v>1</v>
      </c>
      <c r="H75" s="13" t="n">
        <v>1666.6</v>
      </c>
      <c r="I75" s="13" t="n">
        <v>533.26307850816</v>
      </c>
      <c r="J75" s="13" t="n">
        <v>309.6592037078827</v>
      </c>
      <c r="K75" s="13" t="n">
        <v>1.607355721799005</v>
      </c>
    </row>
    <row r="76">
      <c r="A76" s="7" t="inlineStr">
        <is>
          <t>WPA</t>
        </is>
      </c>
      <c r="B76" s="7" t="inlineStr">
        <is>
          <t>M1</t>
        </is>
      </c>
      <c r="C76" s="7" t="inlineStr">
        <is>
          <t>Non-liquefied</t>
        </is>
      </c>
      <c r="D76" s="7" t="inlineStr">
        <is>
          <t>LRFD4</t>
        </is>
      </c>
      <c r="E76" s="7" t="inlineStr">
        <is>
          <t>LRFD</t>
        </is>
      </c>
      <c r="F76" s="7" t="n">
        <v>3</v>
      </c>
      <c r="G76" s="7" t="n">
        <v>1</v>
      </c>
      <c r="H76" s="13" t="n">
        <v>1743.6</v>
      </c>
      <c r="I76" s="13" t="n">
        <v>533.26307850816</v>
      </c>
      <c r="J76" s="13" t="n">
        <v>309.6479013799383</v>
      </c>
      <c r="K76" s="13" t="n">
        <v>1.607355721799005</v>
      </c>
    </row>
    <row r="77">
      <c r="A77" s="7" t="inlineStr">
        <is>
          <t>WPA</t>
        </is>
      </c>
      <c r="B77" s="7" t="inlineStr">
        <is>
          <t>M1</t>
        </is>
      </c>
      <c r="C77" s="7" t="inlineStr">
        <is>
          <t>Non-liquefied</t>
        </is>
      </c>
      <c r="D77" s="7" t="inlineStr">
        <is>
          <t>LRFD4</t>
        </is>
      </c>
      <c r="E77" s="7" t="inlineStr">
        <is>
          <t>LRFD</t>
        </is>
      </c>
      <c r="F77" s="7" t="n">
        <v>4</v>
      </c>
      <c r="G77" s="7" t="n">
        <v>1</v>
      </c>
      <c r="H77" s="13" t="n">
        <v>1820.6</v>
      </c>
      <c r="I77" s="13" t="n">
        <v>533.26307850816</v>
      </c>
      <c r="J77" s="13" t="n">
        <v>309.6270207669221</v>
      </c>
      <c r="K77" s="13" t="n">
        <v>1.607355721799005</v>
      </c>
    </row>
    <row r="78">
      <c r="A78" s="7" t="inlineStr">
        <is>
          <t>WPA</t>
        </is>
      </c>
      <c r="B78" s="7" t="inlineStr">
        <is>
          <t>M1</t>
        </is>
      </c>
      <c r="C78" s="7" t="inlineStr">
        <is>
          <t>Non-liquefied</t>
        </is>
      </c>
      <c r="D78" s="7" t="inlineStr">
        <is>
          <t>LRFD4</t>
        </is>
      </c>
      <c r="E78" s="7" t="inlineStr">
        <is>
          <t>LRFD</t>
        </is>
      </c>
      <c r="F78" s="7" t="n">
        <v>5</v>
      </c>
      <c r="G78" s="7" t="n">
        <v>2</v>
      </c>
      <c r="H78" s="13" t="n">
        <v>1240.3</v>
      </c>
      <c r="I78" s="13" t="n">
        <v>533.2603448598068</v>
      </c>
      <c r="J78" s="13" t="n">
        <v>309.763032089047</v>
      </c>
      <c r="K78" s="13" t="n">
        <v>1.607352626183813</v>
      </c>
    </row>
    <row r="79">
      <c r="A79" s="7" t="inlineStr">
        <is>
          <t>WPA</t>
        </is>
      </c>
      <c r="B79" s="7" t="inlineStr">
        <is>
          <t>M1</t>
        </is>
      </c>
      <c r="C79" s="7" t="inlineStr">
        <is>
          <t>Non-liquefied</t>
        </is>
      </c>
      <c r="D79" s="7" t="inlineStr">
        <is>
          <t>LRFD4</t>
        </is>
      </c>
      <c r="E79" s="7" t="inlineStr">
        <is>
          <t>LRFD</t>
        </is>
      </c>
      <c r="F79" s="7" t="n">
        <v>6</v>
      </c>
      <c r="G79" s="7" t="n">
        <v>2</v>
      </c>
      <c r="H79" s="13" t="n">
        <v>1317.3</v>
      </c>
      <c r="I79" s="13" t="n">
        <v>533.2603448598068</v>
      </c>
      <c r="J79" s="13" t="n">
        <v>309.7421514760301</v>
      </c>
      <c r="K79" s="13" t="n">
        <v>1.607352626183813</v>
      </c>
    </row>
    <row r="80">
      <c r="A80" s="7" t="inlineStr">
        <is>
          <t>WPA</t>
        </is>
      </c>
      <c r="B80" s="7" t="inlineStr">
        <is>
          <t>M1</t>
        </is>
      </c>
      <c r="C80" s="7" t="inlineStr">
        <is>
          <t>Non-liquefied</t>
        </is>
      </c>
      <c r="D80" s="7" t="inlineStr">
        <is>
          <t>LRFD4</t>
        </is>
      </c>
      <c r="E80" s="7" t="inlineStr">
        <is>
          <t>LRFD</t>
        </is>
      </c>
      <c r="F80" s="7" t="n">
        <v>7</v>
      </c>
      <c r="G80" s="7" t="n">
        <v>2</v>
      </c>
      <c r="H80" s="13" t="n">
        <v>1394.4</v>
      </c>
      <c r="I80" s="13" t="n">
        <v>533.2603448598068</v>
      </c>
      <c r="J80" s="13" t="n">
        <v>309.7215582034935</v>
      </c>
      <c r="K80" s="13" t="n">
        <v>1.607352626183813</v>
      </c>
    </row>
    <row r="81">
      <c r="A81" s="7" t="inlineStr">
        <is>
          <t>WPA</t>
        </is>
      </c>
      <c r="B81" s="7" t="inlineStr">
        <is>
          <t>M1</t>
        </is>
      </c>
      <c r="C81" s="7" t="inlineStr">
        <is>
          <t>Non-liquefied</t>
        </is>
      </c>
      <c r="D81" s="7" t="inlineStr">
        <is>
          <t>LRFD4</t>
        </is>
      </c>
      <c r="E81" s="7" t="inlineStr">
        <is>
          <t>LRFD</t>
        </is>
      </c>
      <c r="F81" s="7" t="n">
        <v>8</v>
      </c>
      <c r="G81" s="7" t="n">
        <v>2</v>
      </c>
      <c r="H81" s="13" t="n">
        <v>1471.4</v>
      </c>
      <c r="I81" s="13" t="n">
        <v>533.26307850816</v>
      </c>
      <c r="J81" s="13" t="n">
        <v>309.7006775904761</v>
      </c>
      <c r="K81" s="13" t="n">
        <v>1.607352626183813</v>
      </c>
    </row>
    <row r="82">
      <c r="A82" s="7" t="inlineStr">
        <is>
          <t>WPA</t>
        </is>
      </c>
      <c r="B82" s="7" t="inlineStr">
        <is>
          <t>M3</t>
        </is>
      </c>
      <c r="C82" s="7" t="inlineStr">
        <is>
          <t>Liquefied</t>
        </is>
      </c>
      <c r="D82" s="7" t="inlineStr">
        <is>
          <t>ASD1</t>
        </is>
      </c>
      <c r="E82" s="7" t="inlineStr">
        <is>
          <t>ASD</t>
        </is>
      </c>
      <c r="F82" s="7" t="n">
        <v>1</v>
      </c>
      <c r="G82" s="7" t="n">
        <v>1</v>
      </c>
      <c r="H82" s="13" t="n">
        <v>1117.6</v>
      </c>
      <c r="I82" s="13" t="n">
        <v>1.116593080990564e-13</v>
      </c>
      <c r="J82" s="13" t="n">
        <v>6.845800206902448e-14</v>
      </c>
      <c r="K82" s="13" t="n">
        <v>3.427855890042637e-16</v>
      </c>
    </row>
    <row r="83">
      <c r="A83" s="7" t="inlineStr">
        <is>
          <t>WPA</t>
        </is>
      </c>
      <c r="B83" s="7" t="inlineStr">
        <is>
          <t>M3</t>
        </is>
      </c>
      <c r="C83" s="7" t="inlineStr">
        <is>
          <t>Liquefied</t>
        </is>
      </c>
      <c r="D83" s="7" t="inlineStr">
        <is>
          <t>ASD1</t>
        </is>
      </c>
      <c r="E83" s="7" t="inlineStr">
        <is>
          <t>ASD</t>
        </is>
      </c>
      <c r="F83" s="7" t="n">
        <v>2</v>
      </c>
      <c r="G83" s="7" t="n">
        <v>1</v>
      </c>
      <c r="H83" s="13" t="n">
        <v>1117.6</v>
      </c>
      <c r="I83" s="13" t="n">
        <v>1.116593080990564e-13</v>
      </c>
      <c r="J83" s="13" t="n">
        <v>6.845800206902448e-14</v>
      </c>
      <c r="K83" s="13" t="n">
        <v>3.427855890042637e-16</v>
      </c>
    </row>
    <row r="84">
      <c r="A84" s="7" t="inlineStr">
        <is>
          <t>WPA</t>
        </is>
      </c>
      <c r="B84" s="7" t="inlineStr">
        <is>
          <t>M3</t>
        </is>
      </c>
      <c r="C84" s="7" t="inlineStr">
        <is>
          <t>Liquefied</t>
        </is>
      </c>
      <c r="D84" s="7" t="inlineStr">
        <is>
          <t>ASD1</t>
        </is>
      </c>
      <c r="E84" s="7" t="inlineStr">
        <is>
          <t>ASD</t>
        </is>
      </c>
      <c r="F84" s="7" t="n">
        <v>3</v>
      </c>
      <c r="G84" s="7" t="n">
        <v>1</v>
      </c>
      <c r="H84" s="13" t="n">
        <v>1117.6</v>
      </c>
      <c r="I84" s="13" t="n">
        <v>1.116593080990564e-13</v>
      </c>
      <c r="J84" s="13" t="n">
        <v>6.845800206902448e-14</v>
      </c>
      <c r="K84" s="13" t="n">
        <v>3.427855890042637e-16</v>
      </c>
    </row>
    <row r="85">
      <c r="A85" s="7" t="inlineStr">
        <is>
          <t>WPA</t>
        </is>
      </c>
      <c r="B85" s="7" t="inlineStr">
        <is>
          <t>M3</t>
        </is>
      </c>
      <c r="C85" s="7" t="inlineStr">
        <is>
          <t>Liquefied</t>
        </is>
      </c>
      <c r="D85" s="7" t="inlineStr">
        <is>
          <t>ASD1</t>
        </is>
      </c>
      <c r="E85" s="7" t="inlineStr">
        <is>
          <t>ASD</t>
        </is>
      </c>
      <c r="F85" s="7" t="n">
        <v>4</v>
      </c>
      <c r="G85" s="7" t="n">
        <v>1</v>
      </c>
      <c r="H85" s="13" t="n">
        <v>1117.6</v>
      </c>
      <c r="I85" s="13" t="n">
        <v>1.116593080990564e-13</v>
      </c>
      <c r="J85" s="13" t="n">
        <v>6.845800206902448e-14</v>
      </c>
      <c r="K85" s="13" t="n">
        <v>3.427855890042637e-16</v>
      </c>
    </row>
    <row r="86">
      <c r="A86" s="7" t="inlineStr">
        <is>
          <t>WPA</t>
        </is>
      </c>
      <c r="B86" s="7" t="inlineStr">
        <is>
          <t>M3</t>
        </is>
      </c>
      <c r="C86" s="7" t="inlineStr">
        <is>
          <t>Liquefied</t>
        </is>
      </c>
      <c r="D86" s="7" t="inlineStr">
        <is>
          <t>ASD1</t>
        </is>
      </c>
      <c r="E86" s="7" t="inlineStr">
        <is>
          <t>ASD</t>
        </is>
      </c>
      <c r="F86" s="7" t="n">
        <v>5</v>
      </c>
      <c r="G86" s="7" t="n">
        <v>2</v>
      </c>
      <c r="H86" s="13" t="n">
        <v>1117.6</v>
      </c>
      <c r="I86" s="13" t="n">
        <v>1.116593080990564e-13</v>
      </c>
      <c r="J86" s="13" t="n">
        <v>6.845800206902448e-14</v>
      </c>
      <c r="K86" s="13" t="n">
        <v>3.427855890042637e-16</v>
      </c>
    </row>
    <row r="87">
      <c r="A87" s="7" t="inlineStr">
        <is>
          <t>WPA</t>
        </is>
      </c>
      <c r="B87" s="7" t="inlineStr">
        <is>
          <t>M3</t>
        </is>
      </c>
      <c r="C87" s="7" t="inlineStr">
        <is>
          <t>Liquefied</t>
        </is>
      </c>
      <c r="D87" s="7" t="inlineStr">
        <is>
          <t>ASD1</t>
        </is>
      </c>
      <c r="E87" s="7" t="inlineStr">
        <is>
          <t>ASD</t>
        </is>
      </c>
      <c r="F87" s="7" t="n">
        <v>6</v>
      </c>
      <c r="G87" s="7" t="n">
        <v>2</v>
      </c>
      <c r="H87" s="13" t="n">
        <v>1117.6</v>
      </c>
      <c r="I87" s="13" t="n">
        <v>1.116593080990564e-13</v>
      </c>
      <c r="J87" s="13" t="n">
        <v>6.845800206902448e-14</v>
      </c>
      <c r="K87" s="13" t="n">
        <v>3.427855890042637e-16</v>
      </c>
    </row>
    <row r="88">
      <c r="A88" s="7" t="inlineStr">
        <is>
          <t>WPA</t>
        </is>
      </c>
      <c r="B88" s="7" t="inlineStr">
        <is>
          <t>M3</t>
        </is>
      </c>
      <c r="C88" s="7" t="inlineStr">
        <is>
          <t>Liquefied</t>
        </is>
      </c>
      <c r="D88" s="7" t="inlineStr">
        <is>
          <t>ASD1</t>
        </is>
      </c>
      <c r="E88" s="7" t="inlineStr">
        <is>
          <t>ASD</t>
        </is>
      </c>
      <c r="F88" s="7" t="n">
        <v>7</v>
      </c>
      <c r="G88" s="7" t="n">
        <v>2</v>
      </c>
      <c r="H88" s="13" t="n">
        <v>1117.6</v>
      </c>
      <c r="I88" s="13" t="n">
        <v>1.116593080990564e-13</v>
      </c>
      <c r="J88" s="13" t="n">
        <v>6.845800206902448e-14</v>
      </c>
      <c r="K88" s="13" t="n">
        <v>3.427855890042637e-16</v>
      </c>
    </row>
    <row r="89">
      <c r="A89" s="7" t="inlineStr">
        <is>
          <t>WPA</t>
        </is>
      </c>
      <c r="B89" s="7" t="inlineStr">
        <is>
          <t>M3</t>
        </is>
      </c>
      <c r="C89" s="7" t="inlineStr">
        <is>
          <t>Liquefied</t>
        </is>
      </c>
      <c r="D89" s="7" t="inlineStr">
        <is>
          <t>ASD1</t>
        </is>
      </c>
      <c r="E89" s="7" t="inlineStr">
        <is>
          <t>ASD</t>
        </is>
      </c>
      <c r="F89" s="7" t="n">
        <v>8</v>
      </c>
      <c r="G89" s="7" t="n">
        <v>2</v>
      </c>
      <c r="H89" s="13" t="n">
        <v>1117.6</v>
      </c>
      <c r="I89" s="13" t="n">
        <v>1.116593080990564e-13</v>
      </c>
      <c r="J89" s="13" t="n">
        <v>6.845800206902448e-14</v>
      </c>
      <c r="K89" s="13" t="n">
        <v>3.427855890042637e-16</v>
      </c>
    </row>
    <row r="90">
      <c r="A90" s="7" t="inlineStr">
        <is>
          <t>WPA</t>
        </is>
      </c>
      <c r="B90" s="7" t="inlineStr">
        <is>
          <t>M3</t>
        </is>
      </c>
      <c r="C90" s="7" t="inlineStr">
        <is>
          <t>Liquefied</t>
        </is>
      </c>
      <c r="D90" s="7" t="inlineStr">
        <is>
          <t>ASD2(max)</t>
        </is>
      </c>
      <c r="E90" s="7" t="inlineStr">
        <is>
          <t>ASD</t>
        </is>
      </c>
      <c r="F90" s="7" t="n">
        <v>1</v>
      </c>
      <c r="G90" s="7" t="n">
        <v>1</v>
      </c>
      <c r="H90" s="13" t="n">
        <v>6831.1</v>
      </c>
      <c r="I90" s="13" t="n">
        <v>619.7980000976124</v>
      </c>
      <c r="J90" s="13" t="n">
        <v>2.019190348110846</v>
      </c>
      <c r="K90" s="13" t="n">
        <v>2.826170197264136</v>
      </c>
    </row>
    <row r="91">
      <c r="A91" s="7" t="inlineStr">
        <is>
          <t>WPA</t>
        </is>
      </c>
      <c r="B91" s="7" t="inlineStr">
        <is>
          <t>M3</t>
        </is>
      </c>
      <c r="C91" s="7" t="inlineStr">
        <is>
          <t>Liquefied</t>
        </is>
      </c>
      <c r="D91" s="7" t="inlineStr">
        <is>
          <t>ASD2(max)</t>
        </is>
      </c>
      <c r="E91" s="7" t="inlineStr">
        <is>
          <t>ASD</t>
        </is>
      </c>
      <c r="F91" s="7" t="n">
        <v>2</v>
      </c>
      <c r="G91" s="7" t="n">
        <v>1</v>
      </c>
      <c r="H91" s="13" t="n">
        <v>5781.5</v>
      </c>
      <c r="I91" s="13" t="n">
        <v>620.7378901952095</v>
      </c>
      <c r="J91" s="13" t="n">
        <v>1.290803402922382</v>
      </c>
      <c r="K91" s="13" t="n">
        <v>2.826172053998836</v>
      </c>
    </row>
    <row r="92">
      <c r="A92" s="7" t="inlineStr">
        <is>
          <t>WPA</t>
        </is>
      </c>
      <c r="B92" s="7" t="inlineStr">
        <is>
          <t>M3</t>
        </is>
      </c>
      <c r="C92" s="7" t="inlineStr">
        <is>
          <t>Liquefied</t>
        </is>
      </c>
      <c r="D92" s="7" t="inlineStr">
        <is>
          <t>ASD2(max)</t>
        </is>
      </c>
      <c r="E92" s="7" t="inlineStr">
        <is>
          <t>ASD</t>
        </is>
      </c>
      <c r="F92" s="7" t="n">
        <v>3</v>
      </c>
      <c r="G92" s="7" t="n">
        <v>1</v>
      </c>
      <c r="H92" s="13" t="n">
        <v>4297.6</v>
      </c>
      <c r="I92" s="13" t="n">
        <v>622.077991361212</v>
      </c>
      <c r="J92" s="13" t="n">
        <v>0.2608310391162064</v>
      </c>
      <c r="K92" s="13" t="n">
        <v>2.826173911764101</v>
      </c>
    </row>
    <row r="93">
      <c r="A93" s="7" t="inlineStr">
        <is>
          <t>WPA</t>
        </is>
      </c>
      <c r="B93" s="7" t="inlineStr">
        <is>
          <t>M3</t>
        </is>
      </c>
      <c r="C93" s="7" t="inlineStr">
        <is>
          <t>Liquefied</t>
        </is>
      </c>
      <c r="D93" s="7" t="inlineStr">
        <is>
          <t>ASD2(max)</t>
        </is>
      </c>
      <c r="E93" s="7" t="inlineStr">
        <is>
          <t>ASD</t>
        </is>
      </c>
      <c r="F93" s="7" t="n">
        <v>4</v>
      </c>
      <c r="G93" s="7" t="n">
        <v>1</v>
      </c>
      <c r="H93" s="13" t="n">
        <v>2590.2</v>
      </c>
      <c r="I93" s="13" t="n">
        <v>623.618215600699</v>
      </c>
      <c r="J93" s="13" t="n">
        <v>0.9248574271318796</v>
      </c>
      <c r="K93" s="13" t="n">
        <v>2.826175736128417</v>
      </c>
    </row>
    <row r="94">
      <c r="A94" s="7" t="inlineStr">
        <is>
          <t>WPA</t>
        </is>
      </c>
      <c r="B94" s="7" t="inlineStr">
        <is>
          <t>M3</t>
        </is>
      </c>
      <c r="C94" s="7" t="inlineStr">
        <is>
          <t>Liquefied</t>
        </is>
      </c>
      <c r="D94" s="7" t="inlineStr">
        <is>
          <t>ASD2(max)</t>
        </is>
      </c>
      <c r="E94" s="7" t="inlineStr">
        <is>
          <t>ASD</t>
        </is>
      </c>
      <c r="F94" s="7" t="n">
        <v>5</v>
      </c>
      <c r="G94" s="7" t="n">
        <v>2</v>
      </c>
      <c r="H94" s="13" t="n">
        <v>6765</v>
      </c>
      <c r="I94" s="13" t="n">
        <v>619.9279918256635</v>
      </c>
      <c r="J94" s="13" t="n">
        <v>2.014723869731036</v>
      </c>
      <c r="K94" s="13" t="n">
        <v>2.825970315467592</v>
      </c>
    </row>
    <row r="95">
      <c r="A95" s="7" t="inlineStr">
        <is>
          <t>WPA</t>
        </is>
      </c>
      <c r="B95" s="7" t="inlineStr">
        <is>
          <t>M3</t>
        </is>
      </c>
      <c r="C95" s="7" t="inlineStr">
        <is>
          <t>Liquefied</t>
        </is>
      </c>
      <c r="D95" s="7" t="inlineStr">
        <is>
          <t>ASD2(max)</t>
        </is>
      </c>
      <c r="E95" s="7" t="inlineStr">
        <is>
          <t>ASD</t>
        </is>
      </c>
      <c r="F95" s="7" t="n">
        <v>6</v>
      </c>
      <c r="G95" s="7" t="n">
        <v>2</v>
      </c>
      <c r="H95" s="13" t="n">
        <v>5625.5</v>
      </c>
      <c r="I95" s="13" t="n">
        <v>620.9578975131889</v>
      </c>
      <c r="J95" s="13" t="n">
        <v>1.223906348806558</v>
      </c>
      <c r="K95" s="13" t="n">
        <v>2.82597217233362</v>
      </c>
    </row>
    <row r="96">
      <c r="A96" s="7" t="inlineStr">
        <is>
          <t>WPA</t>
        </is>
      </c>
      <c r="B96" s="7" t="inlineStr">
        <is>
          <t>M3</t>
        </is>
      </c>
      <c r="C96" s="7" t="inlineStr">
        <is>
          <t>Liquefied</t>
        </is>
      </c>
      <c r="D96" s="7" t="inlineStr">
        <is>
          <t>ASD2(max)</t>
        </is>
      </c>
      <c r="E96" s="7" t="inlineStr">
        <is>
          <t>ASD</t>
        </is>
      </c>
      <c r="F96" s="7" t="n">
        <v>7</v>
      </c>
      <c r="G96" s="7" t="n">
        <v>2</v>
      </c>
      <c r="H96" s="13" t="n">
        <v>4074.2</v>
      </c>
      <c r="I96" s="13" t="n">
        <v>622.3580664705809</v>
      </c>
      <c r="J96" s="13" t="n">
        <v>0.1473064567242047</v>
      </c>
      <c r="K96" s="13" t="n">
        <v>2.825974030230285</v>
      </c>
    </row>
    <row r="97">
      <c r="A97" s="7" t="inlineStr">
        <is>
          <t>WPA</t>
        </is>
      </c>
      <c r="B97" s="7" t="inlineStr">
        <is>
          <t>M3</t>
        </is>
      </c>
      <c r="C97" s="7" t="inlineStr">
        <is>
          <t>Liquefied</t>
        </is>
      </c>
      <c r="D97" s="7" t="inlineStr">
        <is>
          <t>ASD2(max)</t>
        </is>
      </c>
      <c r="E97" s="7" t="inlineStr">
        <is>
          <t>ASD</t>
        </is>
      </c>
      <c r="F97" s="7" t="n">
        <v>8</v>
      </c>
      <c r="G97" s="7" t="n">
        <v>2</v>
      </c>
      <c r="H97" s="13" t="n">
        <v>2366.9</v>
      </c>
      <c r="I97" s="13" t="n">
        <v>623.8982907942608</v>
      </c>
      <c r="J97" s="13" t="n">
        <v>1.038485098556546</v>
      </c>
      <c r="K97" s="13" t="n">
        <v>2.825975854723639</v>
      </c>
    </row>
    <row r="98">
      <c r="A98" s="7" t="inlineStr">
        <is>
          <t>WPA</t>
        </is>
      </c>
      <c r="B98" s="7" t="inlineStr">
        <is>
          <t>M3</t>
        </is>
      </c>
      <c r="C98" s="7" t="inlineStr">
        <is>
          <t>Liquefied</t>
        </is>
      </c>
      <c r="D98" s="7" t="inlineStr">
        <is>
          <t>ASD2(min)</t>
        </is>
      </c>
      <c r="E98" s="7" t="inlineStr">
        <is>
          <t>ASD</t>
        </is>
      </c>
      <c r="F98" s="7" t="n">
        <v>1</v>
      </c>
      <c r="G98" s="7" t="n">
        <v>1</v>
      </c>
      <c r="H98" s="13" t="n">
        <v>738.1799999999999</v>
      </c>
      <c r="I98" s="13" t="n">
        <v>515.2459082185903</v>
      </c>
      <c r="J98" s="13" t="n">
        <v>1.024920076228386</v>
      </c>
      <c r="K98" s="13" t="n">
        <v>2.284907323197158</v>
      </c>
    </row>
    <row r="99">
      <c r="A99" s="7" t="inlineStr">
        <is>
          <t>WPA</t>
        </is>
      </c>
      <c r="B99" s="7" t="inlineStr">
        <is>
          <t>M3</t>
        </is>
      </c>
      <c r="C99" s="7" t="inlineStr">
        <is>
          <t>Liquefied</t>
        </is>
      </c>
      <c r="D99" s="7" t="inlineStr">
        <is>
          <t>ASD2(min)</t>
        </is>
      </c>
      <c r="E99" s="7" t="inlineStr">
        <is>
          <t>ASD</t>
        </is>
      </c>
      <c r="F99" s="7" t="n">
        <v>2</v>
      </c>
      <c r="G99" s="7" t="n">
        <v>1</v>
      </c>
      <c r="H99" s="13" t="n">
        <v>2514.3</v>
      </c>
      <c r="I99" s="13" t="n">
        <v>513.9358314575858</v>
      </c>
      <c r="J99" s="13" t="n">
        <v>0.02298808767361914</v>
      </c>
      <c r="K99" s="13" t="n">
        <v>2.284905957897611</v>
      </c>
    </row>
    <row r="100">
      <c r="A100" s="7" t="inlineStr">
        <is>
          <t>WPA</t>
        </is>
      </c>
      <c r="B100" s="7" t="inlineStr">
        <is>
          <t>M3</t>
        </is>
      </c>
      <c r="C100" s="7" t="inlineStr">
        <is>
          <t>Liquefied</t>
        </is>
      </c>
      <c r="D100" s="7" t="inlineStr">
        <is>
          <t>ASD2(min)</t>
        </is>
      </c>
      <c r="E100" s="7" t="inlineStr">
        <is>
          <t>ASD</t>
        </is>
      </c>
      <c r="F100" s="7" t="n">
        <v>3</v>
      </c>
      <c r="G100" s="7" t="n">
        <v>1</v>
      </c>
      <c r="H100" s="13" t="n">
        <v>3906.2</v>
      </c>
      <c r="I100" s="13" t="n">
        <v>512.9158946074883</v>
      </c>
      <c r="J100" s="13" t="n">
        <v>0.7630782804987964</v>
      </c>
      <c r="K100" s="13" t="n">
        <v>2.284904593523327</v>
      </c>
    </row>
    <row r="101">
      <c r="A101" s="7" t="inlineStr">
        <is>
          <t>WPA</t>
        </is>
      </c>
      <c r="B101" s="7" t="inlineStr">
        <is>
          <t>M3</t>
        </is>
      </c>
      <c r="C101" s="7" t="inlineStr">
        <is>
          <t>Liquefied</t>
        </is>
      </c>
      <c r="D101" s="7" t="inlineStr">
        <is>
          <t>ASD2(min)</t>
        </is>
      </c>
      <c r="E101" s="7" t="inlineStr">
        <is>
          <t>ASD</t>
        </is>
      </c>
      <c r="F101" s="7" t="n">
        <v>4</v>
      </c>
      <c r="G101" s="7" t="n">
        <v>1</v>
      </c>
      <c r="H101" s="13" t="n">
        <v>5287.8</v>
      </c>
      <c r="I101" s="13" t="n">
        <v>511.9059242175265</v>
      </c>
      <c r="J101" s="13" t="n">
        <v>1.542365495789179</v>
      </c>
      <c r="K101" s="13" t="n">
        <v>2.284903230074307</v>
      </c>
    </row>
    <row r="102">
      <c r="A102" s="7" t="inlineStr">
        <is>
          <t>WPA</t>
        </is>
      </c>
      <c r="B102" s="7" t="inlineStr">
        <is>
          <t>M3</t>
        </is>
      </c>
      <c r="C102" s="7" t="inlineStr">
        <is>
          <t>Liquefied</t>
        </is>
      </c>
      <c r="D102" s="7" t="inlineStr">
        <is>
          <t>ASD2(min)</t>
        </is>
      </c>
      <c r="E102" s="7" t="inlineStr">
        <is>
          <t>ASD</t>
        </is>
      </c>
      <c r="F102" s="7" t="n">
        <v>5</v>
      </c>
      <c r="G102" s="7" t="n">
        <v>2</v>
      </c>
      <c r="H102" s="13" t="n">
        <v>993.74</v>
      </c>
      <c r="I102" s="13" t="n">
        <v>514.9958401773746</v>
      </c>
      <c r="J102" s="13" t="n">
        <v>0.9181354922319472</v>
      </c>
      <c r="K102" s="13" t="n">
        <v>2.285007279113132</v>
      </c>
    </row>
    <row r="103">
      <c r="A103" s="7" t="inlineStr">
        <is>
          <t>WPA</t>
        </is>
      </c>
      <c r="B103" s="7" t="inlineStr">
        <is>
          <t>M3</t>
        </is>
      </c>
      <c r="C103" s="7" t="inlineStr">
        <is>
          <t>Liquefied</t>
        </is>
      </c>
      <c r="D103" s="7" t="inlineStr">
        <is>
          <t>ASD2(min)</t>
        </is>
      </c>
      <c r="E103" s="7" t="inlineStr">
        <is>
          <t>ASD</t>
        </is>
      </c>
      <c r="F103" s="7" t="n">
        <v>6</v>
      </c>
      <c r="G103" s="7" t="n">
        <v>2</v>
      </c>
      <c r="H103" s="13" t="n">
        <v>2671.2</v>
      </c>
      <c r="I103" s="13" t="n">
        <v>513.7558216322225</v>
      </c>
      <c r="J103" s="13" t="n">
        <v>0.02910959676876339</v>
      </c>
      <c r="K103" s="13" t="n">
        <v>2.28500591387331</v>
      </c>
    </row>
    <row r="104">
      <c r="A104" s="7" t="inlineStr">
        <is>
          <t>WPA</t>
        </is>
      </c>
      <c r="B104" s="7" t="inlineStr">
        <is>
          <t>M3</t>
        </is>
      </c>
      <c r="C104" s="7" t="inlineStr">
        <is>
          <t>Liquefied</t>
        </is>
      </c>
      <c r="D104" s="7" t="inlineStr">
        <is>
          <t>ASD2(min)</t>
        </is>
      </c>
      <c r="E104" s="7" t="inlineStr">
        <is>
          <t>ASD</t>
        </is>
      </c>
      <c r="F104" s="7" t="n">
        <v>7</v>
      </c>
      <c r="G104" s="7" t="n">
        <v>2</v>
      </c>
      <c r="H104" s="13" t="n">
        <v>4063.2</v>
      </c>
      <c r="I104" s="13" t="n">
        <v>512.7358551817885</v>
      </c>
      <c r="J104" s="13" t="n">
        <v>0.8141396508241077</v>
      </c>
      <c r="K104" s="13" t="n">
        <v>2.285004549558709</v>
      </c>
    </row>
    <row r="105">
      <c r="A105" s="7" t="inlineStr">
        <is>
          <t>WPA</t>
        </is>
      </c>
      <c r="B105" s="7" t="inlineStr">
        <is>
          <t>M3</t>
        </is>
      </c>
      <c r="C105" s="7" t="inlineStr">
        <is>
          <t>Liquefied</t>
        </is>
      </c>
      <c r="D105" s="7" t="inlineStr">
        <is>
          <t>ASD2(min)</t>
        </is>
      </c>
      <c r="E105" s="7" t="inlineStr">
        <is>
          <t>ASD</t>
        </is>
      </c>
      <c r="F105" s="7" t="n">
        <v>8</v>
      </c>
      <c r="G105" s="7" t="n">
        <v>2</v>
      </c>
      <c r="H105" s="13" t="n">
        <v>5397.5</v>
      </c>
      <c r="I105" s="13" t="n">
        <v>511.7559310110631</v>
      </c>
      <c r="J105" s="13" t="n">
        <v>1.566818512770704</v>
      </c>
      <c r="K105" s="13" t="n">
        <v>2.285003186169333</v>
      </c>
    </row>
    <row r="106">
      <c r="A106" s="7" t="inlineStr">
        <is>
          <t>WPA</t>
        </is>
      </c>
      <c r="B106" s="7" t="inlineStr">
        <is>
          <t>M3</t>
        </is>
      </c>
      <c r="C106" s="7" t="inlineStr">
        <is>
          <t>Liquefied</t>
        </is>
      </c>
      <c r="D106" s="7" t="inlineStr">
        <is>
          <t>ASD3</t>
        </is>
      </c>
      <c r="E106" s="7" t="inlineStr">
        <is>
          <t>ASD</t>
        </is>
      </c>
      <c r="F106" s="7" t="n">
        <v>1</v>
      </c>
      <c r="G106" s="7" t="n">
        <v>1</v>
      </c>
      <c r="H106" s="13" t="n">
        <v>1031.7</v>
      </c>
      <c r="I106" s="13" t="n">
        <v>327.7530931966928</v>
      </c>
      <c r="J106" s="13" t="n">
        <v>216.7929646575276</v>
      </c>
      <c r="K106" s="13" t="n">
        <v>1.19838189276207</v>
      </c>
    </row>
    <row r="107">
      <c r="A107" s="7" t="inlineStr">
        <is>
          <t>WPA</t>
        </is>
      </c>
      <c r="B107" s="7" t="inlineStr">
        <is>
          <t>M3</t>
        </is>
      </c>
      <c r="C107" s="7" t="inlineStr">
        <is>
          <t>Liquefied</t>
        </is>
      </c>
      <c r="D107" s="7" t="inlineStr">
        <is>
          <t>ASD3</t>
        </is>
      </c>
      <c r="E107" s="7" t="inlineStr">
        <is>
          <t>ASD</t>
        </is>
      </c>
      <c r="F107" s="7" t="n">
        <v>2</v>
      </c>
      <c r="G107" s="7" t="n">
        <v>1</v>
      </c>
      <c r="H107" s="13" t="n">
        <v>1202.1</v>
      </c>
      <c r="I107" s="13" t="n">
        <v>327.7625976221204</v>
      </c>
      <c r="J107" s="13" t="n">
        <v>216.7619310880026</v>
      </c>
      <c r="K107" s="13" t="n">
        <v>1.198379306229876</v>
      </c>
    </row>
    <row r="108">
      <c r="A108" s="7" t="inlineStr">
        <is>
          <t>WPA</t>
        </is>
      </c>
      <c r="B108" s="7" t="inlineStr">
        <is>
          <t>M3</t>
        </is>
      </c>
      <c r="C108" s="7" t="inlineStr">
        <is>
          <t>Liquefied</t>
        </is>
      </c>
      <c r="D108" s="7" t="inlineStr">
        <is>
          <t>ASD3</t>
        </is>
      </c>
      <c r="E108" s="7" t="inlineStr">
        <is>
          <t>ASD</t>
        </is>
      </c>
      <c r="F108" s="7" t="n">
        <v>3</v>
      </c>
      <c r="G108" s="7" t="n">
        <v>1</v>
      </c>
      <c r="H108" s="13" t="n">
        <v>1370.8</v>
      </c>
      <c r="I108" s="13" t="n">
        <v>327.7625976221204</v>
      </c>
      <c r="J108" s="13" t="n">
        <v>216.7308975227113</v>
      </c>
      <c r="K108" s="13" t="n">
        <v>1.198379306229876</v>
      </c>
    </row>
    <row r="109">
      <c r="A109" s="7" t="inlineStr">
        <is>
          <t>WPA</t>
        </is>
      </c>
      <c r="B109" s="7" t="inlineStr">
        <is>
          <t>M3</t>
        </is>
      </c>
      <c r="C109" s="7" t="inlineStr">
        <is>
          <t>Liquefied</t>
        </is>
      </c>
      <c r="D109" s="7" t="inlineStr">
        <is>
          <t>ASD3</t>
        </is>
      </c>
      <c r="E109" s="7" t="inlineStr">
        <is>
          <t>ASD</t>
        </is>
      </c>
      <c r="F109" s="7" t="n">
        <v>4</v>
      </c>
      <c r="G109" s="7" t="n">
        <v>1</v>
      </c>
      <c r="H109" s="13" t="n">
        <v>1539.4</v>
      </c>
      <c r="I109" s="13" t="n">
        <v>327.7721020770376</v>
      </c>
      <c r="J109" s="13" t="n">
        <v>216.7001513243588</v>
      </c>
      <c r="K109" s="13" t="n">
        <v>1.198379306229876</v>
      </c>
    </row>
    <row r="110">
      <c r="A110" s="7" t="inlineStr">
        <is>
          <t>WPA</t>
        </is>
      </c>
      <c r="B110" s="7" t="inlineStr">
        <is>
          <t>M3</t>
        </is>
      </c>
      <c r="C110" s="7" t="inlineStr">
        <is>
          <t>Liquefied</t>
        </is>
      </c>
      <c r="D110" s="7" t="inlineStr">
        <is>
          <t>ASD3</t>
        </is>
      </c>
      <c r="E110" s="7" t="inlineStr">
        <is>
          <t>ASD</t>
        </is>
      </c>
      <c r="F110" s="7" t="n">
        <v>5</v>
      </c>
      <c r="G110" s="7" t="n">
        <v>2</v>
      </c>
      <c r="H110" s="13" t="n">
        <v>953.72</v>
      </c>
      <c r="I110" s="13" t="n">
        <v>327.7435888007575</v>
      </c>
      <c r="J110" s="13" t="n">
        <v>216.8036923140378</v>
      </c>
      <c r="K110" s="13" t="n">
        <v>1.19838189276207</v>
      </c>
    </row>
    <row r="111">
      <c r="A111" s="7" t="inlineStr">
        <is>
          <t>WPA</t>
        </is>
      </c>
      <c r="B111" s="7" t="inlineStr">
        <is>
          <t>M3</t>
        </is>
      </c>
      <c r="C111" s="7" t="inlineStr">
        <is>
          <t>Liquefied</t>
        </is>
      </c>
      <c r="D111" s="7" t="inlineStr">
        <is>
          <t>ASD3</t>
        </is>
      </c>
      <c r="E111" s="7" t="inlineStr">
        <is>
          <t>ASD</t>
        </is>
      </c>
      <c r="F111" s="7" t="n">
        <v>6</v>
      </c>
      <c r="G111" s="7" t="n">
        <v>2</v>
      </c>
      <c r="H111" s="13" t="n">
        <v>1133.6</v>
      </c>
      <c r="I111" s="13" t="n">
        <v>327.7530931966928</v>
      </c>
      <c r="J111" s="13" t="n">
        <v>216.7723713945114</v>
      </c>
      <c r="K111" s="13" t="n">
        <v>1.198379306229876</v>
      </c>
    </row>
    <row r="112">
      <c r="A112" s="7" t="inlineStr">
        <is>
          <t>WPA</t>
        </is>
      </c>
      <c r="B112" s="7" t="inlineStr">
        <is>
          <t>M3</t>
        </is>
      </c>
      <c r="C112" s="7" t="inlineStr">
        <is>
          <t>Liquefied</t>
        </is>
      </c>
      <c r="D112" s="7" t="inlineStr">
        <is>
          <t>ASD3</t>
        </is>
      </c>
      <c r="E112" s="7" t="inlineStr">
        <is>
          <t>ASD</t>
        </is>
      </c>
      <c r="F112" s="7" t="n">
        <v>7</v>
      </c>
      <c r="G112" s="7" t="n">
        <v>2</v>
      </c>
      <c r="H112" s="13" t="n">
        <v>1302.2</v>
      </c>
      <c r="I112" s="13" t="n">
        <v>327.7625976221204</v>
      </c>
      <c r="J112" s="13" t="n">
        <v>216.7416251876875</v>
      </c>
      <c r="K112" s="13" t="n">
        <v>1.198379306229876</v>
      </c>
    </row>
    <row r="113">
      <c r="A113" s="7" t="inlineStr">
        <is>
          <t>WPA</t>
        </is>
      </c>
      <c r="B113" s="7" t="inlineStr">
        <is>
          <t>M3</t>
        </is>
      </c>
      <c r="C113" s="7" t="inlineStr">
        <is>
          <t>Liquefied</t>
        </is>
      </c>
      <c r="D113" s="7" t="inlineStr">
        <is>
          <t>ASD3</t>
        </is>
      </c>
      <c r="E113" s="7" t="inlineStr">
        <is>
          <t>ASD</t>
        </is>
      </c>
      <c r="F113" s="7" t="n">
        <v>8</v>
      </c>
      <c r="G113" s="7" t="n">
        <v>2</v>
      </c>
      <c r="H113" s="13" t="n">
        <v>1470.9</v>
      </c>
      <c r="I113" s="13" t="n">
        <v>327.7721020770376</v>
      </c>
      <c r="J113" s="13" t="n">
        <v>216.7105916308661</v>
      </c>
      <c r="K113" s="13" t="n">
        <v>1.198379306229876</v>
      </c>
    </row>
    <row r="114">
      <c r="A114" s="7" t="inlineStr">
        <is>
          <t>WPA</t>
        </is>
      </c>
      <c r="B114" s="7" t="inlineStr">
        <is>
          <t>M3</t>
        </is>
      </c>
      <c r="C114" s="7" t="inlineStr">
        <is>
          <t>Liquefied</t>
        </is>
      </c>
      <c r="D114" s="7" t="inlineStr">
        <is>
          <t>ASD4</t>
        </is>
      </c>
      <c r="E114" s="7" t="inlineStr">
        <is>
          <t>ASD</t>
        </is>
      </c>
      <c r="F114" s="7" t="n">
        <v>1</v>
      </c>
      <c r="G114" s="7" t="n">
        <v>1</v>
      </c>
      <c r="H114" s="13" t="n">
        <v>1291.9</v>
      </c>
      <c r="I114" s="13" t="n">
        <v>351.7444935233528</v>
      </c>
      <c r="J114" s="13" t="n">
        <v>216.7509160857227</v>
      </c>
      <c r="K114" s="13" t="n">
        <v>1.09237708786847</v>
      </c>
    </row>
    <row r="115">
      <c r="A115" s="7" t="inlineStr">
        <is>
          <t>WPA</t>
        </is>
      </c>
      <c r="B115" s="7" t="inlineStr">
        <is>
          <t>M3</t>
        </is>
      </c>
      <c r="C115" s="7" t="inlineStr">
        <is>
          <t>Liquefied</t>
        </is>
      </c>
      <c r="D115" s="7" t="inlineStr">
        <is>
          <t>ASD4</t>
        </is>
      </c>
      <c r="E115" s="7" t="inlineStr">
        <is>
          <t>ASD</t>
        </is>
      </c>
      <c r="F115" s="7" t="n">
        <v>2</v>
      </c>
      <c r="G115" s="7" t="n">
        <v>1</v>
      </c>
      <c r="H115" s="13" t="n">
        <v>1343</v>
      </c>
      <c r="I115" s="13" t="n">
        <v>351.7444935233528</v>
      </c>
      <c r="J115" s="13" t="n">
        <v>216.7404757792139</v>
      </c>
      <c r="K115" s="13" t="n">
        <v>1.09237708786847</v>
      </c>
    </row>
    <row r="116">
      <c r="A116" s="7" t="inlineStr">
        <is>
          <t>WPA</t>
        </is>
      </c>
      <c r="B116" s="7" t="inlineStr">
        <is>
          <t>M3</t>
        </is>
      </c>
      <c r="C116" s="7" t="inlineStr">
        <is>
          <t>Liquefied</t>
        </is>
      </c>
      <c r="D116" s="7" t="inlineStr">
        <is>
          <t>ASD4</t>
        </is>
      </c>
      <c r="E116" s="7" t="inlineStr">
        <is>
          <t>ASD</t>
        </is>
      </c>
      <c r="F116" s="7" t="n">
        <v>3</v>
      </c>
      <c r="G116" s="7" t="n">
        <v>1</v>
      </c>
      <c r="H116" s="13" t="n">
        <v>1394.2</v>
      </c>
      <c r="I116" s="13" t="n">
        <v>351.7447588252027</v>
      </c>
      <c r="J116" s="13" t="n">
        <v>216.7396137673037</v>
      </c>
      <c r="K116" s="13" t="n">
        <v>1.09237708786847</v>
      </c>
    </row>
    <row r="117">
      <c r="A117" s="7" t="inlineStr">
        <is>
          <t>WPA</t>
        </is>
      </c>
      <c r="B117" s="7" t="inlineStr">
        <is>
          <t>M3</t>
        </is>
      </c>
      <c r="C117" s="7" t="inlineStr">
        <is>
          <t>Liquefied</t>
        </is>
      </c>
      <c r="D117" s="7" t="inlineStr">
        <is>
          <t>ASD4</t>
        </is>
      </c>
      <c r="E117" s="7" t="inlineStr">
        <is>
          <t>ASD</t>
        </is>
      </c>
      <c r="F117" s="7" t="n">
        <v>4</v>
      </c>
      <c r="G117" s="7" t="n">
        <v>1</v>
      </c>
      <c r="H117" s="13" t="n">
        <v>1445.3</v>
      </c>
      <c r="I117" s="13" t="n">
        <v>351.7450241296954</v>
      </c>
      <c r="J117" s="13" t="n">
        <v>216.7291734607965</v>
      </c>
      <c r="K117" s="13" t="n">
        <v>1.09237708786847</v>
      </c>
    </row>
    <row r="118">
      <c r="A118" s="7" t="inlineStr">
        <is>
          <t>WPA</t>
        </is>
      </c>
      <c r="B118" s="7" t="inlineStr">
        <is>
          <t>M3</t>
        </is>
      </c>
      <c r="C118" s="7" t="inlineStr">
        <is>
          <t>Liquefied</t>
        </is>
      </c>
      <c r="D118" s="7" t="inlineStr">
        <is>
          <t>ASD4</t>
        </is>
      </c>
      <c r="E118" s="7" t="inlineStr">
        <is>
          <t>ASD</t>
        </is>
      </c>
      <c r="F118" s="7" t="n">
        <v>5</v>
      </c>
      <c r="G118" s="7" t="n">
        <v>2</v>
      </c>
      <c r="H118" s="13" t="n">
        <v>1055.8</v>
      </c>
      <c r="I118" s="13" t="n">
        <v>351.7426364844046</v>
      </c>
      <c r="J118" s="13" t="n">
        <v>216.7921026329142</v>
      </c>
      <c r="K118" s="13" t="n">
        <v>1.092373903203477</v>
      </c>
    </row>
    <row r="119">
      <c r="A119" s="7" t="inlineStr">
        <is>
          <t>WPA</t>
        </is>
      </c>
      <c r="B119" s="7" t="inlineStr">
        <is>
          <t>M3</t>
        </is>
      </c>
      <c r="C119" s="7" t="inlineStr">
        <is>
          <t>Liquefied</t>
        </is>
      </c>
      <c r="D119" s="7" t="inlineStr">
        <is>
          <t>ASD4</t>
        </is>
      </c>
      <c r="E119" s="7" t="inlineStr">
        <is>
          <t>ASD</t>
        </is>
      </c>
      <c r="F119" s="7" t="n">
        <v>6</v>
      </c>
      <c r="G119" s="7" t="n">
        <v>2</v>
      </c>
      <c r="H119" s="13" t="n">
        <v>1106.9</v>
      </c>
      <c r="I119" s="13" t="n">
        <v>351.7429017677542</v>
      </c>
      <c r="J119" s="13" t="n">
        <v>216.7819496637116</v>
      </c>
      <c r="K119" s="13" t="n">
        <v>1.092373903203477</v>
      </c>
    </row>
    <row r="120">
      <c r="A120" s="7" t="inlineStr">
        <is>
          <t>WPA</t>
        </is>
      </c>
      <c r="B120" s="7" t="inlineStr">
        <is>
          <t>M3</t>
        </is>
      </c>
      <c r="C120" s="7" t="inlineStr">
        <is>
          <t>Liquefied</t>
        </is>
      </c>
      <c r="D120" s="7" t="inlineStr">
        <is>
          <t>ASD4</t>
        </is>
      </c>
      <c r="E120" s="7" t="inlineStr">
        <is>
          <t>ASD</t>
        </is>
      </c>
      <c r="F120" s="7" t="n">
        <v>7</v>
      </c>
      <c r="G120" s="7" t="n">
        <v>2</v>
      </c>
      <c r="H120" s="13" t="n">
        <v>1158.1</v>
      </c>
      <c r="I120" s="13" t="n">
        <v>351.7431670537467</v>
      </c>
      <c r="J120" s="13" t="n">
        <v>216.7715093572031</v>
      </c>
      <c r="K120" s="13" t="n">
        <v>1.092373903203477</v>
      </c>
    </row>
    <row r="121">
      <c r="A121" s="7" t="inlineStr">
        <is>
          <t>WPA</t>
        </is>
      </c>
      <c r="B121" s="7" t="inlineStr">
        <is>
          <t>M3</t>
        </is>
      </c>
      <c r="C121" s="7" t="inlineStr">
        <is>
          <t>Liquefied</t>
        </is>
      </c>
      <c r="D121" s="7" t="inlineStr">
        <is>
          <t>ASD4</t>
        </is>
      </c>
      <c r="E121" s="7" t="inlineStr">
        <is>
          <t>ASD</t>
        </is>
      </c>
      <c r="F121" s="7" t="n">
        <v>8</v>
      </c>
      <c r="G121" s="7" t="n">
        <v>2</v>
      </c>
      <c r="H121" s="13" t="n">
        <v>1209.2</v>
      </c>
      <c r="I121" s="13" t="n">
        <v>351.7431670537467</v>
      </c>
      <c r="J121" s="13" t="n">
        <v>216.7610690506946</v>
      </c>
      <c r="K121" s="13" t="n">
        <v>1.092373903203477</v>
      </c>
    </row>
    <row r="122">
      <c r="A122" s="7" t="inlineStr">
        <is>
          <t>WPA</t>
        </is>
      </c>
      <c r="B122" s="7" t="inlineStr">
        <is>
          <t>M3</t>
        </is>
      </c>
      <c r="C122" s="7" t="inlineStr">
        <is>
          <t>Liquefied</t>
        </is>
      </c>
      <c r="D122" s="7" t="inlineStr">
        <is>
          <t>LRFD1</t>
        </is>
      </c>
      <c r="E122" s="7" t="inlineStr">
        <is>
          <t>LRFD</t>
        </is>
      </c>
      <c r="F122" s="7" t="n">
        <v>1</v>
      </c>
      <c r="G122" s="7" t="n">
        <v>1</v>
      </c>
      <c r="H122" s="13" t="n">
        <v>1564.6</v>
      </c>
      <c r="I122" s="13" t="n">
        <v>1.56847013819199e-13</v>
      </c>
      <c r="J122" s="13" t="n">
        <v>9.585600102982912e-14</v>
      </c>
      <c r="K122" s="13" t="n">
        <v>4.813632112043878e-16</v>
      </c>
    </row>
    <row r="123">
      <c r="A123" s="7" t="inlineStr">
        <is>
          <t>WPA</t>
        </is>
      </c>
      <c r="B123" s="7" t="inlineStr">
        <is>
          <t>M3</t>
        </is>
      </c>
      <c r="C123" s="7" t="inlineStr">
        <is>
          <t>Liquefied</t>
        </is>
      </c>
      <c r="D123" s="7" t="inlineStr">
        <is>
          <t>LRFD1</t>
        </is>
      </c>
      <c r="E123" s="7" t="inlineStr">
        <is>
          <t>LRFD</t>
        </is>
      </c>
      <c r="F123" s="7" t="n">
        <v>2</v>
      </c>
      <c r="G123" s="7" t="n">
        <v>1</v>
      </c>
      <c r="H123" s="13" t="n">
        <v>1564.6</v>
      </c>
      <c r="I123" s="13" t="n">
        <v>1.56847013819199e-13</v>
      </c>
      <c r="J123" s="13" t="n">
        <v>9.585600102982912e-14</v>
      </c>
      <c r="K123" s="13" t="n">
        <v>4.813632112043878e-16</v>
      </c>
    </row>
    <row r="124">
      <c r="A124" s="7" t="inlineStr">
        <is>
          <t>WPA</t>
        </is>
      </c>
      <c r="B124" s="7" t="inlineStr">
        <is>
          <t>M3</t>
        </is>
      </c>
      <c r="C124" s="7" t="inlineStr">
        <is>
          <t>Liquefied</t>
        </is>
      </c>
      <c r="D124" s="7" t="inlineStr">
        <is>
          <t>LRFD1</t>
        </is>
      </c>
      <c r="E124" s="7" t="inlineStr">
        <is>
          <t>LRFD</t>
        </is>
      </c>
      <c r="F124" s="7" t="n">
        <v>3</v>
      </c>
      <c r="G124" s="7" t="n">
        <v>1</v>
      </c>
      <c r="H124" s="13" t="n">
        <v>1564.6</v>
      </c>
      <c r="I124" s="13" t="n">
        <v>1.56847013819199e-13</v>
      </c>
      <c r="J124" s="13" t="n">
        <v>9.585600102982912e-14</v>
      </c>
      <c r="K124" s="13" t="n">
        <v>4.813632112043878e-16</v>
      </c>
    </row>
    <row r="125">
      <c r="A125" s="7" t="inlineStr">
        <is>
          <t>WPA</t>
        </is>
      </c>
      <c r="B125" s="7" t="inlineStr">
        <is>
          <t>M3</t>
        </is>
      </c>
      <c r="C125" s="7" t="inlineStr">
        <is>
          <t>Liquefied</t>
        </is>
      </c>
      <c r="D125" s="7" t="inlineStr">
        <is>
          <t>LRFD1</t>
        </is>
      </c>
      <c r="E125" s="7" t="inlineStr">
        <is>
          <t>LRFD</t>
        </is>
      </c>
      <c r="F125" s="7" t="n">
        <v>4</v>
      </c>
      <c r="G125" s="7" t="n">
        <v>1</v>
      </c>
      <c r="H125" s="13" t="n">
        <v>1564.6</v>
      </c>
      <c r="I125" s="13" t="n">
        <v>1.56847013819199e-13</v>
      </c>
      <c r="J125" s="13" t="n">
        <v>9.585600102982912e-14</v>
      </c>
      <c r="K125" s="13" t="n">
        <v>4.813632112043878e-16</v>
      </c>
    </row>
    <row r="126">
      <c r="A126" s="7" t="inlineStr">
        <is>
          <t>WPA</t>
        </is>
      </c>
      <c r="B126" s="7" t="inlineStr">
        <is>
          <t>M3</t>
        </is>
      </c>
      <c r="C126" s="7" t="inlineStr">
        <is>
          <t>Liquefied</t>
        </is>
      </c>
      <c r="D126" s="7" t="inlineStr">
        <is>
          <t>LRFD1</t>
        </is>
      </c>
      <c r="E126" s="7" t="inlineStr">
        <is>
          <t>LRFD</t>
        </is>
      </c>
      <c r="F126" s="7" t="n">
        <v>5</v>
      </c>
      <c r="G126" s="7" t="n">
        <v>2</v>
      </c>
      <c r="H126" s="13" t="n">
        <v>1564.6</v>
      </c>
      <c r="I126" s="13" t="n">
        <v>1.56847013819199e-13</v>
      </c>
      <c r="J126" s="13" t="n">
        <v>9.585600102982912e-14</v>
      </c>
      <c r="K126" s="13" t="n">
        <v>4.813632112043878e-16</v>
      </c>
    </row>
    <row r="127">
      <c r="A127" s="7" t="inlineStr">
        <is>
          <t>WPA</t>
        </is>
      </c>
      <c r="B127" s="7" t="inlineStr">
        <is>
          <t>M3</t>
        </is>
      </c>
      <c r="C127" s="7" t="inlineStr">
        <is>
          <t>Liquefied</t>
        </is>
      </c>
      <c r="D127" s="7" t="inlineStr">
        <is>
          <t>LRFD1</t>
        </is>
      </c>
      <c r="E127" s="7" t="inlineStr">
        <is>
          <t>LRFD</t>
        </is>
      </c>
      <c r="F127" s="7" t="n">
        <v>6</v>
      </c>
      <c r="G127" s="7" t="n">
        <v>2</v>
      </c>
      <c r="H127" s="13" t="n">
        <v>1564.6</v>
      </c>
      <c r="I127" s="13" t="n">
        <v>1.56847013819199e-13</v>
      </c>
      <c r="J127" s="13" t="n">
        <v>9.585600102982912e-14</v>
      </c>
      <c r="K127" s="13" t="n">
        <v>4.813632112043878e-16</v>
      </c>
    </row>
    <row r="128">
      <c r="A128" s="7" t="inlineStr">
        <is>
          <t>WPA</t>
        </is>
      </c>
      <c r="B128" s="7" t="inlineStr">
        <is>
          <t>M3</t>
        </is>
      </c>
      <c r="C128" s="7" t="inlineStr">
        <is>
          <t>Liquefied</t>
        </is>
      </c>
      <c r="D128" s="7" t="inlineStr">
        <is>
          <t>LRFD1</t>
        </is>
      </c>
      <c r="E128" s="7" t="inlineStr">
        <is>
          <t>LRFD</t>
        </is>
      </c>
      <c r="F128" s="7" t="n">
        <v>7</v>
      </c>
      <c r="G128" s="7" t="n">
        <v>2</v>
      </c>
      <c r="H128" s="13" t="n">
        <v>1564.6</v>
      </c>
      <c r="I128" s="13" t="n">
        <v>1.56847013819199e-13</v>
      </c>
      <c r="J128" s="13" t="n">
        <v>9.585600102982912e-14</v>
      </c>
      <c r="K128" s="13" t="n">
        <v>4.813632112043878e-16</v>
      </c>
    </row>
    <row r="129">
      <c r="A129" s="7" t="inlineStr">
        <is>
          <t>WPA</t>
        </is>
      </c>
      <c r="B129" s="7" t="inlineStr">
        <is>
          <t>M3</t>
        </is>
      </c>
      <c r="C129" s="7" t="inlineStr">
        <is>
          <t>Liquefied</t>
        </is>
      </c>
      <c r="D129" s="7" t="inlineStr">
        <is>
          <t>LRFD1</t>
        </is>
      </c>
      <c r="E129" s="7" t="inlineStr">
        <is>
          <t>LRFD</t>
        </is>
      </c>
      <c r="F129" s="7" t="n">
        <v>8</v>
      </c>
      <c r="G129" s="7" t="n">
        <v>2</v>
      </c>
      <c r="H129" s="13" t="n">
        <v>1564.6</v>
      </c>
      <c r="I129" s="13" t="n">
        <v>1.56847013819199e-13</v>
      </c>
      <c r="J129" s="13" t="n">
        <v>9.585600102982912e-14</v>
      </c>
      <c r="K129" s="13" t="n">
        <v>4.813632112043878e-16</v>
      </c>
    </row>
    <row r="130">
      <c r="A130" s="7" t="inlineStr">
        <is>
          <t>WPA</t>
        </is>
      </c>
      <c r="B130" s="7" t="inlineStr">
        <is>
          <t>M3</t>
        </is>
      </c>
      <c r="C130" s="7" t="inlineStr">
        <is>
          <t>Liquefied</t>
        </is>
      </c>
      <c r="D130" s="7" t="inlineStr">
        <is>
          <t>LRFD2(max)</t>
        </is>
      </c>
      <c r="E130" s="7" t="inlineStr">
        <is>
          <t>LRFD</t>
        </is>
      </c>
      <c r="F130" s="7" t="n">
        <v>1</v>
      </c>
      <c r="G130" s="7" t="n">
        <v>1</v>
      </c>
      <c r="H130" s="13" t="n">
        <v>7006</v>
      </c>
      <c r="I130" s="13" t="n">
        <v>894.2926356601624</v>
      </c>
      <c r="J130" s="13" t="n">
        <v>3.856026659658877</v>
      </c>
      <c r="K130" s="13" t="n">
        <v>4.211518013685802</v>
      </c>
    </row>
    <row r="131">
      <c r="A131" s="7" t="inlineStr">
        <is>
          <t>WPA</t>
        </is>
      </c>
      <c r="B131" s="7" t="inlineStr">
        <is>
          <t>M3</t>
        </is>
      </c>
      <c r="C131" s="7" t="inlineStr">
        <is>
          <t>Liquefied</t>
        </is>
      </c>
      <c r="D131" s="7" t="inlineStr">
        <is>
          <t>LRFD2(max)</t>
        </is>
      </c>
      <c r="E131" s="7" t="inlineStr">
        <is>
          <t>LRFD</t>
        </is>
      </c>
      <c r="F131" s="7" t="n">
        <v>2</v>
      </c>
      <c r="G131" s="7" t="n">
        <v>1</v>
      </c>
      <c r="H131" s="13" t="n">
        <v>5635.8</v>
      </c>
      <c r="I131" s="13" t="n">
        <v>896.1118500996402</v>
      </c>
      <c r="J131" s="13" t="n">
        <v>2.458673993827567</v>
      </c>
      <c r="K131" s="13" t="n">
        <v>4.211522659335932</v>
      </c>
    </row>
    <row r="132">
      <c r="A132" s="7" t="inlineStr">
        <is>
          <t>WPA</t>
        </is>
      </c>
      <c r="B132" s="7" t="inlineStr">
        <is>
          <t>M3</t>
        </is>
      </c>
      <c r="C132" s="7" t="inlineStr">
        <is>
          <t>Liquefied</t>
        </is>
      </c>
      <c r="D132" s="7" t="inlineStr">
        <is>
          <t>LRFD2(max)</t>
        </is>
      </c>
      <c r="E132" s="7" t="inlineStr">
        <is>
          <t>LRFD</t>
        </is>
      </c>
      <c r="F132" s="7" t="n">
        <v>3</v>
      </c>
      <c r="G132" s="7" t="n">
        <v>1</v>
      </c>
      <c r="H132" s="13" t="n">
        <v>3288.8</v>
      </c>
      <c r="I132" s="13" t="n">
        <v>899.2316829382737</v>
      </c>
      <c r="J132" s="13" t="n">
        <v>0.06597852360427596</v>
      </c>
      <c r="K132" s="13" t="n">
        <v>4.211527310323418</v>
      </c>
    </row>
    <row r="133">
      <c r="A133" s="7" t="inlineStr">
        <is>
          <t>WPA</t>
        </is>
      </c>
      <c r="B133" s="7" t="inlineStr">
        <is>
          <t>M3</t>
        </is>
      </c>
      <c r="C133" s="7" t="inlineStr">
        <is>
          <t>Liquefied</t>
        </is>
      </c>
      <c r="D133" s="7" t="inlineStr">
        <is>
          <t>LRFD2(max)</t>
        </is>
      </c>
      <c r="E133" s="7" t="inlineStr">
        <is>
          <t>LRFD</t>
        </is>
      </c>
      <c r="F133" s="7" t="n">
        <v>4</v>
      </c>
      <c r="G133" s="7" t="n">
        <v>1</v>
      </c>
      <c r="H133" s="13" t="n">
        <v>182.08</v>
      </c>
      <c r="I133" s="13" t="n">
        <v>903.3420041468237</v>
      </c>
      <c r="J133" s="13" t="n">
        <v>3.106574274019535</v>
      </c>
      <c r="K133" s="13" t="n">
        <v>4.211531656060536</v>
      </c>
    </row>
    <row r="134">
      <c r="A134" s="7" t="inlineStr">
        <is>
          <t>WPA</t>
        </is>
      </c>
      <c r="B134" s="7" t="inlineStr">
        <is>
          <t>M3</t>
        </is>
      </c>
      <c r="C134" s="7" t="inlineStr">
        <is>
          <t>Liquefied</t>
        </is>
      </c>
      <c r="D134" s="7" t="inlineStr">
        <is>
          <t>LRFD2(max)</t>
        </is>
      </c>
      <c r="E134" s="7" t="inlineStr">
        <is>
          <t>LRFD</t>
        </is>
      </c>
      <c r="F134" s="7" t="n">
        <v>5</v>
      </c>
      <c r="G134" s="7" t="n">
        <v>2</v>
      </c>
      <c r="H134" s="13" t="n">
        <v>6918.6</v>
      </c>
      <c r="I134" s="13" t="n">
        <v>894.6026101146809</v>
      </c>
      <c r="J134" s="13" t="n">
        <v>3.869177236829556</v>
      </c>
      <c r="K134" s="13" t="n">
        <v>4.210918301225992</v>
      </c>
    </row>
    <row r="135">
      <c r="A135" s="7" t="inlineStr">
        <is>
          <t>WPA</t>
        </is>
      </c>
      <c r="B135" s="7" t="inlineStr">
        <is>
          <t>M3</t>
        </is>
      </c>
      <c r="C135" s="7" t="inlineStr">
        <is>
          <t>Liquefied</t>
        </is>
      </c>
      <c r="D135" s="7" t="inlineStr">
        <is>
          <t>LRFD2(max)</t>
        </is>
      </c>
      <c r="E135" s="7" t="inlineStr">
        <is>
          <t>LRFD</t>
        </is>
      </c>
      <c r="F135" s="7" t="n">
        <v>6</v>
      </c>
      <c r="G135" s="7" t="n">
        <v>2</v>
      </c>
      <c r="H135" s="13" t="n">
        <v>5429.3</v>
      </c>
      <c r="I135" s="13" t="n">
        <v>896.5818719587186</v>
      </c>
      <c r="J135" s="13" t="n">
        <v>2.3504897092923</v>
      </c>
      <c r="K135" s="13" t="n">
        <v>4.210922947537749</v>
      </c>
    </row>
    <row r="136">
      <c r="A136" s="7" t="inlineStr">
        <is>
          <t>WPA</t>
        </is>
      </c>
      <c r="B136" s="7" t="inlineStr">
        <is>
          <t>M3</t>
        </is>
      </c>
      <c r="C136" s="7" t="inlineStr">
        <is>
          <t>Liquefied</t>
        </is>
      </c>
      <c r="D136" s="7" t="inlineStr">
        <is>
          <t>LRFD2(max)</t>
        </is>
      </c>
      <c r="E136" s="7" t="inlineStr">
        <is>
          <t>LRFD</t>
        </is>
      </c>
      <c r="F136" s="7" t="n">
        <v>7</v>
      </c>
      <c r="G136" s="7" t="n">
        <v>2</v>
      </c>
      <c r="H136" s="13" t="n">
        <v>2993.2</v>
      </c>
      <c r="I136" s="13" t="n">
        <v>899.8117763088012</v>
      </c>
      <c r="J136" s="13" t="n">
        <v>0.1354630131105904</v>
      </c>
      <c r="K136" s="13" t="n">
        <v>4.210927599187618</v>
      </c>
    </row>
    <row r="137">
      <c r="A137" s="7" t="inlineStr">
        <is>
          <t>WPA</t>
        </is>
      </c>
      <c r="B137" s="7" t="inlineStr">
        <is>
          <t>M3</t>
        </is>
      </c>
      <c r="C137" s="7" t="inlineStr">
        <is>
          <t>Liquefied</t>
        </is>
      </c>
      <c r="D137" s="7" t="inlineStr">
        <is>
          <t>LRFD2(max)</t>
        </is>
      </c>
      <c r="E137" s="7" t="inlineStr">
        <is>
          <t>LRFD</t>
        </is>
      </c>
      <c r="F137" s="7" t="n">
        <v>8</v>
      </c>
      <c r="G137" s="7" t="n">
        <v>2</v>
      </c>
      <c r="H137" s="13" t="n">
        <v>-309.1</v>
      </c>
      <c r="I137" s="13" t="n">
        <v>904.1922161332733</v>
      </c>
      <c r="J137" s="13" t="n">
        <v>3.505286426242511</v>
      </c>
      <c r="K137" s="13" t="n">
        <v>4.210931945543646</v>
      </c>
    </row>
    <row r="138">
      <c r="A138" s="7" t="inlineStr">
        <is>
          <t>WPA</t>
        </is>
      </c>
      <c r="B138" s="7" t="inlineStr">
        <is>
          <t>M3</t>
        </is>
      </c>
      <c r="C138" s="7" t="inlineStr">
        <is>
          <t>Liquefied</t>
        </is>
      </c>
      <c r="D138" s="7" t="inlineStr">
        <is>
          <t>LRFD2(min)</t>
        </is>
      </c>
      <c r="E138" s="7" t="inlineStr">
        <is>
          <t>LRFD</t>
        </is>
      </c>
      <c r="F138" s="7" t="n">
        <v>1</v>
      </c>
      <c r="G138" s="7" t="n">
        <v>1</v>
      </c>
      <c r="H138" s="13" t="n">
        <v>-2559.9</v>
      </c>
      <c r="I138" s="13" t="n">
        <v>717.815075228293</v>
      </c>
      <c r="J138" s="13" t="n">
        <v>2.861218680912034</v>
      </c>
      <c r="K138" s="13" t="n">
        <v>3.232912634142779</v>
      </c>
    </row>
    <row r="139">
      <c r="A139" s="7" t="inlineStr">
        <is>
          <t>WPA</t>
        </is>
      </c>
      <c r="B139" s="7" t="inlineStr">
        <is>
          <t>M3</t>
        </is>
      </c>
      <c r="C139" s="7" t="inlineStr">
        <is>
          <t>Liquefied</t>
        </is>
      </c>
      <c r="D139" s="7" t="inlineStr">
        <is>
          <t>LRFD2(min)</t>
        </is>
      </c>
      <c r="E139" s="7" t="inlineStr">
        <is>
          <t>LRFD</t>
        </is>
      </c>
      <c r="F139" s="7" t="n">
        <v>2</v>
      </c>
      <c r="G139" s="7" t="n">
        <v>1</v>
      </c>
      <c r="H139" s="13" t="n">
        <v>82.774</v>
      </c>
      <c r="I139" s="13" t="n">
        <v>715.1049386516639</v>
      </c>
      <c r="J139" s="13" t="n">
        <v>0.7599660966016839</v>
      </c>
      <c r="K139" s="13" t="n">
        <v>3.232909477544956</v>
      </c>
    </row>
    <row r="140">
      <c r="A140" s="7" t="inlineStr">
        <is>
          <t>WPA</t>
        </is>
      </c>
      <c r="B140" s="7" t="inlineStr">
        <is>
          <t>M3</t>
        </is>
      </c>
      <c r="C140" s="7" t="inlineStr">
        <is>
          <t>Liquefied</t>
        </is>
      </c>
      <c r="D140" s="7" t="inlineStr">
        <is>
          <t>LRFD2(min)</t>
        </is>
      </c>
      <c r="E140" s="7" t="inlineStr">
        <is>
          <t>LRFD</t>
        </is>
      </c>
      <c r="F140" s="7" t="n">
        <v>3</v>
      </c>
      <c r="G140" s="7" t="n">
        <v>1</v>
      </c>
      <c r="H140" s="13" t="n">
        <v>2672.8</v>
      </c>
      <c r="I140" s="13" t="n">
        <v>712.4448107916852</v>
      </c>
      <c r="J140" s="13" t="n">
        <v>1.298090872820543</v>
      </c>
      <c r="K140" s="13" t="n">
        <v>3.232906324037243</v>
      </c>
    </row>
    <row r="141">
      <c r="A141" s="7" t="inlineStr">
        <is>
          <t>WPA</t>
        </is>
      </c>
      <c r="B141" s="7" t="inlineStr">
        <is>
          <t>M3</t>
        </is>
      </c>
      <c r="C141" s="7" t="inlineStr">
        <is>
          <t>Liquefied</t>
        </is>
      </c>
      <c r="D141" s="7" t="inlineStr">
        <is>
          <t>LRFD2(min)</t>
        </is>
      </c>
      <c r="E141" s="7" t="inlineStr">
        <is>
          <t>LRFD</t>
        </is>
      </c>
      <c r="F141" s="7" t="n">
        <v>4</v>
      </c>
      <c r="G141" s="7" t="n">
        <v>1</v>
      </c>
      <c r="H141" s="13" t="n">
        <v>4623.8</v>
      </c>
      <c r="I141" s="13" t="n">
        <v>710.435023945892</v>
      </c>
      <c r="J141" s="13" t="n">
        <v>2.847697415456916</v>
      </c>
      <c r="K141" s="13" t="n">
        <v>3.232902858747846</v>
      </c>
    </row>
    <row r="142">
      <c r="A142" s="7" t="inlineStr">
        <is>
          <t>WPA</t>
        </is>
      </c>
      <c r="B142" s="7" t="inlineStr">
        <is>
          <t>M3</t>
        </is>
      </c>
      <c r="C142" s="7" t="inlineStr">
        <is>
          <t>Liquefied</t>
        </is>
      </c>
      <c r="D142" s="7" t="inlineStr">
        <is>
          <t>LRFD2(min)</t>
        </is>
      </c>
      <c r="E142" s="7" t="inlineStr">
        <is>
          <t>LRFD</t>
        </is>
      </c>
      <c r="F142" s="7" t="n">
        <v>5</v>
      </c>
      <c r="G142" s="7" t="n">
        <v>2</v>
      </c>
      <c r="H142" s="13" t="n">
        <v>-2322</v>
      </c>
      <c r="I142" s="13" t="n">
        <v>717.4250165620098</v>
      </c>
      <c r="J142" s="13" t="n">
        <v>2.752756073465283</v>
      </c>
      <c r="K142" s="13" t="n">
        <v>3.233312434640364</v>
      </c>
    </row>
    <row r="143">
      <c r="A143" s="7" t="inlineStr">
        <is>
          <t>WPA</t>
        </is>
      </c>
      <c r="B143" s="7" t="inlineStr">
        <is>
          <t>M3</t>
        </is>
      </c>
      <c r="C143" s="7" t="inlineStr">
        <is>
          <t>Liquefied</t>
        </is>
      </c>
      <c r="D143" s="7" t="inlineStr">
        <is>
          <t>LRFD2(min)</t>
        </is>
      </c>
      <c r="E143" s="7" t="inlineStr">
        <is>
          <t>LRFD</t>
        </is>
      </c>
      <c r="F143" s="7" t="n">
        <v>6</v>
      </c>
      <c r="G143" s="7" t="n">
        <v>2</v>
      </c>
      <c r="H143" s="13" t="n">
        <v>466.84</v>
      </c>
      <c r="I143" s="13" t="n">
        <v>714.5647971492858</v>
      </c>
      <c r="J143" s="13" t="n">
        <v>0.5352580808880889</v>
      </c>
      <c r="K143" s="13" t="n">
        <v>3.233309278432857</v>
      </c>
    </row>
    <row r="144">
      <c r="A144" s="7" t="inlineStr">
        <is>
          <t>WPA</t>
        </is>
      </c>
      <c r="B144" s="7" t="inlineStr">
        <is>
          <t>M3</t>
        </is>
      </c>
      <c r="C144" s="7" t="inlineStr">
        <is>
          <t>Liquefied</t>
        </is>
      </c>
      <c r="D144" s="7" t="inlineStr">
        <is>
          <t>LRFD2(min)</t>
        </is>
      </c>
      <c r="E144" s="7" t="inlineStr">
        <is>
          <t>LRFD</t>
        </is>
      </c>
      <c r="F144" s="7" t="n">
        <v>7</v>
      </c>
      <c r="G144" s="7" t="n">
        <v>2</v>
      </c>
      <c r="H144" s="13" t="n">
        <v>2906.7</v>
      </c>
      <c r="I144" s="13" t="n">
        <v>712.0647476009468</v>
      </c>
      <c r="J144" s="13" t="n">
        <v>1.403544813081862</v>
      </c>
      <c r="K144" s="13" t="n">
        <v>3.233306125315078</v>
      </c>
    </row>
    <row r="145">
      <c r="A145" s="7" t="inlineStr">
        <is>
          <t>WPA</t>
        </is>
      </c>
      <c r="B145" s="7" t="inlineStr">
        <is>
          <t>M3</t>
        </is>
      </c>
      <c r="C145" s="7" t="inlineStr">
        <is>
          <t>Liquefied</t>
        </is>
      </c>
      <c r="D145" s="7" t="inlineStr">
        <is>
          <t>LRFD2(min)</t>
        </is>
      </c>
      <c r="E145" s="7" t="inlineStr">
        <is>
          <t>LRFD</t>
        </is>
      </c>
      <c r="F145" s="7" t="n">
        <v>8</v>
      </c>
      <c r="G145" s="7" t="n">
        <v>2</v>
      </c>
      <c r="H145" s="13" t="n">
        <v>4857.7</v>
      </c>
      <c r="I145" s="13" t="n">
        <v>710.0549609720364</v>
      </c>
      <c r="J145" s="13" t="n">
        <v>2.953058050563856</v>
      </c>
      <c r="K145" s="13" t="n">
        <v>3.233302660454168</v>
      </c>
    </row>
    <row r="146">
      <c r="A146" s="7" t="inlineStr">
        <is>
          <t>WPA</t>
        </is>
      </c>
      <c r="B146" s="7" t="inlineStr">
        <is>
          <t>M3</t>
        </is>
      </c>
      <c r="C146" s="7" t="inlineStr">
        <is>
          <t>Liquefied</t>
        </is>
      </c>
      <c r="D146" s="7" t="inlineStr">
        <is>
          <t>LRFD3</t>
        </is>
      </c>
      <c r="E146" s="7" t="inlineStr">
        <is>
          <t>LRFD</t>
        </is>
      </c>
      <c r="F146" s="7" t="n">
        <v>1</v>
      </c>
      <c r="G146" s="7" t="n">
        <v>1</v>
      </c>
      <c r="H146" s="13" t="n">
        <v>1216</v>
      </c>
      <c r="I146" s="13" t="n">
        <v>467.4523228095032</v>
      </c>
      <c r="J146" s="13" t="n">
        <v>309.7540285145619</v>
      </c>
      <c r="K146" s="13" t="n">
        <v>1.716615622205507</v>
      </c>
    </row>
    <row r="147">
      <c r="A147" s="7" t="inlineStr">
        <is>
          <t>WPA</t>
        </is>
      </c>
      <c r="B147" s="7" t="inlineStr">
        <is>
          <t>M3</t>
        </is>
      </c>
      <c r="C147" s="7" t="inlineStr">
        <is>
          <t>Liquefied</t>
        </is>
      </c>
      <c r="D147" s="7" t="inlineStr">
        <is>
          <t>LRFD3</t>
        </is>
      </c>
      <c r="E147" s="7" t="inlineStr">
        <is>
          <t>LRFD</t>
        </is>
      </c>
      <c r="F147" s="7" t="n">
        <v>2</v>
      </c>
      <c r="G147" s="7" t="n">
        <v>1</v>
      </c>
      <c r="H147" s="13" t="n">
        <v>1460.4</v>
      </c>
      <c r="I147" s="13" t="n">
        <v>467.4618275324735</v>
      </c>
      <c r="J147" s="13" t="n">
        <v>309.6916740308012</v>
      </c>
      <c r="K147" s="13" t="n">
        <v>1.716613033534349</v>
      </c>
    </row>
    <row r="148">
      <c r="A148" s="7" t="inlineStr">
        <is>
          <t>WPA</t>
        </is>
      </c>
      <c r="B148" s="7" t="inlineStr">
        <is>
          <t>M3</t>
        </is>
      </c>
      <c r="C148" s="7" t="inlineStr">
        <is>
          <t>Liquefied</t>
        </is>
      </c>
      <c r="D148" s="7" t="inlineStr">
        <is>
          <t>LRFD3</t>
        </is>
      </c>
      <c r="E148" s="7" t="inlineStr">
        <is>
          <t>LRFD</t>
        </is>
      </c>
      <c r="F148" s="7" t="n">
        <v>3</v>
      </c>
      <c r="G148" s="7" t="n">
        <v>1</v>
      </c>
      <c r="H148" s="13" t="n">
        <v>1704.7</v>
      </c>
      <c r="I148" s="13" t="n">
        <v>467.4808370404074</v>
      </c>
      <c r="J148" s="13" t="n">
        <v>309.6296069112254</v>
      </c>
      <c r="K148" s="13" t="n">
        <v>1.716613033534349</v>
      </c>
    </row>
    <row r="149">
      <c r="A149" s="7" t="inlineStr">
        <is>
          <t>WPA</t>
        </is>
      </c>
      <c r="B149" s="7" t="inlineStr">
        <is>
          <t>M3</t>
        </is>
      </c>
      <c r="C149" s="7" t="inlineStr">
        <is>
          <t>Liquefied</t>
        </is>
      </c>
      <c r="D149" s="7" t="inlineStr">
        <is>
          <t>LRFD3</t>
        </is>
      </c>
      <c r="E149" s="7" t="inlineStr">
        <is>
          <t>LRFD</t>
        </is>
      </c>
      <c r="F149" s="7" t="n">
        <v>4</v>
      </c>
      <c r="G149" s="7" t="n">
        <v>1</v>
      </c>
      <c r="H149" s="13" t="n">
        <v>1943.1</v>
      </c>
      <c r="I149" s="13" t="n">
        <v>467.4903418253686</v>
      </c>
      <c r="J149" s="13" t="n">
        <v>309.5672524363648</v>
      </c>
      <c r="K149" s="13" t="n">
        <v>1.716610444917541</v>
      </c>
    </row>
    <row r="150">
      <c r="A150" s="7" t="inlineStr">
        <is>
          <t>WPA</t>
        </is>
      </c>
      <c r="B150" s="7" t="inlineStr">
        <is>
          <t>M3</t>
        </is>
      </c>
      <c r="C150" s="7" t="inlineStr">
        <is>
          <t>Liquefied</t>
        </is>
      </c>
      <c r="D150" s="7" t="inlineStr">
        <is>
          <t>LRFD3</t>
        </is>
      </c>
      <c r="E150" s="7" t="inlineStr">
        <is>
          <t>LRFD</t>
        </is>
      </c>
      <c r="F150" s="7" t="n">
        <v>5</v>
      </c>
      <c r="G150" s="7" t="n">
        <v>2</v>
      </c>
      <c r="H150" s="13" t="n">
        <v>1113.3</v>
      </c>
      <c r="I150" s="13" t="n">
        <v>467.4333134255623</v>
      </c>
      <c r="J150" s="13" t="n">
        <v>309.7844873859891</v>
      </c>
      <c r="K150" s="13" t="n">
        <v>1.716615622205507</v>
      </c>
    </row>
    <row r="151">
      <c r="A151" s="7" t="inlineStr">
        <is>
          <t>WPA</t>
        </is>
      </c>
      <c r="B151" s="7" t="inlineStr">
        <is>
          <t>M3</t>
        </is>
      </c>
      <c r="C151" s="7" t="inlineStr">
        <is>
          <t>Liquefied</t>
        </is>
      </c>
      <c r="D151" s="7" t="inlineStr">
        <is>
          <t>LRFD3</t>
        </is>
      </c>
      <c r="E151" s="7" t="inlineStr">
        <is>
          <t>LRFD</t>
        </is>
      </c>
      <c r="F151" s="7" t="n">
        <v>6</v>
      </c>
      <c r="G151" s="7" t="n">
        <v>2</v>
      </c>
      <c r="H151" s="13" t="n">
        <v>1357.7</v>
      </c>
      <c r="I151" s="13" t="n">
        <v>467.4523228095032</v>
      </c>
      <c r="J151" s="13" t="n">
        <v>309.7128420020713</v>
      </c>
      <c r="K151" s="13" t="n">
        <v>1.716613033534349</v>
      </c>
    </row>
    <row r="152">
      <c r="A152" s="7" t="inlineStr">
        <is>
          <t>WPA</t>
        </is>
      </c>
      <c r="B152" s="7" t="inlineStr">
        <is>
          <t>M3</t>
        </is>
      </c>
      <c r="C152" s="7" t="inlineStr">
        <is>
          <t>Liquefied</t>
        </is>
      </c>
      <c r="D152" s="7" t="inlineStr">
        <is>
          <t>LRFD3</t>
        </is>
      </c>
      <c r="E152" s="7" t="inlineStr">
        <is>
          <t>LRFD</t>
        </is>
      </c>
      <c r="F152" s="7" t="n">
        <v>7</v>
      </c>
      <c r="G152" s="7" t="n">
        <v>2</v>
      </c>
      <c r="H152" s="13" t="n">
        <v>1602.1</v>
      </c>
      <c r="I152" s="13" t="n">
        <v>467.4618275324735</v>
      </c>
      <c r="J152" s="13" t="n">
        <v>309.6504875242408</v>
      </c>
      <c r="K152" s="13" t="n">
        <v>1.716613033534349</v>
      </c>
    </row>
    <row r="153">
      <c r="A153" s="7" t="inlineStr">
        <is>
          <t>WPA</t>
        </is>
      </c>
      <c r="B153" s="7" t="inlineStr">
        <is>
          <t>M3</t>
        </is>
      </c>
      <c r="C153" s="7" t="inlineStr">
        <is>
          <t>Liquefied</t>
        </is>
      </c>
      <c r="D153" s="7" t="inlineStr">
        <is>
          <t>LRFD3</t>
        </is>
      </c>
      <c r="E153" s="7" t="inlineStr">
        <is>
          <t>LRFD</t>
        </is>
      </c>
      <c r="F153" s="7" t="n">
        <v>8</v>
      </c>
      <c r="G153" s="7" t="n">
        <v>2</v>
      </c>
      <c r="H153" s="13" t="n">
        <v>1846.4</v>
      </c>
      <c r="I153" s="13" t="n">
        <v>467.4808370404074</v>
      </c>
      <c r="J153" s="13" t="n">
        <v>309.5884204165266</v>
      </c>
      <c r="K153" s="13" t="n">
        <v>1.716610444917541</v>
      </c>
    </row>
    <row r="154">
      <c r="A154" s="7" t="inlineStr">
        <is>
          <t>WPA</t>
        </is>
      </c>
      <c r="B154" s="7" t="inlineStr">
        <is>
          <t>M3</t>
        </is>
      </c>
      <c r="C154" s="7" t="inlineStr">
        <is>
          <t>Liquefied</t>
        </is>
      </c>
      <c r="D154" s="7" t="inlineStr">
        <is>
          <t>LRFD4</t>
        </is>
      </c>
      <c r="E154" s="7" t="inlineStr">
        <is>
          <t>LRFD</t>
        </is>
      </c>
      <c r="F154" s="7" t="n">
        <v>1</v>
      </c>
      <c r="G154" s="7" t="n">
        <v>1</v>
      </c>
      <c r="H154" s="13" t="n">
        <v>1589.5</v>
      </c>
      <c r="I154" s="13" t="n">
        <v>502.653776669389</v>
      </c>
      <c r="J154" s="13" t="n">
        <v>309.6693566709499</v>
      </c>
      <c r="K154" s="13" t="n">
        <v>1.561075340782757</v>
      </c>
    </row>
    <row r="155">
      <c r="A155" s="7" t="inlineStr">
        <is>
          <t>WPA</t>
        </is>
      </c>
      <c r="B155" s="7" t="inlineStr">
        <is>
          <t>M3</t>
        </is>
      </c>
      <c r="C155" s="7" t="inlineStr">
        <is>
          <t>Liquefied</t>
        </is>
      </c>
      <c r="D155" s="7" t="inlineStr">
        <is>
          <t>LRFD4</t>
        </is>
      </c>
      <c r="E155" s="7" t="inlineStr">
        <is>
          <t>LRFD</t>
        </is>
      </c>
      <c r="F155" s="7" t="n">
        <v>2</v>
      </c>
      <c r="G155" s="7" t="n">
        <v>1</v>
      </c>
      <c r="H155" s="13" t="n">
        <v>1662.6</v>
      </c>
      <c r="I155" s="13" t="n">
        <v>502.653776669389</v>
      </c>
      <c r="J155" s="13" t="n">
        <v>309.6580543518932</v>
      </c>
      <c r="K155" s="13" t="n">
        <v>1.561075340782757</v>
      </c>
    </row>
    <row r="156">
      <c r="A156" s="7" t="inlineStr">
        <is>
          <t>WPA</t>
        </is>
      </c>
      <c r="B156" s="7" t="inlineStr">
        <is>
          <t>M3</t>
        </is>
      </c>
      <c r="C156" s="7" t="inlineStr">
        <is>
          <t>Liquefied</t>
        </is>
      </c>
      <c r="D156" s="7" t="inlineStr">
        <is>
          <t>LRFD4</t>
        </is>
      </c>
      <c r="E156" s="7" t="inlineStr">
        <is>
          <t>LRFD</t>
        </is>
      </c>
      <c r="F156" s="7" t="n">
        <v>3</v>
      </c>
      <c r="G156" s="7" t="n">
        <v>1</v>
      </c>
      <c r="H156" s="13" t="n">
        <v>1735.7</v>
      </c>
      <c r="I156" s="13" t="n">
        <v>502.6564298802911</v>
      </c>
      <c r="J156" s="13" t="n">
        <v>309.6371737388778</v>
      </c>
      <c r="K156" s="13" t="n">
        <v>1.561075340782757</v>
      </c>
    </row>
    <row r="157">
      <c r="A157" s="7" t="inlineStr">
        <is>
          <t>WPA</t>
        </is>
      </c>
      <c r="B157" s="7" t="inlineStr">
        <is>
          <t>M3</t>
        </is>
      </c>
      <c r="C157" s="7" t="inlineStr">
        <is>
          <t>Liquefied</t>
        </is>
      </c>
      <c r="D157" s="7" t="inlineStr">
        <is>
          <t>LRFD4</t>
        </is>
      </c>
      <c r="E157" s="7" t="inlineStr">
        <is>
          <t>LRFD</t>
        </is>
      </c>
      <c r="F157" s="7" t="n">
        <v>4</v>
      </c>
      <c r="G157" s="7" t="n">
        <v>1</v>
      </c>
      <c r="H157" s="13" t="n">
        <v>1808.7</v>
      </c>
      <c r="I157" s="13" t="n">
        <v>502.6467883116334</v>
      </c>
      <c r="J157" s="13" t="n">
        <v>309.616580460414</v>
      </c>
      <c r="K157" s="13" t="n">
        <v>1.561075340782757</v>
      </c>
    </row>
    <row r="158">
      <c r="A158" s="7" t="inlineStr">
        <is>
          <t>WPA</t>
        </is>
      </c>
      <c r="B158" s="7" t="inlineStr">
        <is>
          <t>M3</t>
        </is>
      </c>
      <c r="C158" s="7" t="inlineStr">
        <is>
          <t>Liquefied</t>
        </is>
      </c>
      <c r="D158" s="7" t="inlineStr">
        <is>
          <t>LRFD4</t>
        </is>
      </c>
      <c r="E158" s="7" t="inlineStr">
        <is>
          <t>LRFD</t>
        </is>
      </c>
      <c r="F158" s="7" t="n">
        <v>5</v>
      </c>
      <c r="G158" s="7" t="n">
        <v>2</v>
      </c>
      <c r="H158" s="13" t="n">
        <v>1252.2</v>
      </c>
      <c r="I158" s="13" t="n">
        <v>502.6511236434272</v>
      </c>
      <c r="J158" s="13" t="n">
        <v>309.7427261599536</v>
      </c>
      <c r="K158" s="13" t="n">
        <v>1.561072156211877</v>
      </c>
    </row>
    <row r="159">
      <c r="A159" s="7" t="inlineStr">
        <is>
          <t>WPA</t>
        </is>
      </c>
      <c r="B159" s="7" t="inlineStr">
        <is>
          <t>M3</t>
        </is>
      </c>
      <c r="C159" s="7" t="inlineStr">
        <is>
          <t>Liquefied</t>
        </is>
      </c>
      <c r="D159" s="7" t="inlineStr">
        <is>
          <t>LRFD4</t>
        </is>
      </c>
      <c r="E159" s="7" t="inlineStr">
        <is>
          <t>LRFD</t>
        </is>
      </c>
      <c r="F159" s="7" t="n">
        <v>6</v>
      </c>
      <c r="G159" s="7" t="n">
        <v>2</v>
      </c>
      <c r="H159" s="13" t="n">
        <v>1325.3</v>
      </c>
      <c r="I159" s="13" t="n">
        <v>502.6511236434272</v>
      </c>
      <c r="J159" s="13" t="n">
        <v>309.7314238320032</v>
      </c>
      <c r="K159" s="13" t="n">
        <v>1.561072156211877</v>
      </c>
    </row>
    <row r="160">
      <c r="A160" s="7" t="inlineStr">
        <is>
          <t>WPA</t>
        </is>
      </c>
      <c r="B160" s="7" t="inlineStr">
        <is>
          <t>M3</t>
        </is>
      </c>
      <c r="C160" s="7" t="inlineStr">
        <is>
          <t>Liquefied</t>
        </is>
      </c>
      <c r="D160" s="7" t="inlineStr">
        <is>
          <t>LRFD4</t>
        </is>
      </c>
      <c r="E160" s="7" t="inlineStr">
        <is>
          <t>LRFD</t>
        </is>
      </c>
      <c r="F160" s="7" t="n">
        <v>7</v>
      </c>
      <c r="G160" s="7" t="n">
        <v>2</v>
      </c>
      <c r="H160" s="13" t="n">
        <v>1398.3</v>
      </c>
      <c r="I160" s="13" t="n">
        <v>502.6511236434272</v>
      </c>
      <c r="J160" s="13" t="n">
        <v>309.710543218987</v>
      </c>
      <c r="K160" s="13" t="n">
        <v>1.561072156211877</v>
      </c>
    </row>
    <row r="161">
      <c r="A161" s="7" t="inlineStr">
        <is>
          <t>WPA</t>
        </is>
      </c>
      <c r="B161" s="7" t="inlineStr">
        <is>
          <t>M3</t>
        </is>
      </c>
      <c r="C161" s="7" t="inlineStr">
        <is>
          <t>Liquefied</t>
        </is>
      </c>
      <c r="D161" s="7" t="inlineStr">
        <is>
          <t>LRFD4</t>
        </is>
      </c>
      <c r="E161" s="7" t="inlineStr">
        <is>
          <t>LRFD</t>
        </is>
      </c>
      <c r="F161" s="7" t="n">
        <v>8</v>
      </c>
      <c r="G161" s="7" t="n">
        <v>2</v>
      </c>
      <c r="H161" s="13" t="n">
        <v>1471.4</v>
      </c>
      <c r="I161" s="13" t="n">
        <v>502.6414819729864</v>
      </c>
      <c r="J161" s="13" t="n">
        <v>309.6899499434878</v>
      </c>
      <c r="K161" s="13" t="n">
        <v>1.561072156211877</v>
      </c>
    </row>
    <row r="162">
      <c r="A162" s="7" t="inlineStr">
        <is>
          <t>WPD</t>
        </is>
      </c>
      <c r="B162" s="7" t="inlineStr">
        <is>
          <t>M1</t>
        </is>
      </c>
      <c r="C162" s="7" t="inlineStr">
        <is>
          <t>Non-liquefied</t>
        </is>
      </c>
      <c r="D162" s="7" t="inlineStr">
        <is>
          <t>ASD1 1C-A</t>
        </is>
      </c>
      <c r="E162" s="7" t="inlineStr">
        <is>
          <t>ASD</t>
        </is>
      </c>
      <c r="F162" s="7" t="n">
        <v>1</v>
      </c>
      <c r="G162" s="7" t="n">
        <v>1</v>
      </c>
      <c r="H162" s="13" t="n">
        <v>1216.9</v>
      </c>
      <c r="I162" s="13" t="n">
        <v>10.342</v>
      </c>
      <c r="J162" s="13" t="n">
        <v>0.0041186</v>
      </c>
      <c r="K162" s="13" t="n">
        <v>0.06479500000000001</v>
      </c>
    </row>
    <row r="163">
      <c r="A163" s="7" t="inlineStr">
        <is>
          <t>WPD</t>
        </is>
      </c>
      <c r="B163" s="7" t="inlineStr">
        <is>
          <t>M1</t>
        </is>
      </c>
      <c r="C163" s="7" t="inlineStr">
        <is>
          <t>Non-liquefied</t>
        </is>
      </c>
      <c r="D163" s="7" t="inlineStr">
        <is>
          <t>ASD1 1C-A</t>
        </is>
      </c>
      <c r="E163" s="7" t="inlineStr">
        <is>
          <t>ASD</t>
        </is>
      </c>
      <c r="F163" s="7" t="n">
        <v>2</v>
      </c>
      <c r="G163" s="7" t="n">
        <v>1</v>
      </c>
      <c r="H163" s="13" t="n">
        <v>1140</v>
      </c>
      <c r="I163" s="13" t="n">
        <v>10.344</v>
      </c>
      <c r="J163" s="13" t="n">
        <v>0.0029659</v>
      </c>
      <c r="K163" s="13" t="n">
        <v>0.06479500000000001</v>
      </c>
    </row>
    <row r="164">
      <c r="A164" s="7" t="inlineStr">
        <is>
          <t>WPD</t>
        </is>
      </c>
      <c r="B164" s="7" t="inlineStr">
        <is>
          <t>M1</t>
        </is>
      </c>
      <c r="C164" s="7" t="inlineStr">
        <is>
          <t>Non-liquefied</t>
        </is>
      </c>
      <c r="D164" s="7" t="inlineStr">
        <is>
          <t>ASD1 1C-A</t>
        </is>
      </c>
      <c r="E164" s="7" t="inlineStr">
        <is>
          <t>ASD</t>
        </is>
      </c>
      <c r="F164" s="7" t="n">
        <v>3</v>
      </c>
      <c r="G164" s="7" t="n">
        <v>1</v>
      </c>
      <c r="H164" s="13" t="n">
        <v>1063</v>
      </c>
      <c r="I164" s="13" t="n">
        <v>10.345</v>
      </c>
      <c r="J164" s="13" t="n">
        <v>0.0018131</v>
      </c>
      <c r="K164" s="13" t="n">
        <v>0.06479500000000001</v>
      </c>
    </row>
    <row r="165">
      <c r="A165" s="7" t="inlineStr">
        <is>
          <t>WPD</t>
        </is>
      </c>
      <c r="B165" s="7" t="inlineStr">
        <is>
          <t>M1</t>
        </is>
      </c>
      <c r="C165" s="7" t="inlineStr">
        <is>
          <t>Non-liquefied</t>
        </is>
      </c>
      <c r="D165" s="7" t="inlineStr">
        <is>
          <t>ASD1 1C-A</t>
        </is>
      </c>
      <c r="E165" s="7" t="inlineStr">
        <is>
          <t>ASD</t>
        </is>
      </c>
      <c r="F165" s="7" t="n">
        <v>4</v>
      </c>
      <c r="G165" s="7" t="n">
        <v>1</v>
      </c>
      <c r="H165" s="13" t="n">
        <v>986.11</v>
      </c>
      <c r="I165" s="13" t="n">
        <v>10.346</v>
      </c>
      <c r="J165" s="13" t="n">
        <v>0.00066024</v>
      </c>
      <c r="K165" s="13" t="n">
        <v>0.06479500000000001</v>
      </c>
    </row>
    <row r="166">
      <c r="A166" s="7" t="inlineStr">
        <is>
          <t>WPD</t>
        </is>
      </c>
      <c r="B166" s="7" t="inlineStr">
        <is>
          <t>M1</t>
        </is>
      </c>
      <c r="C166" s="7" t="inlineStr">
        <is>
          <t>Non-liquefied</t>
        </is>
      </c>
      <c r="D166" s="7" t="inlineStr">
        <is>
          <t>ASD1 1C-A</t>
        </is>
      </c>
      <c r="E166" s="7" t="inlineStr">
        <is>
          <t>ASD</t>
        </is>
      </c>
      <c r="F166" s="7" t="n">
        <v>5</v>
      </c>
      <c r="G166" s="7" t="n">
        <v>2</v>
      </c>
      <c r="H166" s="13" t="n">
        <v>1216.9</v>
      </c>
      <c r="I166" s="13" t="n">
        <v>10.342</v>
      </c>
      <c r="J166" s="13" t="n">
        <v>0.0041186</v>
      </c>
      <c r="K166" s="13" t="n">
        <v>0.06479500000000001</v>
      </c>
    </row>
    <row r="167">
      <c r="A167" s="7" t="inlineStr">
        <is>
          <t>WPD</t>
        </is>
      </c>
      <c r="B167" s="7" t="inlineStr">
        <is>
          <t>M1</t>
        </is>
      </c>
      <c r="C167" s="7" t="inlineStr">
        <is>
          <t>Non-liquefied</t>
        </is>
      </c>
      <c r="D167" s="7" t="inlineStr">
        <is>
          <t>ASD1 1C-A</t>
        </is>
      </c>
      <c r="E167" s="7" t="inlineStr">
        <is>
          <t>ASD</t>
        </is>
      </c>
      <c r="F167" s="7" t="n">
        <v>6</v>
      </c>
      <c r="G167" s="7" t="n">
        <v>2</v>
      </c>
      <c r="H167" s="13" t="n">
        <v>1140</v>
      </c>
      <c r="I167" s="13" t="n">
        <v>10.344</v>
      </c>
      <c r="J167" s="13" t="n">
        <v>0.0029659</v>
      </c>
      <c r="K167" s="13" t="n">
        <v>0.06479500000000001</v>
      </c>
    </row>
    <row r="168">
      <c r="A168" s="7" t="inlineStr">
        <is>
          <t>WPD</t>
        </is>
      </c>
      <c r="B168" s="7" t="inlineStr">
        <is>
          <t>M1</t>
        </is>
      </c>
      <c r="C168" s="7" t="inlineStr">
        <is>
          <t>Non-liquefied</t>
        </is>
      </c>
      <c r="D168" s="7" t="inlineStr">
        <is>
          <t>ASD1 1C-A</t>
        </is>
      </c>
      <c r="E168" s="7" t="inlineStr">
        <is>
          <t>ASD</t>
        </is>
      </c>
      <c r="F168" s="7" t="n">
        <v>7</v>
      </c>
      <c r="G168" s="7" t="n">
        <v>2</v>
      </c>
      <c r="H168" s="13" t="n">
        <v>1063</v>
      </c>
      <c r="I168" s="13" t="n">
        <v>10.345</v>
      </c>
      <c r="J168" s="13" t="n">
        <v>0.0018131</v>
      </c>
      <c r="K168" s="13" t="n">
        <v>0.06479500000000001</v>
      </c>
    </row>
    <row r="169">
      <c r="A169" s="7" t="inlineStr">
        <is>
          <t>WPD</t>
        </is>
      </c>
      <c r="B169" s="7" t="inlineStr">
        <is>
          <t>M1</t>
        </is>
      </c>
      <c r="C169" s="7" t="inlineStr">
        <is>
          <t>Non-liquefied</t>
        </is>
      </c>
      <c r="D169" s="7" t="inlineStr">
        <is>
          <t>ASD1 1C-A</t>
        </is>
      </c>
      <c r="E169" s="7" t="inlineStr">
        <is>
          <t>ASD</t>
        </is>
      </c>
      <c r="F169" s="7" t="n">
        <v>8</v>
      </c>
      <c r="G169" s="7" t="n">
        <v>2</v>
      </c>
      <c r="H169" s="13" t="n">
        <v>986.11</v>
      </c>
      <c r="I169" s="13" t="n">
        <v>10.346</v>
      </c>
      <c r="J169" s="13" t="n">
        <v>0.00066024</v>
      </c>
      <c r="K169" s="13" t="n">
        <v>0.06479500000000001</v>
      </c>
    </row>
    <row r="170">
      <c r="A170" s="7" t="inlineStr">
        <is>
          <t>WPD</t>
        </is>
      </c>
      <c r="B170" s="7" t="inlineStr">
        <is>
          <t>M1</t>
        </is>
      </c>
      <c r="C170" s="7" t="inlineStr">
        <is>
          <t>Non-liquefied</t>
        </is>
      </c>
      <c r="D170" s="7" t="inlineStr">
        <is>
          <t>ASD2(max) 1C-A</t>
        </is>
      </c>
      <c r="E170" s="7" t="inlineStr">
        <is>
          <t>ASD</t>
        </is>
      </c>
      <c r="F170" s="7" t="n">
        <v>1</v>
      </c>
      <c r="G170" s="7" t="n">
        <v>1</v>
      </c>
      <c r="H170" s="13" t="n">
        <v>6726.6</v>
      </c>
      <c r="I170" s="13" t="n">
        <v>271.2901667520591</v>
      </c>
      <c r="J170" s="13" t="n">
        <v>1.044145291200415</v>
      </c>
      <c r="K170" s="13" t="n">
        <v>1.769412737913062</v>
      </c>
    </row>
    <row r="171">
      <c r="A171" s="7" t="inlineStr">
        <is>
          <t>WPD</t>
        </is>
      </c>
      <c r="B171" s="7" t="inlineStr">
        <is>
          <t>M1</t>
        </is>
      </c>
      <c r="C171" s="7" t="inlineStr">
        <is>
          <t>Non-liquefied</t>
        </is>
      </c>
      <c r="D171" s="7" t="inlineStr">
        <is>
          <t>ASD2(max) 1C-A</t>
        </is>
      </c>
      <c r="E171" s="7" t="inlineStr">
        <is>
          <t>ASD</t>
        </is>
      </c>
      <c r="F171" s="7" t="n">
        <v>2</v>
      </c>
      <c r="G171" s="7" t="n">
        <v>1</v>
      </c>
      <c r="H171" s="13" t="n">
        <v>5506.7</v>
      </c>
      <c r="I171" s="13" t="n">
        <v>271.8300076321414</v>
      </c>
      <c r="J171" s="13" t="n">
        <v>0.5863469520889487</v>
      </c>
      <c r="K171" s="13" t="n">
        <v>1.769414015611948</v>
      </c>
    </row>
    <row r="172">
      <c r="A172" s="7" t="inlineStr">
        <is>
          <t>WPD</t>
        </is>
      </c>
      <c r="B172" s="7" t="inlineStr">
        <is>
          <t>M1</t>
        </is>
      </c>
      <c r="C172" s="7" t="inlineStr">
        <is>
          <t>Non-liquefied</t>
        </is>
      </c>
      <c r="D172" s="7" t="inlineStr">
        <is>
          <t>ASD2(max) 1C-A</t>
        </is>
      </c>
      <c r="E172" s="7" t="inlineStr">
        <is>
          <t>ASD</t>
        </is>
      </c>
      <c r="F172" s="7" t="n">
        <v>3</v>
      </c>
      <c r="G172" s="7" t="n">
        <v>1</v>
      </c>
      <c r="H172" s="13" t="n">
        <v>4100.7</v>
      </c>
      <c r="I172" s="13" t="n">
        <v>272.4498822103067</v>
      </c>
      <c r="J172" s="13" t="n">
        <v>0.05833198104162073</v>
      </c>
      <c r="K172" s="13" t="n">
        <v>1.769415322886066</v>
      </c>
    </row>
    <row r="173">
      <c r="A173" s="7" t="inlineStr">
        <is>
          <t>WPD</t>
        </is>
      </c>
      <c r="B173" s="7" t="inlineStr">
        <is>
          <t>M1</t>
        </is>
      </c>
      <c r="C173" s="7" t="inlineStr">
        <is>
          <t>Non-liquefied</t>
        </is>
      </c>
      <c r="D173" s="7" t="inlineStr">
        <is>
          <t>ASD2(max) 1C-A</t>
        </is>
      </c>
      <c r="E173" s="7" t="inlineStr">
        <is>
          <t>ASD</t>
        </is>
      </c>
      <c r="F173" s="7" t="n">
        <v>4</v>
      </c>
      <c r="G173" s="7" t="n">
        <v>1</v>
      </c>
      <c r="H173" s="13" t="n">
        <v>2441.3</v>
      </c>
      <c r="I173" s="13" t="n">
        <v>273.1798011002277</v>
      </c>
      <c r="J173" s="13" t="n">
        <v>0.5658608265015348</v>
      </c>
      <c r="K173" s="13" t="n">
        <v>1.769416602897407</v>
      </c>
    </row>
    <row r="174">
      <c r="A174" s="7" t="inlineStr">
        <is>
          <t>WPD</t>
        </is>
      </c>
      <c r="B174" s="7" t="inlineStr">
        <is>
          <t>M1</t>
        </is>
      </c>
      <c r="C174" s="7" t="inlineStr">
        <is>
          <t>Non-liquefied</t>
        </is>
      </c>
      <c r="D174" s="7" t="inlineStr">
        <is>
          <t>ASD2(max) 1C-A</t>
        </is>
      </c>
      <c r="E174" s="7" t="inlineStr">
        <is>
          <t>ASD</t>
        </is>
      </c>
      <c r="F174" s="7" t="n">
        <v>5</v>
      </c>
      <c r="G174" s="7" t="n">
        <v>2</v>
      </c>
      <c r="H174" s="13" t="n">
        <v>6594.8</v>
      </c>
      <c r="I174" s="13" t="n">
        <v>271.390174588709</v>
      </c>
      <c r="J174" s="13" t="n">
        <v>1.018210492462634</v>
      </c>
      <c r="K174" s="13" t="n">
        <v>1.769312778196382</v>
      </c>
    </row>
    <row r="175">
      <c r="A175" s="7" t="inlineStr">
        <is>
          <t>WPD</t>
        </is>
      </c>
      <c r="B175" s="7" t="inlineStr">
        <is>
          <t>M1</t>
        </is>
      </c>
      <c r="C175" s="7" t="inlineStr">
        <is>
          <t>Non-liquefied</t>
        </is>
      </c>
      <c r="D175" s="7" t="inlineStr">
        <is>
          <t>ASD2(max) 1C-A</t>
        </is>
      </c>
      <c r="E175" s="7" t="inlineStr">
        <is>
          <t>ASD</t>
        </is>
      </c>
      <c r="F175" s="7" t="n">
        <v>6</v>
      </c>
      <c r="G175" s="7" t="n">
        <v>2</v>
      </c>
      <c r="H175" s="13" t="n">
        <v>5375</v>
      </c>
      <c r="I175" s="13" t="n">
        <v>271.9400086351583</v>
      </c>
      <c r="J175" s="13" t="n">
        <v>0.560413851549906</v>
      </c>
      <c r="K175" s="13" t="n">
        <v>1.769314055967453</v>
      </c>
    </row>
    <row r="176">
      <c r="A176" s="7" t="inlineStr">
        <is>
          <t>WPD</t>
        </is>
      </c>
      <c r="B176" s="7" t="inlineStr">
        <is>
          <t>M1</t>
        </is>
      </c>
      <c r="C176" s="7" t="inlineStr">
        <is>
          <t>Non-liquefied</t>
        </is>
      </c>
      <c r="D176" s="7" t="inlineStr">
        <is>
          <t>ASD2(max) 1C-A</t>
        </is>
      </c>
      <c r="E176" s="7" t="inlineStr">
        <is>
          <t>ASD</t>
        </is>
      </c>
      <c r="F176" s="7" t="n">
        <v>7</v>
      </c>
      <c r="G176" s="7" t="n">
        <v>2</v>
      </c>
      <c r="H176" s="13" t="n">
        <v>3921.4</v>
      </c>
      <c r="I176" s="13" t="n">
        <v>272.5798922600308</v>
      </c>
      <c r="J176" s="13" t="n">
        <v>0.0149077804722903</v>
      </c>
      <c r="K176" s="13" t="n">
        <v>1.769315363315427</v>
      </c>
    </row>
    <row r="177">
      <c r="A177" s="7" t="inlineStr">
        <is>
          <t>WPD</t>
        </is>
      </c>
      <c r="B177" s="7" t="inlineStr">
        <is>
          <t>M1</t>
        </is>
      </c>
      <c r="C177" s="7" t="inlineStr">
        <is>
          <t>Non-liquefied</t>
        </is>
      </c>
      <c r="D177" s="7" t="inlineStr">
        <is>
          <t>ASD2(max) 1C-A</t>
        </is>
      </c>
      <c r="E177" s="7" t="inlineStr">
        <is>
          <t>ASD</t>
        </is>
      </c>
      <c r="F177" s="7" t="n">
        <v>8</v>
      </c>
      <c r="G177" s="7" t="n">
        <v>2</v>
      </c>
      <c r="H177" s="13" t="n">
        <v>2262</v>
      </c>
      <c r="I177" s="13" t="n">
        <v>273.3098112220635</v>
      </c>
      <c r="J177" s="13" t="n">
        <v>0.6097032782067028</v>
      </c>
      <c r="K177" s="13" t="n">
        <v>1.769316643399083</v>
      </c>
    </row>
    <row r="178">
      <c r="A178" s="7" t="inlineStr">
        <is>
          <t>WPD</t>
        </is>
      </c>
      <c r="B178" s="7" t="inlineStr">
        <is>
          <t>M1</t>
        </is>
      </c>
      <c r="C178" s="7" t="inlineStr">
        <is>
          <t>Non-liquefied</t>
        </is>
      </c>
      <c r="D178" s="7" t="inlineStr">
        <is>
          <t>ASD2(min) 1C-A</t>
        </is>
      </c>
      <c r="E178" s="7" t="inlineStr">
        <is>
          <t>ASD</t>
        </is>
      </c>
      <c r="F178" s="7" t="n">
        <v>1</v>
      </c>
      <c r="G178" s="7" t="n">
        <v>1</v>
      </c>
      <c r="H178" s="13" t="n">
        <v>3089.8</v>
      </c>
      <c r="I178" s="13" t="n">
        <v>30.68907379899237</v>
      </c>
      <c r="J178" s="13" t="n">
        <v>0.028760446884567</v>
      </c>
      <c r="K178" s="13" t="n">
        <v>0.195691668368891</v>
      </c>
    </row>
    <row r="179">
      <c r="A179" s="7" t="inlineStr">
        <is>
          <t>WPD</t>
        </is>
      </c>
      <c r="B179" s="7" t="inlineStr">
        <is>
          <t>M1</t>
        </is>
      </c>
      <c r="C179" s="7" t="inlineStr">
        <is>
          <t>Non-liquefied</t>
        </is>
      </c>
      <c r="D179" s="7" t="inlineStr">
        <is>
          <t>ASD2(min) 1C-A</t>
        </is>
      </c>
      <c r="E179" s="7" t="inlineStr">
        <is>
          <t>ASD</t>
        </is>
      </c>
      <c r="F179" s="7" t="n">
        <v>2</v>
      </c>
      <c r="G179" s="7" t="n">
        <v>1</v>
      </c>
      <c r="H179" s="13" t="n">
        <v>2909.5</v>
      </c>
      <c r="I179" s="13" t="n">
        <v>30.69691854828429</v>
      </c>
      <c r="J179" s="13" t="n">
        <v>0.02061285287411716</v>
      </c>
      <c r="K179" s="13" t="n">
        <v>0.1956927782622547</v>
      </c>
    </row>
    <row r="180">
      <c r="A180" s="7" t="inlineStr">
        <is>
          <t>WPD</t>
        </is>
      </c>
      <c r="B180" s="7" t="inlineStr">
        <is>
          <t>M1</t>
        </is>
      </c>
      <c r="C180" s="7" t="inlineStr">
        <is>
          <t>Non-liquefied</t>
        </is>
      </c>
      <c r="D180" s="7" t="inlineStr">
        <is>
          <t>ASD2(min) 1C-A</t>
        </is>
      </c>
      <c r="E180" s="7" t="inlineStr">
        <is>
          <t>ASD</t>
        </is>
      </c>
      <c r="F180" s="7" t="n">
        <v>3</v>
      </c>
      <c r="G180" s="7" t="n">
        <v>1</v>
      </c>
      <c r="H180" s="13" t="n">
        <v>2729.3</v>
      </c>
      <c r="I180" s="13" t="n">
        <v>30.70478557309919</v>
      </c>
      <c r="J180" s="13" t="n">
        <v>0.01248969357670555</v>
      </c>
      <c r="K180" s="13" t="n">
        <v>0.195693666264394</v>
      </c>
    </row>
    <row r="181">
      <c r="A181" s="7" t="inlineStr">
        <is>
          <t>WPD</t>
        </is>
      </c>
      <c r="B181" s="7" t="inlineStr">
        <is>
          <t>M1</t>
        </is>
      </c>
      <c r="C181" s="7" t="inlineStr">
        <is>
          <t>Non-liquefied</t>
        </is>
      </c>
      <c r="D181" s="7" t="inlineStr">
        <is>
          <t>ASD2(min) 1C-A</t>
        </is>
      </c>
      <c r="E181" s="7" t="inlineStr">
        <is>
          <t>ASD</t>
        </is>
      </c>
      <c r="F181" s="7" t="n">
        <v>4</v>
      </c>
      <c r="G181" s="7" t="n">
        <v>1</v>
      </c>
      <c r="H181" s="13" t="n">
        <v>2549.1</v>
      </c>
      <c r="I181" s="13" t="n">
        <v>30.71165540979516</v>
      </c>
      <c r="J181" s="13" t="n">
        <v>0.004537242530711798</v>
      </c>
      <c r="K181" s="13" t="n">
        <v>0.1956947763763765</v>
      </c>
    </row>
    <row r="182">
      <c r="A182" s="7" t="inlineStr">
        <is>
          <t>WPD</t>
        </is>
      </c>
      <c r="B182" s="7" t="inlineStr">
        <is>
          <t>M1</t>
        </is>
      </c>
      <c r="C182" s="7" t="inlineStr">
        <is>
          <t>Non-liquefied</t>
        </is>
      </c>
      <c r="D182" s="7" t="inlineStr">
        <is>
          <t>ASD2(min) 1C-A</t>
        </is>
      </c>
      <c r="E182" s="7" t="inlineStr">
        <is>
          <t>ASD</t>
        </is>
      </c>
      <c r="F182" s="7" t="n">
        <v>5</v>
      </c>
      <c r="G182" s="7" t="n">
        <v>2</v>
      </c>
      <c r="H182" s="13" t="n">
        <v>3245.7</v>
      </c>
      <c r="I182" s="13" t="n">
        <v>30.67704031177063</v>
      </c>
      <c r="J182" s="13" t="n">
        <v>0.03299247810350111</v>
      </c>
      <c r="K182" s="13" t="n">
        <v>0.1957111695049621</v>
      </c>
    </row>
    <row r="183">
      <c r="A183" s="7" t="inlineStr">
        <is>
          <t>WPD</t>
        </is>
      </c>
      <c r="B183" s="7" t="inlineStr">
        <is>
          <t>M1</t>
        </is>
      </c>
      <c r="C183" s="7" t="inlineStr">
        <is>
          <t>Non-liquefied</t>
        </is>
      </c>
      <c r="D183" s="7" t="inlineStr">
        <is>
          <t>ASD2(min) 1C-A</t>
        </is>
      </c>
      <c r="E183" s="7" t="inlineStr">
        <is>
          <t>ASD</t>
        </is>
      </c>
      <c r="F183" s="7" t="n">
        <v>6</v>
      </c>
      <c r="G183" s="7" t="n">
        <v>2</v>
      </c>
      <c r="H183" s="13" t="n">
        <v>3065.5</v>
      </c>
      <c r="I183" s="13" t="n">
        <v>30.6839099596189</v>
      </c>
      <c r="J183" s="13" t="n">
        <v>0.02483553388675186</v>
      </c>
      <c r="K183" s="13" t="n">
        <v>0.195712279287734</v>
      </c>
    </row>
    <row r="184">
      <c r="A184" s="7" t="inlineStr">
        <is>
          <t>WPD</t>
        </is>
      </c>
      <c r="B184" s="7" t="inlineStr">
        <is>
          <t>M1</t>
        </is>
      </c>
      <c r="C184" s="7" t="inlineStr">
        <is>
          <t>Non-liquefied</t>
        </is>
      </c>
      <c r="D184" s="7" t="inlineStr">
        <is>
          <t>ASD2(min) 1C-A</t>
        </is>
      </c>
      <c r="E184" s="7" t="inlineStr">
        <is>
          <t>ASD</t>
        </is>
      </c>
      <c r="F184" s="7" t="n">
        <v>7</v>
      </c>
      <c r="G184" s="7" t="n">
        <v>2</v>
      </c>
      <c r="H184" s="13" t="n">
        <v>2885.2</v>
      </c>
      <c r="I184" s="13" t="n">
        <v>30.69175471702457</v>
      </c>
      <c r="J184" s="13" t="n">
        <v>0.0166880518099028</v>
      </c>
      <c r="K184" s="13" t="n">
        <v>0.1957131672013919</v>
      </c>
    </row>
    <row r="185">
      <c r="A185" s="7" t="inlineStr">
        <is>
          <t>WPD</t>
        </is>
      </c>
      <c r="B185" s="7" t="inlineStr">
        <is>
          <t>M1</t>
        </is>
      </c>
      <c r="C185" s="7" t="inlineStr">
        <is>
          <t>Non-liquefied</t>
        </is>
      </c>
      <c r="D185" s="7" t="inlineStr">
        <is>
          <t>ASD2(min) 1C-A</t>
        </is>
      </c>
      <c r="E185" s="7" t="inlineStr">
        <is>
          <t>ASD</t>
        </is>
      </c>
      <c r="F185" s="7" t="n">
        <v>8</v>
      </c>
      <c r="G185" s="7" t="n">
        <v>2</v>
      </c>
      <c r="H185" s="13" t="n">
        <v>2705</v>
      </c>
      <c r="I185" s="13" t="n">
        <v>30.69962174946135</v>
      </c>
      <c r="J185" s="13" t="n">
        <v>0.008579575006956929</v>
      </c>
      <c r="K185" s="13" t="n">
        <v>0.1957142772027631</v>
      </c>
    </row>
    <row r="186">
      <c r="A186" s="7" t="inlineStr">
        <is>
          <t>WPD</t>
        </is>
      </c>
      <c r="B186" s="7" t="inlineStr">
        <is>
          <t>M1</t>
        </is>
      </c>
      <c r="C186" s="7" t="inlineStr">
        <is>
          <t>Non-liquefied</t>
        </is>
      </c>
      <c r="D186" s="7" t="inlineStr">
        <is>
          <t>ASD3 1C-A</t>
        </is>
      </c>
      <c r="E186" s="7" t="inlineStr">
        <is>
          <t>ASD</t>
        </is>
      </c>
      <c r="F186" s="7" t="n">
        <v>1</v>
      </c>
      <c r="G186" s="7" t="n">
        <v>1</v>
      </c>
      <c r="H186" s="13" t="n">
        <v>1096.8</v>
      </c>
      <c r="I186" s="13" t="n">
        <v>444.6591081941311</v>
      </c>
      <c r="J186" s="13" t="n">
        <v>216.8149946959389</v>
      </c>
      <c r="K186" s="13" t="n">
        <v>1.766170587004551</v>
      </c>
    </row>
    <row r="187">
      <c r="A187" s="7" t="inlineStr">
        <is>
          <t>WPD</t>
        </is>
      </c>
      <c r="B187" s="7" t="inlineStr">
        <is>
          <t>M1</t>
        </is>
      </c>
      <c r="C187" s="7" t="inlineStr">
        <is>
          <t>Non-liquefied</t>
        </is>
      </c>
      <c r="D187" s="7" t="inlineStr">
        <is>
          <t>ASD3 1C-A</t>
        </is>
      </c>
      <c r="E187" s="7" t="inlineStr">
        <is>
          <t>ASD</t>
        </is>
      </c>
      <c r="F187" s="7" t="n">
        <v>2</v>
      </c>
      <c r="G187" s="7" t="n">
        <v>1</v>
      </c>
      <c r="H187" s="13" t="n">
        <v>1223.3</v>
      </c>
      <c r="I187" s="13" t="n">
        <v>444.6466296959868</v>
      </c>
      <c r="J187" s="13" t="n">
        <v>216.7830990552538</v>
      </c>
      <c r="K187" s="13" t="n">
        <v>1.766164966813689</v>
      </c>
    </row>
    <row r="188">
      <c r="A188" s="7" t="inlineStr">
        <is>
          <t>WPD</t>
        </is>
      </c>
      <c r="B188" s="7" t="inlineStr">
        <is>
          <t>M1</t>
        </is>
      </c>
      <c r="C188" s="7" t="inlineStr">
        <is>
          <t>Non-liquefied</t>
        </is>
      </c>
      <c r="D188" s="7" t="inlineStr">
        <is>
          <t>ASD3 1C-A</t>
        </is>
      </c>
      <c r="E188" s="7" t="inlineStr">
        <is>
          <t>ASD</t>
        </is>
      </c>
      <c r="F188" s="7" t="n">
        <v>3</v>
      </c>
      <c r="G188" s="7" t="n">
        <v>1</v>
      </c>
      <c r="H188" s="13" t="n">
        <v>1336.9</v>
      </c>
      <c r="I188" s="13" t="n">
        <v>444.6437180485068</v>
      </c>
      <c r="J188" s="13" t="n">
        <v>216.7607817133902</v>
      </c>
      <c r="K188" s="13" t="n">
        <v>1.766159346831423</v>
      </c>
    </row>
    <row r="189">
      <c r="A189" s="7" t="inlineStr">
        <is>
          <t>WPD</t>
        </is>
      </c>
      <c r="B189" s="7" t="inlineStr">
        <is>
          <t>M1</t>
        </is>
      </c>
      <c r="C189" s="7" t="inlineStr">
        <is>
          <t>Non-liquefied</t>
        </is>
      </c>
      <c r="D189" s="7" t="inlineStr">
        <is>
          <t>ASD3 1C-A</t>
        </is>
      </c>
      <c r="E189" s="7" t="inlineStr">
        <is>
          <t>ASD</t>
        </is>
      </c>
      <c r="F189" s="7" t="n">
        <v>4</v>
      </c>
      <c r="G189" s="7" t="n">
        <v>1</v>
      </c>
      <c r="H189" s="13" t="n">
        <v>1438.3</v>
      </c>
      <c r="I189" s="13" t="n">
        <v>444.6341512974459</v>
      </c>
      <c r="J189" s="13" t="n">
        <v>216.7294607938662</v>
      </c>
      <c r="K189" s="13" t="n">
        <v>1.766153727057755</v>
      </c>
    </row>
    <row r="190">
      <c r="A190" s="7" t="inlineStr">
        <is>
          <t>WPD</t>
        </is>
      </c>
      <c r="B190" s="7" t="inlineStr">
        <is>
          <t>M1</t>
        </is>
      </c>
      <c r="C190" s="7" t="inlineStr">
        <is>
          <t>Non-liquefied</t>
        </is>
      </c>
      <c r="D190" s="7" t="inlineStr">
        <is>
          <t>ASD3 1C-A</t>
        </is>
      </c>
      <c r="E190" s="7" t="inlineStr">
        <is>
          <t>ASD</t>
        </is>
      </c>
      <c r="F190" s="7" t="n">
        <v>5</v>
      </c>
      <c r="G190" s="7" t="n">
        <v>2</v>
      </c>
      <c r="H190" s="13" t="n">
        <v>1006.6</v>
      </c>
      <c r="I190" s="13" t="n">
        <v>444.6399749235329</v>
      </c>
      <c r="J190" s="13" t="n">
        <v>216.8358753089534</v>
      </c>
      <c r="K190" s="13" t="n">
        <v>1.766074616883443</v>
      </c>
    </row>
    <row r="191">
      <c r="A191" s="7" t="inlineStr">
        <is>
          <t>WPD</t>
        </is>
      </c>
      <c r="B191" s="7" t="inlineStr">
        <is>
          <t>M1</t>
        </is>
      </c>
      <c r="C191" s="7" t="inlineStr">
        <is>
          <t>Non-liquefied</t>
        </is>
      </c>
      <c r="D191" s="7" t="inlineStr">
        <is>
          <t>ASD3 1C-A</t>
        </is>
      </c>
      <c r="E191" s="7" t="inlineStr">
        <is>
          <t>ASD</t>
        </is>
      </c>
      <c r="F191" s="7" t="n">
        <v>6</v>
      </c>
      <c r="G191" s="7" t="n">
        <v>2</v>
      </c>
      <c r="H191" s="13" t="n">
        <v>1133.1</v>
      </c>
      <c r="I191" s="13" t="n">
        <v>444.6370630075725</v>
      </c>
      <c r="J191" s="13" t="n">
        <v>216.8039796682708</v>
      </c>
      <c r="K191" s="13" t="n">
        <v>1.766068996387174</v>
      </c>
    </row>
    <row r="192">
      <c r="A192" s="7" t="inlineStr">
        <is>
          <t>WPD</t>
        </is>
      </c>
      <c r="B192" s="7" t="inlineStr">
        <is>
          <t>M1</t>
        </is>
      </c>
      <c r="C192" s="7" t="inlineStr">
        <is>
          <t>Non-liquefied</t>
        </is>
      </c>
      <c r="D192" s="7" t="inlineStr">
        <is>
          <t>ASD3 1C-A</t>
        </is>
      </c>
      <c r="E192" s="7" t="inlineStr">
        <is>
          <t>ASD</t>
        </is>
      </c>
      <c r="F192" s="7" t="n">
        <v>7</v>
      </c>
      <c r="G192" s="7" t="n">
        <v>2</v>
      </c>
      <c r="H192" s="13" t="n">
        <v>1259.6</v>
      </c>
      <c r="I192" s="13" t="n">
        <v>444.6274963382269</v>
      </c>
      <c r="J192" s="13" t="n">
        <v>216.7720840445097</v>
      </c>
      <c r="K192" s="13" t="n">
        <v>1.76606337609951</v>
      </c>
    </row>
    <row r="193">
      <c r="A193" s="7" t="inlineStr">
        <is>
          <t>WPD</t>
        </is>
      </c>
      <c r="B193" s="7" t="inlineStr">
        <is>
          <t>M1</t>
        </is>
      </c>
      <c r="C193" s="7" t="inlineStr">
        <is>
          <t>Non-liquefied</t>
        </is>
      </c>
      <c r="D193" s="7" t="inlineStr">
        <is>
          <t>ASD3 1C-A</t>
        </is>
      </c>
      <c r="E193" s="7" t="inlineStr">
        <is>
          <t>ASD</t>
        </is>
      </c>
      <c r="F193" s="7" t="n">
        <v>8</v>
      </c>
      <c r="G193" s="7" t="n">
        <v>2</v>
      </c>
      <c r="H193" s="13" t="n">
        <v>1366</v>
      </c>
      <c r="I193" s="13" t="n">
        <v>444.6245845654511</v>
      </c>
      <c r="J193" s="13" t="n">
        <v>216.7404757792139</v>
      </c>
      <c r="K193" s="13" t="n">
        <v>1.766057756020454</v>
      </c>
    </row>
    <row r="194">
      <c r="A194" s="7" t="inlineStr">
        <is>
          <t>WPD</t>
        </is>
      </c>
      <c r="B194" s="7" t="inlineStr">
        <is>
          <t>M1</t>
        </is>
      </c>
      <c r="C194" s="7" t="inlineStr">
        <is>
          <t>Non-liquefied</t>
        </is>
      </c>
      <c r="D194" s="7" t="inlineStr">
        <is>
          <t>ASD4 1C-A</t>
        </is>
      </c>
      <c r="E194" s="7" t="inlineStr">
        <is>
          <t>ASD</t>
        </is>
      </c>
      <c r="F194" s="7" t="n">
        <v>1</v>
      </c>
      <c r="G194" s="7" t="n">
        <v>1</v>
      </c>
      <c r="H194" s="13" t="n">
        <v>1403.5</v>
      </c>
      <c r="I194" s="13" t="n">
        <v>452.4508955676848</v>
      </c>
      <c r="J194" s="13" t="n">
        <v>216.7549393116568</v>
      </c>
      <c r="K194" s="13" t="n">
        <v>1.713300849267285</v>
      </c>
    </row>
    <row r="195">
      <c r="A195" s="7" t="inlineStr">
        <is>
          <t>WPD</t>
        </is>
      </c>
      <c r="B195" s="7" t="inlineStr">
        <is>
          <t>M1</t>
        </is>
      </c>
      <c r="C195" s="7" t="inlineStr">
        <is>
          <t>Non-liquefied</t>
        </is>
      </c>
      <c r="D195" s="7" t="inlineStr">
        <is>
          <t>ASD4 1C-A</t>
        </is>
      </c>
      <c r="E195" s="7" t="inlineStr">
        <is>
          <t>ASD</t>
        </is>
      </c>
      <c r="F195" s="7" t="n">
        <v>2</v>
      </c>
      <c r="G195" s="7" t="n">
        <v>1</v>
      </c>
      <c r="H195" s="13" t="n">
        <v>1381.2</v>
      </c>
      <c r="I195" s="13" t="n">
        <v>452.4413590731953</v>
      </c>
      <c r="J195" s="13" t="n">
        <v>216.7552267166815</v>
      </c>
      <c r="K195" s="13" t="n">
        <v>1.713300849267285</v>
      </c>
    </row>
    <row r="196">
      <c r="A196" s="7" t="inlineStr">
        <is>
          <t>WPD</t>
        </is>
      </c>
      <c r="B196" s="7" t="inlineStr">
        <is>
          <t>M1</t>
        </is>
      </c>
      <c r="C196" s="7" t="inlineStr">
        <is>
          <t>Non-liquefied</t>
        </is>
      </c>
      <c r="D196" s="7" t="inlineStr">
        <is>
          <t>ASD4 1C-A</t>
        </is>
      </c>
      <c r="E196" s="7" t="inlineStr">
        <is>
          <t>ASD</t>
        </is>
      </c>
      <c r="F196" s="7" t="n">
        <v>3</v>
      </c>
      <c r="G196" s="7" t="n">
        <v>1</v>
      </c>
      <c r="H196" s="13" t="n">
        <v>1358.9</v>
      </c>
      <c r="I196" s="13" t="n">
        <v>452.4222861442615</v>
      </c>
      <c r="J196" s="13" t="n">
        <v>216.7558015394283</v>
      </c>
      <c r="K196" s="13" t="n">
        <v>1.713204392388719</v>
      </c>
    </row>
    <row r="197">
      <c r="A197" s="7" t="inlineStr">
        <is>
          <t>WPD</t>
        </is>
      </c>
      <c r="B197" s="7" t="inlineStr">
        <is>
          <t>M1</t>
        </is>
      </c>
      <c r="C197" s="7" t="inlineStr">
        <is>
          <t>Non-liquefied</t>
        </is>
      </c>
      <c r="D197" s="7" t="inlineStr">
        <is>
          <t>ASD4 1C-A</t>
        </is>
      </c>
      <c r="E197" s="7" t="inlineStr">
        <is>
          <t>ASD</t>
        </is>
      </c>
      <c r="F197" s="7" t="n">
        <v>4</v>
      </c>
      <c r="G197" s="7" t="n">
        <v>1</v>
      </c>
      <c r="H197" s="13" t="n">
        <v>1336.6</v>
      </c>
      <c r="I197" s="13" t="n">
        <v>452.4127497098198</v>
      </c>
      <c r="J197" s="13" t="n">
        <v>216.7560889571502</v>
      </c>
      <c r="K197" s="13" t="n">
        <v>1.713204392388719</v>
      </c>
    </row>
    <row r="198">
      <c r="A198" s="7" t="inlineStr">
        <is>
          <t>WPD</t>
        </is>
      </c>
      <c r="B198" s="7" t="inlineStr">
        <is>
          <t>M1</t>
        </is>
      </c>
      <c r="C198" s="7" t="inlineStr">
        <is>
          <t>Non-liquefied</t>
        </is>
      </c>
      <c r="D198" s="7" t="inlineStr">
        <is>
          <t>ASD4 1C-A</t>
        </is>
      </c>
      <c r="E198" s="7" t="inlineStr">
        <is>
          <t>ASD</t>
        </is>
      </c>
      <c r="F198" s="7" t="n">
        <v>5</v>
      </c>
      <c r="G198" s="7" t="n">
        <v>2</v>
      </c>
      <c r="H198" s="13" t="n">
        <v>1136.8</v>
      </c>
      <c r="I198" s="13" t="n">
        <v>452.4453890802734</v>
      </c>
      <c r="J198" s="13" t="n">
        <v>216.8095355283065</v>
      </c>
      <c r="K198" s="13" t="n">
        <v>1.713248095314861</v>
      </c>
    </row>
    <row r="199">
      <c r="A199" s="7" t="inlineStr">
        <is>
          <t>WPD</t>
        </is>
      </c>
      <c r="B199" s="7" t="inlineStr">
        <is>
          <t>M1</t>
        </is>
      </c>
      <c r="C199" s="7" t="inlineStr">
        <is>
          <t>Non-liquefied</t>
        </is>
      </c>
      <c r="D199" s="7" t="inlineStr">
        <is>
          <t>ASD4 1C-A</t>
        </is>
      </c>
      <c r="E199" s="7" t="inlineStr">
        <is>
          <t>ASD</t>
        </is>
      </c>
      <c r="F199" s="7" t="n">
        <v>6</v>
      </c>
      <c r="G199" s="7" t="n">
        <v>2</v>
      </c>
      <c r="H199" s="13" t="n">
        <v>1109</v>
      </c>
      <c r="I199" s="13" t="n">
        <v>452.4358522486917</v>
      </c>
      <c r="J199" s="13" t="n">
        <v>216.8101101055945</v>
      </c>
      <c r="K199" s="13" t="n">
        <v>1.713248095314861</v>
      </c>
    </row>
    <row r="200">
      <c r="A200" s="7" t="inlineStr">
        <is>
          <t>WPD</t>
        </is>
      </c>
      <c r="B200" s="7" t="inlineStr">
        <is>
          <t>M1</t>
        </is>
      </c>
      <c r="C200" s="7" t="inlineStr">
        <is>
          <t>Non-liquefied</t>
        </is>
      </c>
      <c r="D200" s="7" t="inlineStr">
        <is>
          <t>ASD4 1C-A</t>
        </is>
      </c>
      <c r="E200" s="7" t="inlineStr">
        <is>
          <t>ASD</t>
        </is>
      </c>
      <c r="F200" s="7" t="n">
        <v>7</v>
      </c>
      <c r="G200" s="7" t="n">
        <v>2</v>
      </c>
      <c r="H200" s="13" t="n">
        <v>1081.2</v>
      </c>
      <c r="I200" s="13" t="n">
        <v>452.4293237622867</v>
      </c>
      <c r="J200" s="13" t="n">
        <v>216.810684699809</v>
      </c>
      <c r="K200" s="13" t="n">
        <v>1.71315163546605</v>
      </c>
    </row>
    <row r="201">
      <c r="A201" s="7" t="inlineStr">
        <is>
          <t>WPD</t>
        </is>
      </c>
      <c r="B201" s="7" t="inlineStr">
        <is>
          <t>M1</t>
        </is>
      </c>
      <c r="C201" s="7" t="inlineStr">
        <is>
          <t>Non-liquefied</t>
        </is>
      </c>
      <c r="D201" s="7" t="inlineStr">
        <is>
          <t>ASD4 1C-A</t>
        </is>
      </c>
      <c r="E201" s="7" t="inlineStr">
        <is>
          <t>ASD</t>
        </is>
      </c>
      <c r="F201" s="7" t="n">
        <v>8</v>
      </c>
      <c r="G201" s="7" t="n">
        <v>2</v>
      </c>
      <c r="H201" s="13" t="n">
        <v>1053.4</v>
      </c>
      <c r="I201" s="13" t="n">
        <v>452.4197870341217</v>
      </c>
      <c r="J201" s="13" t="n">
        <v>216.81125931095</v>
      </c>
      <c r="K201" s="13" t="n">
        <v>1.71315163546605</v>
      </c>
    </row>
    <row r="202">
      <c r="A202" s="7" t="inlineStr">
        <is>
          <t>WPD</t>
        </is>
      </c>
      <c r="B202" s="7" t="inlineStr">
        <is>
          <t>M1</t>
        </is>
      </c>
      <c r="C202" s="7" t="inlineStr">
        <is>
          <t>Non-liquefied</t>
        </is>
      </c>
      <c r="D202" s="7" t="inlineStr">
        <is>
          <t>LRFD1 1C-A</t>
        </is>
      </c>
      <c r="E202" s="7" t="inlineStr">
        <is>
          <t>LRFD</t>
        </is>
      </c>
      <c r="F202" s="7" t="n">
        <v>1</v>
      </c>
      <c r="G202" s="7" t="n">
        <v>1</v>
      </c>
      <c r="H202" s="13" t="n">
        <v>1702.1</v>
      </c>
      <c r="I202" s="13" t="n">
        <v>17.824</v>
      </c>
      <c r="J202" s="13" t="n">
        <v>0.0098835</v>
      </c>
      <c r="K202" s="13" t="n">
        <v>0.1124</v>
      </c>
    </row>
    <row r="203">
      <c r="A203" s="7" t="inlineStr">
        <is>
          <t>WPD</t>
        </is>
      </c>
      <c r="B203" s="7" t="inlineStr">
        <is>
          <t>M1</t>
        </is>
      </c>
      <c r="C203" s="7" t="inlineStr">
        <is>
          <t>Non-liquefied</t>
        </is>
      </c>
      <c r="D203" s="7" t="inlineStr">
        <is>
          <t>LRFD1 1C-A</t>
        </is>
      </c>
      <c r="E203" s="7" t="inlineStr">
        <is>
          <t>LRFD</t>
        </is>
      </c>
      <c r="F203" s="7" t="n">
        <v>2</v>
      </c>
      <c r="G203" s="7" t="n">
        <v>1</v>
      </c>
      <c r="H203" s="13" t="n">
        <v>1595.4</v>
      </c>
      <c r="I203" s="13" t="n">
        <v>17.827</v>
      </c>
      <c r="J203" s="13" t="n">
        <v>0.0071382</v>
      </c>
      <c r="K203" s="13" t="n">
        <v>0.1124</v>
      </c>
    </row>
    <row r="204">
      <c r="A204" s="7" t="inlineStr">
        <is>
          <t>WPD</t>
        </is>
      </c>
      <c r="B204" s="7" t="inlineStr">
        <is>
          <t>M1</t>
        </is>
      </c>
      <c r="C204" s="7" t="inlineStr">
        <is>
          <t>Non-liquefied</t>
        </is>
      </c>
      <c r="D204" s="7" t="inlineStr">
        <is>
          <t>LRFD1 1C-A</t>
        </is>
      </c>
      <c r="E204" s="7" t="inlineStr">
        <is>
          <t>LRFD</t>
        </is>
      </c>
      <c r="F204" s="7" t="n">
        <v>3</v>
      </c>
      <c r="G204" s="7" t="n">
        <v>1</v>
      </c>
      <c r="H204" s="13" t="n">
        <v>1488.8</v>
      </c>
      <c r="I204" s="13" t="n">
        <v>17.829</v>
      </c>
      <c r="J204" s="13" t="n">
        <v>0.0043927</v>
      </c>
      <c r="K204" s="13" t="n">
        <v>0.1124</v>
      </c>
    </row>
    <row r="205">
      <c r="A205" s="7" t="inlineStr">
        <is>
          <t>WPD</t>
        </is>
      </c>
      <c r="B205" s="7" t="inlineStr">
        <is>
          <t>M1</t>
        </is>
      </c>
      <c r="C205" s="7" t="inlineStr">
        <is>
          <t>Non-liquefied</t>
        </is>
      </c>
      <c r="D205" s="7" t="inlineStr">
        <is>
          <t>LRFD1 1C-A</t>
        </is>
      </c>
      <c r="E205" s="7" t="inlineStr">
        <is>
          <t>LRFD</t>
        </is>
      </c>
      <c r="F205" s="7" t="n">
        <v>4</v>
      </c>
      <c r="G205" s="7" t="n">
        <v>1</v>
      </c>
      <c r="H205" s="13" t="n">
        <v>1382.2</v>
      </c>
      <c r="I205" s="13" t="n">
        <v>17.832</v>
      </c>
      <c r="J205" s="13" t="n">
        <v>0.0016469</v>
      </c>
      <c r="K205" s="13" t="n">
        <v>0.1124</v>
      </c>
    </row>
    <row r="206">
      <c r="A206" s="7" t="inlineStr">
        <is>
          <t>WPD</t>
        </is>
      </c>
      <c r="B206" s="7" t="inlineStr">
        <is>
          <t>M1</t>
        </is>
      </c>
      <c r="C206" s="7" t="inlineStr">
        <is>
          <t>Non-liquefied</t>
        </is>
      </c>
      <c r="D206" s="7" t="inlineStr">
        <is>
          <t>LRFD1 1C-A</t>
        </is>
      </c>
      <c r="E206" s="7" t="inlineStr">
        <is>
          <t>LRFD</t>
        </is>
      </c>
      <c r="F206" s="7" t="n">
        <v>5</v>
      </c>
      <c r="G206" s="7" t="n">
        <v>2</v>
      </c>
      <c r="H206" s="13" t="n">
        <v>1702.1</v>
      </c>
      <c r="I206" s="13" t="n">
        <v>17.824</v>
      </c>
      <c r="J206" s="13" t="n">
        <v>0.0098835</v>
      </c>
      <c r="K206" s="13" t="n">
        <v>0.1124</v>
      </c>
    </row>
    <row r="207">
      <c r="A207" s="7" t="inlineStr">
        <is>
          <t>WPD</t>
        </is>
      </c>
      <c r="B207" s="7" t="inlineStr">
        <is>
          <t>M1</t>
        </is>
      </c>
      <c r="C207" s="7" t="inlineStr">
        <is>
          <t>Non-liquefied</t>
        </is>
      </c>
      <c r="D207" s="7" t="inlineStr">
        <is>
          <t>LRFD1 1C-A</t>
        </is>
      </c>
      <c r="E207" s="7" t="inlineStr">
        <is>
          <t>LRFD</t>
        </is>
      </c>
      <c r="F207" s="7" t="n">
        <v>6</v>
      </c>
      <c r="G207" s="7" t="n">
        <v>2</v>
      </c>
      <c r="H207" s="13" t="n">
        <v>1595.4</v>
      </c>
      <c r="I207" s="13" t="n">
        <v>17.827</v>
      </c>
      <c r="J207" s="13" t="n">
        <v>0.0071382</v>
      </c>
      <c r="K207" s="13" t="n">
        <v>0.1124</v>
      </c>
    </row>
    <row r="208">
      <c r="A208" s="7" t="inlineStr">
        <is>
          <t>WPD</t>
        </is>
      </c>
      <c r="B208" s="7" t="inlineStr">
        <is>
          <t>M1</t>
        </is>
      </c>
      <c r="C208" s="7" t="inlineStr">
        <is>
          <t>Non-liquefied</t>
        </is>
      </c>
      <c r="D208" s="7" t="inlineStr">
        <is>
          <t>LRFD1 1C-A</t>
        </is>
      </c>
      <c r="E208" s="7" t="inlineStr">
        <is>
          <t>LRFD</t>
        </is>
      </c>
      <c r="F208" s="7" t="n">
        <v>7</v>
      </c>
      <c r="G208" s="7" t="n">
        <v>2</v>
      </c>
      <c r="H208" s="13" t="n">
        <v>1488.8</v>
      </c>
      <c r="I208" s="13" t="n">
        <v>17.829</v>
      </c>
      <c r="J208" s="13" t="n">
        <v>0.0043927</v>
      </c>
      <c r="K208" s="13" t="n">
        <v>0.1124</v>
      </c>
    </row>
    <row r="209">
      <c r="A209" s="7" t="inlineStr">
        <is>
          <t>WPD</t>
        </is>
      </c>
      <c r="B209" s="7" t="inlineStr">
        <is>
          <t>M1</t>
        </is>
      </c>
      <c r="C209" s="7" t="inlineStr">
        <is>
          <t>Non-liquefied</t>
        </is>
      </c>
      <c r="D209" s="7" t="inlineStr">
        <is>
          <t>LRFD1 1C-A</t>
        </is>
      </c>
      <c r="E209" s="7" t="inlineStr">
        <is>
          <t>LRFD</t>
        </is>
      </c>
      <c r="F209" s="7" t="n">
        <v>8</v>
      </c>
      <c r="G209" s="7" t="n">
        <v>2</v>
      </c>
      <c r="H209" s="13" t="n">
        <v>1382.2</v>
      </c>
      <c r="I209" s="13" t="n">
        <v>17.832</v>
      </c>
      <c r="J209" s="13" t="n">
        <v>0.0016469</v>
      </c>
      <c r="K209" s="13" t="n">
        <v>0.1124</v>
      </c>
    </row>
    <row r="210">
      <c r="A210" s="7" t="inlineStr">
        <is>
          <t>WPD</t>
        </is>
      </c>
      <c r="B210" s="7" t="inlineStr">
        <is>
          <t>M1</t>
        </is>
      </c>
      <c r="C210" s="7" t="inlineStr">
        <is>
          <t>Non-liquefied</t>
        </is>
      </c>
      <c r="D210" s="7" t="inlineStr">
        <is>
          <t>LRFD2(max) 1C-A</t>
        </is>
      </c>
      <c r="E210" s="7" t="inlineStr">
        <is>
          <t>LRFD</t>
        </is>
      </c>
      <c r="F210" s="7" t="n">
        <v>1</v>
      </c>
      <c r="G210" s="7" t="n">
        <v>1</v>
      </c>
      <c r="H210" s="13" t="n">
        <v>6211.9</v>
      </c>
      <c r="I210" s="13" t="n">
        <v>296.729825007531</v>
      </c>
      <c r="J210" s="13" t="n">
        <v>1.219741234244379</v>
      </c>
      <c r="K210" s="13" t="n">
        <v>1.92784938621356</v>
      </c>
    </row>
    <row r="211">
      <c r="A211" s="7" t="inlineStr">
        <is>
          <t>WPD</t>
        </is>
      </c>
      <c r="B211" s="7" t="inlineStr">
        <is>
          <t>M1</t>
        </is>
      </c>
      <c r="C211" s="7" t="inlineStr">
        <is>
          <t>Non-liquefied</t>
        </is>
      </c>
      <c r="D211" s="7" t="inlineStr">
        <is>
          <t>LRFD2(max) 1C-A</t>
        </is>
      </c>
      <c r="E211" s="7" t="inlineStr">
        <is>
          <t>LRFD</t>
        </is>
      </c>
      <c r="F211" s="7" t="n">
        <v>2</v>
      </c>
      <c r="G211" s="7" t="n">
        <v>1</v>
      </c>
      <c r="H211" s="13" t="n">
        <v>4881.6</v>
      </c>
      <c r="I211" s="13" t="n">
        <v>297.3794039001356</v>
      </c>
      <c r="J211" s="13" t="n">
        <v>0.6769466668770886</v>
      </c>
      <c r="K211" s="13" t="n">
        <v>1.927852380553034</v>
      </c>
    </row>
    <row r="212">
      <c r="A212" s="7" t="inlineStr">
        <is>
          <t>WPD</t>
        </is>
      </c>
      <c r="B212" s="7" t="inlineStr">
        <is>
          <t>M1</t>
        </is>
      </c>
      <c r="C212" s="7" t="inlineStr">
        <is>
          <t>Non-liquefied</t>
        </is>
      </c>
      <c r="D212" s="7" t="inlineStr">
        <is>
          <t>LRFD2(max) 1C-A</t>
        </is>
      </c>
      <c r="E212" s="7" t="inlineStr">
        <is>
          <t>LRFD</t>
        </is>
      </c>
      <c r="F212" s="7" t="n">
        <v>3</v>
      </c>
      <c r="G212" s="7" t="n">
        <v>1</v>
      </c>
      <c r="H212" s="13" t="n">
        <v>3100.1</v>
      </c>
      <c r="I212" s="13" t="n">
        <v>298.2390994755718</v>
      </c>
      <c r="J212" s="13" t="n">
        <v>0.05091367119163575</v>
      </c>
      <c r="K212" s="13" t="n">
        <v>1.927855415699269</v>
      </c>
    </row>
    <row r="213">
      <c r="A213" s="7" t="inlineStr">
        <is>
          <t>WPD</t>
        </is>
      </c>
      <c r="B213" s="7" t="inlineStr">
        <is>
          <t>M1</t>
        </is>
      </c>
      <c r="C213" s="7" t="inlineStr">
        <is>
          <t>Non-liquefied</t>
        </is>
      </c>
      <c r="D213" s="7" t="inlineStr">
        <is>
          <t>LRFD2(max) 1C-A</t>
        </is>
      </c>
      <c r="E213" s="7" t="inlineStr">
        <is>
          <t>LRFD</t>
        </is>
      </c>
      <c r="F213" s="7" t="n">
        <v>4</v>
      </c>
      <c r="G213" s="7" t="n">
        <v>1</v>
      </c>
      <c r="H213" s="13" t="n">
        <v>1290.4</v>
      </c>
      <c r="I213" s="13" t="n">
        <v>299.1188577739625</v>
      </c>
      <c r="J213" s="13" t="n">
        <v>0.7910167811930414</v>
      </c>
      <c r="K213" s="13" t="n">
        <v>1.927858416710366</v>
      </c>
    </row>
    <row r="214">
      <c r="A214" s="7" t="inlineStr">
        <is>
          <t>WPD</t>
        </is>
      </c>
      <c r="B214" s="7" t="inlineStr">
        <is>
          <t>M1</t>
        </is>
      </c>
      <c r="C214" s="7" t="inlineStr">
        <is>
          <t>Non-liquefied</t>
        </is>
      </c>
      <c r="D214" s="7" t="inlineStr">
        <is>
          <t>LRFD2(max) 1C-A</t>
        </is>
      </c>
      <c r="E214" s="7" t="inlineStr">
        <is>
          <t>LRFD</t>
        </is>
      </c>
      <c r="F214" s="7" t="n">
        <v>5</v>
      </c>
      <c r="G214" s="7" t="n">
        <v>2</v>
      </c>
      <c r="H214" s="13" t="n">
        <v>6022.3</v>
      </c>
      <c r="I214" s="13" t="n">
        <v>296.9098105485907</v>
      </c>
      <c r="J214" s="13" t="n">
        <v>1.184138215568183</v>
      </c>
      <c r="K214" s="13" t="n">
        <v>1.927549596229368</v>
      </c>
    </row>
    <row r="215">
      <c r="A215" s="7" t="inlineStr">
        <is>
          <t>WPD</t>
        </is>
      </c>
      <c r="B215" s="7" t="inlineStr">
        <is>
          <t>M1</t>
        </is>
      </c>
      <c r="C215" s="7" t="inlineStr">
        <is>
          <t>Non-liquefied</t>
        </is>
      </c>
      <c r="D215" s="7" t="inlineStr">
        <is>
          <t>LRFD2(max) 1C-A</t>
        </is>
      </c>
      <c r="E215" s="7" t="inlineStr">
        <is>
          <t>LRFD</t>
        </is>
      </c>
      <c r="F215" s="7" t="n">
        <v>6</v>
      </c>
      <c r="G215" s="7" t="n">
        <v>2</v>
      </c>
      <c r="H215" s="13" t="n">
        <v>4651.9</v>
      </c>
      <c r="I215" s="13" t="n">
        <v>297.5794131723497</v>
      </c>
      <c r="J215" s="13" t="n">
        <v>0.6249388842126884</v>
      </c>
      <c r="K215" s="13" t="n">
        <v>1.927552591034548</v>
      </c>
    </row>
    <row r="216">
      <c r="A216" s="7" t="inlineStr">
        <is>
          <t>WPD</t>
        </is>
      </c>
      <c r="B216" s="7" t="inlineStr">
        <is>
          <t>M1</t>
        </is>
      </c>
      <c r="C216" s="7" t="inlineStr">
        <is>
          <t>Non-liquefied</t>
        </is>
      </c>
      <c r="D216" s="7" t="inlineStr">
        <is>
          <t>LRFD2(max) 1C-A</t>
        </is>
      </c>
      <c r="E216" s="7" t="inlineStr">
        <is>
          <t>LRFD</t>
        </is>
      </c>
      <c r="F216" s="7" t="n">
        <v>7</v>
      </c>
      <c r="G216" s="7" t="n">
        <v>2</v>
      </c>
      <c r="H216" s="13" t="n">
        <v>2842.2</v>
      </c>
      <c r="I216" s="13" t="n">
        <v>298.4591324469734</v>
      </c>
      <c r="J216" s="13" t="n">
        <v>0.114295300170217</v>
      </c>
      <c r="K216" s="13" t="n">
        <v>1.927555626652834</v>
      </c>
    </row>
    <row r="217">
      <c r="A217" s="7" t="inlineStr">
        <is>
          <t>WPD</t>
        </is>
      </c>
      <c r="B217" s="7" t="inlineStr">
        <is>
          <t>M1</t>
        </is>
      </c>
      <c r="C217" s="7" t="inlineStr">
        <is>
          <t>Non-liquefied</t>
        </is>
      </c>
      <c r="D217" s="7" t="inlineStr">
        <is>
          <t>LRFD2(max) 1C-A</t>
        </is>
      </c>
      <c r="E217" s="7" t="inlineStr">
        <is>
          <t>LRFD</t>
        </is>
      </c>
      <c r="F217" s="7" t="n">
        <v>8</v>
      </c>
      <c r="G217" s="7" t="n">
        <v>2</v>
      </c>
      <c r="H217" s="13" t="n">
        <v>970.08</v>
      </c>
      <c r="I217" s="13" t="n">
        <v>299.3588770372444</v>
      </c>
      <c r="J217" s="13" t="n">
        <v>0.8800539076420263</v>
      </c>
      <c r="K217" s="13" t="n">
        <v>1.927558628130672</v>
      </c>
    </row>
    <row r="218">
      <c r="A218" s="7" t="inlineStr">
        <is>
          <t>WPD</t>
        </is>
      </c>
      <c r="B218" s="7" t="inlineStr">
        <is>
          <t>M1</t>
        </is>
      </c>
      <c r="C218" s="7" t="inlineStr">
        <is>
          <t>Non-liquefied</t>
        </is>
      </c>
      <c r="D218" s="7" t="inlineStr">
        <is>
          <t>LRFD2(min) 1C-A</t>
        </is>
      </c>
      <c r="E218" s="7" t="inlineStr">
        <is>
          <t>LRFD</t>
        </is>
      </c>
      <c r="F218" s="7" t="n">
        <v>1</v>
      </c>
      <c r="G218" s="7" t="n">
        <v>1</v>
      </c>
      <c r="H218" s="13" t="n">
        <v>334.08</v>
      </c>
      <c r="I218" s="13" t="n">
        <v>49.54843833310995</v>
      </c>
      <c r="J218" s="13" t="n">
        <v>0.03341172403827734</v>
      </c>
      <c r="K218" s="13" t="n">
        <v>0.3133909341780645</v>
      </c>
    </row>
    <row r="219">
      <c r="A219" s="7" t="inlineStr">
        <is>
          <t>WPD</t>
        </is>
      </c>
      <c r="B219" s="7" t="inlineStr">
        <is>
          <t>M1</t>
        </is>
      </c>
      <c r="C219" s="7" t="inlineStr">
        <is>
          <t>Non-liquefied</t>
        </is>
      </c>
      <c r="D219" s="7" t="inlineStr">
        <is>
          <t>LRFD2(min) 1C-A</t>
        </is>
      </c>
      <c r="E219" s="7" t="inlineStr">
        <is>
          <t>LRFD</t>
        </is>
      </c>
      <c r="F219" s="7" t="n">
        <v>2</v>
      </c>
      <c r="G219" s="7" t="n">
        <v>1</v>
      </c>
      <c r="H219" s="13" t="n">
        <v>696.8099999999999</v>
      </c>
      <c r="I219" s="13" t="n">
        <v>49.52369942007564</v>
      </c>
      <c r="J219" s="13" t="n">
        <v>0.007591754185298678</v>
      </c>
      <c r="K219" s="13" t="n">
        <v>0.3133886658591851</v>
      </c>
    </row>
    <row r="220">
      <c r="A220" s="7" t="inlineStr">
        <is>
          <t>WPD</t>
        </is>
      </c>
      <c r="B220" s="7" t="inlineStr">
        <is>
          <t>M1</t>
        </is>
      </c>
      <c r="C220" s="7" t="inlineStr">
        <is>
          <t>Non-liquefied</t>
        </is>
      </c>
      <c r="D220" s="7" t="inlineStr">
        <is>
          <t>LRFD2(min) 1C-A</t>
        </is>
      </c>
      <c r="E220" s="7" t="inlineStr">
        <is>
          <t>LRFD</t>
        </is>
      </c>
      <c r="F220" s="7" t="n">
        <v>3</v>
      </c>
      <c r="G220" s="7" t="n">
        <v>1</v>
      </c>
      <c r="H220" s="13" t="n">
        <v>1059.5</v>
      </c>
      <c r="I220" s="13" t="n">
        <v>49.49894189131723</v>
      </c>
      <c r="J220" s="13" t="n">
        <v>0.01837122105250492</v>
      </c>
      <c r="K220" s="13" t="n">
        <v>0.3133863979833841</v>
      </c>
    </row>
    <row r="221">
      <c r="A221" s="7" t="inlineStr">
        <is>
          <t>WPD</t>
        </is>
      </c>
      <c r="B221" s="7" t="inlineStr">
        <is>
          <t>M1</t>
        </is>
      </c>
      <c r="C221" s="7" t="inlineStr">
        <is>
          <t>Non-liquefied</t>
        </is>
      </c>
      <c r="D221" s="7" t="inlineStr">
        <is>
          <t>LRFD2(min) 1C-A</t>
        </is>
      </c>
      <c r="E221" s="7" t="inlineStr">
        <is>
          <t>LRFD</t>
        </is>
      </c>
      <c r="F221" s="7" t="n">
        <v>4</v>
      </c>
      <c r="G221" s="7" t="n">
        <v>1</v>
      </c>
      <c r="H221" s="13" t="n">
        <v>1395</v>
      </c>
      <c r="I221" s="13" t="n">
        <v>49.4752422196193</v>
      </c>
      <c r="J221" s="13" t="n">
        <v>0.04230388795418218</v>
      </c>
      <c r="K221" s="13" t="n">
        <v>0.3133839416179457</v>
      </c>
    </row>
    <row r="222">
      <c r="A222" s="7" t="inlineStr">
        <is>
          <t>WPD</t>
        </is>
      </c>
      <c r="B222" s="7" t="inlineStr">
        <is>
          <t>M1</t>
        </is>
      </c>
      <c r="C222" s="7" t="inlineStr">
        <is>
          <t>Non-liquefied</t>
        </is>
      </c>
      <c r="D222" s="7" t="inlineStr">
        <is>
          <t>LRFD2(min) 1C-A</t>
        </is>
      </c>
      <c r="E222" s="7" t="inlineStr">
        <is>
          <t>LRFD</t>
        </is>
      </c>
      <c r="F222" s="7" t="n">
        <v>5</v>
      </c>
      <c r="G222" s="7" t="n">
        <v>2</v>
      </c>
      <c r="H222" s="13" t="n">
        <v>599.34</v>
      </c>
      <c r="I222" s="13" t="n">
        <v>49.51535231026838</v>
      </c>
      <c r="J222" s="13" t="n">
        <v>0.02157007352235963</v>
      </c>
      <c r="K222" s="13" t="n">
        <v>0.3134400327415118</v>
      </c>
    </row>
    <row r="223">
      <c r="A223" s="7" t="inlineStr">
        <is>
          <t>WPD</t>
        </is>
      </c>
      <c r="B223" s="7" t="inlineStr">
        <is>
          <t>M1</t>
        </is>
      </c>
      <c r="C223" s="7" t="inlineStr">
        <is>
          <t>Non-liquefied</t>
        </is>
      </c>
      <c r="D223" s="7" t="inlineStr">
        <is>
          <t>LRFD2(min) 1C-A</t>
        </is>
      </c>
      <c r="E223" s="7" t="inlineStr">
        <is>
          <t>LRFD</t>
        </is>
      </c>
      <c r="F223" s="7" t="n">
        <v>6</v>
      </c>
      <c r="G223" s="7" t="n">
        <v>2</v>
      </c>
      <c r="H223" s="13" t="n">
        <v>962.0599999999999</v>
      </c>
      <c r="I223" s="13" t="n">
        <v>49.4906136010658</v>
      </c>
      <c r="J223" s="13" t="n">
        <v>0.004341295646463162</v>
      </c>
      <c r="K223" s="13" t="n">
        <v>0.313437764777954</v>
      </c>
    </row>
    <row r="224">
      <c r="A224" s="7" t="inlineStr">
        <is>
          <t>WPD</t>
        </is>
      </c>
      <c r="B224" s="7" t="inlineStr">
        <is>
          <t>M1</t>
        </is>
      </c>
      <c r="C224" s="7" t="inlineStr">
        <is>
          <t>Non-liquefied</t>
        </is>
      </c>
      <c r="D224" s="7" t="inlineStr">
        <is>
          <t>LRFD2(min) 1C-A</t>
        </is>
      </c>
      <c r="E224" s="7" t="inlineStr">
        <is>
          <t>LRFD</t>
        </is>
      </c>
      <c r="F224" s="7" t="n">
        <v>7</v>
      </c>
      <c r="G224" s="7" t="n">
        <v>2</v>
      </c>
      <c r="H224" s="13" t="n">
        <v>1316.9</v>
      </c>
      <c r="I224" s="13" t="n">
        <v>49.46587517481117</v>
      </c>
      <c r="J224" s="13" t="n">
        <v>0.02962277193916869</v>
      </c>
      <c r="K224" s="13" t="n">
        <v>0.3134354972574102</v>
      </c>
    </row>
    <row r="225">
      <c r="A225" s="7" t="inlineStr">
        <is>
          <t>WPD</t>
        </is>
      </c>
      <c r="B225" s="7" t="inlineStr">
        <is>
          <t>M1</t>
        </is>
      </c>
      <c r="C225" s="7" t="inlineStr">
        <is>
          <t>Non-liquefied</t>
        </is>
      </c>
      <c r="D225" s="7" t="inlineStr">
        <is>
          <t>LRFD2(min) 1C-A</t>
        </is>
      </c>
      <c r="E225" s="7" t="inlineStr">
        <is>
          <t>LRFD</t>
        </is>
      </c>
      <c r="F225" s="7" t="n">
        <v>8</v>
      </c>
      <c r="G225" s="7" t="n">
        <v>2</v>
      </c>
      <c r="H225" s="13" t="n">
        <v>1607.7</v>
      </c>
      <c r="I225" s="13" t="n">
        <v>49.44623592155423</v>
      </c>
      <c r="J225" s="13" t="n">
        <v>0.05044136743784807</v>
      </c>
      <c r="K225" s="13" t="n">
        <v>0.3134330412767614</v>
      </c>
    </row>
    <row r="226">
      <c r="A226" s="7" t="inlineStr">
        <is>
          <t>WPD</t>
        </is>
      </c>
      <c r="B226" s="7" t="inlineStr">
        <is>
          <t>M1</t>
        </is>
      </c>
      <c r="C226" s="7" t="inlineStr">
        <is>
          <t>Non-liquefied</t>
        </is>
      </c>
      <c r="D226" s="7" t="inlineStr">
        <is>
          <t>LRFD3 1C-A</t>
        </is>
      </c>
      <c r="E226" s="7" t="inlineStr">
        <is>
          <t>LRFD</t>
        </is>
      </c>
      <c r="F226" s="7" t="n">
        <v>1</v>
      </c>
      <c r="G226" s="7" t="n">
        <v>1</v>
      </c>
      <c r="H226" s="13" t="n">
        <v>1292.3</v>
      </c>
      <c r="I226" s="13" t="n">
        <v>641.8338641735882</v>
      </c>
      <c r="J226" s="13" t="n">
        <v>309.8172450671524</v>
      </c>
      <c r="K226" s="13" t="n">
        <v>2.659245190368876</v>
      </c>
    </row>
    <row r="227">
      <c r="A227" s="7" t="inlineStr">
        <is>
          <t>WPD</t>
        </is>
      </c>
      <c r="B227" s="7" t="inlineStr">
        <is>
          <t>M1</t>
        </is>
      </c>
      <c r="C227" s="7" t="inlineStr">
        <is>
          <t>Non-liquefied</t>
        </is>
      </c>
      <c r="D227" s="7" t="inlineStr">
        <is>
          <t>LRFD3 1C-A</t>
        </is>
      </c>
      <c r="E227" s="7" t="inlineStr">
        <is>
          <t>LRFD</t>
        </is>
      </c>
      <c r="F227" s="7" t="n">
        <v>2</v>
      </c>
      <c r="G227" s="7" t="n">
        <v>1</v>
      </c>
      <c r="H227" s="13" t="n">
        <v>1476.1</v>
      </c>
      <c r="I227" s="13" t="n">
        <v>641.8309329566471</v>
      </c>
      <c r="J227" s="13" t="n">
        <v>309.7433008557247</v>
      </c>
      <c r="K227" s="13" t="n">
        <v>2.659234079974909</v>
      </c>
    </row>
    <row r="228">
      <c r="A228" s="7" t="inlineStr">
        <is>
          <t>WPD</t>
        </is>
      </c>
      <c r="B228" s="7" t="inlineStr">
        <is>
          <t>M1</t>
        </is>
      </c>
      <c r="C228" s="7" t="inlineStr">
        <is>
          <t>Non-liquefied</t>
        </is>
      </c>
      <c r="D228" s="7" t="inlineStr">
        <is>
          <t>LRFD3 1C-A</t>
        </is>
      </c>
      <c r="E228" s="7" t="inlineStr">
        <is>
          <t>LRFD</t>
        </is>
      </c>
      <c r="F228" s="7" t="n">
        <v>3</v>
      </c>
      <c r="G228" s="7" t="n">
        <v>1</v>
      </c>
      <c r="H228" s="13" t="n">
        <v>1659.9</v>
      </c>
      <c r="I228" s="13" t="n">
        <v>641.8184410719281</v>
      </c>
      <c r="J228" s="13" t="n">
        <v>309.6792222994627</v>
      </c>
      <c r="K228" s="13" t="n">
        <v>2.659222970136201</v>
      </c>
    </row>
    <row r="229">
      <c r="A229" s="7" t="inlineStr">
        <is>
          <t>WPD</t>
        </is>
      </c>
      <c r="B229" s="7" t="inlineStr">
        <is>
          <t>M1</t>
        </is>
      </c>
      <c r="C229" s="7" t="inlineStr">
        <is>
          <t>Non-liquefied</t>
        </is>
      </c>
      <c r="D229" s="7" t="inlineStr">
        <is>
          <t>LRFD3 1C-A</t>
        </is>
      </c>
      <c r="E229" s="7" t="inlineStr">
        <is>
          <t>LRFD</t>
        </is>
      </c>
      <c r="F229" s="7" t="n">
        <v>4</v>
      </c>
      <c r="G229" s="7" t="n">
        <v>1</v>
      </c>
      <c r="H229" s="13" t="n">
        <v>1843.7</v>
      </c>
      <c r="I229" s="13" t="n">
        <v>641.8030183786923</v>
      </c>
      <c r="J229" s="13" t="n">
        <v>309.605565487767</v>
      </c>
      <c r="K229" s="13" t="n">
        <v>2.659211860852761</v>
      </c>
    </row>
    <row r="230">
      <c r="A230" s="7" t="inlineStr">
        <is>
          <t>WPD</t>
        </is>
      </c>
      <c r="B230" s="7" t="inlineStr">
        <is>
          <t>M1</t>
        </is>
      </c>
      <c r="C230" s="7" t="inlineStr">
        <is>
          <t>Non-liquefied</t>
        </is>
      </c>
      <c r="D230" s="7" t="inlineStr">
        <is>
          <t>LRFD3 1C-A</t>
        </is>
      </c>
      <c r="E230" s="7" t="inlineStr">
        <is>
          <t>LRFD</t>
        </is>
      </c>
      <c r="F230" s="7" t="n">
        <v>5</v>
      </c>
      <c r="G230" s="7" t="n">
        <v>2</v>
      </c>
      <c r="H230" s="13" t="n">
        <v>1153.6</v>
      </c>
      <c r="I230" s="13" t="n">
        <v>641.8081135355021</v>
      </c>
      <c r="J230" s="13" t="n">
        <v>309.8500028223334</v>
      </c>
      <c r="K230" s="13" t="n">
        <v>2.659053061241915</v>
      </c>
    </row>
    <row r="231">
      <c r="A231" s="7" t="inlineStr">
        <is>
          <t>WPD</t>
        </is>
      </c>
      <c r="B231" s="7" t="inlineStr">
        <is>
          <t>M1</t>
        </is>
      </c>
      <c r="C231" s="7" t="inlineStr">
        <is>
          <t>Non-liquefied</t>
        </is>
      </c>
      <c r="D231" s="7" t="inlineStr">
        <is>
          <t>LRFD3 1C-A</t>
        </is>
      </c>
      <c r="E231" s="7" t="inlineStr">
        <is>
          <t>LRFD</t>
        </is>
      </c>
      <c r="F231" s="7" t="n">
        <v>6</v>
      </c>
      <c r="G231" s="7" t="n">
        <v>2</v>
      </c>
      <c r="H231" s="13" t="n">
        <v>1363.5</v>
      </c>
      <c r="I231" s="13" t="n">
        <v>641.7926899708348</v>
      </c>
      <c r="J231" s="13" t="n">
        <v>309.77548384112</v>
      </c>
      <c r="K231" s="13" t="n">
        <v>2.659041950045166</v>
      </c>
    </row>
    <row r="232">
      <c r="A232" s="7" t="inlineStr">
        <is>
          <t>WPD</t>
        </is>
      </c>
      <c r="B232" s="7" t="inlineStr">
        <is>
          <t>M1</t>
        </is>
      </c>
      <c r="C232" s="7" t="inlineStr">
        <is>
          <t>Non-liquefied</t>
        </is>
      </c>
      <c r="D232" s="7" t="inlineStr">
        <is>
          <t>LRFD3 1C-A</t>
        </is>
      </c>
      <c r="E232" s="7" t="inlineStr">
        <is>
          <t>LRFD</t>
        </is>
      </c>
      <c r="F232" s="7" t="n">
        <v>7</v>
      </c>
      <c r="G232" s="7" t="n">
        <v>2</v>
      </c>
      <c r="H232" s="13" t="n">
        <v>1547.3</v>
      </c>
      <c r="I232" s="13" t="n">
        <v>641.7897587216549</v>
      </c>
      <c r="J232" s="13" t="n">
        <v>309.7018269820183</v>
      </c>
      <c r="K232" s="13" t="n">
        <v>2.659030839403711</v>
      </c>
    </row>
    <row r="233">
      <c r="A233" s="7" t="inlineStr">
        <is>
          <t>WPD</t>
        </is>
      </c>
      <c r="B233" s="7" t="inlineStr">
        <is>
          <t>M1</t>
        </is>
      </c>
      <c r="C233" s="7" t="inlineStr">
        <is>
          <t>Non-liquefied</t>
        </is>
      </c>
      <c r="D233" s="7" t="inlineStr">
        <is>
          <t>LRFD3 1C-A</t>
        </is>
      </c>
      <c r="E233" s="7" t="inlineStr">
        <is>
          <t>LRFD</t>
        </is>
      </c>
      <c r="F233" s="7" t="n">
        <v>8</v>
      </c>
      <c r="G233" s="7" t="n">
        <v>2</v>
      </c>
      <c r="H233" s="13" t="n">
        <v>1731.1</v>
      </c>
      <c r="I233" s="13" t="n">
        <v>641.7772668145858</v>
      </c>
      <c r="J233" s="13" t="n">
        <v>309.6278827883561</v>
      </c>
      <c r="K233" s="13" t="n">
        <v>2.659019729317555</v>
      </c>
    </row>
    <row r="234">
      <c r="A234" s="7" t="inlineStr">
        <is>
          <t>WPD</t>
        </is>
      </c>
      <c r="B234" s="7" t="inlineStr">
        <is>
          <t>M1</t>
        </is>
      </c>
      <c r="C234" s="7" t="inlineStr">
        <is>
          <t>Non-liquefied</t>
        </is>
      </c>
      <c r="D234" s="7" t="inlineStr">
        <is>
          <t>LRFD4 1C-A</t>
        </is>
      </c>
      <c r="E234" s="7" t="inlineStr">
        <is>
          <t>LRFD</t>
        </is>
      </c>
      <c r="F234" s="7" t="n">
        <v>1</v>
      </c>
      <c r="G234" s="7" t="n">
        <v>1</v>
      </c>
      <c r="H234" s="13" t="n">
        <v>1732.3</v>
      </c>
      <c r="I234" s="13" t="n">
        <v>655.0703537788899</v>
      </c>
      <c r="J234" s="13" t="n">
        <v>309.6762537312152</v>
      </c>
      <c r="K234" s="13" t="n">
        <v>2.557811819290075</v>
      </c>
    </row>
    <row r="235">
      <c r="A235" s="7" t="inlineStr">
        <is>
          <t>WPD</t>
        </is>
      </c>
      <c r="B235" s="7" t="inlineStr">
        <is>
          <t>M1</t>
        </is>
      </c>
      <c r="C235" s="7" t="inlineStr">
        <is>
          <t>Non-liquefied</t>
        </is>
      </c>
      <c r="D235" s="7" t="inlineStr">
        <is>
          <t>LRFD4 1C-A</t>
        </is>
      </c>
      <c r="E235" s="7" t="inlineStr">
        <is>
          <t>LRFD</t>
        </is>
      </c>
      <c r="F235" s="7" t="n">
        <v>2</v>
      </c>
      <c r="G235" s="7" t="n">
        <v>1</v>
      </c>
      <c r="H235" s="13" t="n">
        <v>1715.2</v>
      </c>
      <c r="I235" s="13" t="n">
        <v>655.0512633374582</v>
      </c>
      <c r="J235" s="13" t="n">
        <v>309.6672505270779</v>
      </c>
      <c r="K235" s="13" t="n">
        <v>2.557715490999732</v>
      </c>
    </row>
    <row r="236">
      <c r="A236" s="7" t="inlineStr">
        <is>
          <t>WPD</t>
        </is>
      </c>
      <c r="B236" s="7" t="inlineStr">
        <is>
          <t>M1</t>
        </is>
      </c>
      <c r="C236" s="7" t="inlineStr">
        <is>
          <t>Non-liquefied</t>
        </is>
      </c>
      <c r="D236" s="7" t="inlineStr">
        <is>
          <t>LRFD4 1C-A</t>
        </is>
      </c>
      <c r="E236" s="7" t="inlineStr">
        <is>
          <t>LRFD</t>
        </is>
      </c>
      <c r="F236" s="7" t="n">
        <v>3</v>
      </c>
      <c r="G236" s="7" t="n">
        <v>1</v>
      </c>
      <c r="H236" s="13" t="n">
        <v>1698.2</v>
      </c>
      <c r="I236" s="13" t="n">
        <v>655.0226277770868</v>
      </c>
      <c r="J236" s="13" t="n">
        <v>309.6675379564348</v>
      </c>
      <c r="K236" s="13" t="n">
        <v>2.557619162991238</v>
      </c>
    </row>
    <row r="237">
      <c r="A237" s="7" t="inlineStr">
        <is>
          <t>WPD</t>
        </is>
      </c>
      <c r="B237" s="7" t="inlineStr">
        <is>
          <t>M1</t>
        </is>
      </c>
      <c r="C237" s="7" t="inlineStr">
        <is>
          <t>Non-liquefied</t>
        </is>
      </c>
      <c r="D237" s="7" t="inlineStr">
        <is>
          <t>LRFD4 1C-A</t>
        </is>
      </c>
      <c r="E237" s="7" t="inlineStr">
        <is>
          <t>LRFD</t>
        </is>
      </c>
      <c r="F237" s="7" t="n">
        <v>4</v>
      </c>
      <c r="G237" s="7" t="n">
        <v>1</v>
      </c>
      <c r="H237" s="13" t="n">
        <v>1681.1</v>
      </c>
      <c r="I237" s="13" t="n">
        <v>655.0035374713636</v>
      </c>
      <c r="J237" s="13" t="n">
        <v>309.6585348412021</v>
      </c>
      <c r="K237" s="13" t="n">
        <v>2.557522835264623</v>
      </c>
    </row>
    <row r="238">
      <c r="A238" s="7" t="inlineStr">
        <is>
          <t>WPD</t>
        </is>
      </c>
      <c r="B238" s="7" t="inlineStr">
        <is>
          <t>M1</t>
        </is>
      </c>
      <c r="C238" s="7" t="inlineStr">
        <is>
          <t>Non-liquefied</t>
        </is>
      </c>
      <c r="D238" s="7" t="inlineStr">
        <is>
          <t>LRFD4 1C-A</t>
        </is>
      </c>
      <c r="E238" s="7" t="inlineStr">
        <is>
          <t>LRFD</t>
        </is>
      </c>
      <c r="F238" s="7" t="n">
        <v>5</v>
      </c>
      <c r="G238" s="7" t="n">
        <v>2</v>
      </c>
      <c r="H238" s="13" t="n">
        <v>1335.8</v>
      </c>
      <c r="I238" s="13" t="n">
        <v>655.0721641162903</v>
      </c>
      <c r="J238" s="13" t="n">
        <v>309.7976107654803</v>
      </c>
      <c r="K238" s="13" t="n">
        <v>2.557712505267158</v>
      </c>
    </row>
    <row r="239">
      <c r="A239" s="7" t="inlineStr">
        <is>
          <t>WPD</t>
        </is>
      </c>
      <c r="B239" s="7" t="inlineStr">
        <is>
          <t>M1</t>
        </is>
      </c>
      <c r="C239" s="7" t="inlineStr">
        <is>
          <t>Non-liquefied</t>
        </is>
      </c>
      <c r="D239" s="7" t="inlineStr">
        <is>
          <t>LRFD4 1C-A</t>
        </is>
      </c>
      <c r="E239" s="7" t="inlineStr">
        <is>
          <t>LRFD</t>
        </is>
      </c>
      <c r="F239" s="7" t="n">
        <v>6</v>
      </c>
      <c r="G239" s="7" t="n">
        <v>2</v>
      </c>
      <c r="H239" s="13" t="n">
        <v>1318.7</v>
      </c>
      <c r="I239" s="13" t="n">
        <v>655.0435271796829</v>
      </c>
      <c r="J239" s="13" t="n">
        <v>309.7981853013345</v>
      </c>
      <c r="K239" s="13" t="n">
        <v>2.55761617323632</v>
      </c>
    </row>
    <row r="240">
      <c r="A240" s="7" t="inlineStr">
        <is>
          <t>WPD</t>
        </is>
      </c>
      <c r="B240" s="7" t="inlineStr">
        <is>
          <t>M1</t>
        </is>
      </c>
      <c r="C240" s="7" t="inlineStr">
        <is>
          <t>Non-liquefied</t>
        </is>
      </c>
      <c r="D240" s="7" t="inlineStr">
        <is>
          <t>LRFD4 1C-A</t>
        </is>
      </c>
      <c r="E240" s="7" t="inlineStr">
        <is>
          <t>LRFD</t>
        </is>
      </c>
      <c r="F240" s="7" t="n">
        <v>7</v>
      </c>
      <c r="G240" s="7" t="n">
        <v>2</v>
      </c>
      <c r="H240" s="13" t="n">
        <v>1301.7</v>
      </c>
      <c r="I240" s="13" t="n">
        <v>655.0244359564</v>
      </c>
      <c r="J240" s="13" t="n">
        <v>309.7891813863099</v>
      </c>
      <c r="K240" s="13" t="n">
        <v>2.557519841487061</v>
      </c>
    </row>
    <row r="241">
      <c r="A241" s="7" t="inlineStr">
        <is>
          <t>WPD</t>
        </is>
      </c>
      <c r="B241" s="7" t="inlineStr">
        <is>
          <t>M1</t>
        </is>
      </c>
      <c r="C241" s="7" t="inlineStr">
        <is>
          <t>Non-liquefied</t>
        </is>
      </c>
      <c r="D241" s="7" t="inlineStr">
        <is>
          <t>LRFD4 1C-A</t>
        </is>
      </c>
      <c r="E241" s="7" t="inlineStr">
        <is>
          <t>LRFD</t>
        </is>
      </c>
      <c r="F241" s="7" t="n">
        <v>8</v>
      </c>
      <c r="G241" s="7" t="n">
        <v>2</v>
      </c>
      <c r="H241" s="13" t="n">
        <v>1284.5</v>
      </c>
      <c r="I241" s="13" t="n">
        <v>654.9957992231706</v>
      </c>
      <c r="J241" s="13" t="n">
        <v>309.7897559636212</v>
      </c>
      <c r="K241" s="13" t="n">
        <v>2.55742351001941</v>
      </c>
    </row>
    <row r="242">
      <c r="A242" s="7" t="inlineStr">
        <is>
          <t>WPD</t>
        </is>
      </c>
      <c r="B242" s="7" t="inlineStr">
        <is>
          <t>M1</t>
        </is>
      </c>
      <c r="C242" s="7" t="inlineStr">
        <is>
          <t>Non-liquefied</t>
        </is>
      </c>
      <c r="D242" s="7" t="inlineStr">
        <is>
          <t>ASD1 1C-B</t>
        </is>
      </c>
      <c r="E242" s="7" t="inlineStr">
        <is>
          <t>ASD</t>
        </is>
      </c>
      <c r="F242" s="7" t="n">
        <v>1</v>
      </c>
      <c r="G242" s="7" t="n">
        <v>1</v>
      </c>
      <c r="H242" s="13" t="n">
        <v>986.11</v>
      </c>
      <c r="I242" s="13" t="n">
        <v>10.346</v>
      </c>
      <c r="J242" s="13" t="n">
        <v>0.00066024</v>
      </c>
      <c r="K242" s="13" t="n">
        <v>0.06479500000000001</v>
      </c>
    </row>
    <row r="243">
      <c r="A243" s="7" t="inlineStr">
        <is>
          <t>WPD</t>
        </is>
      </c>
      <c r="B243" s="7" t="inlineStr">
        <is>
          <t>M1</t>
        </is>
      </c>
      <c r="C243" s="7" t="inlineStr">
        <is>
          <t>Non-liquefied</t>
        </is>
      </c>
      <c r="D243" s="7" t="inlineStr">
        <is>
          <t>ASD1 1C-B</t>
        </is>
      </c>
      <c r="E243" s="7" t="inlineStr">
        <is>
          <t>ASD</t>
        </is>
      </c>
      <c r="F243" s="7" t="n">
        <v>2</v>
      </c>
      <c r="G243" s="7" t="n">
        <v>1</v>
      </c>
      <c r="H243" s="13" t="n">
        <v>1063</v>
      </c>
      <c r="I243" s="13" t="n">
        <v>10.345</v>
      </c>
      <c r="J243" s="13" t="n">
        <v>0.0018131</v>
      </c>
      <c r="K243" s="13" t="n">
        <v>0.06479500000000001</v>
      </c>
    </row>
    <row r="244">
      <c r="A244" s="7" t="inlineStr">
        <is>
          <t>WPD</t>
        </is>
      </c>
      <c r="B244" s="7" t="inlineStr">
        <is>
          <t>M1</t>
        </is>
      </c>
      <c r="C244" s="7" t="inlineStr">
        <is>
          <t>Non-liquefied</t>
        </is>
      </c>
      <c r="D244" s="7" t="inlineStr">
        <is>
          <t>ASD1 1C-B</t>
        </is>
      </c>
      <c r="E244" s="7" t="inlineStr">
        <is>
          <t>ASD</t>
        </is>
      </c>
      <c r="F244" s="7" t="n">
        <v>3</v>
      </c>
      <c r="G244" s="7" t="n">
        <v>1</v>
      </c>
      <c r="H244" s="13" t="n">
        <v>1140</v>
      </c>
      <c r="I244" s="13" t="n">
        <v>10.344</v>
      </c>
      <c r="J244" s="13" t="n">
        <v>0.0029659</v>
      </c>
      <c r="K244" s="13" t="n">
        <v>0.06479500000000001</v>
      </c>
    </row>
    <row r="245">
      <c r="A245" s="7" t="inlineStr">
        <is>
          <t>WPD</t>
        </is>
      </c>
      <c r="B245" s="7" t="inlineStr">
        <is>
          <t>M1</t>
        </is>
      </c>
      <c r="C245" s="7" t="inlineStr">
        <is>
          <t>Non-liquefied</t>
        </is>
      </c>
      <c r="D245" s="7" t="inlineStr">
        <is>
          <t>ASD1 1C-B</t>
        </is>
      </c>
      <c r="E245" s="7" t="inlineStr">
        <is>
          <t>ASD</t>
        </is>
      </c>
      <c r="F245" s="7" t="n">
        <v>4</v>
      </c>
      <c r="G245" s="7" t="n">
        <v>1</v>
      </c>
      <c r="H245" s="13" t="n">
        <v>1216.9</v>
      </c>
      <c r="I245" s="13" t="n">
        <v>10.342</v>
      </c>
      <c r="J245" s="13" t="n">
        <v>0.0041186</v>
      </c>
      <c r="K245" s="13" t="n">
        <v>0.06479500000000001</v>
      </c>
    </row>
    <row r="246">
      <c r="A246" s="7" t="inlineStr">
        <is>
          <t>WPD</t>
        </is>
      </c>
      <c r="B246" s="7" t="inlineStr">
        <is>
          <t>M1</t>
        </is>
      </c>
      <c r="C246" s="7" t="inlineStr">
        <is>
          <t>Non-liquefied</t>
        </is>
      </c>
      <c r="D246" s="7" t="inlineStr">
        <is>
          <t>ASD1 1C-B</t>
        </is>
      </c>
      <c r="E246" s="7" t="inlineStr">
        <is>
          <t>ASD</t>
        </is>
      </c>
      <c r="F246" s="7" t="n">
        <v>5</v>
      </c>
      <c r="G246" s="7" t="n">
        <v>2</v>
      </c>
      <c r="H246" s="13" t="n">
        <v>986.11</v>
      </c>
      <c r="I246" s="13" t="n">
        <v>10.346</v>
      </c>
      <c r="J246" s="13" t="n">
        <v>0.00066024</v>
      </c>
      <c r="K246" s="13" t="n">
        <v>0.06479500000000001</v>
      </c>
    </row>
    <row r="247">
      <c r="A247" s="7" t="inlineStr">
        <is>
          <t>WPD</t>
        </is>
      </c>
      <c r="B247" s="7" t="inlineStr">
        <is>
          <t>M1</t>
        </is>
      </c>
      <c r="C247" s="7" t="inlineStr">
        <is>
          <t>Non-liquefied</t>
        </is>
      </c>
      <c r="D247" s="7" t="inlineStr">
        <is>
          <t>ASD1 1C-B</t>
        </is>
      </c>
      <c r="E247" s="7" t="inlineStr">
        <is>
          <t>ASD</t>
        </is>
      </c>
      <c r="F247" s="7" t="n">
        <v>6</v>
      </c>
      <c r="G247" s="7" t="n">
        <v>2</v>
      </c>
      <c r="H247" s="13" t="n">
        <v>1063</v>
      </c>
      <c r="I247" s="13" t="n">
        <v>10.345</v>
      </c>
      <c r="J247" s="13" t="n">
        <v>0.0018131</v>
      </c>
      <c r="K247" s="13" t="n">
        <v>0.06479500000000001</v>
      </c>
    </row>
    <row r="248">
      <c r="A248" s="7" t="inlineStr">
        <is>
          <t>WPD</t>
        </is>
      </c>
      <c r="B248" s="7" t="inlineStr">
        <is>
          <t>M1</t>
        </is>
      </c>
      <c r="C248" s="7" t="inlineStr">
        <is>
          <t>Non-liquefied</t>
        </is>
      </c>
      <c r="D248" s="7" t="inlineStr">
        <is>
          <t>ASD1 1C-B</t>
        </is>
      </c>
      <c r="E248" s="7" t="inlineStr">
        <is>
          <t>ASD</t>
        </is>
      </c>
      <c r="F248" s="7" t="n">
        <v>7</v>
      </c>
      <c r="G248" s="7" t="n">
        <v>2</v>
      </c>
      <c r="H248" s="13" t="n">
        <v>1140</v>
      </c>
      <c r="I248" s="13" t="n">
        <v>10.344</v>
      </c>
      <c r="J248" s="13" t="n">
        <v>0.0029659</v>
      </c>
      <c r="K248" s="13" t="n">
        <v>0.06479500000000001</v>
      </c>
    </row>
    <row r="249">
      <c r="A249" s="7" t="inlineStr">
        <is>
          <t>WPD</t>
        </is>
      </c>
      <c r="B249" s="7" t="inlineStr">
        <is>
          <t>M1</t>
        </is>
      </c>
      <c r="C249" s="7" t="inlineStr">
        <is>
          <t>Non-liquefied</t>
        </is>
      </c>
      <c r="D249" s="7" t="inlineStr">
        <is>
          <t>ASD1 1C-B</t>
        </is>
      </c>
      <c r="E249" s="7" t="inlineStr">
        <is>
          <t>ASD</t>
        </is>
      </c>
      <c r="F249" s="7" t="n">
        <v>8</v>
      </c>
      <c r="G249" s="7" t="n">
        <v>2</v>
      </c>
      <c r="H249" s="13" t="n">
        <v>1216.9</v>
      </c>
      <c r="I249" s="13" t="n">
        <v>10.342</v>
      </c>
      <c r="J249" s="13" t="n">
        <v>0.0041186</v>
      </c>
      <c r="K249" s="13" t="n">
        <v>0.06479500000000001</v>
      </c>
    </row>
    <row r="250">
      <c r="A250" s="7" t="inlineStr">
        <is>
          <t>WPD</t>
        </is>
      </c>
      <c r="B250" s="7" t="inlineStr">
        <is>
          <t>M1</t>
        </is>
      </c>
      <c r="C250" s="7" t="inlineStr">
        <is>
          <t>Non-liquefied</t>
        </is>
      </c>
      <c r="D250" s="7" t="inlineStr">
        <is>
          <t>ASD2(max) 1C-B</t>
        </is>
      </c>
      <c r="E250" s="7" t="inlineStr">
        <is>
          <t>ASD</t>
        </is>
      </c>
      <c r="F250" s="7" t="n">
        <v>1</v>
      </c>
      <c r="G250" s="7" t="n">
        <v>1</v>
      </c>
      <c r="H250" s="13" t="n">
        <v>4424.2</v>
      </c>
      <c r="I250" s="13" t="n">
        <v>31.82776378085649</v>
      </c>
      <c r="J250" s="13" t="n">
        <v>0.02031464230278249</v>
      </c>
      <c r="K250" s="13" t="n">
        <v>0.2048391939156176</v>
      </c>
    </row>
    <row r="251">
      <c r="A251" s="7" t="inlineStr">
        <is>
          <t>WPD</t>
        </is>
      </c>
      <c r="B251" s="7" t="inlineStr">
        <is>
          <t>M1</t>
        </is>
      </c>
      <c r="C251" s="7" t="inlineStr">
        <is>
          <t>Non-liquefied</t>
        </is>
      </c>
      <c r="D251" s="7" t="inlineStr">
        <is>
          <t>ASD2(max) 1C-B</t>
        </is>
      </c>
      <c r="E251" s="7" t="inlineStr">
        <is>
          <t>ASD</t>
        </is>
      </c>
      <c r="F251" s="7" t="n">
        <v>2</v>
      </c>
      <c r="G251" s="7" t="n">
        <v>1</v>
      </c>
      <c r="H251" s="13" t="n">
        <v>4612.2</v>
      </c>
      <c r="I251" s="13" t="n">
        <v>31.81988242608699</v>
      </c>
      <c r="J251" s="13" t="n">
        <v>0.02915910743507078</v>
      </c>
      <c r="K251" s="13" t="n">
        <v>0.2048380566911335</v>
      </c>
    </row>
    <row r="252">
      <c r="A252" s="7" t="inlineStr">
        <is>
          <t>WPD</t>
        </is>
      </c>
      <c r="B252" s="7" t="inlineStr">
        <is>
          <t>M1</t>
        </is>
      </c>
      <c r="C252" s="7" t="inlineStr">
        <is>
          <t>Non-liquefied</t>
        </is>
      </c>
      <c r="D252" s="7" t="inlineStr">
        <is>
          <t>ASD2(max) 1C-B</t>
        </is>
      </c>
      <c r="E252" s="7" t="inlineStr">
        <is>
          <t>ASD</t>
        </is>
      </c>
      <c r="F252" s="7" t="n">
        <v>3</v>
      </c>
      <c r="G252" s="7" t="n">
        <v>1</v>
      </c>
      <c r="H252" s="13" t="n">
        <v>4800.1</v>
      </c>
      <c r="I252" s="13" t="n">
        <v>31.81102735294791</v>
      </c>
      <c r="J252" s="13" t="n">
        <v>0.03802161082713356</v>
      </c>
      <c r="K252" s="13" t="n">
        <v>0.2048369195823839</v>
      </c>
    </row>
    <row r="253">
      <c r="A253" s="7" t="inlineStr">
        <is>
          <t>WPD</t>
        </is>
      </c>
      <c r="B253" s="7" t="inlineStr">
        <is>
          <t>M1</t>
        </is>
      </c>
      <c r="C253" s="7" t="inlineStr">
        <is>
          <t>Non-liquefied</t>
        </is>
      </c>
      <c r="D253" s="7" t="inlineStr">
        <is>
          <t>ASD2(max) 1C-B</t>
        </is>
      </c>
      <c r="E253" s="7" t="inlineStr">
        <is>
          <t>ASD</t>
        </is>
      </c>
      <c r="F253" s="7" t="n">
        <v>4</v>
      </c>
      <c r="G253" s="7" t="n">
        <v>1</v>
      </c>
      <c r="H253" s="13" t="n">
        <v>4939.2</v>
      </c>
      <c r="I253" s="13" t="n">
        <v>31.80520744406488</v>
      </c>
      <c r="J253" s="13" t="n">
        <v>0.04463354860416097</v>
      </c>
      <c r="K253" s="13" t="n">
        <v>0.2048357825893709</v>
      </c>
    </row>
    <row r="254">
      <c r="A254" s="7" t="inlineStr">
        <is>
          <t>WPD</t>
        </is>
      </c>
      <c r="B254" s="7" t="inlineStr">
        <is>
          <t>M1</t>
        </is>
      </c>
      <c r="C254" s="7" t="inlineStr">
        <is>
          <t>Non-liquefied</t>
        </is>
      </c>
      <c r="D254" s="7" t="inlineStr">
        <is>
          <t>ASD2(max) 1C-B</t>
        </is>
      </c>
      <c r="E254" s="7" t="inlineStr">
        <is>
          <t>ASD</t>
        </is>
      </c>
      <c r="F254" s="7" t="n">
        <v>5</v>
      </c>
      <c r="G254" s="7" t="n">
        <v>2</v>
      </c>
      <c r="H254" s="13" t="n">
        <v>4257.5</v>
      </c>
      <c r="I254" s="13" t="n">
        <v>31.84080982010351</v>
      </c>
      <c r="J254" s="13" t="n">
        <v>0.01541813057442439</v>
      </c>
      <c r="K254" s="13" t="n">
        <v>0.2048197182011537</v>
      </c>
    </row>
    <row r="255">
      <c r="A255" s="7" t="inlineStr">
        <is>
          <t>WPD</t>
        </is>
      </c>
      <c r="B255" s="7" t="inlineStr">
        <is>
          <t>M1</t>
        </is>
      </c>
      <c r="C255" s="7" t="inlineStr">
        <is>
          <t>Non-liquefied</t>
        </is>
      </c>
      <c r="D255" s="7" t="inlineStr">
        <is>
          <t>ASD2(max) 1C-B</t>
        </is>
      </c>
      <c r="E255" s="7" t="inlineStr">
        <is>
          <t>ASD</t>
        </is>
      </c>
      <c r="F255" s="7" t="n">
        <v>6</v>
      </c>
      <c r="G255" s="7" t="n">
        <v>2</v>
      </c>
      <c r="H255" s="13" t="n">
        <v>4445.4</v>
      </c>
      <c r="I255" s="13" t="n">
        <v>31.83292840691852</v>
      </c>
      <c r="J255" s="13" t="n">
        <v>0.02422291616238639</v>
      </c>
      <c r="K255" s="13" t="n">
        <v>0.2048185808685335</v>
      </c>
    </row>
    <row r="256">
      <c r="A256" s="7" t="inlineStr">
        <is>
          <t>WPD</t>
        </is>
      </c>
      <c r="B256" s="7" t="inlineStr">
        <is>
          <t>M1</t>
        </is>
      </c>
      <c r="C256" s="7" t="inlineStr">
        <is>
          <t>Non-liquefied</t>
        </is>
      </c>
      <c r="D256" s="7" t="inlineStr">
        <is>
          <t>ASD2(max) 1C-B</t>
        </is>
      </c>
      <c r="E256" s="7" t="inlineStr">
        <is>
          <t>ASD</t>
        </is>
      </c>
      <c r="F256" s="7" t="n">
        <v>7</v>
      </c>
      <c r="G256" s="7" t="n">
        <v>2</v>
      </c>
      <c r="H256" s="13" t="n">
        <v>4633.3</v>
      </c>
      <c r="I256" s="13" t="n">
        <v>31.8250470579385</v>
      </c>
      <c r="J256" s="13" t="n">
        <v>0.03307100365410763</v>
      </c>
      <c r="K256" s="13" t="n">
        <v>0.2048174436516577</v>
      </c>
    </row>
    <row r="257">
      <c r="A257" s="7" t="inlineStr">
        <is>
          <t>WPD</t>
        </is>
      </c>
      <c r="B257" s="7" t="inlineStr">
        <is>
          <t>M1</t>
        </is>
      </c>
      <c r="C257" s="7" t="inlineStr">
        <is>
          <t>Non-liquefied</t>
        </is>
      </c>
      <c r="D257" s="7" t="inlineStr">
        <is>
          <t>ASD2(max) 1C-B</t>
        </is>
      </c>
      <c r="E257" s="7" t="inlineStr">
        <is>
          <t>ASD</t>
        </is>
      </c>
      <c r="F257" s="7" t="n">
        <v>8</v>
      </c>
      <c r="G257" s="7" t="n">
        <v>2</v>
      </c>
      <c r="H257" s="13" t="n">
        <v>4816.5</v>
      </c>
      <c r="I257" s="13" t="n">
        <v>31.81718852145802</v>
      </c>
      <c r="J257" s="13" t="n">
        <v>0.04171651664508915</v>
      </c>
      <c r="K257" s="13" t="n">
        <v>0.2048163065505283</v>
      </c>
    </row>
    <row r="258">
      <c r="A258" s="7" t="inlineStr">
        <is>
          <t>WPD</t>
        </is>
      </c>
      <c r="B258" s="7" t="inlineStr">
        <is>
          <t>M1</t>
        </is>
      </c>
      <c r="C258" s="7" t="inlineStr">
        <is>
          <t>Non-liquefied</t>
        </is>
      </c>
      <c r="D258" s="7" t="inlineStr">
        <is>
          <t>ASD2(min) 1C-B</t>
        </is>
      </c>
      <c r="E258" s="7" t="inlineStr">
        <is>
          <t>ASD</t>
        </is>
      </c>
      <c r="F258" s="7" t="n">
        <v>1</v>
      </c>
      <c r="G258" s="7" t="n">
        <v>1</v>
      </c>
      <c r="H258" s="13" t="n">
        <v>577.37</v>
      </c>
      <c r="I258" s="13" t="n">
        <v>237.9276875004042</v>
      </c>
      <c r="J258" s="13" t="n">
        <v>0.602649476429707</v>
      </c>
      <c r="K258" s="13" t="n">
        <v>1.525831457091182</v>
      </c>
    </row>
    <row r="259">
      <c r="A259" s="7" t="inlineStr">
        <is>
          <t>WPD</t>
        </is>
      </c>
      <c r="B259" s="7" t="inlineStr">
        <is>
          <t>M1</t>
        </is>
      </c>
      <c r="C259" s="7" t="inlineStr">
        <is>
          <t>Non-liquefied</t>
        </is>
      </c>
      <c r="D259" s="7" t="inlineStr">
        <is>
          <t>ASD2(min) 1C-B</t>
        </is>
      </c>
      <c r="E259" s="7" t="inlineStr">
        <is>
          <t>ASD</t>
        </is>
      </c>
      <c r="F259" s="7" t="n">
        <v>2</v>
      </c>
      <c r="G259" s="7" t="n">
        <v>1</v>
      </c>
      <c r="H259" s="13" t="n">
        <v>2151.8</v>
      </c>
      <c r="I259" s="13" t="n">
        <v>237.3277736736474</v>
      </c>
      <c r="J259" s="13" t="n">
        <v>0.08882863833899515</v>
      </c>
      <c r="K259" s="13" t="n">
        <v>1.525830364432757</v>
      </c>
    </row>
    <row r="260">
      <c r="A260" s="7" t="inlineStr">
        <is>
          <t>WPD</t>
        </is>
      </c>
      <c r="B260" s="7" t="inlineStr">
        <is>
          <t>M1</t>
        </is>
      </c>
      <c r="C260" s="7" t="inlineStr">
        <is>
          <t>Non-liquefied</t>
        </is>
      </c>
      <c r="D260" s="7" t="inlineStr">
        <is>
          <t>ASD2(min) 1C-B</t>
        </is>
      </c>
      <c r="E260" s="7" t="inlineStr">
        <is>
          <t>ASD</t>
        </is>
      </c>
      <c r="F260" s="7" t="n">
        <v>3</v>
      </c>
      <c r="G260" s="7" t="n">
        <v>1</v>
      </c>
      <c r="H260" s="13" t="n">
        <v>3585.9</v>
      </c>
      <c r="I260" s="13" t="n">
        <v>236.7878787390943</v>
      </c>
      <c r="J260" s="13" t="n">
        <v>0.3786337673913936</v>
      </c>
      <c r="K260" s="13" t="n">
        <v>1.525829244003404</v>
      </c>
    </row>
    <row r="261">
      <c r="A261" s="7" t="inlineStr">
        <is>
          <t>WPD</t>
        </is>
      </c>
      <c r="B261" s="7" t="inlineStr">
        <is>
          <t>M1</t>
        </is>
      </c>
      <c r="C261" s="7" t="inlineStr">
        <is>
          <t>Non-liquefied</t>
        </is>
      </c>
      <c r="D261" s="7" t="inlineStr">
        <is>
          <t>ASD2(min) 1C-B</t>
        </is>
      </c>
      <c r="E261" s="7" t="inlineStr">
        <is>
          <t>ASD</t>
        </is>
      </c>
      <c r="F261" s="7" t="n">
        <v>4</v>
      </c>
      <c r="G261" s="7" t="n">
        <v>1</v>
      </c>
      <c r="H261" s="13" t="n">
        <v>4962.6</v>
      </c>
      <c r="I261" s="13" t="n">
        <v>236.2679904599859</v>
      </c>
      <c r="J261" s="13" t="n">
        <v>0.8269028309063889</v>
      </c>
      <c r="K261" s="13" t="n">
        <v>1.525828153261041</v>
      </c>
    </row>
    <row r="262">
      <c r="A262" s="7" t="inlineStr">
        <is>
          <t>WPD</t>
        </is>
      </c>
      <c r="B262" s="7" t="inlineStr">
        <is>
          <t>M1</t>
        </is>
      </c>
      <c r="C262" s="7" t="inlineStr">
        <is>
          <t>Non-liquefied</t>
        </is>
      </c>
      <c r="D262" s="7" t="inlineStr">
        <is>
          <t>ASD2(min) 1C-B</t>
        </is>
      </c>
      <c r="E262" s="7" t="inlineStr">
        <is>
          <t>ASD</t>
        </is>
      </c>
      <c r="F262" s="7" t="n">
        <v>5</v>
      </c>
      <c r="G262" s="7" t="n">
        <v>2</v>
      </c>
      <c r="H262" s="13" t="n">
        <v>772.72</v>
      </c>
      <c r="I262" s="13" t="n">
        <v>237.8076766024175</v>
      </c>
      <c r="J262" s="13" t="n">
        <v>0.5592104492442894</v>
      </c>
      <c r="K262" s="13" t="n">
        <v>1.525931415709435</v>
      </c>
    </row>
    <row r="263">
      <c r="A263" s="7" t="inlineStr">
        <is>
          <t>WPD</t>
        </is>
      </c>
      <c r="B263" s="7" t="inlineStr">
        <is>
          <t>M1</t>
        </is>
      </c>
      <c r="C263" s="7" t="inlineStr">
        <is>
          <t>Non-liquefied</t>
        </is>
      </c>
      <c r="D263" s="7" t="inlineStr">
        <is>
          <t>ASD2(min) 1C-B</t>
        </is>
      </c>
      <c r="E263" s="7" t="inlineStr">
        <is>
          <t>ASD</t>
        </is>
      </c>
      <c r="F263" s="7" t="n">
        <v>6</v>
      </c>
      <c r="G263" s="7" t="n">
        <v>2</v>
      </c>
      <c r="H263" s="13" t="n">
        <v>2308.4</v>
      </c>
      <c r="I263" s="13" t="n">
        <v>237.2277660814602</v>
      </c>
      <c r="J263" s="13" t="n">
        <v>0.0580930879998645</v>
      </c>
      <c r="K263" s="13" t="n">
        <v>1.525930323122586</v>
      </c>
    </row>
    <row r="264">
      <c r="A264" s="7" t="inlineStr">
        <is>
          <t>WPD</t>
        </is>
      </c>
      <c r="B264" s="7" t="inlineStr">
        <is>
          <t>M1</t>
        </is>
      </c>
      <c r="C264" s="7" t="inlineStr">
        <is>
          <t>Non-liquefied</t>
        </is>
      </c>
      <c r="D264" s="7" t="inlineStr">
        <is>
          <t>ASD2(min) 1C-B</t>
        </is>
      </c>
      <c r="E264" s="7" t="inlineStr">
        <is>
          <t>ASD</t>
        </is>
      </c>
      <c r="F264" s="7" t="n">
        <v>7</v>
      </c>
      <c r="G264" s="7" t="n">
        <v>2</v>
      </c>
      <c r="H264" s="13" t="n">
        <v>3742.5</v>
      </c>
      <c r="I264" s="13" t="n">
        <v>236.6878712034269</v>
      </c>
      <c r="J264" s="13" t="n">
        <v>0.4093667190002138</v>
      </c>
      <c r="K264" s="13" t="n">
        <v>1.525929202766629</v>
      </c>
    </row>
    <row r="265">
      <c r="A265" s="7" t="inlineStr">
        <is>
          <t>WPD</t>
        </is>
      </c>
      <c r="B265" s="7" t="inlineStr">
        <is>
          <t>M1</t>
        </is>
      </c>
      <c r="C265" s="7" t="inlineStr">
        <is>
          <t>Non-liquefied</t>
        </is>
      </c>
      <c r="D265" s="7" t="inlineStr">
        <is>
          <t>ASD2(min) 1C-B</t>
        </is>
      </c>
      <c r="E265" s="7" t="inlineStr">
        <is>
          <t>ASD</t>
        </is>
      </c>
      <c r="F265" s="7" t="n">
        <v>8</v>
      </c>
      <c r="G265" s="7" t="n">
        <v>2</v>
      </c>
      <c r="H265" s="13" t="n">
        <v>5077.8</v>
      </c>
      <c r="I265" s="13" t="n">
        <v>236.1779903532291</v>
      </c>
      <c r="J265" s="13" t="n">
        <v>0.8441317064303414</v>
      </c>
      <c r="K265" s="13" t="n">
        <v>1.525928112095718</v>
      </c>
    </row>
    <row r="266">
      <c r="A266" s="7" t="inlineStr">
        <is>
          <t>WPD</t>
        </is>
      </c>
      <c r="B266" s="7" t="inlineStr">
        <is>
          <t>M1</t>
        </is>
      </c>
      <c r="C266" s="7" t="inlineStr">
        <is>
          <t>Non-liquefied</t>
        </is>
      </c>
      <c r="D266" s="7" t="inlineStr">
        <is>
          <t>ASD3 1C-B</t>
        </is>
      </c>
      <c r="E266" s="7" t="inlineStr">
        <is>
          <t>ASD</t>
        </is>
      </c>
      <c r="F266" s="7" t="n">
        <v>1</v>
      </c>
      <c r="G266" s="7" t="n">
        <v>1</v>
      </c>
      <c r="H266" s="13" t="n">
        <v>829.41</v>
      </c>
      <c r="I266" s="13" t="n">
        <v>421.4541137537988</v>
      </c>
      <c r="J266" s="13" t="n">
        <v>216.8857780584057</v>
      </c>
      <c r="K266" s="13" t="n">
        <v>1.927534440263001</v>
      </c>
    </row>
    <row r="267">
      <c r="A267" s="7" t="inlineStr">
        <is>
          <t>WPD</t>
        </is>
      </c>
      <c r="B267" s="7" t="inlineStr">
        <is>
          <t>M1</t>
        </is>
      </c>
      <c r="C267" s="7" t="inlineStr">
        <is>
          <t>Non-liquefied</t>
        </is>
      </c>
      <c r="D267" s="7" t="inlineStr">
        <is>
          <t>ASD3 1C-B</t>
        </is>
      </c>
      <c r="E267" s="7" t="inlineStr">
        <is>
          <t>ASD</t>
        </is>
      </c>
      <c r="F267" s="7" t="n">
        <v>2</v>
      </c>
      <c r="G267" s="7" t="n">
        <v>1</v>
      </c>
      <c r="H267" s="13" t="n">
        <v>1148.3</v>
      </c>
      <c r="I267" s="13" t="n">
        <v>421.4636289171344</v>
      </c>
      <c r="J267" s="13" t="n">
        <v>216.7935393617624</v>
      </c>
      <c r="K267" s="13" t="n">
        <v>1.927537019852018</v>
      </c>
    </row>
    <row r="268">
      <c r="A268" s="7" t="inlineStr">
        <is>
          <t>WPD</t>
        </is>
      </c>
      <c r="B268" s="7" t="inlineStr">
        <is>
          <t>M1</t>
        </is>
      </c>
      <c r="C268" s="7" t="inlineStr">
        <is>
          <t>Non-liquefied</t>
        </is>
      </c>
      <c r="D268" s="7" t="inlineStr">
        <is>
          <t>ASD3 1C-B</t>
        </is>
      </c>
      <c r="E268" s="7" t="inlineStr">
        <is>
          <t>ASD</t>
        </is>
      </c>
      <c r="F268" s="7" t="n">
        <v>3</v>
      </c>
      <c r="G268" s="7" t="n">
        <v>1</v>
      </c>
      <c r="H268" s="13" t="n">
        <v>1431</v>
      </c>
      <c r="I268" s="13" t="n">
        <v>421.4636289171344</v>
      </c>
      <c r="J268" s="13" t="n">
        <v>216.7117411240102</v>
      </c>
      <c r="K268" s="13" t="n">
        <v>1.927542179175335</v>
      </c>
    </row>
    <row r="269">
      <c r="A269" s="7" t="inlineStr">
        <is>
          <t>WPD</t>
        </is>
      </c>
      <c r="B269" s="7" t="inlineStr">
        <is>
          <t>M1</t>
        </is>
      </c>
      <c r="C269" s="7" t="inlineStr">
        <is>
          <t>Non-liquefied</t>
        </is>
      </c>
      <c r="D269" s="7" t="inlineStr">
        <is>
          <t>ASD3 1C-B</t>
        </is>
      </c>
      <c r="E269" s="7" t="inlineStr">
        <is>
          <t>ASD</t>
        </is>
      </c>
      <c r="F269" s="7" t="n">
        <v>4</v>
      </c>
      <c r="G269" s="7" t="n">
        <v>1</v>
      </c>
      <c r="H269" s="13" t="n">
        <v>1686.7</v>
      </c>
      <c r="I269" s="13" t="n">
        <v>421.4636289171344</v>
      </c>
      <c r="J269" s="13" t="n">
        <v>216.6398085394279</v>
      </c>
      <c r="K269" s="13" t="n">
        <v>1.927544758909634</v>
      </c>
    </row>
    <row r="270">
      <c r="A270" s="7" t="inlineStr">
        <is>
          <t>WPD</t>
        </is>
      </c>
      <c r="B270" s="7" t="inlineStr">
        <is>
          <t>M1</t>
        </is>
      </c>
      <c r="C270" s="7" t="inlineStr">
        <is>
          <t>Non-liquefied</t>
        </is>
      </c>
      <c r="D270" s="7" t="inlineStr">
        <is>
          <t>ASD3 1C-B</t>
        </is>
      </c>
      <c r="E270" s="7" t="inlineStr">
        <is>
          <t>ASD</t>
        </is>
      </c>
      <c r="F270" s="7" t="n">
        <v>5</v>
      </c>
      <c r="G270" s="7" t="n">
        <v>2</v>
      </c>
      <c r="H270" s="13" t="n">
        <v>737.75</v>
      </c>
      <c r="I270" s="13" t="n">
        <v>421.4731441029191</v>
      </c>
      <c r="J270" s="13" t="n">
        <v>216.9162370040565</v>
      </c>
      <c r="K270" s="13" t="n">
        <v>1.927631056089313</v>
      </c>
    </row>
    <row r="271">
      <c r="A271" s="7" t="inlineStr">
        <is>
          <t>WPD</t>
        </is>
      </c>
      <c r="B271" s="7" t="inlineStr">
        <is>
          <t>M1</t>
        </is>
      </c>
      <c r="C271" s="7" t="inlineStr">
        <is>
          <t>Non-liquefied</t>
        </is>
      </c>
      <c r="D271" s="7" t="inlineStr">
        <is>
          <t>ASD3 1C-B</t>
        </is>
      </c>
      <c r="E271" s="7" t="inlineStr">
        <is>
          <t>ASD</t>
        </is>
      </c>
      <c r="F271" s="7" t="n">
        <v>6</v>
      </c>
      <c r="G271" s="7" t="n">
        <v>2</v>
      </c>
      <c r="H271" s="13" t="n">
        <v>1056.6</v>
      </c>
      <c r="I271" s="13" t="n">
        <v>421.4731441029191</v>
      </c>
      <c r="J271" s="13" t="n">
        <v>216.8239982312843</v>
      </c>
      <c r="K271" s="13" t="n">
        <v>1.927633635549038</v>
      </c>
    </row>
    <row r="272">
      <c r="A272" s="7" t="inlineStr">
        <is>
          <t>WPD</t>
        </is>
      </c>
      <c r="B272" s="7" t="inlineStr">
        <is>
          <t>M1</t>
        </is>
      </c>
      <c r="C272" s="7" t="inlineStr">
        <is>
          <t>Non-liquefied</t>
        </is>
      </c>
      <c r="D272" s="7" t="inlineStr">
        <is>
          <t>ASD3 1C-B</t>
        </is>
      </c>
      <c r="E272" s="7" t="inlineStr">
        <is>
          <t>ASD</t>
        </is>
      </c>
      <c r="F272" s="7" t="n">
        <v>7</v>
      </c>
      <c r="G272" s="7" t="n">
        <v>2</v>
      </c>
      <c r="H272" s="13" t="n">
        <v>1357.6</v>
      </c>
      <c r="I272" s="13" t="n">
        <v>421.4731441029191</v>
      </c>
      <c r="J272" s="13" t="n">
        <v>216.7419125503879</v>
      </c>
      <c r="K272" s="13" t="n">
        <v>1.927638794613763</v>
      </c>
    </row>
    <row r="273">
      <c r="A273" s="7" t="inlineStr">
        <is>
          <t>WPD</t>
        </is>
      </c>
      <c r="B273" s="7" t="inlineStr">
        <is>
          <t>M1</t>
        </is>
      </c>
      <c r="C273" s="7" t="inlineStr">
        <is>
          <t>Non-liquefied</t>
        </is>
      </c>
      <c r="D273" s="7" t="inlineStr">
        <is>
          <t>ASD3 1C-B</t>
        </is>
      </c>
      <c r="E273" s="7" t="inlineStr">
        <is>
          <t>ASD</t>
        </is>
      </c>
      <c r="F273" s="7" t="n">
        <v>8</v>
      </c>
      <c r="G273" s="7" t="n">
        <v>2</v>
      </c>
      <c r="H273" s="13" t="n">
        <v>1613.2</v>
      </c>
      <c r="I273" s="13" t="n">
        <v>421.4731441029191</v>
      </c>
      <c r="J273" s="13" t="n">
        <v>216.6699798980006</v>
      </c>
      <c r="K273" s="13" t="n">
        <v>1.927641374218763</v>
      </c>
    </row>
    <row r="274">
      <c r="A274" s="7" t="inlineStr">
        <is>
          <t>WPD</t>
        </is>
      </c>
      <c r="B274" s="7" t="inlineStr">
        <is>
          <t>M1</t>
        </is>
      </c>
      <c r="C274" s="7" t="inlineStr">
        <is>
          <t>Non-liquefied</t>
        </is>
      </c>
      <c r="D274" s="7" t="inlineStr">
        <is>
          <t>ASD4 1C-B</t>
        </is>
      </c>
      <c r="E274" s="7" t="inlineStr">
        <is>
          <t>ASD</t>
        </is>
      </c>
      <c r="F274" s="7" t="n">
        <v>1</v>
      </c>
      <c r="G274" s="7" t="n">
        <v>1</v>
      </c>
      <c r="H274" s="13" t="n">
        <v>1158.1</v>
      </c>
      <c r="I274" s="13" t="n">
        <v>445.6977829202205</v>
      </c>
      <c r="J274" s="13" t="n">
        <v>216.7895167875975</v>
      </c>
      <c r="K274" s="13" t="n">
        <v>1.764520345051312</v>
      </c>
    </row>
    <row r="275">
      <c r="A275" s="7" t="inlineStr">
        <is>
          <t>WPD</t>
        </is>
      </c>
      <c r="B275" s="7" t="inlineStr">
        <is>
          <t>M1</t>
        </is>
      </c>
      <c r="C275" s="7" t="inlineStr">
        <is>
          <t>Non-liquefied</t>
        </is>
      </c>
      <c r="D275" s="7" t="inlineStr">
        <is>
          <t>ASD4 1C-B</t>
        </is>
      </c>
      <c r="E275" s="7" t="inlineStr">
        <is>
          <t>ASD</t>
        </is>
      </c>
      <c r="F275" s="7" t="n">
        <v>2</v>
      </c>
      <c r="G275" s="7" t="n">
        <v>1</v>
      </c>
      <c r="H275" s="13" t="n">
        <v>1312</v>
      </c>
      <c r="I275" s="13" t="n">
        <v>445.7074645998202</v>
      </c>
      <c r="J275" s="13" t="n">
        <v>216.7567594355479</v>
      </c>
      <c r="K275" s="13" t="n">
        <v>1.764520345051312</v>
      </c>
    </row>
    <row r="276">
      <c r="A276" s="7" t="inlineStr">
        <is>
          <t>WPD</t>
        </is>
      </c>
      <c r="B276" s="7" t="inlineStr">
        <is>
          <t>M1</t>
        </is>
      </c>
      <c r="C276" s="7" t="inlineStr">
        <is>
          <t>Non-liquefied</t>
        </is>
      </c>
      <c r="D276" s="7" t="inlineStr">
        <is>
          <t>ASD4 1C-B</t>
        </is>
      </c>
      <c r="E276" s="7" t="inlineStr">
        <is>
          <t>ASD</t>
        </is>
      </c>
      <c r="F276" s="7" t="n">
        <v>3</v>
      </c>
      <c r="G276" s="7" t="n">
        <v>1</v>
      </c>
      <c r="H276" s="13" t="n">
        <v>1440.7</v>
      </c>
      <c r="I276" s="13" t="n">
        <v>445.7074645998202</v>
      </c>
      <c r="J276" s="13" t="n">
        <v>216.7242894462916</v>
      </c>
      <c r="K276" s="13" t="n">
        <v>1.764614104584909</v>
      </c>
    </row>
    <row r="277">
      <c r="A277" s="7" t="inlineStr">
        <is>
          <t>WPD</t>
        </is>
      </c>
      <c r="B277" s="7" t="inlineStr">
        <is>
          <t>M1</t>
        </is>
      </c>
      <c r="C277" s="7" t="inlineStr">
        <is>
          <t>Non-liquefied</t>
        </is>
      </c>
      <c r="D277" s="7" t="inlineStr">
        <is>
          <t>ASD4 1C-B</t>
        </is>
      </c>
      <c r="E277" s="7" t="inlineStr">
        <is>
          <t>ASD</t>
        </is>
      </c>
      <c r="F277" s="7" t="n">
        <v>4</v>
      </c>
      <c r="G277" s="7" t="n">
        <v>1</v>
      </c>
      <c r="H277" s="13" t="n">
        <v>1569.5</v>
      </c>
      <c r="I277" s="13" t="n">
        <v>445.7196493312808</v>
      </c>
      <c r="J277" s="13" t="n">
        <v>216.7016853556981</v>
      </c>
      <c r="K277" s="13" t="n">
        <v>1.764614104584909</v>
      </c>
    </row>
    <row r="278">
      <c r="A278" s="7" t="inlineStr">
        <is>
          <t>WPD</t>
        </is>
      </c>
      <c r="B278" s="7" t="inlineStr">
        <is>
          <t>M1</t>
        </is>
      </c>
      <c r="C278" s="7" t="inlineStr">
        <is>
          <t>Non-liquefied</t>
        </is>
      </c>
      <c r="D278" s="7" t="inlineStr">
        <is>
          <t>ASD4 1C-B</t>
        </is>
      </c>
      <c r="E278" s="7" t="inlineStr">
        <is>
          <t>ASD</t>
        </is>
      </c>
      <c r="F278" s="7" t="n">
        <v>5</v>
      </c>
      <c r="G278" s="7" t="n">
        <v>2</v>
      </c>
      <c r="H278" s="13" t="n">
        <v>856.86</v>
      </c>
      <c r="I278" s="13" t="n">
        <v>445.7271597064733</v>
      </c>
      <c r="J278" s="13" t="n">
        <v>216.8712197503394</v>
      </c>
      <c r="K278" s="13" t="n">
        <v>1.764579467635278</v>
      </c>
    </row>
    <row r="279">
      <c r="A279" s="7" t="inlineStr">
        <is>
          <t>WPD</t>
        </is>
      </c>
      <c r="B279" s="7" t="inlineStr">
        <is>
          <t>M1</t>
        </is>
      </c>
      <c r="C279" s="7" t="inlineStr">
        <is>
          <t>Non-liquefied</t>
        </is>
      </c>
      <c r="D279" s="7" t="inlineStr">
        <is>
          <t>ASD4 1C-B</t>
        </is>
      </c>
      <c r="E279" s="7" t="inlineStr">
        <is>
          <t>ASD</t>
        </is>
      </c>
      <c r="F279" s="7" t="n">
        <v>6</v>
      </c>
      <c r="G279" s="7" t="n">
        <v>2</v>
      </c>
      <c r="H279" s="13" t="n">
        <v>1017.5</v>
      </c>
      <c r="I279" s="13" t="n">
        <v>445.7271597064733</v>
      </c>
      <c r="J279" s="13" t="n">
        <v>216.8381743628183</v>
      </c>
      <c r="K279" s="13" t="n">
        <v>1.764579467635278</v>
      </c>
    </row>
    <row r="280">
      <c r="A280" s="7" t="inlineStr">
        <is>
          <t>WPD</t>
        </is>
      </c>
      <c r="B280" s="7" t="inlineStr">
        <is>
          <t>M1</t>
        </is>
      </c>
      <c r="C280" s="7" t="inlineStr">
        <is>
          <t>Non-liquefied</t>
        </is>
      </c>
      <c r="D280" s="7" t="inlineStr">
        <is>
          <t>ASD4 1C-B</t>
        </is>
      </c>
      <c r="E280" s="7" t="inlineStr">
        <is>
          <t>ASD</t>
        </is>
      </c>
      <c r="F280" s="7" t="n">
        <v>7</v>
      </c>
      <c r="G280" s="7" t="n">
        <v>2</v>
      </c>
      <c r="H280" s="13" t="n">
        <v>1178</v>
      </c>
      <c r="I280" s="13" t="n">
        <v>445.7393450212804</v>
      </c>
      <c r="J280" s="13" t="n">
        <v>216.7952635760293</v>
      </c>
      <c r="K280" s="13" t="n">
        <v>1.76467322402761</v>
      </c>
    </row>
    <row r="281">
      <c r="A281" s="7" t="inlineStr">
        <is>
          <t>WPD</t>
        </is>
      </c>
      <c r="B281" s="7" t="inlineStr">
        <is>
          <t>M1</t>
        </is>
      </c>
      <c r="C281" s="7" t="inlineStr">
        <is>
          <t>Non-liquefied</t>
        </is>
      </c>
      <c r="D281" s="7" t="inlineStr">
        <is>
          <t>ASD4 1C-B</t>
        </is>
      </c>
      <c r="E281" s="7" t="inlineStr">
        <is>
          <t>ASD</t>
        </is>
      </c>
      <c r="F281" s="7" t="n">
        <v>8</v>
      </c>
      <c r="G281" s="7" t="n">
        <v>2</v>
      </c>
      <c r="H281" s="13" t="n">
        <v>1328</v>
      </c>
      <c r="I281" s="13" t="n">
        <v>445.7393450212804</v>
      </c>
      <c r="J281" s="13" t="n">
        <v>216.7720840445097</v>
      </c>
      <c r="K281" s="13" t="n">
        <v>1.76467322402761</v>
      </c>
    </row>
    <row r="282">
      <c r="A282" s="7" t="inlineStr">
        <is>
          <t>WPD</t>
        </is>
      </c>
      <c r="B282" s="7" t="inlineStr">
        <is>
          <t>M1</t>
        </is>
      </c>
      <c r="C282" s="7" t="inlineStr">
        <is>
          <t>Non-liquefied</t>
        </is>
      </c>
      <c r="D282" s="7" t="inlineStr">
        <is>
          <t>LRFD1 1C-B</t>
        </is>
      </c>
      <c r="E282" s="7" t="inlineStr">
        <is>
          <t>LRFD</t>
        </is>
      </c>
      <c r="F282" s="7" t="n">
        <v>1</v>
      </c>
      <c r="G282" s="7" t="n">
        <v>1</v>
      </c>
      <c r="H282" s="13" t="n">
        <v>1382.2</v>
      </c>
      <c r="I282" s="13" t="n">
        <v>17.832</v>
      </c>
      <c r="J282" s="13" t="n">
        <v>0.0016469</v>
      </c>
      <c r="K282" s="13" t="n">
        <v>0.1124</v>
      </c>
    </row>
    <row r="283">
      <c r="A283" s="7" t="inlineStr">
        <is>
          <t>WPD</t>
        </is>
      </c>
      <c r="B283" s="7" t="inlineStr">
        <is>
          <t>M1</t>
        </is>
      </c>
      <c r="C283" s="7" t="inlineStr">
        <is>
          <t>Non-liquefied</t>
        </is>
      </c>
      <c r="D283" s="7" t="inlineStr">
        <is>
          <t>LRFD1 1C-B</t>
        </is>
      </c>
      <c r="E283" s="7" t="inlineStr">
        <is>
          <t>LRFD</t>
        </is>
      </c>
      <c r="F283" s="7" t="n">
        <v>2</v>
      </c>
      <c r="G283" s="7" t="n">
        <v>1</v>
      </c>
      <c r="H283" s="13" t="n">
        <v>1488.8</v>
      </c>
      <c r="I283" s="13" t="n">
        <v>17.829</v>
      </c>
      <c r="J283" s="13" t="n">
        <v>0.0043927</v>
      </c>
      <c r="K283" s="13" t="n">
        <v>0.1124</v>
      </c>
    </row>
    <row r="284">
      <c r="A284" s="7" t="inlineStr">
        <is>
          <t>WPD</t>
        </is>
      </c>
      <c r="B284" s="7" t="inlineStr">
        <is>
          <t>M1</t>
        </is>
      </c>
      <c r="C284" s="7" t="inlineStr">
        <is>
          <t>Non-liquefied</t>
        </is>
      </c>
      <c r="D284" s="7" t="inlineStr">
        <is>
          <t>LRFD1 1C-B</t>
        </is>
      </c>
      <c r="E284" s="7" t="inlineStr">
        <is>
          <t>LRFD</t>
        </is>
      </c>
      <c r="F284" s="7" t="n">
        <v>3</v>
      </c>
      <c r="G284" s="7" t="n">
        <v>1</v>
      </c>
      <c r="H284" s="13" t="n">
        <v>1595.4</v>
      </c>
      <c r="I284" s="13" t="n">
        <v>17.827</v>
      </c>
      <c r="J284" s="13" t="n">
        <v>0.0071382</v>
      </c>
      <c r="K284" s="13" t="n">
        <v>0.1124</v>
      </c>
    </row>
    <row r="285">
      <c r="A285" s="7" t="inlineStr">
        <is>
          <t>WPD</t>
        </is>
      </c>
      <c r="B285" s="7" t="inlineStr">
        <is>
          <t>M1</t>
        </is>
      </c>
      <c r="C285" s="7" t="inlineStr">
        <is>
          <t>Non-liquefied</t>
        </is>
      </c>
      <c r="D285" s="7" t="inlineStr">
        <is>
          <t>LRFD1 1C-B</t>
        </is>
      </c>
      <c r="E285" s="7" t="inlineStr">
        <is>
          <t>LRFD</t>
        </is>
      </c>
      <c r="F285" s="7" t="n">
        <v>4</v>
      </c>
      <c r="G285" s="7" t="n">
        <v>1</v>
      </c>
      <c r="H285" s="13" t="n">
        <v>1702.1</v>
      </c>
      <c r="I285" s="13" t="n">
        <v>17.824</v>
      </c>
      <c r="J285" s="13" t="n">
        <v>0.0098835</v>
      </c>
      <c r="K285" s="13" t="n">
        <v>0.1124</v>
      </c>
    </row>
    <row r="286">
      <c r="A286" s="7" t="inlineStr">
        <is>
          <t>WPD</t>
        </is>
      </c>
      <c r="B286" s="7" t="inlineStr">
        <is>
          <t>M1</t>
        </is>
      </c>
      <c r="C286" s="7" t="inlineStr">
        <is>
          <t>Non-liquefied</t>
        </is>
      </c>
      <c r="D286" s="7" t="inlineStr">
        <is>
          <t>LRFD1 1C-B</t>
        </is>
      </c>
      <c r="E286" s="7" t="inlineStr">
        <is>
          <t>LRFD</t>
        </is>
      </c>
      <c r="F286" s="7" t="n">
        <v>5</v>
      </c>
      <c r="G286" s="7" t="n">
        <v>2</v>
      </c>
      <c r="H286" s="13" t="n">
        <v>1382.2</v>
      </c>
      <c r="I286" s="13" t="n">
        <v>17.832</v>
      </c>
      <c r="J286" s="13" t="n">
        <v>0.0016469</v>
      </c>
      <c r="K286" s="13" t="n">
        <v>0.1124</v>
      </c>
    </row>
    <row r="287">
      <c r="A287" s="7" t="inlineStr">
        <is>
          <t>WPD</t>
        </is>
      </c>
      <c r="B287" s="7" t="inlineStr">
        <is>
          <t>M1</t>
        </is>
      </c>
      <c r="C287" s="7" t="inlineStr">
        <is>
          <t>Non-liquefied</t>
        </is>
      </c>
      <c r="D287" s="7" t="inlineStr">
        <is>
          <t>LRFD1 1C-B</t>
        </is>
      </c>
      <c r="E287" s="7" t="inlineStr">
        <is>
          <t>LRFD</t>
        </is>
      </c>
      <c r="F287" s="7" t="n">
        <v>6</v>
      </c>
      <c r="G287" s="7" t="n">
        <v>2</v>
      </c>
      <c r="H287" s="13" t="n">
        <v>1488.8</v>
      </c>
      <c r="I287" s="13" t="n">
        <v>17.829</v>
      </c>
      <c r="J287" s="13" t="n">
        <v>0.0043927</v>
      </c>
      <c r="K287" s="13" t="n">
        <v>0.1124</v>
      </c>
    </row>
    <row r="288">
      <c r="A288" s="7" t="inlineStr">
        <is>
          <t>WPD</t>
        </is>
      </c>
      <c r="B288" s="7" t="inlineStr">
        <is>
          <t>M1</t>
        </is>
      </c>
      <c r="C288" s="7" t="inlineStr">
        <is>
          <t>Non-liquefied</t>
        </is>
      </c>
      <c r="D288" s="7" t="inlineStr">
        <is>
          <t>LRFD1 1C-B</t>
        </is>
      </c>
      <c r="E288" s="7" t="inlineStr">
        <is>
          <t>LRFD</t>
        </is>
      </c>
      <c r="F288" s="7" t="n">
        <v>7</v>
      </c>
      <c r="G288" s="7" t="n">
        <v>2</v>
      </c>
      <c r="H288" s="13" t="n">
        <v>1595.4</v>
      </c>
      <c r="I288" s="13" t="n">
        <v>17.827</v>
      </c>
      <c r="J288" s="13" t="n">
        <v>0.0071382</v>
      </c>
      <c r="K288" s="13" t="n">
        <v>0.1124</v>
      </c>
    </row>
    <row r="289">
      <c r="A289" s="7" t="inlineStr">
        <is>
          <t>WPD</t>
        </is>
      </c>
      <c r="B289" s="7" t="inlineStr">
        <is>
          <t>M1</t>
        </is>
      </c>
      <c r="C289" s="7" t="inlineStr">
        <is>
          <t>Non-liquefied</t>
        </is>
      </c>
      <c r="D289" s="7" t="inlineStr">
        <is>
          <t>LRFD1 1C-B</t>
        </is>
      </c>
      <c r="E289" s="7" t="inlineStr">
        <is>
          <t>LRFD</t>
        </is>
      </c>
      <c r="F289" s="7" t="n">
        <v>8</v>
      </c>
      <c r="G289" s="7" t="n">
        <v>2</v>
      </c>
      <c r="H289" s="13" t="n">
        <v>1702.1</v>
      </c>
      <c r="I289" s="13" t="n">
        <v>17.824</v>
      </c>
      <c r="J289" s="13" t="n">
        <v>0.0098835</v>
      </c>
      <c r="K289" s="13" t="n">
        <v>0.1124</v>
      </c>
    </row>
    <row r="290">
      <c r="A290" s="7" t="inlineStr">
        <is>
          <t>WPD</t>
        </is>
      </c>
      <c r="B290" s="7" t="inlineStr">
        <is>
          <t>M1</t>
        </is>
      </c>
      <c r="C290" s="7" t="inlineStr">
        <is>
          <t>Non-liquefied</t>
        </is>
      </c>
      <c r="D290" s="7" t="inlineStr">
        <is>
          <t>LRFD2(max) 1C-B</t>
        </is>
      </c>
      <c r="E290" s="7" t="inlineStr">
        <is>
          <t>LRFD</t>
        </is>
      </c>
      <c r="F290" s="7" t="n">
        <v>1</v>
      </c>
      <c r="G290" s="7" t="n">
        <v>1</v>
      </c>
      <c r="H290" s="13" t="n">
        <v>4386.6</v>
      </c>
      <c r="I290" s="13" t="n">
        <v>57.74650626661322</v>
      </c>
      <c r="J290" s="13" t="n">
        <v>0.09499620218198199</v>
      </c>
      <c r="K290" s="13" t="n">
        <v>0.3718209924157053</v>
      </c>
    </row>
    <row r="291">
      <c r="A291" s="7" t="inlineStr">
        <is>
          <t>WPD</t>
        </is>
      </c>
      <c r="B291" s="7" t="inlineStr">
        <is>
          <t>M1</t>
        </is>
      </c>
      <c r="C291" s="7" t="inlineStr">
        <is>
          <t>Non-liquefied</t>
        </is>
      </c>
      <c r="D291" s="7" t="inlineStr">
        <is>
          <t>LRFD2(max) 1C-B</t>
        </is>
      </c>
      <c r="E291" s="7" t="inlineStr">
        <is>
          <t>LRFD</t>
        </is>
      </c>
      <c r="F291" s="7" t="n">
        <v>2</v>
      </c>
      <c r="G291" s="7" t="n">
        <v>1</v>
      </c>
      <c r="H291" s="13" t="n">
        <v>4042.9</v>
      </c>
      <c r="I291" s="13" t="n">
        <v>57.77419601344531</v>
      </c>
      <c r="J291" s="13" t="n">
        <v>0.06611382999040367</v>
      </c>
      <c r="K291" s="13" t="n">
        <v>0.3718238066019979</v>
      </c>
    </row>
    <row r="292">
      <c r="A292" s="7" t="inlineStr">
        <is>
          <t>WPD</t>
        </is>
      </c>
      <c r="B292" s="7" t="inlineStr">
        <is>
          <t>M1</t>
        </is>
      </c>
      <c r="C292" s="7" t="inlineStr">
        <is>
          <t>Non-liquefied</t>
        </is>
      </c>
      <c r="D292" s="7" t="inlineStr">
        <is>
          <t>LRFD2(max) 1C-B</t>
        </is>
      </c>
      <c r="E292" s="7" t="inlineStr">
        <is>
          <t>LRFD</t>
        </is>
      </c>
      <c r="F292" s="7" t="n">
        <v>3</v>
      </c>
      <c r="G292" s="7" t="n">
        <v>1</v>
      </c>
      <c r="H292" s="13" t="n">
        <v>3699.2</v>
      </c>
      <c r="I292" s="13" t="n">
        <v>57.80286831118332</v>
      </c>
      <c r="J292" s="13" t="n">
        <v>0.03725368694827399</v>
      </c>
      <c r="K292" s="13" t="n">
        <v>0.371826621372112</v>
      </c>
    </row>
    <row r="293">
      <c r="A293" s="7" t="inlineStr">
        <is>
          <t>WPD</t>
        </is>
      </c>
      <c r="B293" s="7" t="inlineStr">
        <is>
          <t>M1</t>
        </is>
      </c>
      <c r="C293" s="7" t="inlineStr">
        <is>
          <t>Non-liquefied</t>
        </is>
      </c>
      <c r="D293" s="7" t="inlineStr">
        <is>
          <t>LRFD2(max) 1C-B</t>
        </is>
      </c>
      <c r="E293" s="7" t="inlineStr">
        <is>
          <t>LRFD</t>
        </is>
      </c>
      <c r="F293" s="7" t="n">
        <v>4</v>
      </c>
      <c r="G293" s="7" t="n">
        <v>1</v>
      </c>
      <c r="H293" s="13" t="n">
        <v>3355.6</v>
      </c>
      <c r="I293" s="13" t="n">
        <v>57.83055870385483</v>
      </c>
      <c r="J293" s="13" t="n">
        <v>0.008747940731943718</v>
      </c>
      <c r="K293" s="13" t="n">
        <v>0.3718292490176102</v>
      </c>
    </row>
    <row r="294">
      <c r="A294" s="7" t="inlineStr">
        <is>
          <t>WPD</t>
        </is>
      </c>
      <c r="B294" s="7" t="inlineStr">
        <is>
          <t>M1</t>
        </is>
      </c>
      <c r="C294" s="7" t="inlineStr">
        <is>
          <t>Non-liquefied</t>
        </is>
      </c>
      <c r="D294" s="7" t="inlineStr">
        <is>
          <t>LRFD2(max) 1C-B</t>
        </is>
      </c>
      <c r="E294" s="7" t="inlineStr">
        <is>
          <t>LRFD</t>
        </is>
      </c>
      <c r="F294" s="7" t="n">
        <v>5</v>
      </c>
      <c r="G294" s="7" t="n">
        <v>2</v>
      </c>
      <c r="H294" s="13" t="n">
        <v>4137.1</v>
      </c>
      <c r="I294" s="13" t="n">
        <v>57.78458142099846</v>
      </c>
      <c r="J294" s="13" t="n">
        <v>0.08244486829390898</v>
      </c>
      <c r="K294" s="13" t="n">
        <v>0.3717718801913346</v>
      </c>
    </row>
    <row r="295">
      <c r="A295" s="7" t="inlineStr">
        <is>
          <t>WPD</t>
        </is>
      </c>
      <c r="B295" s="7" t="inlineStr">
        <is>
          <t>M1</t>
        </is>
      </c>
      <c r="C295" s="7" t="inlineStr">
        <is>
          <t>Non-liquefied</t>
        </is>
      </c>
      <c r="D295" s="7" t="inlineStr">
        <is>
          <t>LRFD2(max) 1C-B</t>
        </is>
      </c>
      <c r="E295" s="7" t="inlineStr">
        <is>
          <t>LRFD</t>
        </is>
      </c>
      <c r="F295" s="7" t="n">
        <v>6</v>
      </c>
      <c r="G295" s="7" t="n">
        <v>2</v>
      </c>
      <c r="H295" s="13" t="n">
        <v>3793.4</v>
      </c>
      <c r="I295" s="13" t="n">
        <v>57.81325363616893</v>
      </c>
      <c r="J295" s="13" t="n">
        <v>0.05358272365231166</v>
      </c>
      <c r="K295" s="13" t="n">
        <v>0.3717746947493871</v>
      </c>
    </row>
    <row r="296">
      <c r="A296" s="7" t="inlineStr">
        <is>
          <t>WPD</t>
        </is>
      </c>
      <c r="B296" s="7" t="inlineStr">
        <is>
          <t>M1</t>
        </is>
      </c>
      <c r="C296" s="7" t="inlineStr">
        <is>
          <t>Non-liquefied</t>
        </is>
      </c>
      <c r="D296" s="7" t="inlineStr">
        <is>
          <t>LRFD2(max) 1C-B</t>
        </is>
      </c>
      <c r="E296" s="7" t="inlineStr">
        <is>
          <t>LRFD</t>
        </is>
      </c>
      <c r="F296" s="7" t="n">
        <v>7</v>
      </c>
      <c r="G296" s="7" t="n">
        <v>2</v>
      </c>
      <c r="H296" s="13" t="n">
        <v>3449.7</v>
      </c>
      <c r="I296" s="13" t="n">
        <v>57.84094394976624</v>
      </c>
      <c r="J296" s="13" t="n">
        <v>0.02481250490055367</v>
      </c>
      <c r="K296" s="13" t="n">
        <v>0.3717775098913327</v>
      </c>
    </row>
    <row r="297">
      <c r="A297" s="7" t="inlineStr">
        <is>
          <t>WPD</t>
        </is>
      </c>
      <c r="B297" s="7" t="inlineStr">
        <is>
          <t>M1</t>
        </is>
      </c>
      <c r="C297" s="7" t="inlineStr">
        <is>
          <t>Non-liquefied</t>
        </is>
      </c>
      <c r="D297" s="7" t="inlineStr">
        <is>
          <t>LRFD2(max) 1C-B</t>
        </is>
      </c>
      <c r="E297" s="7" t="inlineStr">
        <is>
          <t>LRFD</t>
        </is>
      </c>
      <c r="F297" s="7" t="n">
        <v>8</v>
      </c>
      <c r="G297" s="7" t="n">
        <v>2</v>
      </c>
      <c r="H297" s="13" t="n">
        <v>3106.1</v>
      </c>
      <c r="I297" s="13" t="n">
        <v>57.86961683819931</v>
      </c>
      <c r="J297" s="13" t="n">
        <v>0.005701201140987749</v>
      </c>
      <c r="K297" s="13" t="n">
        <v>0.3717801378839381</v>
      </c>
    </row>
    <row r="298">
      <c r="A298" s="7" t="inlineStr">
        <is>
          <t>WPD</t>
        </is>
      </c>
      <c r="B298" s="7" t="inlineStr">
        <is>
          <t>M1</t>
        </is>
      </c>
      <c r="C298" s="7" t="inlineStr">
        <is>
          <t>Non-liquefied</t>
        </is>
      </c>
      <c r="D298" s="7" t="inlineStr">
        <is>
          <t>LRFD2(min) 1C-B</t>
        </is>
      </c>
      <c r="E298" s="7" t="inlineStr">
        <is>
          <t>LRFD</t>
        </is>
      </c>
      <c r="F298" s="7" t="n">
        <v>1</v>
      </c>
      <c r="G298" s="7" t="n">
        <v>1</v>
      </c>
      <c r="H298" s="13" t="n">
        <v>-1722.3</v>
      </c>
      <c r="I298" s="13" t="n">
        <v>253.9982770728967</v>
      </c>
      <c r="J298" s="13" t="n">
        <v>0.8671056502001356</v>
      </c>
      <c r="K298" s="13" t="n">
        <v>1.611433246637601</v>
      </c>
    </row>
    <row r="299">
      <c r="A299" s="7" t="inlineStr">
        <is>
          <t>WPD</t>
        </is>
      </c>
      <c r="B299" s="7" t="inlineStr">
        <is>
          <t>M1</t>
        </is>
      </c>
      <c r="C299" s="7" t="inlineStr">
        <is>
          <t>Non-liquefied</t>
        </is>
      </c>
      <c r="D299" s="7" t="inlineStr">
        <is>
          <t>LRFD2(min) 1C-B</t>
        </is>
      </c>
      <c r="E299" s="7" t="inlineStr">
        <is>
          <t>LRFD</t>
        </is>
      </c>
      <c r="F299" s="7" t="n">
        <v>2</v>
      </c>
      <c r="G299" s="7" t="n">
        <v>1</v>
      </c>
      <c r="H299" s="13" t="n">
        <v>55.795</v>
      </c>
      <c r="I299" s="13" t="n">
        <v>253.2884550783948</v>
      </c>
      <c r="J299" s="13" t="n">
        <v>0.2540706786781977</v>
      </c>
      <c r="K299" s="13" t="n">
        <v>1.611430645026028</v>
      </c>
    </row>
    <row r="300">
      <c r="A300" s="7" t="inlineStr">
        <is>
          <t>WPD</t>
        </is>
      </c>
      <c r="B300" s="7" t="inlineStr">
        <is>
          <t>M1</t>
        </is>
      </c>
      <c r="C300" s="7" t="inlineStr">
        <is>
          <t>Non-liquefied</t>
        </is>
      </c>
      <c r="D300" s="7" t="inlineStr">
        <is>
          <t>LRFD2(min) 1C-B</t>
        </is>
      </c>
      <c r="E300" s="7" t="inlineStr">
        <is>
          <t>LRFD</t>
        </is>
      </c>
      <c r="F300" s="7" t="n">
        <v>3</v>
      </c>
      <c r="G300" s="7" t="n">
        <v>1</v>
      </c>
      <c r="H300" s="13" t="n">
        <v>1817.4</v>
      </c>
      <c r="I300" s="13" t="n">
        <v>252.5786344804326</v>
      </c>
      <c r="J300" s="13" t="n">
        <v>0.3523665163945064</v>
      </c>
      <c r="K300" s="13" t="n">
        <v>1.611428045952099</v>
      </c>
    </row>
    <row r="301">
      <c r="A301" s="7" t="inlineStr">
        <is>
          <t>WPD</t>
        </is>
      </c>
      <c r="B301" s="7" t="inlineStr">
        <is>
          <t>M1</t>
        </is>
      </c>
      <c r="C301" s="7" t="inlineStr">
        <is>
          <t>Non-liquefied</t>
        </is>
      </c>
      <c r="D301" s="7" t="inlineStr">
        <is>
          <t>LRFD2(min) 1C-B</t>
        </is>
      </c>
      <c r="E301" s="7" t="inlineStr">
        <is>
          <t>LRFD</t>
        </is>
      </c>
      <c r="F301" s="7" t="n">
        <v>4</v>
      </c>
      <c r="G301" s="7" t="n">
        <v>1</v>
      </c>
      <c r="H301" s="13" t="n">
        <v>3335.3</v>
      </c>
      <c r="I301" s="13" t="n">
        <v>251.9688952311376</v>
      </c>
      <c r="J301" s="13" t="n">
        <v>0.8743316351185059</v>
      </c>
      <c r="K301" s="13" t="n">
        <v>1.611425449415827</v>
      </c>
    </row>
    <row r="302">
      <c r="A302" s="7" t="inlineStr">
        <is>
          <t>WPD</t>
        </is>
      </c>
      <c r="B302" s="7" t="inlineStr">
        <is>
          <t>M1</t>
        </is>
      </c>
      <c r="C302" s="7" t="inlineStr">
        <is>
          <t>Non-liquefied</t>
        </is>
      </c>
      <c r="D302" s="7" t="inlineStr">
        <is>
          <t>LRFD2(min) 1C-B</t>
        </is>
      </c>
      <c r="E302" s="7" t="inlineStr">
        <is>
          <t>LRFD</t>
        </is>
      </c>
      <c r="F302" s="7" t="n">
        <v>5</v>
      </c>
      <c r="G302" s="7" t="n">
        <v>2</v>
      </c>
      <c r="H302" s="13" t="n">
        <v>-1484.6</v>
      </c>
      <c r="I302" s="13" t="n">
        <v>253.8282545344391</v>
      </c>
      <c r="J302" s="13" t="n">
        <v>0.8188932335878714</v>
      </c>
      <c r="K302" s="13" t="n">
        <v>1.611732998473693</v>
      </c>
    </row>
    <row r="303">
      <c r="A303" s="7" t="inlineStr">
        <is>
          <t>WPD</t>
        </is>
      </c>
      <c r="B303" s="7" t="inlineStr">
        <is>
          <t>M1</t>
        </is>
      </c>
      <c r="C303" s="7" t="inlineStr">
        <is>
          <t>Non-liquefied</t>
        </is>
      </c>
      <c r="D303" s="7" t="inlineStr">
        <is>
          <t>LRFD2(min) 1C-B</t>
        </is>
      </c>
      <c r="E303" s="7" t="inlineStr">
        <is>
          <t>LRFD</t>
        </is>
      </c>
      <c r="F303" s="7" t="n">
        <v>6</v>
      </c>
      <c r="G303" s="7" t="n">
        <v>2</v>
      </c>
      <c r="H303" s="13" t="n">
        <v>348.29</v>
      </c>
      <c r="I303" s="13" t="n">
        <v>253.0984086496792</v>
      </c>
      <c r="J303" s="13" t="n">
        <v>0.1870446198130275</v>
      </c>
      <c r="K303" s="13" t="n">
        <v>1.61173039734597</v>
      </c>
    </row>
    <row r="304">
      <c r="A304" s="7" t="inlineStr">
        <is>
          <t>WPD</t>
        </is>
      </c>
      <c r="B304" s="7" t="inlineStr">
        <is>
          <t>M1</t>
        </is>
      </c>
      <c r="C304" s="7" t="inlineStr">
        <is>
          <t>Non-liquefied</t>
        </is>
      </c>
      <c r="D304" s="7" t="inlineStr">
        <is>
          <t>LRFD2(min) 1C-B</t>
        </is>
      </c>
      <c r="E304" s="7" t="inlineStr">
        <is>
          <t>LRFD</t>
        </is>
      </c>
      <c r="F304" s="7" t="n">
        <v>7</v>
      </c>
      <c r="G304" s="7" t="n">
        <v>2</v>
      </c>
      <c r="H304" s="13" t="n">
        <v>2051.8</v>
      </c>
      <c r="I304" s="13" t="n">
        <v>252.4086530232274</v>
      </c>
      <c r="J304" s="13" t="n">
        <v>0.3993746174408183</v>
      </c>
      <c r="K304" s="13" t="n">
        <v>1.611727798755423</v>
      </c>
    </row>
    <row r="305">
      <c r="A305" s="7" t="inlineStr">
        <is>
          <t>WPD</t>
        </is>
      </c>
      <c r="B305" s="7" t="inlineStr">
        <is>
          <t>M1</t>
        </is>
      </c>
      <c r="C305" s="7" t="inlineStr">
        <is>
          <t>Non-liquefied</t>
        </is>
      </c>
      <c r="D305" s="7" t="inlineStr">
        <is>
          <t>LRFD2(min) 1C-B</t>
        </is>
      </c>
      <c r="E305" s="7" t="inlineStr">
        <is>
          <t>LRFD</t>
        </is>
      </c>
      <c r="F305" s="7" t="n">
        <v>8</v>
      </c>
      <c r="G305" s="7" t="n">
        <v>2</v>
      </c>
      <c r="H305" s="13" t="n">
        <v>3569.7</v>
      </c>
      <c r="I305" s="13" t="n">
        <v>251.7989140663637</v>
      </c>
      <c r="J305" s="13" t="n">
        <v>0.9213415872519812</v>
      </c>
      <c r="K305" s="13" t="n">
        <v>1.611725202702061</v>
      </c>
    </row>
    <row r="306">
      <c r="A306" s="7" t="inlineStr">
        <is>
          <t>WPD</t>
        </is>
      </c>
      <c r="B306" s="7" t="inlineStr">
        <is>
          <t>M1</t>
        </is>
      </c>
      <c r="C306" s="7" t="inlineStr">
        <is>
          <t>Non-liquefied</t>
        </is>
      </c>
      <c r="D306" s="7" t="inlineStr">
        <is>
          <t>LRFD3 1C-B</t>
        </is>
      </c>
      <c r="E306" s="7" t="inlineStr">
        <is>
          <t>LRFD</t>
        </is>
      </c>
      <c r="F306" s="7" t="n">
        <v>1</v>
      </c>
      <c r="G306" s="7" t="n">
        <v>1</v>
      </c>
      <c r="H306" s="13" t="n">
        <v>957.16</v>
      </c>
      <c r="I306" s="13" t="n">
        <v>614.9539008738785</v>
      </c>
      <c r="J306" s="13" t="n">
        <v>309.9390806416642</v>
      </c>
      <c r="K306" s="13" t="n">
        <v>2.868621976995226</v>
      </c>
    </row>
    <row r="307">
      <c r="A307" s="7" t="inlineStr">
        <is>
          <t>WPD</t>
        </is>
      </c>
      <c r="B307" s="7" t="inlineStr">
        <is>
          <t>M1</t>
        </is>
      </c>
      <c r="C307" s="7" t="inlineStr">
        <is>
          <t>Non-liquefied</t>
        </is>
      </c>
      <c r="D307" s="7" t="inlineStr">
        <is>
          <t>LRFD3 1C-B</t>
        </is>
      </c>
      <c r="E307" s="7" t="inlineStr">
        <is>
          <t>LRFD</t>
        </is>
      </c>
      <c r="F307" s="7" t="n">
        <v>2</v>
      </c>
      <c r="G307" s="7" t="n">
        <v>1</v>
      </c>
      <c r="H307" s="13" t="n">
        <v>1397</v>
      </c>
      <c r="I307" s="13" t="n">
        <v>614.9634185055237</v>
      </c>
      <c r="J307" s="13" t="n">
        <v>309.754315869852</v>
      </c>
      <c r="K307" s="13" t="n">
        <v>2.868627142397561</v>
      </c>
    </row>
    <row r="308">
      <c r="A308" s="7" t="inlineStr">
        <is>
          <t>WPD</t>
        </is>
      </c>
      <c r="B308" s="7" t="inlineStr">
        <is>
          <t>M1</t>
        </is>
      </c>
      <c r="C308" s="7" t="inlineStr">
        <is>
          <t>Non-liquefied</t>
        </is>
      </c>
      <c r="D308" s="7" t="inlineStr">
        <is>
          <t>LRFD3 1C-B</t>
        </is>
      </c>
      <c r="E308" s="7" t="inlineStr">
        <is>
          <t>LRFD</t>
        </is>
      </c>
      <c r="F308" s="7" t="n">
        <v>3</v>
      </c>
      <c r="G308" s="7" t="n">
        <v>1</v>
      </c>
      <c r="H308" s="13" t="n">
        <v>1771.8</v>
      </c>
      <c r="I308" s="13" t="n">
        <v>614.9698679610245</v>
      </c>
      <c r="J308" s="13" t="n">
        <v>309.6005849881424</v>
      </c>
      <c r="K308" s="13" t="n">
        <v>2.868629725147531</v>
      </c>
    </row>
    <row r="309">
      <c r="A309" s="7" t="inlineStr">
        <is>
          <t>WPD</t>
        </is>
      </c>
      <c r="B309" s="7" t="inlineStr">
        <is>
          <t>M1</t>
        </is>
      </c>
      <c r="C309" s="7" t="inlineStr">
        <is>
          <t>Non-liquefied</t>
        </is>
      </c>
      <c r="D309" s="7" t="inlineStr">
        <is>
          <t>LRFD3 1C-B</t>
        </is>
      </c>
      <c r="E309" s="7" t="inlineStr">
        <is>
          <t>LRFD</t>
        </is>
      </c>
      <c r="F309" s="7" t="n">
        <v>4</v>
      </c>
      <c r="G309" s="7" t="n">
        <v>1</v>
      </c>
      <c r="H309" s="13" t="n">
        <v>2146.7</v>
      </c>
      <c r="I309" s="13" t="n">
        <v>614.979385670772</v>
      </c>
      <c r="J309" s="13" t="n">
        <v>309.4465669885514</v>
      </c>
      <c r="K309" s="13" t="n">
        <v>2.868634890745073</v>
      </c>
    </row>
    <row r="310">
      <c r="A310" s="7" t="inlineStr">
        <is>
          <t>WPD</t>
        </is>
      </c>
      <c r="B310" s="7" t="inlineStr">
        <is>
          <t>M1</t>
        </is>
      </c>
      <c r="C310" s="7" t="inlineStr">
        <is>
          <t>Non-liquefied</t>
        </is>
      </c>
      <c r="D310" s="7" t="inlineStr">
        <is>
          <t>LRFD3 1C-B</t>
        </is>
      </c>
      <c r="E310" s="7" t="inlineStr">
        <is>
          <t>LRFD</t>
        </is>
      </c>
      <c r="F310" s="7" t="n">
        <v>5</v>
      </c>
      <c r="G310" s="7" t="n">
        <v>2</v>
      </c>
      <c r="H310" s="13" t="n">
        <v>816.91</v>
      </c>
      <c r="I310" s="13" t="n">
        <v>614.9729361524782</v>
      </c>
      <c r="J310" s="13" t="n">
        <v>310.0101515902342</v>
      </c>
      <c r="K310" s="13" t="n">
        <v>2.868718584472865</v>
      </c>
    </row>
    <row r="311">
      <c r="A311" s="7" t="inlineStr">
        <is>
          <t>WPD</t>
        </is>
      </c>
      <c r="B311" s="7" t="inlineStr">
        <is>
          <t>M1</t>
        </is>
      </c>
      <c r="C311" s="7" t="inlineStr">
        <is>
          <t>Non-liquefied</t>
        </is>
      </c>
      <c r="D311" s="7" t="inlineStr">
        <is>
          <t>LRFD3 1C-B</t>
        </is>
      </c>
      <c r="E311" s="7" t="inlineStr">
        <is>
          <t>LRFD</t>
        </is>
      </c>
      <c r="F311" s="7" t="n">
        <v>6</v>
      </c>
      <c r="G311" s="7" t="n">
        <v>2</v>
      </c>
      <c r="H311" s="13" t="n">
        <v>1284.4</v>
      </c>
      <c r="I311" s="13" t="n">
        <v>614.982453814741</v>
      </c>
      <c r="J311" s="13" t="n">
        <v>309.8152336215894</v>
      </c>
      <c r="K311" s="13" t="n">
        <v>2.86872374970125</v>
      </c>
    </row>
    <row r="312">
      <c r="A312" s="7" t="inlineStr">
        <is>
          <t>WPD</t>
        </is>
      </c>
      <c r="B312" s="7" t="inlineStr">
        <is>
          <t>M1</t>
        </is>
      </c>
      <c r="C312" s="7" t="inlineStr">
        <is>
          <t>Non-liquefied</t>
        </is>
      </c>
      <c r="D312" s="7" t="inlineStr">
        <is>
          <t>LRFD3 1C-B</t>
        </is>
      </c>
      <c r="E312" s="7" t="inlineStr">
        <is>
          <t>LRFD</t>
        </is>
      </c>
      <c r="F312" s="7" t="n">
        <v>7</v>
      </c>
      <c r="G312" s="7" t="n">
        <v>2</v>
      </c>
      <c r="H312" s="13" t="n">
        <v>1659.4</v>
      </c>
      <c r="I312" s="13" t="n">
        <v>614.9919714923114</v>
      </c>
      <c r="J312" s="13" t="n">
        <v>309.6612151949288</v>
      </c>
      <c r="K312" s="13" t="n">
        <v>2.868726332364243</v>
      </c>
    </row>
    <row r="313">
      <c r="A313" s="7" t="inlineStr">
        <is>
          <t>WPD</t>
        </is>
      </c>
      <c r="B313" s="7" t="inlineStr">
        <is>
          <t>M1</t>
        </is>
      </c>
      <c r="C313" s="7" t="inlineStr">
        <is>
          <t>Non-liquefied</t>
        </is>
      </c>
      <c r="D313" s="7" t="inlineStr">
        <is>
          <t>LRFD3 1C-B</t>
        </is>
      </c>
      <c r="E313" s="7" t="inlineStr">
        <is>
          <t>LRFD</t>
        </is>
      </c>
      <c r="F313" s="7" t="n">
        <v>8</v>
      </c>
      <c r="G313" s="7" t="n">
        <v>2</v>
      </c>
      <c r="H313" s="13" t="n">
        <v>2034.2</v>
      </c>
      <c r="I313" s="13" t="n">
        <v>614.9889033958256</v>
      </c>
      <c r="J313" s="13" t="n">
        <v>309.5071970084056</v>
      </c>
      <c r="K313" s="13" t="n">
        <v>2.868731497787829</v>
      </c>
    </row>
    <row r="314">
      <c r="A314" s="7" t="inlineStr">
        <is>
          <t>WPD</t>
        </is>
      </c>
      <c r="B314" s="7" t="inlineStr">
        <is>
          <t>M1</t>
        </is>
      </c>
      <c r="C314" s="7" t="inlineStr">
        <is>
          <t>Non-liquefied</t>
        </is>
      </c>
      <c r="D314" s="7" t="inlineStr">
        <is>
          <t>LRFD4 1C-B</t>
        </is>
      </c>
      <c r="E314" s="7" t="inlineStr">
        <is>
          <t>LRFD</t>
        </is>
      </c>
      <c r="F314" s="7" t="n">
        <v>1</v>
      </c>
      <c r="G314" s="7" t="n">
        <v>1</v>
      </c>
      <c r="H314" s="13" t="n">
        <v>1431.8</v>
      </c>
      <c r="I314" s="13" t="n">
        <v>647.5446391562515</v>
      </c>
      <c r="J314" s="13" t="n">
        <v>309.73726714104</v>
      </c>
      <c r="K314" s="13" t="n">
        <v>2.622737028011005</v>
      </c>
    </row>
    <row r="315">
      <c r="A315" s="7" t="inlineStr">
        <is>
          <t>WPD</t>
        </is>
      </c>
      <c r="B315" s="7" t="inlineStr">
        <is>
          <t>M1</t>
        </is>
      </c>
      <c r="C315" s="7" t="inlineStr">
        <is>
          <t>Non-liquefied</t>
        </is>
      </c>
      <c r="D315" s="7" t="inlineStr">
        <is>
          <t>LRFD4 1C-B</t>
        </is>
      </c>
      <c r="E315" s="7" t="inlineStr">
        <is>
          <t>LRFD</t>
        </is>
      </c>
      <c r="F315" s="7" t="n">
        <v>2</v>
      </c>
      <c r="G315" s="7" t="n">
        <v>1</v>
      </c>
      <c r="H315" s="13" t="n">
        <v>1615.3</v>
      </c>
      <c r="I315" s="13" t="n">
        <v>647.5543147875705</v>
      </c>
      <c r="J315" s="13" t="n">
        <v>309.6821928703683</v>
      </c>
      <c r="K315" s="13" t="n">
        <v>2.622830880575414</v>
      </c>
    </row>
    <row r="316">
      <c r="A316" s="7" t="inlineStr">
        <is>
          <t>WPD</t>
        </is>
      </c>
      <c r="B316" s="7" t="inlineStr">
        <is>
          <t>M1</t>
        </is>
      </c>
      <c r="C316" s="7" t="inlineStr">
        <is>
          <t>Non-liquefied</t>
        </is>
      </c>
      <c r="D316" s="7" t="inlineStr">
        <is>
          <t>LRFD4 1C-B</t>
        </is>
      </c>
      <c r="E316" s="7" t="inlineStr">
        <is>
          <t>LRFD</t>
        </is>
      </c>
      <c r="F316" s="7" t="n">
        <v>3</v>
      </c>
      <c r="G316" s="7" t="n">
        <v>1</v>
      </c>
      <c r="H316" s="13" t="n">
        <v>1798.7</v>
      </c>
      <c r="I316" s="13" t="n">
        <v>647.566516737856</v>
      </c>
      <c r="J316" s="13" t="n">
        <v>309.6172530544769</v>
      </c>
      <c r="K316" s="13" t="n">
        <v>2.622924733594161</v>
      </c>
    </row>
    <row r="317">
      <c r="A317" s="7" t="inlineStr">
        <is>
          <t>WPD</t>
        </is>
      </c>
      <c r="B317" s="7" t="inlineStr">
        <is>
          <t>M1</t>
        </is>
      </c>
      <c r="C317" s="7" t="inlineStr">
        <is>
          <t>Non-liquefied</t>
        </is>
      </c>
      <c r="D317" s="7" t="inlineStr">
        <is>
          <t>LRFD4 1C-B</t>
        </is>
      </c>
      <c r="E317" s="7" t="inlineStr">
        <is>
          <t>LRFD</t>
        </is>
      </c>
      <c r="F317" s="7" t="n">
        <v>4</v>
      </c>
      <c r="G317" s="7" t="n">
        <v>1</v>
      </c>
      <c r="H317" s="13" t="n">
        <v>1982.2</v>
      </c>
      <c r="I317" s="13" t="n">
        <v>647.5761923511395</v>
      </c>
      <c r="J317" s="13" t="n">
        <v>309.562179317823</v>
      </c>
      <c r="K317" s="13" t="n">
        <v>2.623018587067198</v>
      </c>
    </row>
    <row r="318">
      <c r="A318" s="7" t="inlineStr">
        <is>
          <t>WPD</t>
        </is>
      </c>
      <c r="B318" s="7" t="inlineStr">
        <is>
          <t>M1</t>
        </is>
      </c>
      <c r="C318" s="7" t="inlineStr">
        <is>
          <t>Non-liquefied</t>
        </is>
      </c>
      <c r="D318" s="7" t="inlineStr">
        <is>
          <t>LRFD4 1C-B</t>
        </is>
      </c>
      <c r="E318" s="7" t="inlineStr">
        <is>
          <t>LRFD</t>
        </is>
      </c>
      <c r="F318" s="7" t="n">
        <v>5</v>
      </c>
      <c r="G318" s="7" t="n">
        <v>2</v>
      </c>
      <c r="H318" s="13" t="n">
        <v>994.64</v>
      </c>
      <c r="I318" s="13" t="n">
        <v>647.5816776283899</v>
      </c>
      <c r="J318" s="13" t="n">
        <v>309.9091021961117</v>
      </c>
      <c r="K318" s="13" t="n">
        <v>2.622840607833423</v>
      </c>
    </row>
    <row r="319">
      <c r="A319" s="7" t="inlineStr">
        <is>
          <t>WPD</t>
        </is>
      </c>
      <c r="B319" s="7" t="inlineStr">
        <is>
          <t>M1</t>
        </is>
      </c>
      <c r="C319" s="7" t="inlineStr">
        <is>
          <t>Non-liquefied</t>
        </is>
      </c>
      <c r="D319" s="7" t="inlineStr">
        <is>
          <t>LRFD4 1C-B</t>
        </is>
      </c>
      <c r="E319" s="7" t="inlineStr">
        <is>
          <t>LRFD</t>
        </is>
      </c>
      <c r="F319" s="7" t="n">
        <v>6</v>
      </c>
      <c r="G319" s="7" t="n">
        <v>2</v>
      </c>
      <c r="H319" s="13" t="n">
        <v>1223.4</v>
      </c>
      <c r="I319" s="13" t="n">
        <v>647.5913530151557</v>
      </c>
      <c r="J319" s="13" t="n">
        <v>309.8328583284865</v>
      </c>
      <c r="K319" s="13" t="n">
        <v>2.622934456691588</v>
      </c>
    </row>
    <row r="320">
      <c r="A320" s="7" t="inlineStr">
        <is>
          <t>WPD</t>
        </is>
      </c>
      <c r="B320" s="7" t="inlineStr">
        <is>
          <t>M1</t>
        </is>
      </c>
      <c r="C320" s="7" t="inlineStr">
        <is>
          <t>Non-liquefied</t>
        </is>
      </c>
      <c r="D320" s="7" t="inlineStr">
        <is>
          <t>LRFD4 1C-B</t>
        </is>
      </c>
      <c r="E320" s="7" t="inlineStr">
        <is>
          <t>LRFD</t>
        </is>
      </c>
      <c r="F320" s="7" t="n">
        <v>7</v>
      </c>
      <c r="G320" s="7" t="n">
        <v>2</v>
      </c>
      <c r="H320" s="13" t="n">
        <v>1419.1</v>
      </c>
      <c r="I320" s="13" t="n">
        <v>647.6035556573173</v>
      </c>
      <c r="J320" s="13" t="n">
        <v>309.76762989215</v>
      </c>
      <c r="K320" s="13" t="n">
        <v>2.62302830600434</v>
      </c>
    </row>
    <row r="321">
      <c r="A321" s="7" t="inlineStr">
        <is>
          <t>WPD</t>
        </is>
      </c>
      <c r="B321" s="7" t="inlineStr">
        <is>
          <t>M1</t>
        </is>
      </c>
      <c r="C321" s="7" t="inlineStr">
        <is>
          <t>Non-liquefied</t>
        </is>
      </c>
      <c r="D321" s="7" t="inlineStr">
        <is>
          <t>LRFD4 1C-B</t>
        </is>
      </c>
      <c r="E321" s="7" t="inlineStr">
        <is>
          <t>LRFD</t>
        </is>
      </c>
      <c r="F321" s="7" t="n">
        <v>8</v>
      </c>
      <c r="G321" s="7" t="n">
        <v>2</v>
      </c>
      <c r="H321" s="13" t="n">
        <v>1602.5</v>
      </c>
      <c r="I321" s="13" t="n">
        <v>647.61323102605</v>
      </c>
      <c r="J321" s="13" t="n">
        <v>309.7125546438181</v>
      </c>
      <c r="K321" s="13" t="n">
        <v>2.623122155771629</v>
      </c>
    </row>
    <row r="322">
      <c r="A322" s="7" t="inlineStr">
        <is>
          <t>WPD</t>
        </is>
      </c>
      <c r="B322" s="7" t="inlineStr">
        <is>
          <t>M3</t>
        </is>
      </c>
      <c r="C322" s="7" t="inlineStr">
        <is>
          <t>Liquefied</t>
        </is>
      </c>
      <c r="D322" s="7" t="inlineStr">
        <is>
          <t>ASD1 1C-A</t>
        </is>
      </c>
      <c r="E322" s="7" t="inlineStr">
        <is>
          <t>ASD</t>
        </is>
      </c>
      <c r="F322" s="7" t="n">
        <v>1</v>
      </c>
      <c r="G322" s="7" t="n">
        <v>1</v>
      </c>
      <c r="H322" s="13" t="n">
        <v>1214.9</v>
      </c>
      <c r="I322" s="13" t="n">
        <v>14.509</v>
      </c>
      <c r="J322" s="13" t="n">
        <v>0.005729</v>
      </c>
      <c r="K322" s="13" t="n">
        <v>0.09113299999999999</v>
      </c>
    </row>
    <row r="323">
      <c r="A323" s="7" t="inlineStr">
        <is>
          <t>WPD</t>
        </is>
      </c>
      <c r="B323" s="7" t="inlineStr">
        <is>
          <t>M3</t>
        </is>
      </c>
      <c r="C323" s="7" t="inlineStr">
        <is>
          <t>Liquefied</t>
        </is>
      </c>
      <c r="D323" s="7" t="inlineStr">
        <is>
          <t>ASD1 1C-A</t>
        </is>
      </c>
      <c r="E323" s="7" t="inlineStr">
        <is>
          <t>ASD</t>
        </is>
      </c>
      <c r="F323" s="7" t="n">
        <v>2</v>
      </c>
      <c r="G323" s="7" t="n">
        <v>1</v>
      </c>
      <c r="H323" s="13" t="n">
        <v>1139.3</v>
      </c>
      <c r="I323" s="13" t="n">
        <v>14.51</v>
      </c>
      <c r="J323" s="13" t="n">
        <v>0.0041444</v>
      </c>
      <c r="K323" s="13" t="n">
        <v>0.09113299999999999</v>
      </c>
    </row>
    <row r="324">
      <c r="A324" s="7" t="inlineStr">
        <is>
          <t>WPD</t>
        </is>
      </c>
      <c r="B324" s="7" t="inlineStr">
        <is>
          <t>M3</t>
        </is>
      </c>
      <c r="C324" s="7" t="inlineStr">
        <is>
          <t>Liquefied</t>
        </is>
      </c>
      <c r="D324" s="7" t="inlineStr">
        <is>
          <t>ASD1 1C-A</t>
        </is>
      </c>
      <c r="E324" s="7" t="inlineStr">
        <is>
          <t>ASD</t>
        </is>
      </c>
      <c r="F324" s="7" t="n">
        <v>3</v>
      </c>
      <c r="G324" s="7" t="n">
        <v>1</v>
      </c>
      <c r="H324" s="13" t="n">
        <v>1063.7</v>
      </c>
      <c r="I324" s="13" t="n">
        <v>14.512</v>
      </c>
      <c r="J324" s="13" t="n">
        <v>0.0025597</v>
      </c>
      <c r="K324" s="13" t="n">
        <v>0.09113299999999999</v>
      </c>
    </row>
    <row r="325">
      <c r="A325" s="7" t="inlineStr">
        <is>
          <t>WPD</t>
        </is>
      </c>
      <c r="B325" s="7" t="inlineStr">
        <is>
          <t>M3</t>
        </is>
      </c>
      <c r="C325" s="7" t="inlineStr">
        <is>
          <t>Liquefied</t>
        </is>
      </c>
      <c r="D325" s="7" t="inlineStr">
        <is>
          <t>ASD1 1C-A</t>
        </is>
      </c>
      <c r="E325" s="7" t="inlineStr">
        <is>
          <t>ASD</t>
        </is>
      </c>
      <c r="F325" s="7" t="n">
        <v>4</v>
      </c>
      <c r="G325" s="7" t="n">
        <v>1</v>
      </c>
      <c r="H325" s="13" t="n">
        <v>988.11</v>
      </c>
      <c r="I325" s="13" t="n">
        <v>14.513</v>
      </c>
      <c r="J325" s="13" t="n">
        <v>0.0009748700000000001</v>
      </c>
      <c r="K325" s="13" t="n">
        <v>0.09113299999999999</v>
      </c>
    </row>
    <row r="326">
      <c r="A326" s="7" t="inlineStr">
        <is>
          <t>WPD</t>
        </is>
      </c>
      <c r="B326" s="7" t="inlineStr">
        <is>
          <t>M3</t>
        </is>
      </c>
      <c r="C326" s="7" t="inlineStr">
        <is>
          <t>Liquefied</t>
        </is>
      </c>
      <c r="D326" s="7" t="inlineStr">
        <is>
          <t>ASD1 1C-A</t>
        </is>
      </c>
      <c r="E326" s="7" t="inlineStr">
        <is>
          <t>ASD</t>
        </is>
      </c>
      <c r="F326" s="7" t="n">
        <v>5</v>
      </c>
      <c r="G326" s="7" t="n">
        <v>2</v>
      </c>
      <c r="H326" s="13" t="n">
        <v>1214.9</v>
      </c>
      <c r="I326" s="13" t="n">
        <v>14.509</v>
      </c>
      <c r="J326" s="13" t="n">
        <v>0.005729</v>
      </c>
      <c r="K326" s="13" t="n">
        <v>0.09113299999999999</v>
      </c>
    </row>
    <row r="327">
      <c r="A327" s="7" t="inlineStr">
        <is>
          <t>WPD</t>
        </is>
      </c>
      <c r="B327" s="7" t="inlineStr">
        <is>
          <t>M3</t>
        </is>
      </c>
      <c r="C327" s="7" t="inlineStr">
        <is>
          <t>Liquefied</t>
        </is>
      </c>
      <c r="D327" s="7" t="inlineStr">
        <is>
          <t>ASD1 1C-A</t>
        </is>
      </c>
      <c r="E327" s="7" t="inlineStr">
        <is>
          <t>ASD</t>
        </is>
      </c>
      <c r="F327" s="7" t="n">
        <v>6</v>
      </c>
      <c r="G327" s="7" t="n">
        <v>2</v>
      </c>
      <c r="H327" s="13" t="n">
        <v>1139.3</v>
      </c>
      <c r="I327" s="13" t="n">
        <v>14.51</v>
      </c>
      <c r="J327" s="13" t="n">
        <v>0.0041444</v>
      </c>
      <c r="K327" s="13" t="n">
        <v>0.09113299999999999</v>
      </c>
    </row>
    <row r="328">
      <c r="A328" s="7" t="inlineStr">
        <is>
          <t>WPD</t>
        </is>
      </c>
      <c r="B328" s="7" t="inlineStr">
        <is>
          <t>M3</t>
        </is>
      </c>
      <c r="C328" s="7" t="inlineStr">
        <is>
          <t>Liquefied</t>
        </is>
      </c>
      <c r="D328" s="7" t="inlineStr">
        <is>
          <t>ASD1 1C-A</t>
        </is>
      </c>
      <c r="E328" s="7" t="inlineStr">
        <is>
          <t>ASD</t>
        </is>
      </c>
      <c r="F328" s="7" t="n">
        <v>7</v>
      </c>
      <c r="G328" s="7" t="n">
        <v>2</v>
      </c>
      <c r="H328" s="13" t="n">
        <v>1063.7</v>
      </c>
      <c r="I328" s="13" t="n">
        <v>14.512</v>
      </c>
      <c r="J328" s="13" t="n">
        <v>0.0025597</v>
      </c>
      <c r="K328" s="13" t="n">
        <v>0.09113299999999999</v>
      </c>
    </row>
    <row r="329">
      <c r="A329" s="7" t="inlineStr">
        <is>
          <t>WPD</t>
        </is>
      </c>
      <c r="B329" s="7" t="inlineStr">
        <is>
          <t>M3</t>
        </is>
      </c>
      <c r="C329" s="7" t="inlineStr">
        <is>
          <t>Liquefied</t>
        </is>
      </c>
      <c r="D329" s="7" t="inlineStr">
        <is>
          <t>ASD1 1C-A</t>
        </is>
      </c>
      <c r="E329" s="7" t="inlineStr">
        <is>
          <t>ASD</t>
        </is>
      </c>
      <c r="F329" s="7" t="n">
        <v>8</v>
      </c>
      <c r="G329" s="7" t="n">
        <v>2</v>
      </c>
      <c r="H329" s="13" t="n">
        <v>988.11</v>
      </c>
      <c r="I329" s="13" t="n">
        <v>14.513</v>
      </c>
      <c r="J329" s="13" t="n">
        <v>0.0009748700000000001</v>
      </c>
      <c r="K329" s="13" t="n">
        <v>0.09113299999999999</v>
      </c>
    </row>
    <row r="330">
      <c r="A330" s="7" t="inlineStr">
        <is>
          <t>WPD</t>
        </is>
      </c>
      <c r="B330" s="7" t="inlineStr">
        <is>
          <t>M3</t>
        </is>
      </c>
      <c r="C330" s="7" t="inlineStr">
        <is>
          <t>Liquefied</t>
        </is>
      </c>
      <c r="D330" s="7" t="inlineStr">
        <is>
          <t>ASD2(max) 1C-A</t>
        </is>
      </c>
      <c r="E330" s="7" t="inlineStr">
        <is>
          <t>ASD</t>
        </is>
      </c>
      <c r="F330" s="7" t="n">
        <v>1</v>
      </c>
      <c r="G330" s="7" t="n">
        <v>1</v>
      </c>
      <c r="H330" s="13" t="n">
        <v>6650.8</v>
      </c>
      <c r="I330" s="13" t="n">
        <v>411.7302571053043</v>
      </c>
      <c r="J330" s="13" t="n">
        <v>1.525090515952742</v>
      </c>
      <c r="K330" s="13" t="n">
        <v>2.686506810267935</v>
      </c>
    </row>
    <row r="331">
      <c r="A331" s="7" t="inlineStr">
        <is>
          <t>WPD</t>
        </is>
      </c>
      <c r="B331" s="7" t="inlineStr">
        <is>
          <t>M3</t>
        </is>
      </c>
      <c r="C331" s="7" t="inlineStr">
        <is>
          <t>Liquefied</t>
        </is>
      </c>
      <c r="D331" s="7" t="inlineStr">
        <is>
          <t>ASD2(max) 1C-A</t>
        </is>
      </c>
      <c r="E331" s="7" t="inlineStr">
        <is>
          <t>ASD</t>
        </is>
      </c>
      <c r="F331" s="7" t="n">
        <v>2</v>
      </c>
      <c r="G331" s="7" t="n">
        <v>1</v>
      </c>
      <c r="H331" s="13" t="n">
        <v>5443.6</v>
      </c>
      <c r="I331" s="13" t="n">
        <v>412.5699975870762</v>
      </c>
      <c r="J331" s="13" t="n">
        <v>0.8469460551038656</v>
      </c>
      <c r="K331" s="13" t="n">
        <v>2.686508655800126</v>
      </c>
    </row>
    <row r="332">
      <c r="A332" s="7" t="inlineStr">
        <is>
          <t>WPD</t>
        </is>
      </c>
      <c r="B332" s="7" t="inlineStr">
        <is>
          <t>M3</t>
        </is>
      </c>
      <c r="C332" s="7" t="inlineStr">
        <is>
          <t>Liquefied</t>
        </is>
      </c>
      <c r="D332" s="7" t="inlineStr">
        <is>
          <t>ASD2(max) 1C-A</t>
        </is>
      </c>
      <c r="E332" s="7" t="inlineStr">
        <is>
          <t>ASD</t>
        </is>
      </c>
      <c r="F332" s="7" t="n">
        <v>3</v>
      </c>
      <c r="G332" s="7" t="n">
        <v>1</v>
      </c>
      <c r="H332" s="13" t="n">
        <v>4188.5</v>
      </c>
      <c r="I332" s="13" t="n">
        <v>413.4397549837219</v>
      </c>
      <c r="J332" s="13" t="n">
        <v>0.1414019308464439</v>
      </c>
      <c r="K332" s="13" t="n">
        <v>2.686510529240673</v>
      </c>
    </row>
    <row r="333">
      <c r="A333" s="7" t="inlineStr">
        <is>
          <t>WPD</t>
        </is>
      </c>
      <c r="B333" s="7" t="inlineStr">
        <is>
          <t>M3</t>
        </is>
      </c>
      <c r="C333" s="7" t="inlineStr">
        <is>
          <t>Liquefied</t>
        </is>
      </c>
      <c r="D333" s="7" t="inlineStr">
        <is>
          <t>ASD2(max) 1C-A</t>
        </is>
      </c>
      <c r="E333" s="7" t="inlineStr">
        <is>
          <t>ASD</t>
        </is>
      </c>
      <c r="F333" s="7" t="n">
        <v>4</v>
      </c>
      <c r="G333" s="7" t="n">
        <v>1</v>
      </c>
      <c r="H333" s="13" t="n">
        <v>2489.9</v>
      </c>
      <c r="I333" s="13" t="n">
        <v>414.6196166138308</v>
      </c>
      <c r="J333" s="13" t="n">
        <v>0.814874518192832</v>
      </c>
      <c r="K333" s="13" t="n">
        <v>2.686512378549557</v>
      </c>
    </row>
    <row r="334">
      <c r="A334" s="7" t="inlineStr">
        <is>
          <t>WPD</t>
        </is>
      </c>
      <c r="B334" s="7" t="inlineStr">
        <is>
          <t>M3</t>
        </is>
      </c>
      <c r="C334" s="7" t="inlineStr">
        <is>
          <t>Liquefied</t>
        </is>
      </c>
      <c r="D334" s="7" t="inlineStr">
        <is>
          <t>ASD2(max) 1C-A</t>
        </is>
      </c>
      <c r="E334" s="7" t="inlineStr">
        <is>
          <t>ASD</t>
        </is>
      </c>
      <c r="F334" s="7" t="n">
        <v>5</v>
      </c>
      <c r="G334" s="7" t="n">
        <v>2</v>
      </c>
      <c r="H334" s="13" t="n">
        <v>6531.4</v>
      </c>
      <c r="I334" s="13" t="n">
        <v>411.890254805816</v>
      </c>
      <c r="J334" s="13" t="n">
        <v>1.494646878575672</v>
      </c>
      <c r="K334" s="13" t="n">
        <v>2.686206911541998</v>
      </c>
    </row>
    <row r="335">
      <c r="A335" s="7" t="inlineStr">
        <is>
          <t>WPD</t>
        </is>
      </c>
      <c r="B335" s="7" t="inlineStr">
        <is>
          <t>M3</t>
        </is>
      </c>
      <c r="C335" s="7" t="inlineStr">
        <is>
          <t>Liquefied</t>
        </is>
      </c>
      <c r="D335" s="7" t="inlineStr">
        <is>
          <t>ASD2(max) 1C-A</t>
        </is>
      </c>
      <c r="E335" s="7" t="inlineStr">
        <is>
          <t>ASD</t>
        </is>
      </c>
      <c r="F335" s="7" t="n">
        <v>6</v>
      </c>
      <c r="G335" s="7" t="n">
        <v>2</v>
      </c>
      <c r="H335" s="13" t="n">
        <v>5324.1</v>
      </c>
      <c r="I335" s="13" t="n">
        <v>412.7299953977176</v>
      </c>
      <c r="J335" s="13" t="n">
        <v>0.8165051289024461</v>
      </c>
      <c r="K335" s="13" t="n">
        <v>2.68620875728023</v>
      </c>
    </row>
    <row r="336">
      <c r="A336" s="7" t="inlineStr">
        <is>
          <t>WPD</t>
        </is>
      </c>
      <c r="B336" s="7" t="inlineStr">
        <is>
          <t>M3</t>
        </is>
      </c>
      <c r="C336" s="7" t="inlineStr">
        <is>
          <t>Liquefied</t>
        </is>
      </c>
      <c r="D336" s="7" t="inlineStr">
        <is>
          <t>ASD2(max) 1C-A</t>
        </is>
      </c>
      <c r="E336" s="7" t="inlineStr">
        <is>
          <t>ASD</t>
        </is>
      </c>
      <c r="F336" s="7" t="n">
        <v>7</v>
      </c>
      <c r="G336" s="7" t="n">
        <v>2</v>
      </c>
      <c r="H336" s="13" t="n">
        <v>4028</v>
      </c>
      <c r="I336" s="13" t="n">
        <v>413.6297687594547</v>
      </c>
      <c r="J336" s="13" t="n">
        <v>0.08792798548704503</v>
      </c>
      <c r="K336" s="13" t="n">
        <v>2.686210630929935</v>
      </c>
    </row>
    <row r="337">
      <c r="A337" s="7" t="inlineStr">
        <is>
          <t>WPD</t>
        </is>
      </c>
      <c r="B337" s="7" t="inlineStr">
        <is>
          <t>M3</t>
        </is>
      </c>
      <c r="C337" s="7" t="inlineStr">
        <is>
          <t>Liquefied</t>
        </is>
      </c>
      <c r="D337" s="7" t="inlineStr">
        <is>
          <t>ASD2(max) 1C-A</t>
        </is>
      </c>
      <c r="E337" s="7" t="inlineStr">
        <is>
          <t>ASD</t>
        </is>
      </c>
      <c r="F337" s="7" t="n">
        <v>8</v>
      </c>
      <c r="G337" s="7" t="n">
        <v>2</v>
      </c>
      <c r="H337" s="13" t="n">
        <v>2272.1</v>
      </c>
      <c r="I337" s="13" t="n">
        <v>414.8496429659787</v>
      </c>
      <c r="J337" s="13" t="n">
        <v>0.9006333550479907</v>
      </c>
      <c r="K337" s="13" t="n">
        <v>2.686212480445283</v>
      </c>
    </row>
    <row r="338">
      <c r="A338" s="7" t="inlineStr">
        <is>
          <t>WPD</t>
        </is>
      </c>
      <c r="B338" s="7" t="inlineStr">
        <is>
          <t>M3</t>
        </is>
      </c>
      <c r="C338" s="7" t="inlineStr">
        <is>
          <t>Liquefied</t>
        </is>
      </c>
      <c r="D338" s="7" t="inlineStr">
        <is>
          <t>ASD2(min) 1C-A</t>
        </is>
      </c>
      <c r="E338" s="7" t="inlineStr">
        <is>
          <t>ASD</t>
        </is>
      </c>
      <c r="F338" s="7" t="n">
        <v>1</v>
      </c>
      <c r="G338" s="7" t="n">
        <v>1</v>
      </c>
      <c r="H338" s="13" t="n">
        <v>3083.8</v>
      </c>
      <c r="I338" s="13" t="n">
        <v>43.22141006596152</v>
      </c>
      <c r="J338" s="13" t="n">
        <v>0.04005514539094821</v>
      </c>
      <c r="K338" s="13" t="n">
        <v>0.2762596502006762</v>
      </c>
    </row>
    <row r="339">
      <c r="A339" s="7" t="inlineStr">
        <is>
          <t>WPD</t>
        </is>
      </c>
      <c r="B339" s="7" t="inlineStr">
        <is>
          <t>M3</t>
        </is>
      </c>
      <c r="C339" s="7" t="inlineStr">
        <is>
          <t>Liquefied</t>
        </is>
      </c>
      <c r="D339" s="7" t="inlineStr">
        <is>
          <t>ASD2(min) 1C-A</t>
        </is>
      </c>
      <c r="E339" s="7" t="inlineStr">
        <is>
          <t>ASD</t>
        </is>
      </c>
      <c r="F339" s="7" t="n">
        <v>2</v>
      </c>
      <c r="G339" s="7" t="n">
        <v>1</v>
      </c>
      <c r="H339" s="13" t="n">
        <v>2920.3</v>
      </c>
      <c r="I339" s="13" t="n">
        <v>43.23120858835663</v>
      </c>
      <c r="J339" s="13" t="n">
        <v>0.02968418680055089</v>
      </c>
      <c r="K339" s="13" t="n">
        <v>0.2762611915488674</v>
      </c>
    </row>
    <row r="340">
      <c r="A340" s="7" t="inlineStr">
        <is>
          <t>WPD</t>
        </is>
      </c>
      <c r="B340" s="7" t="inlineStr">
        <is>
          <t>M3</t>
        </is>
      </c>
      <c r="C340" s="7" t="inlineStr">
        <is>
          <t>Liquefied</t>
        </is>
      </c>
      <c r="D340" s="7" t="inlineStr">
        <is>
          <t>ASD2(min) 1C-A</t>
        </is>
      </c>
      <c r="E340" s="7" t="inlineStr">
        <is>
          <t>ASD</t>
        </is>
      </c>
      <c r="F340" s="7" t="n">
        <v>3</v>
      </c>
      <c r="G340" s="7" t="n">
        <v>1</v>
      </c>
      <c r="H340" s="13" t="n">
        <v>2748.8</v>
      </c>
      <c r="I340" s="13" t="n">
        <v>43.24100720392623</v>
      </c>
      <c r="J340" s="13" t="n">
        <v>0.01885157633329372</v>
      </c>
      <c r="K340" s="13" t="n">
        <v>0.2762627330658263</v>
      </c>
    </row>
    <row r="341">
      <c r="A341" s="7" t="inlineStr">
        <is>
          <t>WPD</t>
        </is>
      </c>
      <c r="B341" s="7" t="inlineStr">
        <is>
          <t>M3</t>
        </is>
      </c>
      <c r="C341" s="7" t="inlineStr">
        <is>
          <t>Liquefied</t>
        </is>
      </c>
      <c r="D341" s="7" t="inlineStr">
        <is>
          <t>ASD2(min) 1C-A</t>
        </is>
      </c>
      <c r="E341" s="7" t="inlineStr">
        <is>
          <t>ASD</t>
        </is>
      </c>
      <c r="F341" s="7" t="n">
        <v>4</v>
      </c>
      <c r="G341" s="7" t="n">
        <v>1</v>
      </c>
      <c r="H341" s="13" t="n">
        <v>2526.9</v>
      </c>
      <c r="I341" s="13" t="n">
        <v>43.25388641498009</v>
      </c>
      <c r="J341" s="13" t="n">
        <v>0.005208884719102545</v>
      </c>
      <c r="K341" s="13" t="n">
        <v>0.2762640545004</v>
      </c>
    </row>
    <row r="342">
      <c r="A342" s="7" t="inlineStr">
        <is>
          <t>WPD</t>
        </is>
      </c>
      <c r="B342" s="7" t="inlineStr">
        <is>
          <t>M3</t>
        </is>
      </c>
      <c r="C342" s="7" t="inlineStr">
        <is>
          <t>Liquefied</t>
        </is>
      </c>
      <c r="D342" s="7" t="inlineStr">
        <is>
          <t>ASD2(min) 1C-A</t>
        </is>
      </c>
      <c r="E342" s="7" t="inlineStr">
        <is>
          <t>ASD</t>
        </is>
      </c>
      <c r="F342" s="7" t="n">
        <v>5</v>
      </c>
      <c r="G342" s="7" t="n">
        <v>2</v>
      </c>
      <c r="H342" s="13" t="n">
        <v>3224.1</v>
      </c>
      <c r="I342" s="13" t="n">
        <v>43.20440910184978</v>
      </c>
      <c r="J342" s="13" t="n">
        <v>0.04500730288519853</v>
      </c>
      <c r="K342" s="13" t="n">
        <v>0.2762791594185128</v>
      </c>
    </row>
    <row r="343">
      <c r="A343" s="7" t="inlineStr">
        <is>
          <t>WPD</t>
        </is>
      </c>
      <c r="B343" s="7" t="inlineStr">
        <is>
          <t>M3</t>
        </is>
      </c>
      <c r="C343" s="7" t="inlineStr">
        <is>
          <t>Liquefied</t>
        </is>
      </c>
      <c r="D343" s="7" t="inlineStr">
        <is>
          <t>ASD2(min) 1C-A</t>
        </is>
      </c>
      <c r="E343" s="7" t="inlineStr">
        <is>
          <t>ASD</t>
        </is>
      </c>
      <c r="F343" s="7" t="n">
        <v>6</v>
      </c>
      <c r="G343" s="7" t="n">
        <v>2</v>
      </c>
      <c r="H343" s="13" t="n">
        <v>3060.6</v>
      </c>
      <c r="I343" s="13" t="n">
        <v>43.21418551135726</v>
      </c>
      <c r="J343" s="13" t="n">
        <v>0.03462237742862266</v>
      </c>
      <c r="K343" s="13" t="n">
        <v>0.2762807006578635</v>
      </c>
    </row>
    <row r="344">
      <c r="A344" s="7" t="inlineStr">
        <is>
          <t>WPD</t>
        </is>
      </c>
      <c r="B344" s="7" t="inlineStr">
        <is>
          <t>M3</t>
        </is>
      </c>
      <c r="C344" s="7" t="inlineStr">
        <is>
          <t>Liquefied</t>
        </is>
      </c>
      <c r="D344" s="7" t="inlineStr">
        <is>
          <t>ASD2(min) 1C-A</t>
        </is>
      </c>
      <c r="E344" s="7" t="inlineStr">
        <is>
          <t>ASD</t>
        </is>
      </c>
      <c r="F344" s="7" t="n">
        <v>7</v>
      </c>
      <c r="G344" s="7" t="n">
        <v>2</v>
      </c>
      <c r="H344" s="13" t="n">
        <v>2897.1</v>
      </c>
      <c r="I344" s="13" t="n">
        <v>43.22396202339623</v>
      </c>
      <c r="J344" s="13" t="n">
        <v>0.02425215574768561</v>
      </c>
      <c r="K344" s="13" t="n">
        <v>0.2762822420659714</v>
      </c>
    </row>
    <row r="345">
      <c r="A345" s="7" t="inlineStr">
        <is>
          <t>WPD</t>
        </is>
      </c>
      <c r="B345" s="7" t="inlineStr">
        <is>
          <t>M3</t>
        </is>
      </c>
      <c r="C345" s="7" t="inlineStr">
        <is>
          <t>Liquefied</t>
        </is>
      </c>
      <c r="D345" s="7" t="inlineStr">
        <is>
          <t>ASD2(min) 1C-A</t>
        </is>
      </c>
      <c r="E345" s="7" t="inlineStr">
        <is>
          <t>ASD</t>
        </is>
      </c>
      <c r="F345" s="7" t="n">
        <v>8</v>
      </c>
      <c r="G345" s="7" t="n">
        <v>2</v>
      </c>
      <c r="H345" s="13" t="n">
        <v>2717.3</v>
      </c>
      <c r="I345" s="13" t="n">
        <v>43.2347801493196</v>
      </c>
      <c r="J345" s="13" t="n">
        <v>0.01292559711928234</v>
      </c>
      <c r="K345" s="13" t="n">
        <v>0.2762835634072356</v>
      </c>
    </row>
    <row r="346">
      <c r="A346" s="7" t="inlineStr">
        <is>
          <t>WPD</t>
        </is>
      </c>
      <c r="B346" s="7" t="inlineStr">
        <is>
          <t>M3</t>
        </is>
      </c>
      <c r="C346" s="7" t="inlineStr">
        <is>
          <t>Liquefied</t>
        </is>
      </c>
      <c r="D346" s="7" t="inlineStr">
        <is>
          <t>ASD3 1C-A</t>
        </is>
      </c>
      <c r="E346" s="7" t="inlineStr">
        <is>
          <t>ASD</t>
        </is>
      </c>
      <c r="F346" s="7" t="n">
        <v>1</v>
      </c>
      <c r="G346" s="7" t="n">
        <v>1</v>
      </c>
      <c r="H346" s="13" t="n">
        <v>1102.6</v>
      </c>
      <c r="I346" s="13" t="n">
        <v>433.9139911318832</v>
      </c>
      <c r="J346" s="13" t="n">
        <v>216.8147073332434</v>
      </c>
      <c r="K346" s="13" t="n">
        <v>1.762350827275886</v>
      </c>
    </row>
    <row r="347">
      <c r="A347" s="7" t="inlineStr">
        <is>
          <t>WPD</t>
        </is>
      </c>
      <c r="B347" s="7" t="inlineStr">
        <is>
          <t>M3</t>
        </is>
      </c>
      <c r="C347" s="7" t="inlineStr">
        <is>
          <t>Liquefied</t>
        </is>
      </c>
      <c r="D347" s="7" t="inlineStr">
        <is>
          <t>ASD3 1C-A</t>
        </is>
      </c>
      <c r="E347" s="7" t="inlineStr">
        <is>
          <t>ASD</t>
        </is>
      </c>
      <c r="F347" s="7" t="n">
        <v>2</v>
      </c>
      <c r="G347" s="7" t="n">
        <v>1</v>
      </c>
      <c r="H347" s="13" t="n">
        <v>1216.4</v>
      </c>
      <c r="I347" s="13" t="n">
        <v>433.9015036848801</v>
      </c>
      <c r="J347" s="13" t="n">
        <v>216.7828117010202</v>
      </c>
      <c r="K347" s="13" t="n">
        <v>1.762345240751653</v>
      </c>
    </row>
    <row r="348">
      <c r="A348" s="7" t="inlineStr">
        <is>
          <t>WPD</t>
        </is>
      </c>
      <c r="B348" s="7" t="inlineStr">
        <is>
          <t>M3</t>
        </is>
      </c>
      <c r="C348" s="7" t="inlineStr">
        <is>
          <t>Liquefied</t>
        </is>
      </c>
      <c r="D348" s="7" t="inlineStr">
        <is>
          <t>ASD3 1C-A</t>
        </is>
      </c>
      <c r="E348" s="7" t="inlineStr">
        <is>
          <t>ASD</t>
        </is>
      </c>
      <c r="F348" s="7" t="n">
        <v>3</v>
      </c>
      <c r="G348" s="7" t="n">
        <v>1</v>
      </c>
      <c r="H348" s="13" t="n">
        <v>1330.2</v>
      </c>
      <c r="I348" s="13" t="n">
        <v>433.8985791633801</v>
      </c>
      <c r="J348" s="13" t="n">
        <v>216.7607817133902</v>
      </c>
      <c r="K348" s="13" t="n">
        <v>1.762339654436681</v>
      </c>
    </row>
    <row r="349">
      <c r="A349" s="7" t="inlineStr">
        <is>
          <t>WPD</t>
        </is>
      </c>
      <c r="B349" s="7" t="inlineStr">
        <is>
          <t>M3</t>
        </is>
      </c>
      <c r="C349" s="7" t="inlineStr">
        <is>
          <t>Liquefied</t>
        </is>
      </c>
      <c r="D349" s="7" t="inlineStr">
        <is>
          <t>ASD3 1C-A</t>
        </is>
      </c>
      <c r="E349" s="7" t="inlineStr">
        <is>
          <t>ASD</t>
        </is>
      </c>
      <c r="F349" s="7" t="n">
        <v>4</v>
      </c>
      <c r="G349" s="7" t="n">
        <v>1</v>
      </c>
      <c r="H349" s="13" t="n">
        <v>1444</v>
      </c>
      <c r="I349" s="13" t="n">
        <v>433.8985791633801</v>
      </c>
      <c r="J349" s="13" t="n">
        <v>216.7291734607965</v>
      </c>
      <c r="K349" s="13" t="n">
        <v>1.762336861357669</v>
      </c>
    </row>
    <row r="350">
      <c r="A350" s="7" t="inlineStr">
        <is>
          <t>WPD</t>
        </is>
      </c>
      <c r="B350" s="7" t="inlineStr">
        <is>
          <t>M3</t>
        </is>
      </c>
      <c r="C350" s="7" t="inlineStr">
        <is>
          <t>Liquefied</t>
        </is>
      </c>
      <c r="D350" s="7" t="inlineStr">
        <is>
          <t>ASD3 1C-A</t>
        </is>
      </c>
      <c r="E350" s="7" t="inlineStr">
        <is>
          <t>ASD</t>
        </is>
      </c>
      <c r="F350" s="7" t="n">
        <v>5</v>
      </c>
      <c r="G350" s="7" t="n">
        <v>2</v>
      </c>
      <c r="H350" s="13" t="n">
        <v>1021.2</v>
      </c>
      <c r="I350" s="13" t="n">
        <v>433.894865722101</v>
      </c>
      <c r="J350" s="13" t="n">
        <v>216.8260097405291</v>
      </c>
      <c r="K350" s="13" t="n">
        <v>1.762254808022949</v>
      </c>
    </row>
    <row r="351">
      <c r="A351" s="7" t="inlineStr">
        <is>
          <t>WPD</t>
        </is>
      </c>
      <c r="B351" s="7" t="inlineStr">
        <is>
          <t>M3</t>
        </is>
      </c>
      <c r="C351" s="7" t="inlineStr">
        <is>
          <t>Liquefied</t>
        </is>
      </c>
      <c r="D351" s="7" t="inlineStr">
        <is>
          <t>ASD3 1C-A</t>
        </is>
      </c>
      <c r="E351" s="7" t="inlineStr">
        <is>
          <t>ASD</t>
        </is>
      </c>
      <c r="F351" s="7" t="n">
        <v>6</v>
      </c>
      <c r="G351" s="7" t="n">
        <v>2</v>
      </c>
      <c r="H351" s="13" t="n">
        <v>1135</v>
      </c>
      <c r="I351" s="13" t="n">
        <v>433.8919409253876</v>
      </c>
      <c r="J351" s="13" t="n">
        <v>216.7941140829243</v>
      </c>
      <c r="K351" s="13" t="n">
        <v>1.762249221194323</v>
      </c>
    </row>
    <row r="352">
      <c r="A352" s="7" t="inlineStr">
        <is>
          <t>WPD</t>
        </is>
      </c>
      <c r="B352" s="7" t="inlineStr">
        <is>
          <t>M3</t>
        </is>
      </c>
      <c r="C352" s="7" t="inlineStr">
        <is>
          <t>Liquefied</t>
        </is>
      </c>
      <c r="D352" s="7" t="inlineStr">
        <is>
          <t>ASD3 1C-A</t>
        </is>
      </c>
      <c r="E352" s="7" t="inlineStr">
        <is>
          <t>ASD</t>
        </is>
      </c>
      <c r="F352" s="7" t="n">
        <v>7</v>
      </c>
      <c r="G352" s="7" t="n">
        <v>2</v>
      </c>
      <c r="H352" s="13" t="n">
        <v>1248.8</v>
      </c>
      <c r="I352" s="13" t="n">
        <v>433.8794535351957</v>
      </c>
      <c r="J352" s="13" t="n">
        <v>216.7720840445097</v>
      </c>
      <c r="K352" s="13" t="n">
        <v>1.76224363457497</v>
      </c>
    </row>
    <row r="353">
      <c r="A353" s="7" t="inlineStr">
        <is>
          <t>WPD</t>
        </is>
      </c>
      <c r="B353" s="7" t="inlineStr">
        <is>
          <t>M3</t>
        </is>
      </c>
      <c r="C353" s="7" t="inlineStr">
        <is>
          <t>Liquefied</t>
        </is>
      </c>
      <c r="D353" s="7" t="inlineStr">
        <is>
          <t>ASD3 1C-A</t>
        </is>
      </c>
      <c r="E353" s="7" t="inlineStr">
        <is>
          <t>ASD</t>
        </is>
      </c>
      <c r="F353" s="7" t="n">
        <v>8</v>
      </c>
      <c r="G353" s="7" t="n">
        <v>2</v>
      </c>
      <c r="H353" s="13" t="n">
        <v>1362.6</v>
      </c>
      <c r="I353" s="13" t="n">
        <v>433.8794535351957</v>
      </c>
      <c r="J353" s="13" t="n">
        <v>216.7401884376776</v>
      </c>
      <c r="K353" s="13" t="n">
        <v>1.76224084134377</v>
      </c>
    </row>
    <row r="354">
      <c r="A354" s="7" t="inlineStr">
        <is>
          <t>WPD</t>
        </is>
      </c>
      <c r="B354" s="7" t="inlineStr">
        <is>
          <t>M3</t>
        </is>
      </c>
      <c r="C354" s="7" t="inlineStr">
        <is>
          <t>Liquefied</t>
        </is>
      </c>
      <c r="D354" s="7" t="inlineStr">
        <is>
          <t>ASD4 1C-A</t>
        </is>
      </c>
      <c r="E354" s="7" t="inlineStr">
        <is>
          <t>ASD</t>
        </is>
      </c>
      <c r="F354" s="7" t="n">
        <v>1</v>
      </c>
      <c r="G354" s="7" t="n">
        <v>1</v>
      </c>
      <c r="H354" s="13" t="n">
        <v>1406</v>
      </c>
      <c r="I354" s="13" t="n">
        <v>444.2169002863353</v>
      </c>
      <c r="J354" s="13" t="n">
        <v>216.7549393116568</v>
      </c>
      <c r="K354" s="13" t="n">
        <v>1.698238503155549</v>
      </c>
    </row>
    <row r="355">
      <c r="A355" s="7" t="inlineStr">
        <is>
          <t>WPD</t>
        </is>
      </c>
      <c r="B355" s="7" t="inlineStr">
        <is>
          <t>M3</t>
        </is>
      </c>
      <c r="C355" s="7" t="inlineStr">
        <is>
          <t>Liquefied</t>
        </is>
      </c>
      <c r="D355" s="7" t="inlineStr">
        <is>
          <t>ASD4 1C-A</t>
        </is>
      </c>
      <c r="E355" s="7" t="inlineStr">
        <is>
          <t>ASD</t>
        </is>
      </c>
      <c r="F355" s="7" t="n">
        <v>2</v>
      </c>
      <c r="G355" s="7" t="n">
        <v>1</v>
      </c>
      <c r="H355" s="13" t="n">
        <v>1380.8</v>
      </c>
      <c r="I355" s="13" t="n">
        <v>444.2073788220993</v>
      </c>
      <c r="J355" s="13" t="n">
        <v>216.7552267166815</v>
      </c>
      <c r="K355" s="13" t="n">
        <v>1.698141856147477</v>
      </c>
    </row>
    <row r="356">
      <c r="A356" s="7" t="inlineStr">
        <is>
          <t>WPD</t>
        </is>
      </c>
      <c r="B356" s="7" t="inlineStr">
        <is>
          <t>M3</t>
        </is>
      </c>
      <c r="C356" s="7" t="inlineStr">
        <is>
          <t>Liquefied</t>
        </is>
      </c>
      <c r="D356" s="7" t="inlineStr">
        <is>
          <t>ASD4 1C-A</t>
        </is>
      </c>
      <c r="E356" s="7" t="inlineStr">
        <is>
          <t>ASD</t>
        </is>
      </c>
      <c r="F356" s="7" t="n">
        <v>3</v>
      </c>
      <c r="G356" s="7" t="n">
        <v>1</v>
      </c>
      <c r="H356" s="13" t="n">
        <v>1355.7</v>
      </c>
      <c r="I356" s="13" t="n">
        <v>444.18833595672</v>
      </c>
      <c r="J356" s="13" t="n">
        <v>216.746223498819</v>
      </c>
      <c r="K356" s="13" t="n">
        <v>1.698141856147477</v>
      </c>
    </row>
    <row r="357">
      <c r="A357" s="7" t="inlineStr">
        <is>
          <t>WPD</t>
        </is>
      </c>
      <c r="B357" s="7" t="inlineStr">
        <is>
          <t>M3</t>
        </is>
      </c>
      <c r="C357" s="7" t="inlineStr">
        <is>
          <t>Liquefied</t>
        </is>
      </c>
      <c r="D357" s="7" t="inlineStr">
        <is>
          <t>ASD4 1C-A</t>
        </is>
      </c>
      <c r="E357" s="7" t="inlineStr">
        <is>
          <t>ASD</t>
        </is>
      </c>
      <c r="F357" s="7" t="n">
        <v>4</v>
      </c>
      <c r="G357" s="7" t="n">
        <v>1</v>
      </c>
      <c r="H357" s="13" t="n">
        <v>1330.5</v>
      </c>
      <c r="I357" s="13" t="n">
        <v>444.1788145555797</v>
      </c>
      <c r="J357" s="13" t="n">
        <v>216.7465109292419</v>
      </c>
      <c r="K357" s="13" t="n">
        <v>1.698045209527709</v>
      </c>
    </row>
    <row r="358">
      <c r="A358" s="7" t="inlineStr">
        <is>
          <t>WPD</t>
        </is>
      </c>
      <c r="B358" s="7" t="inlineStr">
        <is>
          <t>M3</t>
        </is>
      </c>
      <c r="C358" s="7" t="inlineStr">
        <is>
          <t>Liquefied</t>
        </is>
      </c>
      <c r="D358" s="7" t="inlineStr">
        <is>
          <t>ASD4 1C-A</t>
        </is>
      </c>
      <c r="E358" s="7" t="inlineStr">
        <is>
          <t>ASD</t>
        </is>
      </c>
      <c r="F358" s="7" t="n">
        <v>5</v>
      </c>
      <c r="G358" s="7" t="n">
        <v>2</v>
      </c>
      <c r="H358" s="13" t="n">
        <v>1134.6</v>
      </c>
      <c r="I358" s="13" t="n">
        <v>444.211142701306</v>
      </c>
      <c r="J358" s="13" t="n">
        <v>216.8098228148347</v>
      </c>
      <c r="K358" s="13" t="n">
        <v>1.698189726414572</v>
      </c>
    </row>
    <row r="359">
      <c r="A359" s="7" t="inlineStr">
        <is>
          <t>WPD</t>
        </is>
      </c>
      <c r="B359" s="7" t="inlineStr">
        <is>
          <t>M3</t>
        </is>
      </c>
      <c r="C359" s="7" t="inlineStr">
        <is>
          <t>Liquefied</t>
        </is>
      </c>
      <c r="D359" s="7" t="inlineStr">
        <is>
          <t>ASD4 1C-A</t>
        </is>
      </c>
      <c r="E359" s="7" t="inlineStr">
        <is>
          <t>ASD</t>
        </is>
      </c>
      <c r="F359" s="7" t="n">
        <v>6</v>
      </c>
      <c r="G359" s="7" t="n">
        <v>2</v>
      </c>
      <c r="H359" s="13" t="n">
        <v>1109.5</v>
      </c>
      <c r="I359" s="13" t="n">
        <v>444.204676359896</v>
      </c>
      <c r="J359" s="13" t="n">
        <v>216.8101101055945</v>
      </c>
      <c r="K359" s="13" t="n">
        <v>1.698093076630371</v>
      </c>
    </row>
    <row r="360">
      <c r="A360" s="7" t="inlineStr">
        <is>
          <t>WPD</t>
        </is>
      </c>
      <c r="B360" s="7" t="inlineStr">
        <is>
          <t>M3</t>
        </is>
      </c>
      <c r="C360" s="7" t="inlineStr">
        <is>
          <t>Liquefied</t>
        </is>
      </c>
      <c r="D360" s="7" t="inlineStr">
        <is>
          <t>ASD4 1C-A</t>
        </is>
      </c>
      <c r="E360" s="7" t="inlineStr">
        <is>
          <t>ASD</t>
        </is>
      </c>
      <c r="F360" s="7" t="n">
        <v>7</v>
      </c>
      <c r="G360" s="7" t="n">
        <v>2</v>
      </c>
      <c r="H360" s="13" t="n">
        <v>1084.3</v>
      </c>
      <c r="I360" s="13" t="n">
        <v>444.1951546336362</v>
      </c>
      <c r="J360" s="13" t="n">
        <v>216.810684699809</v>
      </c>
      <c r="K360" s="13" t="n">
        <v>1.698093076630371</v>
      </c>
    </row>
    <row r="361">
      <c r="A361" s="7" t="inlineStr">
        <is>
          <t>WPD</t>
        </is>
      </c>
      <c r="B361" s="7" t="inlineStr">
        <is>
          <t>M3</t>
        </is>
      </c>
      <c r="C361" s="7" t="inlineStr">
        <is>
          <t>Liquefied</t>
        </is>
      </c>
      <c r="D361" s="7" t="inlineStr">
        <is>
          <t>ASD4 1C-A</t>
        </is>
      </c>
      <c r="E361" s="7" t="inlineStr">
        <is>
          <t>ASD</t>
        </is>
      </c>
      <c r="F361" s="7" t="n">
        <v>8</v>
      </c>
      <c r="G361" s="7" t="n">
        <v>2</v>
      </c>
      <c r="H361" s="13" t="n">
        <v>1059.1</v>
      </c>
      <c r="I361" s="13" t="n">
        <v>444.1761112441775</v>
      </c>
      <c r="J361" s="13" t="n">
        <v>216.8109720032637</v>
      </c>
      <c r="K361" s="13" t="n">
        <v>1.697996427234168</v>
      </c>
    </row>
    <row r="362">
      <c r="A362" s="7" t="inlineStr">
        <is>
          <t>WPD</t>
        </is>
      </c>
      <c r="B362" s="7" t="inlineStr">
        <is>
          <t>M3</t>
        </is>
      </c>
      <c r="C362" s="7" t="inlineStr">
        <is>
          <t>Liquefied</t>
        </is>
      </c>
      <c r="D362" s="7" t="inlineStr">
        <is>
          <t>LRFD1 1C-A</t>
        </is>
      </c>
      <c r="E362" s="7" t="inlineStr">
        <is>
          <t>LRFD</t>
        </is>
      </c>
      <c r="F362" s="7" t="n">
        <v>1</v>
      </c>
      <c r="G362" s="7" t="n">
        <v>1</v>
      </c>
      <c r="H362" s="13" t="n">
        <v>1700.9</v>
      </c>
      <c r="I362" s="13" t="n">
        <v>20.262</v>
      </c>
      <c r="J362" s="13" t="n">
        <v>0.011194</v>
      </c>
      <c r="K362" s="13" t="n">
        <v>0.1279</v>
      </c>
    </row>
    <row r="363">
      <c r="A363" s="7" t="inlineStr">
        <is>
          <t>WPD</t>
        </is>
      </c>
      <c r="B363" s="7" t="inlineStr">
        <is>
          <t>M3</t>
        </is>
      </c>
      <c r="C363" s="7" t="inlineStr">
        <is>
          <t>Liquefied</t>
        </is>
      </c>
      <c r="D363" s="7" t="inlineStr">
        <is>
          <t>LRFD1 1C-A</t>
        </is>
      </c>
      <c r="E363" s="7" t="inlineStr">
        <is>
          <t>LRFD</t>
        </is>
      </c>
      <c r="F363" s="7" t="n">
        <v>2</v>
      </c>
      <c r="G363" s="7" t="n">
        <v>1</v>
      </c>
      <c r="H363" s="13" t="n">
        <v>1595</v>
      </c>
      <c r="I363" s="13" t="n">
        <v>20.265</v>
      </c>
      <c r="J363" s="13" t="n">
        <v>0.008101000000000001</v>
      </c>
      <c r="K363" s="13" t="n">
        <v>0.1279</v>
      </c>
    </row>
    <row r="364">
      <c r="A364" s="7" t="inlineStr">
        <is>
          <t>WPD</t>
        </is>
      </c>
      <c r="B364" s="7" t="inlineStr">
        <is>
          <t>M3</t>
        </is>
      </c>
      <c r="C364" s="7" t="inlineStr">
        <is>
          <t>Liquefied</t>
        </is>
      </c>
      <c r="D364" s="7" t="inlineStr">
        <is>
          <t>LRFD1 1C-A</t>
        </is>
      </c>
      <c r="E364" s="7" t="inlineStr">
        <is>
          <t>LRFD</t>
        </is>
      </c>
      <c r="F364" s="7" t="n">
        <v>3</v>
      </c>
      <c r="G364" s="7" t="n">
        <v>1</v>
      </c>
      <c r="H364" s="13" t="n">
        <v>1489.2</v>
      </c>
      <c r="I364" s="13" t="n">
        <v>20.268</v>
      </c>
      <c r="J364" s="13" t="n">
        <v>0.0050074</v>
      </c>
      <c r="K364" s="13" t="n">
        <v>0.1279</v>
      </c>
    </row>
    <row r="365">
      <c r="A365" s="7" t="inlineStr">
        <is>
          <t>WPD</t>
        </is>
      </c>
      <c r="B365" s="7" t="inlineStr">
        <is>
          <t>M3</t>
        </is>
      </c>
      <c r="C365" s="7" t="inlineStr">
        <is>
          <t>Liquefied</t>
        </is>
      </c>
      <c r="D365" s="7" t="inlineStr">
        <is>
          <t>LRFD1 1C-A</t>
        </is>
      </c>
      <c r="E365" s="7" t="inlineStr">
        <is>
          <t>LRFD</t>
        </is>
      </c>
      <c r="F365" s="7" t="n">
        <v>4</v>
      </c>
      <c r="G365" s="7" t="n">
        <v>1</v>
      </c>
      <c r="H365" s="13" t="n">
        <v>1383.3</v>
      </c>
      <c r="I365" s="13" t="n">
        <v>20.271</v>
      </c>
      <c r="J365" s="13" t="n">
        <v>0.001913400000000001</v>
      </c>
      <c r="K365" s="13" t="n">
        <v>0.1279</v>
      </c>
    </row>
    <row r="366">
      <c r="A366" s="7" t="inlineStr">
        <is>
          <t>WPD</t>
        </is>
      </c>
      <c r="B366" s="7" t="inlineStr">
        <is>
          <t>M3</t>
        </is>
      </c>
      <c r="C366" s="7" t="inlineStr">
        <is>
          <t>Liquefied</t>
        </is>
      </c>
      <c r="D366" s="7" t="inlineStr">
        <is>
          <t>LRFD1 1C-A</t>
        </is>
      </c>
      <c r="E366" s="7" t="inlineStr">
        <is>
          <t>LRFD</t>
        </is>
      </c>
      <c r="F366" s="7" t="n">
        <v>5</v>
      </c>
      <c r="G366" s="7" t="n">
        <v>2</v>
      </c>
      <c r="H366" s="13" t="n">
        <v>1700.9</v>
      </c>
      <c r="I366" s="13" t="n">
        <v>20.262</v>
      </c>
      <c r="J366" s="13" t="n">
        <v>0.011194</v>
      </c>
      <c r="K366" s="13" t="n">
        <v>0.1279</v>
      </c>
    </row>
    <row r="367">
      <c r="A367" s="7" t="inlineStr">
        <is>
          <t>WPD</t>
        </is>
      </c>
      <c r="B367" s="7" t="inlineStr">
        <is>
          <t>M3</t>
        </is>
      </c>
      <c r="C367" s="7" t="inlineStr">
        <is>
          <t>Liquefied</t>
        </is>
      </c>
      <c r="D367" s="7" t="inlineStr">
        <is>
          <t>LRFD1 1C-A</t>
        </is>
      </c>
      <c r="E367" s="7" t="inlineStr">
        <is>
          <t>LRFD</t>
        </is>
      </c>
      <c r="F367" s="7" t="n">
        <v>6</v>
      </c>
      <c r="G367" s="7" t="n">
        <v>2</v>
      </c>
      <c r="H367" s="13" t="n">
        <v>1595</v>
      </c>
      <c r="I367" s="13" t="n">
        <v>20.265</v>
      </c>
      <c r="J367" s="13" t="n">
        <v>0.008101000000000001</v>
      </c>
      <c r="K367" s="13" t="n">
        <v>0.1279</v>
      </c>
    </row>
    <row r="368">
      <c r="A368" s="7" t="inlineStr">
        <is>
          <t>WPD</t>
        </is>
      </c>
      <c r="B368" s="7" t="inlineStr">
        <is>
          <t>M3</t>
        </is>
      </c>
      <c r="C368" s="7" t="inlineStr">
        <is>
          <t>Liquefied</t>
        </is>
      </c>
      <c r="D368" s="7" t="inlineStr">
        <is>
          <t>LRFD1 1C-A</t>
        </is>
      </c>
      <c r="E368" s="7" t="inlineStr">
        <is>
          <t>LRFD</t>
        </is>
      </c>
      <c r="F368" s="7" t="n">
        <v>7</v>
      </c>
      <c r="G368" s="7" t="n">
        <v>2</v>
      </c>
      <c r="H368" s="13" t="n">
        <v>1489.2</v>
      </c>
      <c r="I368" s="13" t="n">
        <v>20.268</v>
      </c>
      <c r="J368" s="13" t="n">
        <v>0.0050074</v>
      </c>
      <c r="K368" s="13" t="n">
        <v>0.1279</v>
      </c>
    </row>
    <row r="369">
      <c r="A369" s="7" t="inlineStr">
        <is>
          <t>WPD</t>
        </is>
      </c>
      <c r="B369" s="7" t="inlineStr">
        <is>
          <t>M3</t>
        </is>
      </c>
      <c r="C369" s="7" t="inlineStr">
        <is>
          <t>Liquefied</t>
        </is>
      </c>
      <c r="D369" s="7" t="inlineStr">
        <is>
          <t>LRFD1 1C-A</t>
        </is>
      </c>
      <c r="E369" s="7" t="inlineStr">
        <is>
          <t>LRFD</t>
        </is>
      </c>
      <c r="F369" s="7" t="n">
        <v>8</v>
      </c>
      <c r="G369" s="7" t="n">
        <v>2</v>
      </c>
      <c r="H369" s="13" t="n">
        <v>1383.3</v>
      </c>
      <c r="I369" s="13" t="n">
        <v>20.271</v>
      </c>
      <c r="J369" s="13" t="n">
        <v>0.001913400000000001</v>
      </c>
      <c r="K369" s="13" t="n">
        <v>0.1279</v>
      </c>
    </row>
    <row r="370">
      <c r="A370" s="7" t="inlineStr">
        <is>
          <t>WPD</t>
        </is>
      </c>
      <c r="B370" s="7" t="inlineStr">
        <is>
          <t>M3</t>
        </is>
      </c>
      <c r="C370" s="7" t="inlineStr">
        <is>
          <t>Liquefied</t>
        </is>
      </c>
      <c r="D370" s="7" t="inlineStr">
        <is>
          <t>LRFD2(max) 1C-A</t>
        </is>
      </c>
      <c r="E370" s="7" t="inlineStr">
        <is>
          <t>LRFD</t>
        </is>
      </c>
      <c r="F370" s="7" t="n">
        <v>1</v>
      </c>
      <c r="G370" s="7" t="n">
        <v>1</v>
      </c>
      <c r="H370" s="13" t="n">
        <v>6086</v>
      </c>
      <c r="I370" s="13" t="n">
        <v>427.1380996598173</v>
      </c>
      <c r="J370" s="13" t="n">
        <v>1.666792422566169</v>
      </c>
      <c r="K370" s="13" t="n">
        <v>2.775641637693886</v>
      </c>
    </row>
    <row r="371">
      <c r="A371" s="7" t="inlineStr">
        <is>
          <t>WPD</t>
        </is>
      </c>
      <c r="B371" s="7" t="inlineStr">
        <is>
          <t>M3</t>
        </is>
      </c>
      <c r="C371" s="7" t="inlineStr">
        <is>
          <t>Liquefied</t>
        </is>
      </c>
      <c r="D371" s="7" t="inlineStr">
        <is>
          <t>LRFD2(max) 1C-A</t>
        </is>
      </c>
      <c r="E371" s="7" t="inlineStr">
        <is>
          <t>LRFD</t>
        </is>
      </c>
      <c r="F371" s="7" t="n">
        <v>2</v>
      </c>
      <c r="G371" s="7" t="n">
        <v>1</v>
      </c>
      <c r="H371" s="13" t="n">
        <v>4837.8</v>
      </c>
      <c r="I371" s="13" t="n">
        <v>428.0475207555815</v>
      </c>
      <c r="J371" s="13" t="n">
        <v>0.9424613042369432</v>
      </c>
      <c r="K371" s="13" t="n">
        <v>2.775646059857056</v>
      </c>
    </row>
    <row r="372">
      <c r="A372" s="7" t="inlineStr">
        <is>
          <t>WPD</t>
        </is>
      </c>
      <c r="B372" s="7" t="inlineStr">
        <is>
          <t>M3</t>
        </is>
      </c>
      <c r="C372" s="7" t="inlineStr">
        <is>
          <t>Liquefied</t>
        </is>
      </c>
      <c r="D372" s="7" t="inlineStr">
        <is>
          <t>LRFD2(max) 1C-A</t>
        </is>
      </c>
      <c r="E372" s="7" t="inlineStr">
        <is>
          <t>LRFD</t>
        </is>
      </c>
      <c r="F372" s="7" t="n">
        <v>3</v>
      </c>
      <c r="G372" s="7" t="n">
        <v>1</v>
      </c>
      <c r="H372" s="13" t="n">
        <v>3319.3</v>
      </c>
      <c r="I372" s="13" t="n">
        <v>429.1371204510279</v>
      </c>
      <c r="J372" s="13" t="n">
        <v>0.06091268045128206</v>
      </c>
      <c r="K372" s="13" t="n">
        <v>2.775650486372519</v>
      </c>
    </row>
    <row r="373">
      <c r="A373" s="7" t="inlineStr">
        <is>
          <t>WPD</t>
        </is>
      </c>
      <c r="B373" s="7" t="inlineStr">
        <is>
          <t>M3</t>
        </is>
      </c>
      <c r="C373" s="7" t="inlineStr">
        <is>
          <t>Liquefied</t>
        </is>
      </c>
      <c r="D373" s="7" t="inlineStr">
        <is>
          <t>LRFD2(max) 1C-A</t>
        </is>
      </c>
      <c r="E373" s="7" t="inlineStr">
        <is>
          <t>LRFD</t>
        </is>
      </c>
      <c r="F373" s="7" t="n">
        <v>4</v>
      </c>
      <c r="G373" s="7" t="n">
        <v>1</v>
      </c>
      <c r="H373" s="13" t="n">
        <v>1235.9</v>
      </c>
      <c r="I373" s="13" t="n">
        <v>430.6370343166041</v>
      </c>
      <c r="J373" s="13" t="n">
        <v>1.151014090202201</v>
      </c>
      <c r="K373" s="13" t="n">
        <v>2.775654917240254</v>
      </c>
    </row>
    <row r="374">
      <c r="A374" s="7" t="inlineStr">
        <is>
          <t>WPD</t>
        </is>
      </c>
      <c r="B374" s="7" t="inlineStr">
        <is>
          <t>M3</t>
        </is>
      </c>
      <c r="C374" s="7" t="inlineStr">
        <is>
          <t>Liquefied</t>
        </is>
      </c>
      <c r="D374" s="7" t="inlineStr">
        <is>
          <t>LRFD2(max) 1C-A</t>
        </is>
      </c>
      <c r="E374" s="7" t="inlineStr">
        <is>
          <t>LRFD</t>
        </is>
      </c>
      <c r="F374" s="7" t="n">
        <v>5</v>
      </c>
      <c r="G374" s="7" t="n">
        <v>2</v>
      </c>
      <c r="H374" s="13" t="n">
        <v>5895</v>
      </c>
      <c r="I374" s="13" t="n">
        <v>427.3981299783611</v>
      </c>
      <c r="J374" s="13" t="n">
        <v>1.612627853749587</v>
      </c>
      <c r="K374" s="13" t="n">
        <v>2.775142041571927</v>
      </c>
    </row>
    <row r="375">
      <c r="A375" s="7" t="inlineStr">
        <is>
          <t>WPD</t>
        </is>
      </c>
      <c r="B375" s="7" t="inlineStr">
        <is>
          <t>M3</t>
        </is>
      </c>
      <c r="C375" s="7" t="inlineStr">
        <is>
          <t>Liquefied</t>
        </is>
      </c>
      <c r="D375" s="7" t="inlineStr">
        <is>
          <t>LRFD2(max) 1C-A</t>
        </is>
      </c>
      <c r="E375" s="7" t="inlineStr">
        <is>
          <t>LRFD</t>
        </is>
      </c>
      <c r="F375" s="7" t="n">
        <v>6</v>
      </c>
      <c r="G375" s="7" t="n">
        <v>2</v>
      </c>
      <c r="H375" s="13" t="n">
        <v>4646.7</v>
      </c>
      <c r="I375" s="13" t="n">
        <v>428.2975595319216</v>
      </c>
      <c r="J375" s="13" t="n">
        <v>0.8883059445759665</v>
      </c>
      <c r="K375" s="13" t="n">
        <v>2.775146464531197</v>
      </c>
    </row>
    <row r="376">
      <c r="A376" s="7" t="inlineStr">
        <is>
          <t>WPD</t>
        </is>
      </c>
      <c r="B376" s="7" t="inlineStr">
        <is>
          <t>M3</t>
        </is>
      </c>
      <c r="C376" s="7" t="inlineStr">
        <is>
          <t>Liquefied</t>
        </is>
      </c>
      <c r="D376" s="7" t="inlineStr">
        <is>
          <t>LRFD2(max) 1C-A</t>
        </is>
      </c>
      <c r="E376" s="7" t="inlineStr">
        <is>
          <t>LRFD</t>
        </is>
      </c>
      <c r="F376" s="7" t="n">
        <v>7</v>
      </c>
      <c r="G376" s="7" t="n">
        <v>2</v>
      </c>
      <c r="H376" s="13" t="n">
        <v>3062.5</v>
      </c>
      <c r="I376" s="13" t="n">
        <v>429.4471512258523</v>
      </c>
      <c r="J376" s="13" t="n">
        <v>0.03288400603636971</v>
      </c>
      <c r="K376" s="13" t="n">
        <v>2.775150891843541</v>
      </c>
    </row>
    <row r="377">
      <c r="A377" s="7" t="inlineStr">
        <is>
          <t>WPD</t>
        </is>
      </c>
      <c r="B377" s="7" t="inlineStr">
        <is>
          <t>M3</t>
        </is>
      </c>
      <c r="C377" s="7" t="inlineStr">
        <is>
          <t>Liquefied</t>
        </is>
      </c>
      <c r="D377" s="7" t="inlineStr">
        <is>
          <t>LRFD2(max) 1C-A</t>
        </is>
      </c>
      <c r="E377" s="7" t="inlineStr">
        <is>
          <t>LRFD</t>
        </is>
      </c>
      <c r="F377" s="7" t="n">
        <v>8</v>
      </c>
      <c r="G377" s="7" t="n">
        <v>2</v>
      </c>
      <c r="H377" s="13" t="n">
        <v>887.49</v>
      </c>
      <c r="I377" s="13" t="n">
        <v>431.0071375569087</v>
      </c>
      <c r="J377" s="13" t="n">
        <v>1.296645554222124</v>
      </c>
      <c r="K377" s="13" t="n">
        <v>2.775155323508939</v>
      </c>
    </row>
    <row r="378">
      <c r="A378" s="7" t="inlineStr">
        <is>
          <t>WPD</t>
        </is>
      </c>
      <c r="B378" s="7" t="inlineStr">
        <is>
          <t>M3</t>
        </is>
      </c>
      <c r="C378" s="7" t="inlineStr">
        <is>
          <t>Liquefied</t>
        </is>
      </c>
      <c r="D378" s="7" t="inlineStr">
        <is>
          <t>LRFD2(min) 1C-A</t>
        </is>
      </c>
      <c r="E378" s="7" t="inlineStr">
        <is>
          <t>LRFD</t>
        </is>
      </c>
      <c r="F378" s="7" t="n">
        <v>1</v>
      </c>
      <c r="G378" s="7" t="n">
        <v>1</v>
      </c>
      <c r="H378" s="13" t="n">
        <v>333.85</v>
      </c>
      <c r="I378" s="13" t="n">
        <v>64.78314593318234</v>
      </c>
      <c r="J378" s="13" t="n">
        <v>0.04334731772555252</v>
      </c>
      <c r="K378" s="13" t="n">
        <v>0.4104036509645108</v>
      </c>
    </row>
    <row r="379">
      <c r="A379" s="7" t="inlineStr">
        <is>
          <t>WPD</t>
        </is>
      </c>
      <c r="B379" s="7" t="inlineStr">
        <is>
          <t>M3</t>
        </is>
      </c>
      <c r="C379" s="7" t="inlineStr">
        <is>
          <t>Liquefied</t>
        </is>
      </c>
      <c r="D379" s="7" t="inlineStr">
        <is>
          <t>LRFD2(min) 1C-A</t>
        </is>
      </c>
      <c r="E379" s="7" t="inlineStr">
        <is>
          <t>LRFD</t>
        </is>
      </c>
      <c r="F379" s="7" t="n">
        <v>2</v>
      </c>
      <c r="G379" s="7" t="n">
        <v>1</v>
      </c>
      <c r="H379" s="13" t="n">
        <v>718.87</v>
      </c>
      <c r="I379" s="13" t="n">
        <v>64.74856481034927</v>
      </c>
      <c r="J379" s="13" t="n">
        <v>0.007798899271692128</v>
      </c>
      <c r="K379" s="13" t="n">
        <v>0.4104005042199632</v>
      </c>
    </row>
    <row r="380">
      <c r="A380" s="7" t="inlineStr">
        <is>
          <t>WPD</t>
        </is>
      </c>
      <c r="B380" s="7" t="inlineStr">
        <is>
          <t>M3</t>
        </is>
      </c>
      <c r="C380" s="7" t="inlineStr">
        <is>
          <t>Liquefied</t>
        </is>
      </c>
      <c r="D380" s="7" t="inlineStr">
        <is>
          <t>LRFD2(min) 1C-A</t>
        </is>
      </c>
      <c r="E380" s="7" t="inlineStr">
        <is>
          <t>LRFD</t>
        </is>
      </c>
      <c r="F380" s="7" t="n">
        <v>3</v>
      </c>
      <c r="G380" s="7" t="n">
        <v>1</v>
      </c>
      <c r="H380" s="13" t="n">
        <v>1051.3</v>
      </c>
      <c r="I380" s="13" t="n">
        <v>64.71791505448859</v>
      </c>
      <c r="J380" s="13" t="n">
        <v>0.02324817685948728</v>
      </c>
      <c r="K380" s="13" t="n">
        <v>0.410397543199274</v>
      </c>
    </row>
    <row r="381">
      <c r="A381" s="7" t="inlineStr">
        <is>
          <t>WPD</t>
        </is>
      </c>
      <c r="B381" s="7" t="inlineStr">
        <is>
          <t>M3</t>
        </is>
      </c>
      <c r="C381" s="7" t="inlineStr">
        <is>
          <t>Liquefied</t>
        </is>
      </c>
      <c r="D381" s="7" t="inlineStr">
        <is>
          <t>LRFD2(min) 1C-A</t>
        </is>
      </c>
      <c r="E381" s="7" t="inlineStr">
        <is>
          <t>LRFD</t>
        </is>
      </c>
      <c r="F381" s="7" t="n">
        <v>4</v>
      </c>
      <c r="G381" s="7" t="n">
        <v>1</v>
      </c>
      <c r="H381" s="13" t="n">
        <v>1383.7</v>
      </c>
      <c r="I381" s="13" t="n">
        <v>64.68726564788467</v>
      </c>
      <c r="J381" s="13" t="n">
        <v>0.05408262771907445</v>
      </c>
      <c r="K381" s="13" t="n">
        <v>0.4103943977748721</v>
      </c>
    </row>
    <row r="382">
      <c r="A382" s="7" t="inlineStr">
        <is>
          <t>WPD</t>
        </is>
      </c>
      <c r="B382" s="7" t="inlineStr">
        <is>
          <t>M3</t>
        </is>
      </c>
      <c r="C382" s="7" t="inlineStr">
        <is>
          <t>Liquefied</t>
        </is>
      </c>
      <c r="D382" s="7" t="inlineStr">
        <is>
          <t>LRFD2(min) 1C-A</t>
        </is>
      </c>
      <c r="E382" s="7" t="inlineStr">
        <is>
          <t>LRFD</t>
        </is>
      </c>
      <c r="F382" s="7" t="n">
        <v>5</v>
      </c>
      <c r="G382" s="7" t="n">
        <v>2</v>
      </c>
      <c r="H382" s="13" t="n">
        <v>616.41</v>
      </c>
      <c r="I382" s="13" t="n">
        <v>64.73799747443537</v>
      </c>
      <c r="J382" s="13" t="n">
        <v>0.02646207622258692</v>
      </c>
      <c r="K382" s="13" t="n">
        <v>0.4104626140405482</v>
      </c>
    </row>
    <row r="383">
      <c r="A383" s="7" t="inlineStr">
        <is>
          <t>WPD</t>
        </is>
      </c>
      <c r="B383" s="7" t="inlineStr">
        <is>
          <t>M3</t>
        </is>
      </c>
      <c r="C383" s="7" t="inlineStr">
        <is>
          <t>Liquefied</t>
        </is>
      </c>
      <c r="D383" s="7" t="inlineStr">
        <is>
          <t>LRFD2(min) 1C-A</t>
        </is>
      </c>
      <c r="E383" s="7" t="inlineStr">
        <is>
          <t>LRFD</t>
        </is>
      </c>
      <c r="F383" s="7" t="n">
        <v>6</v>
      </c>
      <c r="G383" s="7" t="n">
        <v>2</v>
      </c>
      <c r="H383" s="13" t="n">
        <v>956.73</v>
      </c>
      <c r="I383" s="13" t="n">
        <v>64.70636483376268</v>
      </c>
      <c r="J383" s="13" t="n">
        <v>0.005194978561312838</v>
      </c>
      <c r="K383" s="13" t="n">
        <v>0.4104594677480348</v>
      </c>
    </row>
    <row r="384">
      <c r="A384" s="7" t="inlineStr">
        <is>
          <t>WPD</t>
        </is>
      </c>
      <c r="B384" s="7" t="inlineStr">
        <is>
          <t>M3</t>
        </is>
      </c>
      <c r="C384" s="7" t="inlineStr">
        <is>
          <t>Liquefied</t>
        </is>
      </c>
      <c r="D384" s="7" t="inlineStr">
        <is>
          <t>LRFD2(min) 1C-A</t>
        </is>
      </c>
      <c r="E384" s="7" t="inlineStr">
        <is>
          <t>LRFD</t>
        </is>
      </c>
      <c r="F384" s="7" t="n">
        <v>7</v>
      </c>
      <c r="G384" s="7" t="n">
        <v>2</v>
      </c>
      <c r="H384" s="13" t="n">
        <v>1289.1</v>
      </c>
      <c r="I384" s="13" t="n">
        <v>64.67590040347332</v>
      </c>
      <c r="J384" s="13" t="n">
        <v>0.03601910698504337</v>
      </c>
      <c r="K384" s="13" t="n">
        <v>0.4104565071527067</v>
      </c>
    </row>
    <row r="385">
      <c r="A385" s="7" t="inlineStr">
        <is>
          <t>WPD</t>
        </is>
      </c>
      <c r="B385" s="7" t="inlineStr">
        <is>
          <t>M3</t>
        </is>
      </c>
      <c r="C385" s="7" t="inlineStr">
        <is>
          <t>Liquefied</t>
        </is>
      </c>
      <c r="D385" s="7" t="inlineStr">
        <is>
          <t>LRFD2(min) 1C-A</t>
        </is>
      </c>
      <c r="E385" s="7" t="inlineStr">
        <is>
          <t>LRFD</t>
        </is>
      </c>
      <c r="F385" s="7" t="n">
        <v>8</v>
      </c>
      <c r="G385" s="7" t="n">
        <v>2</v>
      </c>
      <c r="H385" s="13" t="n">
        <v>1621.5</v>
      </c>
      <c r="I385" s="13" t="n">
        <v>64.6462339815708</v>
      </c>
      <c r="J385" s="13" t="n">
        <v>0.06687308293326993</v>
      </c>
      <c r="K385" s="13" t="n">
        <v>0.4104533621801629</v>
      </c>
    </row>
    <row r="386">
      <c r="A386" s="7" t="inlineStr">
        <is>
          <t>WPD</t>
        </is>
      </c>
      <c r="B386" s="7" t="inlineStr">
        <is>
          <t>M3</t>
        </is>
      </c>
      <c r="C386" s="7" t="inlineStr">
        <is>
          <t>Liquefied</t>
        </is>
      </c>
      <c r="D386" s="7" t="inlineStr">
        <is>
          <t>LRFD3 1C-A</t>
        </is>
      </c>
      <c r="E386" s="7" t="inlineStr">
        <is>
          <t>LRFD</t>
        </is>
      </c>
      <c r="F386" s="7" t="n">
        <v>1</v>
      </c>
      <c r="G386" s="7" t="n">
        <v>1</v>
      </c>
      <c r="H386" s="13" t="n">
        <v>1297</v>
      </c>
      <c r="I386" s="13" t="n">
        <v>615.9429652979244</v>
      </c>
      <c r="J386" s="13" t="n">
        <v>309.8065174023943</v>
      </c>
      <c r="K386" s="13" t="n">
        <v>2.557437092168642</v>
      </c>
    </row>
    <row r="387">
      <c r="A387" s="7" t="inlineStr">
        <is>
          <t>WPD</t>
        </is>
      </c>
      <c r="B387" s="7" t="inlineStr">
        <is>
          <t>M3</t>
        </is>
      </c>
      <c r="C387" s="7" t="inlineStr">
        <is>
          <t>Liquefied</t>
        </is>
      </c>
      <c r="D387" s="7" t="inlineStr">
        <is>
          <t>LRFD3 1C-A</t>
        </is>
      </c>
      <c r="E387" s="7" t="inlineStr">
        <is>
          <t>LRFD</t>
        </is>
      </c>
      <c r="F387" s="7" t="n">
        <v>2</v>
      </c>
      <c r="G387" s="7" t="n">
        <v>1</v>
      </c>
      <c r="H387" s="13" t="n">
        <v>1476.7</v>
      </c>
      <c r="I387" s="13" t="n">
        <v>615.9304675854248</v>
      </c>
      <c r="J387" s="13" t="n">
        <v>309.7331479015444</v>
      </c>
      <c r="K387" s="13" t="n">
        <v>2.55742877564557</v>
      </c>
    </row>
    <row r="388">
      <c r="A388" s="7" t="inlineStr">
        <is>
          <t>WPD</t>
        </is>
      </c>
      <c r="B388" s="7" t="inlineStr">
        <is>
          <t>M3</t>
        </is>
      </c>
      <c r="C388" s="7" t="inlineStr">
        <is>
          <t>Liquefied</t>
        </is>
      </c>
      <c r="D388" s="7" t="inlineStr">
        <is>
          <t>LRFD3 1C-A</t>
        </is>
      </c>
      <c r="E388" s="7" t="inlineStr">
        <is>
          <t>LRFD</t>
        </is>
      </c>
      <c r="F388" s="7" t="n">
        <v>3</v>
      </c>
      <c r="G388" s="7" t="n">
        <v>1</v>
      </c>
      <c r="H388" s="13" t="n">
        <v>1656.4</v>
      </c>
      <c r="I388" s="13" t="n">
        <v>615.9150306657567</v>
      </c>
      <c r="J388" s="13" t="n">
        <v>309.6693566709499</v>
      </c>
      <c r="K388" s="13" t="n">
        <v>2.557420459447371</v>
      </c>
    </row>
    <row r="389">
      <c r="A389" s="7" t="inlineStr">
        <is>
          <t>WPD</t>
        </is>
      </c>
      <c r="B389" s="7" t="inlineStr">
        <is>
          <t>M3</t>
        </is>
      </c>
      <c r="C389" s="7" t="inlineStr">
        <is>
          <t>Liquefied</t>
        </is>
      </c>
      <c r="D389" s="7" t="inlineStr">
        <is>
          <t>LRFD3 1C-A</t>
        </is>
      </c>
      <c r="E389" s="7" t="inlineStr">
        <is>
          <t>LRFD</t>
        </is>
      </c>
      <c r="F389" s="7" t="n">
        <v>4</v>
      </c>
      <c r="G389" s="7" t="n">
        <v>1</v>
      </c>
      <c r="H389" s="13" t="n">
        <v>1836.2</v>
      </c>
      <c r="I389" s="13" t="n">
        <v>615.912091535797</v>
      </c>
      <c r="J389" s="13" t="n">
        <v>309.605565487767</v>
      </c>
      <c r="K389" s="13" t="n">
        <v>2.557409371688467</v>
      </c>
    </row>
    <row r="390">
      <c r="A390" s="7" t="inlineStr">
        <is>
          <t>WPD</t>
        </is>
      </c>
      <c r="B390" s="7" t="inlineStr">
        <is>
          <t>M3</t>
        </is>
      </c>
      <c r="C390" s="7" t="inlineStr">
        <is>
          <t>Liquefied</t>
        </is>
      </c>
      <c r="D390" s="7" t="inlineStr">
        <is>
          <t>LRFD3 1C-A</t>
        </is>
      </c>
      <c r="E390" s="7" t="inlineStr">
        <is>
          <t>LRFD</t>
        </is>
      </c>
      <c r="F390" s="7" t="n">
        <v>5</v>
      </c>
      <c r="G390" s="7" t="n">
        <v>2</v>
      </c>
      <c r="H390" s="13" t="n">
        <v>1180.7</v>
      </c>
      <c r="I390" s="13" t="n">
        <v>615.9047326494577</v>
      </c>
      <c r="J390" s="13" t="n">
        <v>309.8291222093236</v>
      </c>
      <c r="K390" s="13" t="n">
        <v>2.557341011754201</v>
      </c>
    </row>
    <row r="391">
      <c r="A391" s="7" t="inlineStr">
        <is>
          <t>WPD</t>
        </is>
      </c>
      <c r="B391" s="7" t="inlineStr">
        <is>
          <t>M3</t>
        </is>
      </c>
      <c r="C391" s="7" t="inlineStr">
        <is>
          <t>Liquefied</t>
        </is>
      </c>
      <c r="D391" s="7" t="inlineStr">
        <is>
          <t>LRFD3 1C-A</t>
        </is>
      </c>
      <c r="E391" s="7" t="inlineStr">
        <is>
          <t>LRFD</t>
        </is>
      </c>
      <c r="F391" s="7" t="n">
        <v>6</v>
      </c>
      <c r="G391" s="7" t="n">
        <v>2</v>
      </c>
      <c r="H391" s="13" t="n">
        <v>1360.5</v>
      </c>
      <c r="I391" s="13" t="n">
        <v>615.9017929832645</v>
      </c>
      <c r="J391" s="13" t="n">
        <v>309.7653308958251</v>
      </c>
      <c r="K391" s="13" t="n">
        <v>2.557332694918673</v>
      </c>
    </row>
    <row r="392">
      <c r="A392" s="7" t="inlineStr">
        <is>
          <t>WPD</t>
        </is>
      </c>
      <c r="B392" s="7" t="inlineStr">
        <is>
          <t>M3</t>
        </is>
      </c>
      <c r="C392" s="7" t="inlineStr">
        <is>
          <t>Liquefied</t>
        </is>
      </c>
      <c r="D392" s="7" t="inlineStr">
        <is>
          <t>LRFD3 1C-A</t>
        </is>
      </c>
      <c r="E392" s="7" t="inlineStr">
        <is>
          <t>LRFD</t>
        </is>
      </c>
      <c r="F392" s="7" t="n">
        <v>7</v>
      </c>
      <c r="G392" s="7" t="n">
        <v>2</v>
      </c>
      <c r="H392" s="13" t="n">
        <v>1540.2</v>
      </c>
      <c r="I392" s="13" t="n">
        <v>615.8892952471247</v>
      </c>
      <c r="J392" s="13" t="n">
        <v>309.7012522803225</v>
      </c>
      <c r="K392" s="13" t="n">
        <v>2.557324378408027</v>
      </c>
    </row>
    <row r="393">
      <c r="A393" s="7" t="inlineStr">
        <is>
          <t>WPD</t>
        </is>
      </c>
      <c r="B393" s="7" t="inlineStr">
        <is>
          <t>M3</t>
        </is>
      </c>
      <c r="C393" s="7" t="inlineStr">
        <is>
          <t>Liquefied</t>
        </is>
      </c>
      <c r="D393" s="7" t="inlineStr">
        <is>
          <t>LRFD3 1C-A</t>
        </is>
      </c>
      <c r="E393" s="7" t="inlineStr">
        <is>
          <t>LRFD</t>
        </is>
      </c>
      <c r="F393" s="7" t="n">
        <v>8</v>
      </c>
      <c r="G393" s="7" t="n">
        <v>2</v>
      </c>
      <c r="H393" s="13" t="n">
        <v>1719.9</v>
      </c>
      <c r="I393" s="13" t="n">
        <v>615.8834165651807</v>
      </c>
      <c r="J393" s="13" t="n">
        <v>309.6278827883561</v>
      </c>
      <c r="K393" s="13" t="n">
        <v>2.557313290232544</v>
      </c>
    </row>
    <row r="394">
      <c r="A394" s="7" t="inlineStr">
        <is>
          <t>WPD</t>
        </is>
      </c>
      <c r="B394" s="7" t="inlineStr">
        <is>
          <t>M3</t>
        </is>
      </c>
      <c r="C394" s="7" t="inlineStr">
        <is>
          <t>Liquefied</t>
        </is>
      </c>
      <c r="D394" s="7" t="inlineStr">
        <is>
          <t>LRFD4 1C-A</t>
        </is>
      </c>
      <c r="E394" s="7" t="inlineStr">
        <is>
          <t>LRFD</t>
        </is>
      </c>
      <c r="F394" s="7" t="n">
        <v>1</v>
      </c>
      <c r="G394" s="7" t="n">
        <v>1</v>
      </c>
      <c r="H394" s="13" t="n">
        <v>1730.1</v>
      </c>
      <c r="I394" s="13" t="n">
        <v>632.7337356266062</v>
      </c>
      <c r="J394" s="13" t="n">
        <v>309.666100839275</v>
      </c>
      <c r="K394" s="13" t="n">
        <v>2.451589125934442</v>
      </c>
    </row>
    <row r="395">
      <c r="A395" s="7" t="inlineStr">
        <is>
          <t>WPD</t>
        </is>
      </c>
      <c r="B395" s="7" t="inlineStr">
        <is>
          <t>M3</t>
        </is>
      </c>
      <c r="C395" s="7" t="inlineStr">
        <is>
          <t>Liquefied</t>
        </is>
      </c>
      <c r="D395" s="7" t="inlineStr">
        <is>
          <t>LRFD4 1C-A</t>
        </is>
      </c>
      <c r="E395" s="7" t="inlineStr">
        <is>
          <t>LRFD</t>
        </is>
      </c>
      <c r="F395" s="7" t="n">
        <v>2</v>
      </c>
      <c r="G395" s="7" t="n">
        <v>1</v>
      </c>
      <c r="H395" s="13" t="n">
        <v>1711.4</v>
      </c>
      <c r="I395" s="13" t="n">
        <v>632.717671714644</v>
      </c>
      <c r="J395" s="13" t="n">
        <v>309.6666756772514</v>
      </c>
      <c r="K395" s="13" t="n">
        <v>2.451589125934442</v>
      </c>
    </row>
    <row r="396">
      <c r="A396" s="7" t="inlineStr">
        <is>
          <t>WPD</t>
        </is>
      </c>
      <c r="B396" s="7" t="inlineStr">
        <is>
          <t>M3</t>
        </is>
      </c>
      <c r="C396" s="7" t="inlineStr">
        <is>
          <t>Liquefied</t>
        </is>
      </c>
      <c r="D396" s="7" t="inlineStr">
        <is>
          <t>LRFD4 1C-A</t>
        </is>
      </c>
      <c r="E396" s="7" t="inlineStr">
        <is>
          <t>LRFD</t>
        </is>
      </c>
      <c r="F396" s="7" t="n">
        <v>3</v>
      </c>
      <c r="G396" s="7" t="n">
        <v>1</v>
      </c>
      <c r="H396" s="13" t="n">
        <v>1692.8</v>
      </c>
      <c r="I396" s="13" t="n">
        <v>632.6890623363107</v>
      </c>
      <c r="J396" s="13" t="n">
        <v>309.6576725175722</v>
      </c>
      <c r="K396" s="13" t="n">
        <v>2.451492702905722</v>
      </c>
    </row>
    <row r="397">
      <c r="A397" s="7" t="inlineStr">
        <is>
          <t>WPD</t>
        </is>
      </c>
      <c r="B397" s="7" t="inlineStr">
        <is>
          <t>M3</t>
        </is>
      </c>
      <c r="C397" s="7" t="inlineStr">
        <is>
          <t>Liquefied</t>
        </is>
      </c>
      <c r="D397" s="7" t="inlineStr">
        <is>
          <t>LRFD4 1C-A</t>
        </is>
      </c>
      <c r="E397" s="7" t="inlineStr">
        <is>
          <t>LRFD</t>
        </is>
      </c>
      <c r="F397" s="7" t="n">
        <v>4</v>
      </c>
      <c r="G397" s="7" t="n">
        <v>1</v>
      </c>
      <c r="H397" s="13" t="n">
        <v>1674.2</v>
      </c>
      <c r="I397" s="13" t="n">
        <v>632.6699894889911</v>
      </c>
      <c r="J397" s="13" t="n">
        <v>309.6579599558196</v>
      </c>
      <c r="K397" s="13" t="n">
        <v>2.451396280163613</v>
      </c>
    </row>
    <row r="398">
      <c r="A398" s="7" t="inlineStr">
        <is>
          <t>WPD</t>
        </is>
      </c>
      <c r="B398" s="7" t="inlineStr">
        <is>
          <t>M3</t>
        </is>
      </c>
      <c r="C398" s="7" t="inlineStr">
        <is>
          <t>Liquefied</t>
        </is>
      </c>
      <c r="D398" s="7" t="inlineStr">
        <is>
          <t>LRFD4 1C-A</t>
        </is>
      </c>
      <c r="E398" s="7" t="inlineStr">
        <is>
          <t>LRFD</t>
        </is>
      </c>
      <c r="F398" s="7" t="n">
        <v>5</v>
      </c>
      <c r="G398" s="7" t="n">
        <v>2</v>
      </c>
      <c r="H398" s="13" t="n">
        <v>1342.7</v>
      </c>
      <c r="I398" s="13" t="n">
        <v>632.7287420372177</v>
      </c>
      <c r="J398" s="13" t="n">
        <v>309.7877449948593</v>
      </c>
      <c r="K398" s="13" t="n">
        <v>2.451501676544399</v>
      </c>
    </row>
    <row r="399">
      <c r="A399" s="7" t="inlineStr">
        <is>
          <t>WPD</t>
        </is>
      </c>
      <c r="B399" s="7" t="inlineStr">
        <is>
          <t>M3</t>
        </is>
      </c>
      <c r="C399" s="7" t="inlineStr">
        <is>
          <t>Liquefied</t>
        </is>
      </c>
      <c r="D399" s="7" t="inlineStr">
        <is>
          <t>LRFD4 1C-A</t>
        </is>
      </c>
      <c r="E399" s="7" t="inlineStr">
        <is>
          <t>LRFD</t>
        </is>
      </c>
      <c r="F399" s="7" t="n">
        <v>6</v>
      </c>
      <c r="G399" s="7" t="n">
        <v>2</v>
      </c>
      <c r="H399" s="13" t="n">
        <v>1324.1</v>
      </c>
      <c r="I399" s="13" t="n">
        <v>632.7126761018779</v>
      </c>
      <c r="J399" s="13" t="n">
        <v>309.7883195425547</v>
      </c>
      <c r="K399" s="13" t="n">
        <v>2.451501676544399</v>
      </c>
    </row>
    <row r="400">
      <c r="A400" s="7" t="inlineStr">
        <is>
          <t>WPD</t>
        </is>
      </c>
      <c r="B400" s="7" t="inlineStr">
        <is>
          <t>M3</t>
        </is>
      </c>
      <c r="C400" s="7" t="inlineStr">
        <is>
          <t>Liquefied</t>
        </is>
      </c>
      <c r="D400" s="7" t="inlineStr">
        <is>
          <t>LRFD4 1C-A</t>
        </is>
      </c>
      <c r="E400" s="7" t="inlineStr">
        <is>
          <t>LRFD</t>
        </is>
      </c>
      <c r="F400" s="7" t="n">
        <v>7</v>
      </c>
      <c r="G400" s="7" t="n">
        <v>2</v>
      </c>
      <c r="H400" s="13" t="n">
        <v>1305.5</v>
      </c>
      <c r="I400" s="13" t="n">
        <v>632.6840655493072</v>
      </c>
      <c r="J400" s="13" t="n">
        <v>309.7790283669958</v>
      </c>
      <c r="K400" s="13" t="n">
        <v>2.451405250075964</v>
      </c>
    </row>
    <row r="401">
      <c r="A401" s="7" t="inlineStr">
        <is>
          <t>WPD</t>
        </is>
      </c>
      <c r="B401" s="7" t="inlineStr">
        <is>
          <t>M3</t>
        </is>
      </c>
      <c r="C401" s="7" t="inlineStr">
        <is>
          <t>Liquefied</t>
        </is>
      </c>
      <c r="D401" s="7" t="inlineStr">
        <is>
          <t>LRFD4 1C-A</t>
        </is>
      </c>
      <c r="E401" s="7" t="inlineStr">
        <is>
          <t>LRFD</t>
        </is>
      </c>
      <c r="F401" s="7" t="n">
        <v>8</v>
      </c>
      <c r="G401" s="7" t="n">
        <v>2</v>
      </c>
      <c r="H401" s="13" t="n">
        <v>1286.8</v>
      </c>
      <c r="I401" s="13" t="n">
        <v>632.6649919191041</v>
      </c>
      <c r="J401" s="13" t="n">
        <v>309.7796029502265</v>
      </c>
      <c r="K401" s="13" t="n">
        <v>2.45130882389388</v>
      </c>
    </row>
    <row r="402">
      <c r="A402" s="7" t="inlineStr">
        <is>
          <t>WPD</t>
        </is>
      </c>
      <c r="B402" s="7" t="inlineStr">
        <is>
          <t>M3</t>
        </is>
      </c>
      <c r="C402" s="7" t="inlineStr">
        <is>
          <t>Liquefied</t>
        </is>
      </c>
      <c r="D402" s="7" t="inlineStr">
        <is>
          <t>ASD1 1C-B</t>
        </is>
      </c>
      <c r="E402" s="7" t="inlineStr">
        <is>
          <t>ASD</t>
        </is>
      </c>
      <c r="F402" s="7" t="n">
        <v>1</v>
      </c>
      <c r="G402" s="7" t="n">
        <v>1</v>
      </c>
      <c r="H402" s="13" t="n">
        <v>988.11</v>
      </c>
      <c r="I402" s="13" t="n">
        <v>14.513</v>
      </c>
      <c r="J402" s="13" t="n">
        <v>0.0009748700000000025</v>
      </c>
      <c r="K402" s="13" t="n">
        <v>0.09113299999999999</v>
      </c>
    </row>
    <row r="403">
      <c r="A403" s="7" t="inlineStr">
        <is>
          <t>WPD</t>
        </is>
      </c>
      <c r="B403" s="7" t="inlineStr">
        <is>
          <t>M3</t>
        </is>
      </c>
      <c r="C403" s="7" t="inlineStr">
        <is>
          <t>Liquefied</t>
        </is>
      </c>
      <c r="D403" s="7" t="inlineStr">
        <is>
          <t>ASD1 1C-B</t>
        </is>
      </c>
      <c r="E403" s="7" t="inlineStr">
        <is>
          <t>ASD</t>
        </is>
      </c>
      <c r="F403" s="7" t="n">
        <v>2</v>
      </c>
      <c r="G403" s="7" t="n">
        <v>1</v>
      </c>
      <c r="H403" s="13" t="n">
        <v>1063.7</v>
      </c>
      <c r="I403" s="13" t="n">
        <v>14.512</v>
      </c>
      <c r="J403" s="13" t="n">
        <v>0.0025597</v>
      </c>
      <c r="K403" s="13" t="n">
        <v>0.09113299999999999</v>
      </c>
    </row>
    <row r="404">
      <c r="A404" s="7" t="inlineStr">
        <is>
          <t>WPD</t>
        </is>
      </c>
      <c r="B404" s="7" t="inlineStr">
        <is>
          <t>M3</t>
        </is>
      </c>
      <c r="C404" s="7" t="inlineStr">
        <is>
          <t>Liquefied</t>
        </is>
      </c>
      <c r="D404" s="7" t="inlineStr">
        <is>
          <t>ASD1 1C-B</t>
        </is>
      </c>
      <c r="E404" s="7" t="inlineStr">
        <is>
          <t>ASD</t>
        </is>
      </c>
      <c r="F404" s="7" t="n">
        <v>3</v>
      </c>
      <c r="G404" s="7" t="n">
        <v>1</v>
      </c>
      <c r="H404" s="13" t="n">
        <v>1139.3</v>
      </c>
      <c r="I404" s="13" t="n">
        <v>14.51</v>
      </c>
      <c r="J404" s="13" t="n">
        <v>0.0041444</v>
      </c>
      <c r="K404" s="13" t="n">
        <v>0.09113299999999999</v>
      </c>
    </row>
    <row r="405">
      <c r="A405" s="7" t="inlineStr">
        <is>
          <t>WPD</t>
        </is>
      </c>
      <c r="B405" s="7" t="inlineStr">
        <is>
          <t>M3</t>
        </is>
      </c>
      <c r="C405" s="7" t="inlineStr">
        <is>
          <t>Liquefied</t>
        </is>
      </c>
      <c r="D405" s="7" t="inlineStr">
        <is>
          <t>ASD1 1C-B</t>
        </is>
      </c>
      <c r="E405" s="7" t="inlineStr">
        <is>
          <t>ASD</t>
        </is>
      </c>
      <c r="F405" s="7" t="n">
        <v>4</v>
      </c>
      <c r="G405" s="7" t="n">
        <v>1</v>
      </c>
      <c r="H405" s="13" t="n">
        <v>1214.9</v>
      </c>
      <c r="I405" s="13" t="n">
        <v>14.509</v>
      </c>
      <c r="J405" s="13" t="n">
        <v>0.005729</v>
      </c>
      <c r="K405" s="13" t="n">
        <v>0.09113299999999999</v>
      </c>
    </row>
    <row r="406">
      <c r="A406" s="7" t="inlineStr">
        <is>
          <t>WPD</t>
        </is>
      </c>
      <c r="B406" s="7" t="inlineStr">
        <is>
          <t>M3</t>
        </is>
      </c>
      <c r="C406" s="7" t="inlineStr">
        <is>
          <t>Liquefied</t>
        </is>
      </c>
      <c r="D406" s="7" t="inlineStr">
        <is>
          <t>ASD1 1C-B</t>
        </is>
      </c>
      <c r="E406" s="7" t="inlineStr">
        <is>
          <t>ASD</t>
        </is>
      </c>
      <c r="F406" s="7" t="n">
        <v>5</v>
      </c>
      <c r="G406" s="7" t="n">
        <v>2</v>
      </c>
      <c r="H406" s="13" t="n">
        <v>988.11</v>
      </c>
      <c r="I406" s="13" t="n">
        <v>14.513</v>
      </c>
      <c r="J406" s="13" t="n">
        <v>0.0009748700000000025</v>
      </c>
      <c r="K406" s="13" t="n">
        <v>0.09113299999999999</v>
      </c>
    </row>
    <row r="407">
      <c r="A407" s="7" t="inlineStr">
        <is>
          <t>WPD</t>
        </is>
      </c>
      <c r="B407" s="7" t="inlineStr">
        <is>
          <t>M3</t>
        </is>
      </c>
      <c r="C407" s="7" t="inlineStr">
        <is>
          <t>Liquefied</t>
        </is>
      </c>
      <c r="D407" s="7" t="inlineStr">
        <is>
          <t>ASD1 1C-B</t>
        </is>
      </c>
      <c r="E407" s="7" t="inlineStr">
        <is>
          <t>ASD</t>
        </is>
      </c>
      <c r="F407" s="7" t="n">
        <v>6</v>
      </c>
      <c r="G407" s="7" t="n">
        <v>2</v>
      </c>
      <c r="H407" s="13" t="n">
        <v>1063.7</v>
      </c>
      <c r="I407" s="13" t="n">
        <v>14.512</v>
      </c>
      <c r="J407" s="13" t="n">
        <v>0.0025597</v>
      </c>
      <c r="K407" s="13" t="n">
        <v>0.09113299999999999</v>
      </c>
    </row>
    <row r="408">
      <c r="A408" s="7" t="inlineStr">
        <is>
          <t>WPD</t>
        </is>
      </c>
      <c r="B408" s="7" t="inlineStr">
        <is>
          <t>M3</t>
        </is>
      </c>
      <c r="C408" s="7" t="inlineStr">
        <is>
          <t>Liquefied</t>
        </is>
      </c>
      <c r="D408" s="7" t="inlineStr">
        <is>
          <t>ASD1 1C-B</t>
        </is>
      </c>
      <c r="E408" s="7" t="inlineStr">
        <is>
          <t>ASD</t>
        </is>
      </c>
      <c r="F408" s="7" t="n">
        <v>7</v>
      </c>
      <c r="G408" s="7" t="n">
        <v>2</v>
      </c>
      <c r="H408" s="13" t="n">
        <v>1139.3</v>
      </c>
      <c r="I408" s="13" t="n">
        <v>14.51</v>
      </c>
      <c r="J408" s="13" t="n">
        <v>0.0041444</v>
      </c>
      <c r="K408" s="13" t="n">
        <v>0.09113299999999999</v>
      </c>
    </row>
    <row r="409">
      <c r="A409" s="7" t="inlineStr">
        <is>
          <t>WPD</t>
        </is>
      </c>
      <c r="B409" s="7" t="inlineStr">
        <is>
          <t>M3</t>
        </is>
      </c>
      <c r="C409" s="7" t="inlineStr">
        <is>
          <t>Liquefied</t>
        </is>
      </c>
      <c r="D409" s="7" t="inlineStr">
        <is>
          <t>ASD1 1C-B</t>
        </is>
      </c>
      <c r="E409" s="7" t="inlineStr">
        <is>
          <t>ASD</t>
        </is>
      </c>
      <c r="F409" s="7" t="n">
        <v>8</v>
      </c>
      <c r="G409" s="7" t="n">
        <v>2</v>
      </c>
      <c r="H409" s="13" t="n">
        <v>1214.9</v>
      </c>
      <c r="I409" s="13" t="n">
        <v>14.509</v>
      </c>
      <c r="J409" s="13" t="n">
        <v>0.005729</v>
      </c>
      <c r="K409" s="13" t="n">
        <v>0.09113299999999999</v>
      </c>
    </row>
    <row r="410">
      <c r="A410" s="7" t="inlineStr">
        <is>
          <t>WPD</t>
        </is>
      </c>
      <c r="B410" s="7" t="inlineStr">
        <is>
          <t>M3</t>
        </is>
      </c>
      <c r="C410" s="7" t="inlineStr">
        <is>
          <t>Liquefied</t>
        </is>
      </c>
      <c r="D410" s="7" t="inlineStr">
        <is>
          <t>ASD2(max) 1C-B</t>
        </is>
      </c>
      <c r="E410" s="7" t="inlineStr">
        <is>
          <t>ASD</t>
        </is>
      </c>
      <c r="F410" s="7" t="n">
        <v>1</v>
      </c>
      <c r="G410" s="7" t="n">
        <v>1</v>
      </c>
      <c r="H410" s="13" t="n">
        <v>4441.7</v>
      </c>
      <c r="I410" s="13" t="n">
        <v>59.03747232055248</v>
      </c>
      <c r="J410" s="13" t="n">
        <v>0.03938282450777242</v>
      </c>
      <c r="K410" s="13" t="n">
        <v>0.3815085262952848</v>
      </c>
    </row>
    <row r="411">
      <c r="A411" s="7" t="inlineStr">
        <is>
          <t>WPD</t>
        </is>
      </c>
      <c r="B411" s="7" t="inlineStr">
        <is>
          <t>M3</t>
        </is>
      </c>
      <c r="C411" s="7" t="inlineStr">
        <is>
          <t>Liquefied</t>
        </is>
      </c>
      <c r="D411" s="7" t="inlineStr">
        <is>
          <t>ASD2(max) 1C-B</t>
        </is>
      </c>
      <c r="E411" s="7" t="inlineStr">
        <is>
          <t>ASD</t>
        </is>
      </c>
      <c r="F411" s="7" t="n">
        <v>2</v>
      </c>
      <c r="G411" s="7" t="n">
        <v>1</v>
      </c>
      <c r="H411" s="13" t="n">
        <v>4609</v>
      </c>
      <c r="I411" s="13" t="n">
        <v>59.02360481197332</v>
      </c>
      <c r="J411" s="13" t="n">
        <v>0.05384834293643584</v>
      </c>
      <c r="K411" s="13" t="n">
        <v>0.381506506902569</v>
      </c>
    </row>
    <row r="412">
      <c r="A412" s="7" t="inlineStr">
        <is>
          <t>WPD</t>
        </is>
      </c>
      <c r="B412" s="7" t="inlineStr">
        <is>
          <t>M3</t>
        </is>
      </c>
      <c r="C412" s="7" t="inlineStr">
        <is>
          <t>Liquefied</t>
        </is>
      </c>
      <c r="D412" s="7" t="inlineStr">
        <is>
          <t>ASD2(max) 1C-B</t>
        </is>
      </c>
      <c r="E412" s="7" t="inlineStr">
        <is>
          <t>ASD</t>
        </is>
      </c>
      <c r="F412" s="7" t="n">
        <v>3</v>
      </c>
      <c r="G412" s="7" t="n">
        <v>1</v>
      </c>
      <c r="H412" s="13" t="n">
        <v>4776.3</v>
      </c>
      <c r="I412" s="13" t="n">
        <v>59.00996177765243</v>
      </c>
      <c r="J412" s="13" t="n">
        <v>0.06834727357400586</v>
      </c>
      <c r="K412" s="13" t="n">
        <v>0.3815042633693626</v>
      </c>
    </row>
    <row r="413">
      <c r="A413" s="7" t="inlineStr">
        <is>
          <t>WPD</t>
        </is>
      </c>
      <c r="B413" s="7" t="inlineStr">
        <is>
          <t>M3</t>
        </is>
      </c>
      <c r="C413" s="7" t="inlineStr">
        <is>
          <t>Liquefied</t>
        </is>
      </c>
      <c r="D413" s="7" t="inlineStr">
        <is>
          <t>ASD2(max) 1C-B</t>
        </is>
      </c>
      <c r="E413" s="7" t="inlineStr">
        <is>
          <t>ASD</t>
        </is>
      </c>
      <c r="F413" s="7" t="n">
        <v>4</v>
      </c>
      <c r="G413" s="7" t="n">
        <v>1</v>
      </c>
      <c r="H413" s="13" t="n">
        <v>4943.6</v>
      </c>
      <c r="I413" s="13" t="n">
        <v>58.99631891058966</v>
      </c>
      <c r="J413" s="13" t="n">
        <v>0.08286138960939528</v>
      </c>
      <c r="K413" s="13" t="n">
        <v>0.3815022444023102</v>
      </c>
    </row>
    <row r="414">
      <c r="A414" s="7" t="inlineStr">
        <is>
          <t>WPD</t>
        </is>
      </c>
      <c r="B414" s="7" t="inlineStr">
        <is>
          <t>M3</t>
        </is>
      </c>
      <c r="C414" s="7" t="inlineStr">
        <is>
          <t>Liquefied</t>
        </is>
      </c>
      <c r="D414" s="7" t="inlineStr">
        <is>
          <t>ASD2(max) 1C-B</t>
        </is>
      </c>
      <c r="E414" s="7" t="inlineStr">
        <is>
          <t>ASD</t>
        </is>
      </c>
      <c r="F414" s="7" t="n">
        <v>5</v>
      </c>
      <c r="G414" s="7" t="n">
        <v>2</v>
      </c>
      <c r="H414" s="13" t="n">
        <v>4267.9</v>
      </c>
      <c r="I414" s="13" t="n">
        <v>59.06348277065957</v>
      </c>
      <c r="J414" s="13" t="n">
        <v>0.02982083888977639</v>
      </c>
      <c r="K414" s="13" t="n">
        <v>0.3814792913593082</v>
      </c>
    </row>
    <row r="415">
      <c r="A415" s="7" t="inlineStr">
        <is>
          <t>WPD</t>
        </is>
      </c>
      <c r="B415" s="7" t="inlineStr">
        <is>
          <t>M3</t>
        </is>
      </c>
      <c r="C415" s="7" t="inlineStr">
        <is>
          <t>Liquefied</t>
        </is>
      </c>
      <c r="D415" s="7" t="inlineStr">
        <is>
          <t>ASD2(max) 1C-B</t>
        </is>
      </c>
      <c r="E415" s="7" t="inlineStr">
        <is>
          <t>ASD</t>
        </is>
      </c>
      <c r="F415" s="7" t="n">
        <v>6</v>
      </c>
      <c r="G415" s="7" t="n">
        <v>2</v>
      </c>
      <c r="H415" s="13" t="n">
        <v>4462.7</v>
      </c>
      <c r="I415" s="13" t="n">
        <v>59.04669160080012</v>
      </c>
      <c r="J415" s="13" t="n">
        <v>0.04654634726850217</v>
      </c>
      <c r="K415" s="13" t="n">
        <v>0.3814772718118342</v>
      </c>
    </row>
    <row r="416">
      <c r="A416" s="7" t="inlineStr">
        <is>
          <t>WPD</t>
        </is>
      </c>
      <c r="B416" s="7" t="inlineStr">
        <is>
          <t>M3</t>
        </is>
      </c>
      <c r="C416" s="7" t="inlineStr">
        <is>
          <t>Liquefied</t>
        </is>
      </c>
      <c r="D416" s="7" t="inlineStr">
        <is>
          <t>ASD2(max) 1C-B</t>
        </is>
      </c>
      <c r="E416" s="7" t="inlineStr">
        <is>
          <t>ASD</t>
        </is>
      </c>
      <c r="F416" s="7" t="n">
        <v>7</v>
      </c>
      <c r="G416" s="7" t="n">
        <v>2</v>
      </c>
      <c r="H416" s="13" t="n">
        <v>4630</v>
      </c>
      <c r="I416" s="13" t="n">
        <v>59.03304844745865</v>
      </c>
      <c r="J416" s="13" t="n">
        <v>0.06101849817883098</v>
      </c>
      <c r="K416" s="13" t="n">
        <v>0.3814750281066901</v>
      </c>
    </row>
    <row r="417">
      <c r="A417" s="7" t="inlineStr">
        <is>
          <t>WPD</t>
        </is>
      </c>
      <c r="B417" s="7" t="inlineStr">
        <is>
          <t>M3</t>
        </is>
      </c>
      <c r="C417" s="7" t="inlineStr">
        <is>
          <t>Liquefied</t>
        </is>
      </c>
      <c r="D417" s="7" t="inlineStr">
        <is>
          <t>ASD2(max) 1C-B</t>
        </is>
      </c>
      <c r="E417" s="7" t="inlineStr">
        <is>
          <t>ASD</t>
        </is>
      </c>
      <c r="F417" s="7" t="n">
        <v>8</v>
      </c>
      <c r="G417" s="7" t="n">
        <v>2</v>
      </c>
      <c r="H417" s="13" t="n">
        <v>4797.2</v>
      </c>
      <c r="I417" s="13" t="n">
        <v>59.01940546125486</v>
      </c>
      <c r="J417" s="13" t="n">
        <v>0.07551710490345878</v>
      </c>
      <c r="K417" s="13" t="n">
        <v>0.3814730089849084</v>
      </c>
    </row>
    <row r="418">
      <c r="A418" s="7" t="inlineStr">
        <is>
          <t>WPD</t>
        </is>
      </c>
      <c r="B418" s="7" t="inlineStr">
        <is>
          <t>M3</t>
        </is>
      </c>
      <c r="C418" s="7" t="inlineStr">
        <is>
          <t>Liquefied</t>
        </is>
      </c>
      <c r="D418" s="7" t="inlineStr">
        <is>
          <t>ASD2(min) 1C-B</t>
        </is>
      </c>
      <c r="E418" s="7" t="inlineStr">
        <is>
          <t>ASD</t>
        </is>
      </c>
      <c r="F418" s="7" t="n">
        <v>1</v>
      </c>
      <c r="G418" s="7" t="n">
        <v>1</v>
      </c>
      <c r="H418" s="13" t="n">
        <v>503.84</v>
      </c>
      <c r="I418" s="13" t="n">
        <v>330.602847748231</v>
      </c>
      <c r="J418" s="13" t="n">
        <v>0.859127529416326</v>
      </c>
      <c r="K418" s="13" t="n">
        <v>2.120694735413138</v>
      </c>
    </row>
    <row r="419">
      <c r="A419" s="7" t="inlineStr">
        <is>
          <t>WPD</t>
        </is>
      </c>
      <c r="B419" s="7" t="inlineStr">
        <is>
          <t>M3</t>
        </is>
      </c>
      <c r="C419" s="7" t="inlineStr">
        <is>
          <t>Liquefied</t>
        </is>
      </c>
      <c r="D419" s="7" t="inlineStr">
        <is>
          <t>ASD2(min) 1C-B</t>
        </is>
      </c>
      <c r="E419" s="7" t="inlineStr">
        <is>
          <t>ASD</t>
        </is>
      </c>
      <c r="F419" s="7" t="n">
        <v>2</v>
      </c>
      <c r="G419" s="7" t="n">
        <v>1</v>
      </c>
      <c r="H419" s="13" t="n">
        <v>2270.4</v>
      </c>
      <c r="I419" s="13" t="n">
        <v>329.6529340139414</v>
      </c>
      <c r="J419" s="13" t="n">
        <v>0.06665573354753512</v>
      </c>
      <c r="K419" s="13" t="n">
        <v>2.120693230527225</v>
      </c>
    </row>
    <row r="420">
      <c r="A420" s="7" t="inlineStr">
        <is>
          <t>WPD</t>
        </is>
      </c>
      <c r="B420" s="7" t="inlineStr">
        <is>
          <t>M3</t>
        </is>
      </c>
      <c r="C420" s="7" t="inlineStr">
        <is>
          <t>Liquefied</t>
        </is>
      </c>
      <c r="D420" s="7" t="inlineStr">
        <is>
          <t>ASD2(min) 1C-B</t>
        </is>
      </c>
      <c r="E420" s="7" t="inlineStr">
        <is>
          <t>ASD</t>
        </is>
      </c>
      <c r="F420" s="7" t="n">
        <v>3</v>
      </c>
      <c r="G420" s="7" t="n">
        <v>1</v>
      </c>
      <c r="H420" s="13" t="n">
        <v>3687.2</v>
      </c>
      <c r="I420" s="13" t="n">
        <v>328.8830904863307</v>
      </c>
      <c r="J420" s="13" t="n">
        <v>0.5683169577656467</v>
      </c>
      <c r="K420" s="13" t="n">
        <v>2.120691727066666</v>
      </c>
    </row>
    <row r="421">
      <c r="A421" s="7" t="inlineStr">
        <is>
          <t>WPD</t>
        </is>
      </c>
      <c r="B421" s="7" t="inlineStr">
        <is>
          <t>M3</t>
        </is>
      </c>
      <c r="C421" s="7" t="inlineStr">
        <is>
          <t>Liquefied</t>
        </is>
      </c>
      <c r="D421" s="7" t="inlineStr">
        <is>
          <t>ASD2(min) 1C-B</t>
        </is>
      </c>
      <c r="E421" s="7" t="inlineStr">
        <is>
          <t>ASD</t>
        </is>
      </c>
      <c r="F421" s="7" t="n">
        <v>4</v>
      </c>
      <c r="G421" s="7" t="n">
        <v>1</v>
      </c>
      <c r="H421" s="13" t="n">
        <v>4818</v>
      </c>
      <c r="I421" s="13" t="n">
        <v>328.2733027700547</v>
      </c>
      <c r="J421" s="13" t="n">
        <v>1.074560664004132</v>
      </c>
      <c r="K421" s="13" t="n">
        <v>2.120690225031464</v>
      </c>
    </row>
    <row r="422">
      <c r="A422" s="7" t="inlineStr">
        <is>
          <t>WPD</t>
        </is>
      </c>
      <c r="B422" s="7" t="inlineStr">
        <is>
          <t>M3</t>
        </is>
      </c>
      <c r="C422" s="7" t="inlineStr">
        <is>
          <t>Liquefied</t>
        </is>
      </c>
      <c r="D422" s="7" t="inlineStr">
        <is>
          <t>ASD2(min) 1C-B</t>
        </is>
      </c>
      <c r="E422" s="7" t="inlineStr">
        <is>
          <t>ASD</t>
        </is>
      </c>
      <c r="F422" s="7" t="n">
        <v>5</v>
      </c>
      <c r="G422" s="7" t="n">
        <v>2</v>
      </c>
      <c r="H422" s="13" t="n">
        <v>710.45</v>
      </c>
      <c r="I422" s="13" t="n">
        <v>330.4328291460157</v>
      </c>
      <c r="J422" s="13" t="n">
        <v>0.7949768130008573</v>
      </c>
      <c r="K422" s="13" t="n">
        <v>2.120894660469728</v>
      </c>
    </row>
    <row r="423">
      <c r="A423" s="7" t="inlineStr">
        <is>
          <t>WPD</t>
        </is>
      </c>
      <c r="B423" s="7" t="inlineStr">
        <is>
          <t>M3</t>
        </is>
      </c>
      <c r="C423" s="7" t="inlineStr">
        <is>
          <t>Liquefied</t>
        </is>
      </c>
      <c r="D423" s="7" t="inlineStr">
        <is>
          <t>ASD2(min) 1C-B</t>
        </is>
      </c>
      <c r="E423" s="7" t="inlineStr">
        <is>
          <t>ASD</t>
        </is>
      </c>
      <c r="F423" s="7" t="n">
        <v>6</v>
      </c>
      <c r="G423" s="7" t="n">
        <v>2</v>
      </c>
      <c r="H423" s="13" t="n">
        <v>2451.3</v>
      </c>
      <c r="I423" s="13" t="n">
        <v>329.4929199550273</v>
      </c>
      <c r="J423" s="13" t="n">
        <v>0.01440525094852568</v>
      </c>
      <c r="K423" s="13" t="n">
        <v>2.120893155725672</v>
      </c>
    </row>
    <row r="424">
      <c r="A424" s="7" t="inlineStr">
        <is>
          <t>WPD</t>
        </is>
      </c>
      <c r="B424" s="7" t="inlineStr">
        <is>
          <t>M3</t>
        </is>
      </c>
      <c r="C424" s="7" t="inlineStr">
        <is>
          <t>Liquefied</t>
        </is>
      </c>
      <c r="D424" s="7" t="inlineStr">
        <is>
          <t>ASD2(min) 1C-B</t>
        </is>
      </c>
      <c r="E424" s="7" t="inlineStr">
        <is>
          <t>ASD</t>
        </is>
      </c>
      <c r="F424" s="7" t="n">
        <v>7</v>
      </c>
      <c r="G424" s="7" t="n">
        <v>2</v>
      </c>
      <c r="H424" s="13" t="n">
        <v>3820.6</v>
      </c>
      <c r="I424" s="13" t="n">
        <v>328.7530871673907</v>
      </c>
      <c r="J424" s="13" t="n">
        <v>0.5995547572023759</v>
      </c>
      <c r="K424" s="13" t="n">
        <v>2.120891652406836</v>
      </c>
    </row>
    <row r="425">
      <c r="A425" s="7" t="inlineStr">
        <is>
          <t>WPD</t>
        </is>
      </c>
      <c r="B425" s="7" t="inlineStr">
        <is>
          <t>M3</t>
        </is>
      </c>
      <c r="C425" s="7" t="inlineStr">
        <is>
          <t>Liquefied</t>
        </is>
      </c>
      <c r="D425" s="7" t="inlineStr">
        <is>
          <t>ASD2(min) 1C-B</t>
        </is>
      </c>
      <c r="E425" s="7" t="inlineStr">
        <is>
          <t>ASD</t>
        </is>
      </c>
      <c r="F425" s="7" t="n">
        <v>8</v>
      </c>
      <c r="G425" s="7" t="n">
        <v>2</v>
      </c>
      <c r="H425" s="13" t="n">
        <v>4917.2</v>
      </c>
      <c r="I425" s="13" t="n">
        <v>328.1633057229891</v>
      </c>
      <c r="J425" s="13" t="n">
        <v>1.090495711042001</v>
      </c>
      <c r="K425" s="13" t="n">
        <v>2.120890150513223</v>
      </c>
    </row>
    <row r="426">
      <c r="A426" s="7" t="inlineStr">
        <is>
          <t>WPD</t>
        </is>
      </c>
      <c r="B426" s="7" t="inlineStr">
        <is>
          <t>M3</t>
        </is>
      </c>
      <c r="C426" s="7" t="inlineStr">
        <is>
          <t>Liquefied</t>
        </is>
      </c>
      <c r="D426" s="7" t="inlineStr">
        <is>
          <t>ASD3 1C-B</t>
        </is>
      </c>
      <c r="E426" s="7" t="inlineStr">
        <is>
          <t>ASD</t>
        </is>
      </c>
      <c r="F426" s="7" t="n">
        <v>1</v>
      </c>
      <c r="G426" s="7" t="n">
        <v>1</v>
      </c>
      <c r="H426" s="13" t="n">
        <v>848.4</v>
      </c>
      <c r="I426" s="13" t="n">
        <v>403.2794217413033</v>
      </c>
      <c r="J426" s="13" t="n">
        <v>216.8852034049349</v>
      </c>
      <c r="K426" s="13" t="n">
        <v>1.959065842793447</v>
      </c>
    </row>
    <row r="427">
      <c r="A427" s="7" t="inlineStr">
        <is>
          <t>WPD</t>
        </is>
      </c>
      <c r="B427" s="7" t="inlineStr">
        <is>
          <t>M3</t>
        </is>
      </c>
      <c r="C427" s="7" t="inlineStr">
        <is>
          <t>Liquefied</t>
        </is>
      </c>
      <c r="D427" s="7" t="inlineStr">
        <is>
          <t>ASD3 1C-B</t>
        </is>
      </c>
      <c r="E427" s="7" t="inlineStr">
        <is>
          <t>ASD</t>
        </is>
      </c>
      <c r="F427" s="7" t="n">
        <v>2</v>
      </c>
      <c r="G427" s="7" t="n">
        <v>1</v>
      </c>
      <c r="H427" s="13" t="n">
        <v>1131.7</v>
      </c>
      <c r="I427" s="13" t="n">
        <v>403.2889134355171</v>
      </c>
      <c r="J427" s="13" t="n">
        <v>216.7938267202275</v>
      </c>
      <c r="K427" s="13" t="n">
        <v>1.959068353810045</v>
      </c>
    </row>
    <row r="428">
      <c r="A428" s="7" t="inlineStr">
        <is>
          <t>WPD</t>
        </is>
      </c>
      <c r="B428" s="7" t="inlineStr">
        <is>
          <t>M3</t>
        </is>
      </c>
      <c r="C428" s="7" t="inlineStr">
        <is>
          <t>Liquefied</t>
        </is>
      </c>
      <c r="D428" s="7" t="inlineStr">
        <is>
          <t>ASD3 1C-B</t>
        </is>
      </c>
      <c r="E428" s="7" t="inlineStr">
        <is>
          <t>ASD</t>
        </is>
      </c>
      <c r="F428" s="7" t="n">
        <v>3</v>
      </c>
      <c r="G428" s="7" t="n">
        <v>1</v>
      </c>
      <c r="H428" s="13" t="n">
        <v>1414.9</v>
      </c>
      <c r="I428" s="13" t="n">
        <v>403.2857659278343</v>
      </c>
      <c r="J428" s="13" t="n">
        <v>216.7117411240102</v>
      </c>
      <c r="K428" s="13" t="n">
        <v>1.959068353810045</v>
      </c>
    </row>
    <row r="429">
      <c r="A429" s="7" t="inlineStr">
        <is>
          <t>WPD</t>
        </is>
      </c>
      <c r="B429" s="7" t="inlineStr">
        <is>
          <t>M3</t>
        </is>
      </c>
      <c r="C429" s="7" t="inlineStr">
        <is>
          <t>Liquefied</t>
        </is>
      </c>
      <c r="D429" s="7" t="inlineStr">
        <is>
          <t>ASD3 1C-B</t>
        </is>
      </c>
      <c r="E429" s="7" t="inlineStr">
        <is>
          <t>ASD</t>
        </is>
      </c>
      <c r="F429" s="7" t="n">
        <v>4</v>
      </c>
      <c r="G429" s="7" t="n">
        <v>1</v>
      </c>
      <c r="H429" s="13" t="n">
        <v>1698.2</v>
      </c>
      <c r="I429" s="13" t="n">
        <v>403.2952577206928</v>
      </c>
      <c r="J429" s="13" t="n">
        <v>216.6296556337567</v>
      </c>
      <c r="K429" s="13" t="n">
        <v>1.959070864874469</v>
      </c>
    </row>
    <row r="430">
      <c r="A430" s="7" t="inlineStr">
        <is>
          <t>WPD</t>
        </is>
      </c>
      <c r="B430" s="7" t="inlineStr">
        <is>
          <t>M3</t>
        </is>
      </c>
      <c r="C430" s="7" t="inlineStr">
        <is>
          <t>Liquefied</t>
        </is>
      </c>
      <c r="D430" s="7" t="inlineStr">
        <is>
          <t>ASD3 1C-B</t>
        </is>
      </c>
      <c r="E430" s="7" t="inlineStr">
        <is>
          <t>ASD</t>
        </is>
      </c>
      <c r="F430" s="7" t="n">
        <v>5</v>
      </c>
      <c r="G430" s="7" t="n">
        <v>2</v>
      </c>
      <c r="H430" s="13" t="n">
        <v>766.96</v>
      </c>
      <c r="I430" s="13" t="n">
        <v>403.2889134355171</v>
      </c>
      <c r="J430" s="13" t="n">
        <v>216.9060840179454</v>
      </c>
      <c r="K430" s="13" t="n">
        <v>1.959065842793447</v>
      </c>
    </row>
    <row r="431">
      <c r="A431" s="7" t="inlineStr">
        <is>
          <t>WPD</t>
        </is>
      </c>
      <c r="B431" s="7" t="inlineStr">
        <is>
          <t>M3</t>
        </is>
      </c>
      <c r="C431" s="7" t="inlineStr">
        <is>
          <t>Liquefied</t>
        </is>
      </c>
      <c r="D431" s="7" t="inlineStr">
        <is>
          <t>ASD3 1C-B</t>
        </is>
      </c>
      <c r="E431" s="7" t="inlineStr">
        <is>
          <t>ASD</t>
        </is>
      </c>
      <c r="F431" s="7" t="n">
        <v>6</v>
      </c>
      <c r="G431" s="7" t="n">
        <v>2</v>
      </c>
      <c r="H431" s="13" t="n">
        <v>1050.2</v>
      </c>
      <c r="I431" s="13" t="n">
        <v>403.2984051542977</v>
      </c>
      <c r="J431" s="13" t="n">
        <v>216.8239982312843</v>
      </c>
      <c r="K431" s="13" t="n">
        <v>1.959068353810045</v>
      </c>
    </row>
    <row r="432">
      <c r="A432" s="7" t="inlineStr">
        <is>
          <t>WPD</t>
        </is>
      </c>
      <c r="B432" s="7" t="inlineStr">
        <is>
          <t>M3</t>
        </is>
      </c>
      <c r="C432" s="7" t="inlineStr">
        <is>
          <t>Liquefied</t>
        </is>
      </c>
      <c r="D432" s="7" t="inlineStr">
        <is>
          <t>ASD3 1C-B</t>
        </is>
      </c>
      <c r="E432" s="7" t="inlineStr">
        <is>
          <t>ASD</t>
        </is>
      </c>
      <c r="F432" s="7" t="n">
        <v>7</v>
      </c>
      <c r="G432" s="7" t="n">
        <v>2</v>
      </c>
      <c r="H432" s="13" t="n">
        <v>1333.5</v>
      </c>
      <c r="I432" s="13" t="n">
        <v>403.2984051542977</v>
      </c>
      <c r="J432" s="13" t="n">
        <v>216.7421999173211</v>
      </c>
      <c r="K432" s="13" t="n">
        <v>1.959068353810045</v>
      </c>
    </row>
    <row r="433">
      <c r="A433" s="7" t="inlineStr">
        <is>
          <t>WPD</t>
        </is>
      </c>
      <c r="B433" s="7" t="inlineStr">
        <is>
          <t>M3</t>
        </is>
      </c>
      <c r="C433" s="7" t="inlineStr">
        <is>
          <t>Liquefied</t>
        </is>
      </c>
      <c r="D433" s="7" t="inlineStr">
        <is>
          <t>ASD3 1C-B</t>
        </is>
      </c>
      <c r="E433" s="7" t="inlineStr">
        <is>
          <t>ASD</t>
        </is>
      </c>
      <c r="F433" s="7" t="n">
        <v>8</v>
      </c>
      <c r="G433" s="7" t="n">
        <v>2</v>
      </c>
      <c r="H433" s="13" t="n">
        <v>1616.8</v>
      </c>
      <c r="I433" s="13" t="n">
        <v>403.304749538113</v>
      </c>
      <c r="J433" s="13" t="n">
        <v>216.6601143634887</v>
      </c>
      <c r="K433" s="13" t="n">
        <v>1.959070864874469</v>
      </c>
    </row>
    <row r="434">
      <c r="A434" s="7" t="inlineStr">
        <is>
          <t>WPD</t>
        </is>
      </c>
      <c r="B434" s="7" t="inlineStr">
        <is>
          <t>M3</t>
        </is>
      </c>
      <c r="C434" s="7" t="inlineStr">
        <is>
          <t>Liquefied</t>
        </is>
      </c>
      <c r="D434" s="7" t="inlineStr">
        <is>
          <t>ASD4 1C-B</t>
        </is>
      </c>
      <c r="E434" s="7" t="inlineStr">
        <is>
          <t>ASD</t>
        </is>
      </c>
      <c r="F434" s="7" t="n">
        <v>1</v>
      </c>
      <c r="G434" s="7" t="n">
        <v>1</v>
      </c>
      <c r="H434" s="13" t="n">
        <v>1151.9</v>
      </c>
      <c r="I434" s="13" t="n">
        <v>435.4490451246851</v>
      </c>
      <c r="J434" s="13" t="n">
        <v>216.7895167875975</v>
      </c>
      <c r="K434" s="13" t="n">
        <v>1.761530660562001</v>
      </c>
    </row>
    <row r="435">
      <c r="A435" s="7" t="inlineStr">
        <is>
          <t>WPD</t>
        </is>
      </c>
      <c r="B435" s="7" t="inlineStr">
        <is>
          <t>M3</t>
        </is>
      </c>
      <c r="C435" s="7" t="inlineStr">
        <is>
          <t>Liquefied</t>
        </is>
      </c>
      <c r="D435" s="7" t="inlineStr">
        <is>
          <t>ASD4 1C-B</t>
        </is>
      </c>
      <c r="E435" s="7" t="inlineStr">
        <is>
          <t>ASD</t>
        </is>
      </c>
      <c r="F435" s="7" t="n">
        <v>2</v>
      </c>
      <c r="G435" s="7" t="n">
        <v>1</v>
      </c>
      <c r="H435" s="13" t="n">
        <v>1296.1</v>
      </c>
      <c r="I435" s="13" t="n">
        <v>435.4490451246851</v>
      </c>
      <c r="J435" s="13" t="n">
        <v>216.7564721617327</v>
      </c>
      <c r="K435" s="13" t="n">
        <v>1.761623807201753</v>
      </c>
    </row>
    <row r="436">
      <c r="A436" s="7" t="inlineStr">
        <is>
          <t>WPD</t>
        </is>
      </c>
      <c r="B436" s="7" t="inlineStr">
        <is>
          <t>M3</t>
        </is>
      </c>
      <c r="C436" s="7" t="inlineStr">
        <is>
          <t>Liquefied</t>
        </is>
      </c>
      <c r="D436" s="7" t="inlineStr">
        <is>
          <t>ASD4 1C-B</t>
        </is>
      </c>
      <c r="E436" s="7" t="inlineStr">
        <is>
          <t>ASD</t>
        </is>
      </c>
      <c r="F436" s="7" t="n">
        <v>3</v>
      </c>
      <c r="G436" s="7" t="n">
        <v>1</v>
      </c>
      <c r="H436" s="13" t="n">
        <v>1440.4</v>
      </c>
      <c r="I436" s="13" t="n">
        <v>435.458758552403</v>
      </c>
      <c r="J436" s="13" t="n">
        <v>216.723714936783</v>
      </c>
      <c r="K436" s="13" t="n">
        <v>1.761623807201753</v>
      </c>
    </row>
    <row r="437">
      <c r="A437" s="7" t="inlineStr">
        <is>
          <t>WPD</t>
        </is>
      </c>
      <c r="B437" s="7" t="inlineStr">
        <is>
          <t>M3</t>
        </is>
      </c>
      <c r="C437" s="7" t="inlineStr">
        <is>
          <t>Liquefied</t>
        </is>
      </c>
      <c r="D437" s="7" t="inlineStr">
        <is>
          <t>ASD4 1C-B</t>
        </is>
      </c>
      <c r="E437" s="7" t="inlineStr">
        <is>
          <t>ASD</t>
        </is>
      </c>
      <c r="F437" s="7" t="n">
        <v>4</v>
      </c>
      <c r="G437" s="7" t="n">
        <v>1</v>
      </c>
      <c r="H437" s="13" t="n">
        <v>1584.7</v>
      </c>
      <c r="I437" s="13" t="n">
        <v>435.4611354644637</v>
      </c>
      <c r="J437" s="13" t="n">
        <v>216.690670590591</v>
      </c>
      <c r="K437" s="13" t="n">
        <v>1.761716954592877</v>
      </c>
    </row>
    <row r="438">
      <c r="A438" s="7" t="inlineStr">
        <is>
          <t>WPD</t>
        </is>
      </c>
      <c r="B438" s="7" t="inlineStr">
        <is>
          <t>M3</t>
        </is>
      </c>
      <c r="C438" s="7" t="inlineStr">
        <is>
          <t>Liquefied</t>
        </is>
      </c>
      <c r="D438" s="7" t="inlineStr">
        <is>
          <t>ASD4 1C-B</t>
        </is>
      </c>
      <c r="E438" s="7" t="inlineStr">
        <is>
          <t>ASD</t>
        </is>
      </c>
      <c r="F438" s="7" t="n">
        <v>5</v>
      </c>
      <c r="G438" s="7" t="n">
        <v>2</v>
      </c>
      <c r="H438" s="13" t="n">
        <v>880.48</v>
      </c>
      <c r="I438" s="13" t="n">
        <v>435.4658899385806</v>
      </c>
      <c r="J438" s="13" t="n">
        <v>216.8607794438635</v>
      </c>
      <c r="K438" s="13" t="n">
        <v>1.761588880783482</v>
      </c>
    </row>
    <row r="439">
      <c r="A439" s="7" t="inlineStr">
        <is>
          <t>WPD</t>
        </is>
      </c>
      <c r="B439" s="7" t="inlineStr">
        <is>
          <t>M3</t>
        </is>
      </c>
      <c r="C439" s="7" t="inlineStr">
        <is>
          <t>Liquefied</t>
        </is>
      </c>
      <c r="D439" s="7" t="inlineStr">
        <is>
          <t>ASD4 1C-B</t>
        </is>
      </c>
      <c r="E439" s="7" t="inlineStr">
        <is>
          <t>ASD</t>
        </is>
      </c>
      <c r="F439" s="7" t="n">
        <v>6</v>
      </c>
      <c r="G439" s="7" t="n">
        <v>2</v>
      </c>
      <c r="H439" s="13" t="n">
        <v>1024.8</v>
      </c>
      <c r="I439" s="13" t="n">
        <v>435.4682675006297</v>
      </c>
      <c r="J439" s="13" t="n">
        <v>216.8277340563241</v>
      </c>
      <c r="K439" s="13" t="n">
        <v>1.761682024344916</v>
      </c>
    </row>
    <row r="440">
      <c r="A440" s="7" t="inlineStr">
        <is>
          <t>WPD</t>
        </is>
      </c>
      <c r="B440" s="7" t="inlineStr">
        <is>
          <t>M3</t>
        </is>
      </c>
      <c r="C440" s="7" t="inlineStr">
        <is>
          <t>Liquefied</t>
        </is>
      </c>
      <c r="D440" s="7" t="inlineStr">
        <is>
          <t>ASD4 1C-B</t>
        </is>
      </c>
      <c r="E440" s="7" t="inlineStr">
        <is>
          <t>ASD</t>
        </is>
      </c>
      <c r="F440" s="7" t="n">
        <v>7</v>
      </c>
      <c r="G440" s="7" t="n">
        <v>2</v>
      </c>
      <c r="H440" s="13" t="n">
        <v>1169</v>
      </c>
      <c r="I440" s="13" t="n">
        <v>435.4779807292213</v>
      </c>
      <c r="J440" s="13" t="n">
        <v>216.7949761964054</v>
      </c>
      <c r="K440" s="13" t="n">
        <v>1.761682024344916</v>
      </c>
    </row>
    <row r="441">
      <c r="A441" s="7" t="inlineStr">
        <is>
          <t>WPD</t>
        </is>
      </c>
      <c r="B441" s="7" t="inlineStr">
        <is>
          <t>M3</t>
        </is>
      </c>
      <c r="C441" s="7" t="inlineStr">
        <is>
          <t>Liquefied</t>
        </is>
      </c>
      <c r="D441" s="7" t="inlineStr">
        <is>
          <t>ASD4 1C-B</t>
        </is>
      </c>
      <c r="E441" s="7" t="inlineStr">
        <is>
          <t>ASD</t>
        </is>
      </c>
      <c r="F441" s="7" t="n">
        <v>8</v>
      </c>
      <c r="G441" s="7" t="n">
        <v>2</v>
      </c>
      <c r="H441" s="13" t="n">
        <v>1313.3</v>
      </c>
      <c r="I441" s="13" t="n">
        <v>435.4779807292213</v>
      </c>
      <c r="J441" s="13" t="n">
        <v>216.7715093572031</v>
      </c>
      <c r="K441" s="13" t="n">
        <v>1.761775168658021</v>
      </c>
    </row>
    <row r="442">
      <c r="A442" s="7" t="inlineStr">
        <is>
          <t>WPD</t>
        </is>
      </c>
      <c r="B442" s="7" t="inlineStr">
        <is>
          <t>M3</t>
        </is>
      </c>
      <c r="C442" s="7" t="inlineStr">
        <is>
          <t>Liquefied</t>
        </is>
      </c>
      <c r="D442" s="7" t="inlineStr">
        <is>
          <t>LRFD1 1C-B</t>
        </is>
      </c>
      <c r="E442" s="7" t="inlineStr">
        <is>
          <t>LRFD</t>
        </is>
      </c>
      <c r="F442" s="7" t="n">
        <v>1</v>
      </c>
      <c r="G442" s="7" t="n">
        <v>1</v>
      </c>
      <c r="H442" s="13" t="n">
        <v>1383.3</v>
      </c>
      <c r="I442" s="13" t="n">
        <v>20.271</v>
      </c>
      <c r="J442" s="13" t="n">
        <v>0.001913400000000003</v>
      </c>
      <c r="K442" s="13" t="n">
        <v>0.1279</v>
      </c>
    </row>
    <row r="443">
      <c r="A443" s="7" t="inlineStr">
        <is>
          <t>WPD</t>
        </is>
      </c>
      <c r="B443" s="7" t="inlineStr">
        <is>
          <t>M3</t>
        </is>
      </c>
      <c r="C443" s="7" t="inlineStr">
        <is>
          <t>Liquefied</t>
        </is>
      </c>
      <c r="D443" s="7" t="inlineStr">
        <is>
          <t>LRFD1 1C-B</t>
        </is>
      </c>
      <c r="E443" s="7" t="inlineStr">
        <is>
          <t>LRFD</t>
        </is>
      </c>
      <c r="F443" s="7" t="n">
        <v>2</v>
      </c>
      <c r="G443" s="7" t="n">
        <v>1</v>
      </c>
      <c r="H443" s="13" t="n">
        <v>1489.2</v>
      </c>
      <c r="I443" s="13" t="n">
        <v>20.268</v>
      </c>
      <c r="J443" s="13" t="n">
        <v>0.0050074</v>
      </c>
      <c r="K443" s="13" t="n">
        <v>0.1279</v>
      </c>
    </row>
    <row r="444">
      <c r="A444" s="7" t="inlineStr">
        <is>
          <t>WPD</t>
        </is>
      </c>
      <c r="B444" s="7" t="inlineStr">
        <is>
          <t>M3</t>
        </is>
      </c>
      <c r="C444" s="7" t="inlineStr">
        <is>
          <t>Liquefied</t>
        </is>
      </c>
      <c r="D444" s="7" t="inlineStr">
        <is>
          <t>LRFD1 1C-B</t>
        </is>
      </c>
      <c r="E444" s="7" t="inlineStr">
        <is>
          <t>LRFD</t>
        </is>
      </c>
      <c r="F444" s="7" t="n">
        <v>3</v>
      </c>
      <c r="G444" s="7" t="n">
        <v>1</v>
      </c>
      <c r="H444" s="13" t="n">
        <v>1595</v>
      </c>
      <c r="I444" s="13" t="n">
        <v>20.265</v>
      </c>
      <c r="J444" s="13" t="n">
        <v>0.008101000000000001</v>
      </c>
      <c r="K444" s="13" t="n">
        <v>0.1279</v>
      </c>
    </row>
    <row r="445">
      <c r="A445" s="7" t="inlineStr">
        <is>
          <t>WPD</t>
        </is>
      </c>
      <c r="B445" s="7" t="inlineStr">
        <is>
          <t>M3</t>
        </is>
      </c>
      <c r="C445" s="7" t="inlineStr">
        <is>
          <t>Liquefied</t>
        </is>
      </c>
      <c r="D445" s="7" t="inlineStr">
        <is>
          <t>LRFD1 1C-B</t>
        </is>
      </c>
      <c r="E445" s="7" t="inlineStr">
        <is>
          <t>LRFD</t>
        </is>
      </c>
      <c r="F445" s="7" t="n">
        <v>4</v>
      </c>
      <c r="G445" s="7" t="n">
        <v>1</v>
      </c>
      <c r="H445" s="13" t="n">
        <v>1700.9</v>
      </c>
      <c r="I445" s="13" t="n">
        <v>20.262</v>
      </c>
      <c r="J445" s="13" t="n">
        <v>0.011194</v>
      </c>
      <c r="K445" s="13" t="n">
        <v>0.1279</v>
      </c>
    </row>
    <row r="446">
      <c r="A446" s="7" t="inlineStr">
        <is>
          <t>WPD</t>
        </is>
      </c>
      <c r="B446" s="7" t="inlineStr">
        <is>
          <t>M3</t>
        </is>
      </c>
      <c r="C446" s="7" t="inlineStr">
        <is>
          <t>Liquefied</t>
        </is>
      </c>
      <c r="D446" s="7" t="inlineStr">
        <is>
          <t>LRFD1 1C-B</t>
        </is>
      </c>
      <c r="E446" s="7" t="inlineStr">
        <is>
          <t>LRFD</t>
        </is>
      </c>
      <c r="F446" s="7" t="n">
        <v>5</v>
      </c>
      <c r="G446" s="7" t="n">
        <v>2</v>
      </c>
      <c r="H446" s="13" t="n">
        <v>1383.3</v>
      </c>
      <c r="I446" s="13" t="n">
        <v>20.271</v>
      </c>
      <c r="J446" s="13" t="n">
        <v>0.001913400000000003</v>
      </c>
      <c r="K446" s="13" t="n">
        <v>0.1279</v>
      </c>
    </row>
    <row r="447">
      <c r="A447" s="7" t="inlineStr">
        <is>
          <t>WPD</t>
        </is>
      </c>
      <c r="B447" s="7" t="inlineStr">
        <is>
          <t>M3</t>
        </is>
      </c>
      <c r="C447" s="7" t="inlineStr">
        <is>
          <t>Liquefied</t>
        </is>
      </c>
      <c r="D447" s="7" t="inlineStr">
        <is>
          <t>LRFD1 1C-B</t>
        </is>
      </c>
      <c r="E447" s="7" t="inlineStr">
        <is>
          <t>LRFD</t>
        </is>
      </c>
      <c r="F447" s="7" t="n">
        <v>6</v>
      </c>
      <c r="G447" s="7" t="n">
        <v>2</v>
      </c>
      <c r="H447" s="13" t="n">
        <v>1489.2</v>
      </c>
      <c r="I447" s="13" t="n">
        <v>20.268</v>
      </c>
      <c r="J447" s="13" t="n">
        <v>0.0050074</v>
      </c>
      <c r="K447" s="13" t="n">
        <v>0.1279</v>
      </c>
    </row>
    <row r="448">
      <c r="A448" s="7" t="inlineStr">
        <is>
          <t>WPD</t>
        </is>
      </c>
      <c r="B448" s="7" t="inlineStr">
        <is>
          <t>M3</t>
        </is>
      </c>
      <c r="C448" s="7" t="inlineStr">
        <is>
          <t>Liquefied</t>
        </is>
      </c>
      <c r="D448" s="7" t="inlineStr">
        <is>
          <t>LRFD1 1C-B</t>
        </is>
      </c>
      <c r="E448" s="7" t="inlineStr">
        <is>
          <t>LRFD</t>
        </is>
      </c>
      <c r="F448" s="7" t="n">
        <v>7</v>
      </c>
      <c r="G448" s="7" t="n">
        <v>2</v>
      </c>
      <c r="H448" s="13" t="n">
        <v>1595</v>
      </c>
      <c r="I448" s="13" t="n">
        <v>20.265</v>
      </c>
      <c r="J448" s="13" t="n">
        <v>0.008101000000000001</v>
      </c>
      <c r="K448" s="13" t="n">
        <v>0.1279</v>
      </c>
    </row>
    <row r="449">
      <c r="A449" s="7" t="inlineStr">
        <is>
          <t>WPD</t>
        </is>
      </c>
      <c r="B449" s="7" t="inlineStr">
        <is>
          <t>M3</t>
        </is>
      </c>
      <c r="C449" s="7" t="inlineStr">
        <is>
          <t>Liquefied</t>
        </is>
      </c>
      <c r="D449" s="7" t="inlineStr">
        <is>
          <t>LRFD1 1C-B</t>
        </is>
      </c>
      <c r="E449" s="7" t="inlineStr">
        <is>
          <t>LRFD</t>
        </is>
      </c>
      <c r="F449" s="7" t="n">
        <v>8</v>
      </c>
      <c r="G449" s="7" t="n">
        <v>2</v>
      </c>
      <c r="H449" s="13" t="n">
        <v>1700.9</v>
      </c>
      <c r="I449" s="13" t="n">
        <v>20.262</v>
      </c>
      <c r="J449" s="13" t="n">
        <v>0.011194</v>
      </c>
      <c r="K449" s="13" t="n">
        <v>0.1279</v>
      </c>
    </row>
    <row r="450">
      <c r="A450" s="7" t="inlineStr">
        <is>
          <t>WPD</t>
        </is>
      </c>
      <c r="B450" s="7" t="inlineStr">
        <is>
          <t>M3</t>
        </is>
      </c>
      <c r="C450" s="7" t="inlineStr">
        <is>
          <t>Liquefied</t>
        </is>
      </c>
      <c r="D450" s="7" t="inlineStr">
        <is>
          <t>LRFD2(max) 1C-B</t>
        </is>
      </c>
      <c r="E450" s="7" t="inlineStr">
        <is>
          <t>LRFD</t>
        </is>
      </c>
      <c r="F450" s="7" t="n">
        <v>1</v>
      </c>
      <c r="G450" s="7" t="n">
        <v>1</v>
      </c>
      <c r="H450" s="13" t="n">
        <v>4371.4</v>
      </c>
      <c r="I450" s="13" t="n">
        <v>87.29404846838071</v>
      </c>
      <c r="J450" s="13" t="n">
        <v>0.1411368103118389</v>
      </c>
      <c r="K450" s="13" t="n">
        <v>0.5633362592626183</v>
      </c>
    </row>
    <row r="451">
      <c r="A451" s="7" t="inlineStr">
        <is>
          <t>WPD</t>
        </is>
      </c>
      <c r="B451" s="7" t="inlineStr">
        <is>
          <t>M3</t>
        </is>
      </c>
      <c r="C451" s="7" t="inlineStr">
        <is>
          <t>Liquefied</t>
        </is>
      </c>
      <c r="D451" s="7" t="inlineStr">
        <is>
          <t>LRFD2(max) 1C-B</t>
        </is>
      </c>
      <c r="E451" s="7" t="inlineStr">
        <is>
          <t>LRFD</t>
        </is>
      </c>
      <c r="F451" s="7" t="n">
        <v>2</v>
      </c>
      <c r="G451" s="7" t="n">
        <v>1</v>
      </c>
      <c r="H451" s="13" t="n">
        <v>4037</v>
      </c>
      <c r="I451" s="13" t="n">
        <v>87.33644815310501</v>
      </c>
      <c r="J451" s="13" t="n">
        <v>0.09903379279821611</v>
      </c>
      <c r="K451" s="13" t="n">
        <v>0.563341983257062</v>
      </c>
    </row>
    <row r="452">
      <c r="A452" s="7" t="inlineStr">
        <is>
          <t>WPD</t>
        </is>
      </c>
      <c r="B452" s="7" t="inlineStr">
        <is>
          <t>M3</t>
        </is>
      </c>
      <c r="C452" s="7" t="inlineStr">
        <is>
          <t>Liquefied</t>
        </is>
      </c>
      <c r="D452" s="7" t="inlineStr">
        <is>
          <t>LRFD2(max) 1C-B</t>
        </is>
      </c>
      <c r="E452" s="7" t="inlineStr">
        <is>
          <t>LRFD</t>
        </is>
      </c>
      <c r="F452" s="7" t="n">
        <v>3</v>
      </c>
      <c r="G452" s="7" t="n">
        <v>1</v>
      </c>
      <c r="H452" s="13" t="n">
        <v>3702.7</v>
      </c>
      <c r="I452" s="13" t="n">
        <v>87.37903927716303</v>
      </c>
      <c r="J452" s="13" t="n">
        <v>0.05695247391465975</v>
      </c>
      <c r="K452" s="13" t="n">
        <v>0.563345800108601</v>
      </c>
    </row>
    <row r="453">
      <c r="A453" s="7" t="inlineStr">
        <is>
          <t>WPD</t>
        </is>
      </c>
      <c r="B453" s="7" t="inlineStr">
        <is>
          <t>M3</t>
        </is>
      </c>
      <c r="C453" s="7" t="inlineStr">
        <is>
          <t>Liquefied</t>
        </is>
      </c>
      <c r="D453" s="7" t="inlineStr">
        <is>
          <t>LRFD2(max) 1C-B</t>
        </is>
      </c>
      <c r="E453" s="7" t="inlineStr">
        <is>
          <t>LRFD</t>
        </is>
      </c>
      <c r="F453" s="7" t="n">
        <v>4</v>
      </c>
      <c r="G453" s="7" t="n">
        <v>1</v>
      </c>
      <c r="H453" s="13" t="n">
        <v>3368.3</v>
      </c>
      <c r="I453" s="13" t="n">
        <v>87.4214400762193</v>
      </c>
      <c r="J453" s="13" t="n">
        <v>0.01531170530313329</v>
      </c>
      <c r="K453" s="13" t="n">
        <v>0.5633496176443186</v>
      </c>
    </row>
    <row r="454">
      <c r="A454" s="7" t="inlineStr">
        <is>
          <t>WPD</t>
        </is>
      </c>
      <c r="B454" s="7" t="inlineStr">
        <is>
          <t>M3</t>
        </is>
      </c>
      <c r="C454" s="7" t="inlineStr">
        <is>
          <t>Liquefied</t>
        </is>
      </c>
      <c r="D454" s="7" t="inlineStr">
        <is>
          <t>LRFD2(max) 1C-B</t>
        </is>
      </c>
      <c r="E454" s="7" t="inlineStr">
        <is>
          <t>LRFD</t>
        </is>
      </c>
      <c r="F454" s="7" t="n">
        <v>5</v>
      </c>
      <c r="G454" s="7" t="n">
        <v>2</v>
      </c>
      <c r="H454" s="13" t="n">
        <v>4124.4</v>
      </c>
      <c r="I454" s="13" t="n">
        <v>87.35212685447333</v>
      </c>
      <c r="J454" s="13" t="n">
        <v>0.122479712213901</v>
      </c>
      <c r="K454" s="13" t="n">
        <v>0.5632479124683908</v>
      </c>
    </row>
    <row r="455">
      <c r="A455" s="7" t="inlineStr">
        <is>
          <t>WPD</t>
        </is>
      </c>
      <c r="B455" s="7" t="inlineStr">
        <is>
          <t>M3</t>
        </is>
      </c>
      <c r="C455" s="7" t="inlineStr">
        <is>
          <t>Liquefied</t>
        </is>
      </c>
      <c r="D455" s="7" t="inlineStr">
        <is>
          <t>LRFD2(max) 1C-B</t>
        </is>
      </c>
      <c r="E455" s="7" t="inlineStr">
        <is>
          <t>LRFD</t>
        </is>
      </c>
      <c r="F455" s="7" t="n">
        <v>6</v>
      </c>
      <c r="G455" s="7" t="n">
        <v>2</v>
      </c>
      <c r="H455" s="13" t="n">
        <v>3790</v>
      </c>
      <c r="I455" s="13" t="n">
        <v>87.3945269682261</v>
      </c>
      <c r="J455" s="13" t="n">
        <v>0.08036525617454349</v>
      </c>
      <c r="K455" s="13" t="n">
        <v>0.5632536373606477</v>
      </c>
    </row>
    <row r="456">
      <c r="A456" s="7" t="inlineStr">
        <is>
          <t>WPD</t>
        </is>
      </c>
      <c r="B456" s="7" t="inlineStr">
        <is>
          <t>M3</t>
        </is>
      </c>
      <c r="C456" s="7" t="inlineStr">
        <is>
          <t>Liquefied</t>
        </is>
      </c>
      <c r="D456" s="7" t="inlineStr">
        <is>
          <t>LRFD2(max) 1C-B</t>
        </is>
      </c>
      <c r="E456" s="7" t="inlineStr">
        <is>
          <t>LRFD</t>
        </is>
      </c>
      <c r="F456" s="7" t="n">
        <v>7</v>
      </c>
      <c r="G456" s="7" t="n">
        <v>2</v>
      </c>
      <c r="H456" s="13" t="n">
        <v>3455.6</v>
      </c>
      <c r="I456" s="13" t="n">
        <v>87.43711846235557</v>
      </c>
      <c r="J456" s="13" t="n">
        <v>0.03841404503563768</v>
      </c>
      <c r="K456" s="13" t="n">
        <v>0.563257454810853</v>
      </c>
    </row>
    <row r="457">
      <c r="A457" s="7" t="inlineStr">
        <is>
          <t>WPD</t>
        </is>
      </c>
      <c r="B457" s="7" t="inlineStr">
        <is>
          <t>M3</t>
        </is>
      </c>
      <c r="C457" s="7" t="inlineStr">
        <is>
          <t>Liquefied</t>
        </is>
      </c>
      <c r="D457" s="7" t="inlineStr">
        <is>
          <t>LRFD2(max) 1C-B</t>
        </is>
      </c>
      <c r="E457" s="7" t="inlineStr">
        <is>
          <t>LRFD</t>
        </is>
      </c>
      <c r="F457" s="7" t="n">
        <v>8</v>
      </c>
      <c r="G457" s="7" t="n">
        <v>2</v>
      </c>
      <c r="H457" s="13" t="n">
        <v>3121.2</v>
      </c>
      <c r="I457" s="13" t="n">
        <v>87.47971040189833</v>
      </c>
      <c r="J457" s="13" t="n">
        <v>0.006972954933168577</v>
      </c>
      <c r="K457" s="13" t="n">
        <v>0.5632612729453358</v>
      </c>
    </row>
    <row r="458">
      <c r="A458" s="7" t="inlineStr">
        <is>
          <t>WPD</t>
        </is>
      </c>
      <c r="B458" s="7" t="inlineStr">
        <is>
          <t>M3</t>
        </is>
      </c>
      <c r="C458" s="7" t="inlineStr">
        <is>
          <t>Liquefied</t>
        </is>
      </c>
      <c r="D458" s="7" t="inlineStr">
        <is>
          <t>LRFD2(min) 1C-B</t>
        </is>
      </c>
      <c r="E458" s="7" t="inlineStr">
        <is>
          <t>LRFD</t>
        </is>
      </c>
      <c r="F458" s="7" t="n">
        <v>1</v>
      </c>
      <c r="G458" s="7" t="n">
        <v>1</v>
      </c>
      <c r="H458" s="13" t="n">
        <v>-1716.9</v>
      </c>
      <c r="I458" s="13" t="n">
        <v>318.6827990039625</v>
      </c>
      <c r="J458" s="13" t="n">
        <v>1.077215842891293</v>
      </c>
      <c r="K458" s="13" t="n">
        <v>2.022418672827415</v>
      </c>
    </row>
    <row r="459">
      <c r="A459" s="7" t="inlineStr">
        <is>
          <t>WPD</t>
        </is>
      </c>
      <c r="B459" s="7" t="inlineStr">
        <is>
          <t>M3</t>
        </is>
      </c>
      <c r="C459" s="7" t="inlineStr">
        <is>
          <t>Liquefied</t>
        </is>
      </c>
      <c r="D459" s="7" t="inlineStr">
        <is>
          <t>LRFD2(min) 1C-B</t>
        </is>
      </c>
      <c r="E459" s="7" t="inlineStr">
        <is>
          <t>LRFD</t>
        </is>
      </c>
      <c r="F459" s="7" t="n">
        <v>2</v>
      </c>
      <c r="G459" s="7" t="n">
        <v>1</v>
      </c>
      <c r="H459" s="13" t="n">
        <v>71.336</v>
      </c>
      <c r="I459" s="13" t="n">
        <v>317.7730040201653</v>
      </c>
      <c r="J459" s="13" t="n">
        <v>0.3092716922319274</v>
      </c>
      <c r="K459" s="13" t="n">
        <v>2.022415474318024</v>
      </c>
    </row>
    <row r="460">
      <c r="A460" s="7" t="inlineStr">
        <is>
          <t>WPD</t>
        </is>
      </c>
      <c r="B460" s="7" t="inlineStr">
        <is>
          <t>M3</t>
        </is>
      </c>
      <c r="C460" s="7" t="inlineStr">
        <is>
          <t>Liquefied</t>
        </is>
      </c>
      <c r="D460" s="7" t="inlineStr">
        <is>
          <t>LRFD2(min) 1C-B</t>
        </is>
      </c>
      <c r="E460" s="7" t="inlineStr">
        <is>
          <t>LRFD</t>
        </is>
      </c>
      <c r="F460" s="7" t="n">
        <v>3</v>
      </c>
      <c r="G460" s="7" t="n">
        <v>1</v>
      </c>
      <c r="H460" s="13" t="n">
        <v>1829</v>
      </c>
      <c r="I460" s="13" t="n">
        <v>316.8732427264883</v>
      </c>
      <c r="J460" s="13" t="n">
        <v>0.4443729835183503</v>
      </c>
      <c r="K460" s="13" t="n">
        <v>2.022412239046234</v>
      </c>
    </row>
    <row r="461">
      <c r="A461" s="7" t="inlineStr">
        <is>
          <t>WPD</t>
        </is>
      </c>
      <c r="B461" s="7" t="inlineStr">
        <is>
          <t>M3</t>
        </is>
      </c>
      <c r="C461" s="7" t="inlineStr">
        <is>
          <t>Liquefied</t>
        </is>
      </c>
      <c r="D461" s="7" t="inlineStr">
        <is>
          <t>LRFD2(min) 1C-B</t>
        </is>
      </c>
      <c r="E461" s="7" t="inlineStr">
        <is>
          <t>LRFD</t>
        </is>
      </c>
      <c r="F461" s="7" t="n">
        <v>4</v>
      </c>
      <c r="G461" s="7" t="n">
        <v>1</v>
      </c>
      <c r="H461" s="13" t="n">
        <v>3304.9</v>
      </c>
      <c r="I461" s="13" t="n">
        <v>316.1135711749814</v>
      </c>
      <c r="J461" s="13" t="n">
        <v>1.076618455220326</v>
      </c>
      <c r="K461" s="13" t="n">
        <v>2.022409007013418</v>
      </c>
    </row>
    <row r="462">
      <c r="A462" s="7" t="inlineStr">
        <is>
          <t>WPD</t>
        </is>
      </c>
      <c r="B462" s="7" t="inlineStr">
        <is>
          <t>M3</t>
        </is>
      </c>
      <c r="C462" s="7" t="inlineStr">
        <is>
          <t>Liquefied</t>
        </is>
      </c>
      <c r="D462" s="7" t="inlineStr">
        <is>
          <t>LRFD2(min) 1C-B</t>
        </is>
      </c>
      <c r="E462" s="7" t="inlineStr">
        <is>
          <t>LRFD</t>
        </is>
      </c>
      <c r="F462" s="7" t="n">
        <v>5</v>
      </c>
      <c r="G462" s="7" t="n">
        <v>2</v>
      </c>
      <c r="H462" s="13" t="n">
        <v>-1461</v>
      </c>
      <c r="I462" s="13" t="n">
        <v>318.4627345938611</v>
      </c>
      <c r="J462" s="13" t="n">
        <v>1.009474155493344</v>
      </c>
      <c r="K462" s="13" t="n">
        <v>2.022718432753556</v>
      </c>
    </row>
    <row r="463">
      <c r="A463" s="7" t="inlineStr">
        <is>
          <t>WPD</t>
        </is>
      </c>
      <c r="B463" s="7" t="inlineStr">
        <is>
          <t>M3</t>
        </is>
      </c>
      <c r="C463" s="7" t="inlineStr">
        <is>
          <t>Liquefied</t>
        </is>
      </c>
      <c r="D463" s="7" t="inlineStr">
        <is>
          <t>LRFD2(min) 1C-B</t>
        </is>
      </c>
      <c r="E463" s="7" t="inlineStr">
        <is>
          <t>LRFD</t>
        </is>
      </c>
      <c r="F463" s="7" t="n">
        <v>6</v>
      </c>
      <c r="G463" s="7" t="n">
        <v>2</v>
      </c>
      <c r="H463" s="13" t="n">
        <v>371.49</v>
      </c>
      <c r="I463" s="13" t="n">
        <v>317.5229637112881</v>
      </c>
      <c r="J463" s="13" t="n">
        <v>0.2227171538633699</v>
      </c>
      <c r="K463" s="13" t="n">
        <v>2.022715234718174</v>
      </c>
    </row>
    <row r="464">
      <c r="A464" s="7" t="inlineStr">
        <is>
          <t>WPD</t>
        </is>
      </c>
      <c r="B464" s="7" t="inlineStr">
        <is>
          <t>M3</t>
        </is>
      </c>
      <c r="C464" s="7" t="inlineStr">
        <is>
          <t>Liquefied</t>
        </is>
      </c>
      <c r="D464" s="7" t="inlineStr">
        <is>
          <t>LRFD2(min) 1C-B</t>
        </is>
      </c>
      <c r="E464" s="7" t="inlineStr">
        <is>
          <t>LRFD</t>
        </is>
      </c>
      <c r="F464" s="7" t="n">
        <v>7</v>
      </c>
      <c r="G464" s="7" t="n">
        <v>2</v>
      </c>
      <c r="H464" s="13" t="n">
        <v>2081.6</v>
      </c>
      <c r="I464" s="13" t="n">
        <v>316.6531787302948</v>
      </c>
      <c r="J464" s="13" t="n">
        <v>0.5106094365060246</v>
      </c>
      <c r="K464" s="13" t="n">
        <v>2.022711999925842</v>
      </c>
    </row>
    <row r="465">
      <c r="A465" s="7" t="inlineStr">
        <is>
          <t>WPD</t>
        </is>
      </c>
      <c r="B465" s="7" t="inlineStr">
        <is>
          <t>M3</t>
        </is>
      </c>
      <c r="C465" s="7" t="inlineStr">
        <is>
          <t>Liquefied</t>
        </is>
      </c>
      <c r="D465" s="7" t="inlineStr">
        <is>
          <t>LRFD2(min) 1C-B</t>
        </is>
      </c>
      <c r="E465" s="7" t="inlineStr">
        <is>
          <t>LRFD</t>
        </is>
      </c>
      <c r="F465" s="7" t="n">
        <v>8</v>
      </c>
      <c r="G465" s="7" t="n">
        <v>2</v>
      </c>
      <c r="H465" s="13" t="n">
        <v>3491.1</v>
      </c>
      <c r="I465" s="13" t="n">
        <v>315.9235634215973</v>
      </c>
      <c r="J465" s="13" t="n">
        <v>1.114338296714243</v>
      </c>
      <c r="K465" s="13" t="n">
        <v>2.022708768372007</v>
      </c>
    </row>
    <row r="466">
      <c r="A466" s="7" t="inlineStr">
        <is>
          <t>WPD</t>
        </is>
      </c>
      <c r="B466" s="7" t="inlineStr">
        <is>
          <t>M3</t>
        </is>
      </c>
      <c r="C466" s="7" t="inlineStr">
        <is>
          <t>Liquefied</t>
        </is>
      </c>
      <c r="D466" s="7" t="inlineStr">
        <is>
          <t>LRFD3 1C-B</t>
        </is>
      </c>
      <c r="E466" s="7" t="inlineStr">
        <is>
          <t>LRFD</t>
        </is>
      </c>
      <c r="F466" s="7" t="n">
        <v>1</v>
      </c>
      <c r="G466" s="7" t="n">
        <v>1</v>
      </c>
      <c r="H466" s="13" t="n">
        <v>985.97</v>
      </c>
      <c r="I466" s="13" t="n">
        <v>578.5736426765395</v>
      </c>
      <c r="J466" s="13" t="n">
        <v>309.9182000286527</v>
      </c>
      <c r="K466" s="13" t="n">
        <v>2.797486864115719</v>
      </c>
    </row>
    <row r="467">
      <c r="A467" s="7" t="inlineStr">
        <is>
          <t>WPD</t>
        </is>
      </c>
      <c r="B467" s="7" t="inlineStr">
        <is>
          <t>M3</t>
        </is>
      </c>
      <c r="C467" s="7" t="inlineStr">
        <is>
          <t>Liquefied</t>
        </is>
      </c>
      <c r="D467" s="7" t="inlineStr">
        <is>
          <t>LRFD3 1C-B</t>
        </is>
      </c>
      <c r="E467" s="7" t="inlineStr">
        <is>
          <t>LRFD</t>
        </is>
      </c>
      <c r="F467" s="7" t="n">
        <v>2</v>
      </c>
      <c r="G467" s="7" t="n">
        <v>1</v>
      </c>
      <c r="H467" s="13" t="n">
        <v>1373</v>
      </c>
      <c r="I467" s="13" t="n">
        <v>578.5926376994439</v>
      </c>
      <c r="J467" s="13" t="n">
        <v>309.754315869852</v>
      </c>
      <c r="K467" s="13" t="n">
        <v>2.797489396512523</v>
      </c>
    </row>
    <row r="468">
      <c r="A468" s="7" t="inlineStr">
        <is>
          <t>WPD</t>
        </is>
      </c>
      <c r="B468" s="7" t="inlineStr">
        <is>
          <t>M3</t>
        </is>
      </c>
      <c r="C468" s="7" t="inlineStr">
        <is>
          <t>Liquefied</t>
        </is>
      </c>
      <c r="D468" s="7" t="inlineStr">
        <is>
          <t>LRFD3 1C-B</t>
        </is>
      </c>
      <c r="E468" s="7" t="inlineStr">
        <is>
          <t>LRFD</t>
        </is>
      </c>
      <c r="F468" s="7" t="n">
        <v>3</v>
      </c>
      <c r="G468" s="7" t="n">
        <v>1</v>
      </c>
      <c r="H468" s="13" t="n">
        <v>1760.1</v>
      </c>
      <c r="I468" s="13" t="n">
        <v>578.6021352362951</v>
      </c>
      <c r="J468" s="13" t="n">
        <v>309.6002976032162</v>
      </c>
      <c r="K468" s="13" t="n">
        <v>2.797491928942781</v>
      </c>
    </row>
    <row r="469">
      <c r="A469" s="7" t="inlineStr">
        <is>
          <t>WPD</t>
        </is>
      </c>
      <c r="B469" s="7" t="inlineStr">
        <is>
          <t>M3</t>
        </is>
      </c>
      <c r="C469" s="7" t="inlineStr">
        <is>
          <t>Liquefied</t>
        </is>
      </c>
      <c r="D469" s="7" t="inlineStr">
        <is>
          <t>LRFD3 1C-B</t>
        </is>
      </c>
      <c r="E469" s="7" t="inlineStr">
        <is>
          <t>LRFD</t>
        </is>
      </c>
      <c r="F469" s="7" t="n">
        <v>4</v>
      </c>
      <c r="G469" s="7" t="n">
        <v>1</v>
      </c>
      <c r="H469" s="13" t="n">
        <v>2147.2</v>
      </c>
      <c r="I469" s="13" t="n">
        <v>578.6211303607914</v>
      </c>
      <c r="J469" s="13" t="n">
        <v>309.4367015142192</v>
      </c>
      <c r="K469" s="13" t="n">
        <v>2.797496993903657</v>
      </c>
    </row>
    <row r="470">
      <c r="A470" s="7" t="inlineStr">
        <is>
          <t>WPD</t>
        </is>
      </c>
      <c r="B470" s="7" t="inlineStr">
        <is>
          <t>M3</t>
        </is>
      </c>
      <c r="C470" s="7" t="inlineStr">
        <is>
          <t>Liquefied</t>
        </is>
      </c>
      <c r="D470" s="7" t="inlineStr">
        <is>
          <t>LRFD3 1C-B</t>
        </is>
      </c>
      <c r="E470" s="7" t="inlineStr">
        <is>
          <t>LRFD</t>
        </is>
      </c>
      <c r="F470" s="7" t="n">
        <v>5</v>
      </c>
      <c r="G470" s="7" t="n">
        <v>2</v>
      </c>
      <c r="H470" s="13" t="n">
        <v>869.73</v>
      </c>
      <c r="I470" s="13" t="n">
        <v>578.5831401795251</v>
      </c>
      <c r="J470" s="13" t="n">
        <v>309.9692522880293</v>
      </c>
      <c r="K470" s="13" t="n">
        <v>2.797486864115719</v>
      </c>
    </row>
    <row r="471">
      <c r="A471" s="7" t="inlineStr">
        <is>
          <t>WPD</t>
        </is>
      </c>
      <c r="B471" s="7" t="inlineStr">
        <is>
          <t>M3</t>
        </is>
      </c>
      <c r="C471" s="7" t="inlineStr">
        <is>
          <t>Liquefied</t>
        </is>
      </c>
      <c r="D471" s="7" t="inlineStr">
        <is>
          <t>LRFD3 1C-B</t>
        </is>
      </c>
      <c r="E471" s="7" t="inlineStr">
        <is>
          <t>LRFD</t>
        </is>
      </c>
      <c r="F471" s="7" t="n">
        <v>6</v>
      </c>
      <c r="G471" s="7" t="n">
        <v>2</v>
      </c>
      <c r="H471" s="13" t="n">
        <v>1256.8</v>
      </c>
      <c r="I471" s="13" t="n">
        <v>578.6021352362951</v>
      </c>
      <c r="J471" s="13" t="n">
        <v>309.8152336215894</v>
      </c>
      <c r="K471" s="13" t="n">
        <v>2.797489396512523</v>
      </c>
    </row>
    <row r="472">
      <c r="A472" s="7" t="inlineStr">
        <is>
          <t>WPD</t>
        </is>
      </c>
      <c r="B472" s="7" t="inlineStr">
        <is>
          <t>M3</t>
        </is>
      </c>
      <c r="C472" s="7" t="inlineStr">
        <is>
          <t>Liquefied</t>
        </is>
      </c>
      <c r="D472" s="7" t="inlineStr">
        <is>
          <t>LRFD3 1C-B</t>
        </is>
      </c>
      <c r="E472" s="7" t="inlineStr">
        <is>
          <t>LRFD</t>
        </is>
      </c>
      <c r="F472" s="7" t="n">
        <v>7</v>
      </c>
      <c r="G472" s="7" t="n">
        <v>2</v>
      </c>
      <c r="H472" s="13" t="n">
        <v>1643.9</v>
      </c>
      <c r="I472" s="13" t="n">
        <v>578.6116327900779</v>
      </c>
      <c r="J472" s="13" t="n">
        <v>309.6513496256717</v>
      </c>
      <c r="K472" s="13" t="n">
        <v>2.797491928942781</v>
      </c>
    </row>
    <row r="473">
      <c r="A473" s="7" t="inlineStr">
        <is>
          <t>WPD</t>
        </is>
      </c>
      <c r="B473" s="7" t="inlineStr">
        <is>
          <t>M3</t>
        </is>
      </c>
      <c r="C473" s="7" t="inlineStr">
        <is>
          <t>Liquefied</t>
        </is>
      </c>
      <c r="D473" s="7" t="inlineStr">
        <is>
          <t>LRFD3 1C-B</t>
        </is>
      </c>
      <c r="E473" s="7" t="inlineStr">
        <is>
          <t>LRFD</t>
        </is>
      </c>
      <c r="F473" s="7" t="n">
        <v>8</v>
      </c>
      <c r="G473" s="7" t="n">
        <v>2</v>
      </c>
      <c r="H473" s="13" t="n">
        <v>2030.9</v>
      </c>
      <c r="I473" s="13" t="n">
        <v>578.6306279484347</v>
      </c>
      <c r="J473" s="13" t="n">
        <v>309.4973314925348</v>
      </c>
      <c r="K473" s="13" t="n">
        <v>2.797496993903657</v>
      </c>
    </row>
    <row r="474">
      <c r="A474" s="7" t="inlineStr">
        <is>
          <t>WPD</t>
        </is>
      </c>
      <c r="B474" s="7" t="inlineStr">
        <is>
          <t>M3</t>
        </is>
      </c>
      <c r="C474" s="7" t="inlineStr">
        <is>
          <t>Liquefied</t>
        </is>
      </c>
      <c r="D474" s="7" t="inlineStr">
        <is>
          <t>LRFD4 1C-B</t>
        </is>
      </c>
      <c r="E474" s="7" t="inlineStr">
        <is>
          <t>LRFD</t>
        </is>
      </c>
      <c r="F474" s="7" t="n">
        <v>1</v>
      </c>
      <c r="G474" s="7" t="n">
        <v>1</v>
      </c>
      <c r="H474" s="13" t="n">
        <v>1419.2</v>
      </c>
      <c r="I474" s="13" t="n">
        <v>622.0141543405583</v>
      </c>
      <c r="J474" s="13" t="n">
        <v>309.7369798538754</v>
      </c>
      <c r="K474" s="13" t="n">
        <v>2.528859998279857</v>
      </c>
    </row>
    <row r="475">
      <c r="A475" s="7" t="inlineStr">
        <is>
          <t>WPD</t>
        </is>
      </c>
      <c r="B475" s="7" t="inlineStr">
        <is>
          <t>M3</t>
        </is>
      </c>
      <c r="C475" s="7" t="inlineStr">
        <is>
          <t>Liquefied</t>
        </is>
      </c>
      <c r="D475" s="7" t="inlineStr">
        <is>
          <t>LRFD4 1C-B</t>
        </is>
      </c>
      <c r="E475" s="7" t="inlineStr">
        <is>
          <t>LRFD</t>
        </is>
      </c>
      <c r="F475" s="7" t="n">
        <v>2</v>
      </c>
      <c r="G475" s="7" t="n">
        <v>1</v>
      </c>
      <c r="H475" s="13" t="n">
        <v>1607.8</v>
      </c>
      <c r="I475" s="13" t="n">
        <v>622.026282724452</v>
      </c>
      <c r="J475" s="13" t="n">
        <v>309.6720398243923</v>
      </c>
      <c r="K475" s="13" t="n">
        <v>2.528859998279857</v>
      </c>
    </row>
    <row r="476">
      <c r="A476" s="7" t="inlineStr">
        <is>
          <t>WPD</t>
        </is>
      </c>
      <c r="B476" s="7" t="inlineStr">
        <is>
          <t>M3</t>
        </is>
      </c>
      <c r="C476" s="7" t="inlineStr">
        <is>
          <t>Liquefied</t>
        </is>
      </c>
      <c r="D476" s="7" t="inlineStr">
        <is>
          <t>LRFD4 1C-B</t>
        </is>
      </c>
      <c r="E476" s="7" t="inlineStr">
        <is>
          <t>LRFD</t>
        </is>
      </c>
      <c r="F476" s="7" t="n">
        <v>3</v>
      </c>
      <c r="G476" s="7" t="n">
        <v>1</v>
      </c>
      <c r="H476" s="13" t="n">
        <v>1796.5</v>
      </c>
      <c r="I476" s="13" t="n">
        <v>622.0359836054503</v>
      </c>
      <c r="J476" s="13" t="n">
        <v>309.616678589833</v>
      </c>
      <c r="K476" s="13" t="n">
        <v>2.528953451706851</v>
      </c>
    </row>
    <row r="477">
      <c r="A477" s="7" t="inlineStr">
        <is>
          <t>WPD</t>
        </is>
      </c>
      <c r="B477" s="7" t="inlineStr">
        <is>
          <t>M3</t>
        </is>
      </c>
      <c r="C477" s="7" t="inlineStr">
        <is>
          <t>Liquefied</t>
        </is>
      </c>
      <c r="D477" s="7" t="inlineStr">
        <is>
          <t>LRFD4 1C-B</t>
        </is>
      </c>
      <c r="E477" s="7" t="inlineStr">
        <is>
          <t>LRFD</t>
        </is>
      </c>
      <c r="F477" s="7" t="n">
        <v>4</v>
      </c>
      <c r="G477" s="7" t="n">
        <v>1</v>
      </c>
      <c r="H477" s="13" t="n">
        <v>1985.1</v>
      </c>
      <c r="I477" s="13" t="n">
        <v>622.0481120460057</v>
      </c>
      <c r="J477" s="13" t="n">
        <v>309.5613177142777</v>
      </c>
      <c r="K477" s="13" t="n">
        <v>2.529046905634611</v>
      </c>
    </row>
    <row r="478">
      <c r="A478" s="7" t="inlineStr">
        <is>
          <t>WPD</t>
        </is>
      </c>
      <c r="B478" s="7" t="inlineStr">
        <is>
          <t>M3</t>
        </is>
      </c>
      <c r="C478" s="7" t="inlineStr">
        <is>
          <t>Liquefied</t>
        </is>
      </c>
      <c r="D478" s="7" t="inlineStr">
        <is>
          <t>LRFD4 1C-B</t>
        </is>
      </c>
      <c r="E478" s="7" t="inlineStr">
        <is>
          <t>LRFD</t>
        </is>
      </c>
      <c r="F478" s="7" t="n">
        <v>5</v>
      </c>
      <c r="G478" s="7" t="n">
        <v>2</v>
      </c>
      <c r="H478" s="13" t="n">
        <v>1031.8</v>
      </c>
      <c r="I478" s="13" t="n">
        <v>622.0481230580154</v>
      </c>
      <c r="J478" s="13" t="n">
        <v>309.8774938326435</v>
      </c>
      <c r="K478" s="13" t="n">
        <v>2.528952538680787</v>
      </c>
    </row>
    <row r="479">
      <c r="A479" s="7" t="inlineStr">
        <is>
          <t>WPD</t>
        </is>
      </c>
      <c r="B479" s="7" t="inlineStr">
        <is>
          <t>M3</t>
        </is>
      </c>
      <c r="C479" s="7" t="inlineStr">
        <is>
          <t>Liquefied</t>
        </is>
      </c>
      <c r="D479" s="7" t="inlineStr">
        <is>
          <t>LRFD4 1C-B</t>
        </is>
      </c>
      <c r="E479" s="7" t="inlineStr">
        <is>
          <t>LRFD</t>
        </is>
      </c>
      <c r="F479" s="7" t="n">
        <v>6</v>
      </c>
      <c r="G479" s="7" t="n">
        <v>2</v>
      </c>
      <c r="H479" s="13" t="n">
        <v>1220.5</v>
      </c>
      <c r="I479" s="13" t="n">
        <v>622.0578237591744</v>
      </c>
      <c r="J479" s="13" t="n">
        <v>309.8221306104521</v>
      </c>
      <c r="K479" s="13" t="n">
        <v>2.528952538680787</v>
      </c>
    </row>
    <row r="480">
      <c r="A480" s="7" t="inlineStr">
        <is>
          <t>WPD</t>
        </is>
      </c>
      <c r="B480" s="7" t="inlineStr">
        <is>
          <t>M3</t>
        </is>
      </c>
      <c r="C480" s="7" t="inlineStr">
        <is>
          <t>Liquefied</t>
        </is>
      </c>
      <c r="D480" s="7" t="inlineStr">
        <is>
          <t>LRFD4 1C-B</t>
        </is>
      </c>
      <c r="E480" s="7" t="inlineStr">
        <is>
          <t>LRFD</t>
        </is>
      </c>
      <c r="F480" s="7" t="n">
        <v>7</v>
      </c>
      <c r="G480" s="7" t="n">
        <v>2</v>
      </c>
      <c r="H480" s="13" t="n">
        <v>1409.1</v>
      </c>
      <c r="I480" s="13" t="n">
        <v>622.0699527384361</v>
      </c>
      <c r="J480" s="13" t="n">
        <v>309.7664803702944</v>
      </c>
      <c r="K480" s="13" t="n">
        <v>2.529045988688225</v>
      </c>
    </row>
    <row r="481">
      <c r="A481" s="7" t="inlineStr">
        <is>
          <t>WPD</t>
        </is>
      </c>
      <c r="B481" s="7" t="inlineStr">
        <is>
          <t>M3</t>
        </is>
      </c>
      <c r="C481" s="7" t="inlineStr">
        <is>
          <t>Liquefied</t>
        </is>
      </c>
      <c r="D481" s="7" t="inlineStr">
        <is>
          <t>LRFD4 1C-B</t>
        </is>
      </c>
      <c r="E481" s="7" t="inlineStr">
        <is>
          <t>LRFD</t>
        </is>
      </c>
      <c r="F481" s="7" t="n">
        <v>8</v>
      </c>
      <c r="G481" s="7" t="n">
        <v>2</v>
      </c>
      <c r="H481" s="13" t="n">
        <v>1597.8</v>
      </c>
      <c r="I481" s="13" t="n">
        <v>622.0820818027152</v>
      </c>
      <c r="J481" s="13" t="n">
        <v>309.7015396296893</v>
      </c>
      <c r="K481" s="13" t="n">
        <v>2.529139439196661</v>
      </c>
    </row>
  </sheetData>
  <autoFilter ref="A1:K48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2026-10-07T02:40:11Z</dcterms:created>
  <dcterms:modified xmlns:dcterms="http://purl.org/dc/terms/" xmlns:xsi="http://www.w3.org/2001/XMLSchema-instance" xsi:type="dcterms:W3CDTF">2026-10-07T02:40:12Z</dcterms:modified>
</cp:coreProperties>
</file>