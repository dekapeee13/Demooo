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Korelasi" sheetId="3" state="visible" r:id="rId3"/>
    <sheet xmlns:r="http://schemas.openxmlformats.org/officeDocument/2006/relationships" name="BH-01" sheetId="4" state="visible" r:id="rId4"/>
    <sheet xmlns:r="http://schemas.openxmlformats.org/officeDocument/2006/relationships" name="BH-02" sheetId="5" state="visible" r:id="rId5"/>
    <sheet xmlns:r="http://schemas.openxmlformats.org/officeDocument/2006/relationships" name="BH-03" sheetId="6" state="visible" r:id="rId6"/>
    <sheet xmlns:r="http://schemas.openxmlformats.org/officeDocument/2006/relationships" name="BH-04" sheetId="7" state="visible" r:id="rId7"/>
    <sheet xmlns:r="http://schemas.openxmlformats.org/officeDocument/2006/relationships" name="BH-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E+00"/>
    <numFmt numFmtId="165" formatCode="0.000"/>
    <numFmt numFmtId="166" formatCode="0.0"/>
    <numFmt numFmtId="167" formatCode="0;-0;&quot;-&quot;"/>
    <numFmt numFmtId="168" formatCode="0.0000"/>
    <numFmt numFmtId="169" formatCode="0.000;-0;&quot;-&quot;"/>
    <numFmt numFmtId="170" formatCode="0.0;-0;&quot;-&quot;"/>
    <numFmt numFmtId="171" formatCode="0.0E+00;-0;&quot;-&quot;"/>
    <numFmt numFmtId="172" formatCode="0.00;-0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color rgb="000000FF"/>
      <sz val="9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6" fillId="3" borderId="1" pivotButton="0" quotePrefix="0" xfId="0"/>
    <xf numFmtId="2" fontId="7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9" fillId="0" borderId="0" pivotButton="0" quotePrefix="0" xfId="0"/>
    <xf numFmtId="1" fontId="6" fillId="3" borderId="1" pivotButton="0" quotePrefix="0" xfId="0"/>
    <xf numFmtId="164" fontId="6" fillId="3" borderId="1" pivotButton="0" quotePrefix="0" xfId="0"/>
    <xf numFmtId="165" fontId="4" fillId="0" borderId="1" pivotButton="0" quotePrefix="0" xfId="0"/>
    <xf numFmtId="166" fontId="6" fillId="3" borderId="1" pivotButton="0" quotePrefix="0" xfId="0"/>
    <xf numFmtId="1" fontId="4" fillId="0" borderId="1" applyAlignment="1" pivotButton="0" quotePrefix="0" xfId="0">
      <alignment horizontal="center"/>
    </xf>
    <xf numFmtId="2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" fontId="6" fillId="3" borderId="1" applyAlignment="1" pivotButton="0" quotePrefix="0" xfId="0">
      <alignment horizontal="center"/>
    </xf>
    <xf numFmtId="166" fontId="6" fillId="3" borderId="1" applyAlignment="1" pivotButton="0" quotePrefix="0" xfId="0">
      <alignment horizontal="center"/>
    </xf>
    <xf numFmtId="165" fontId="6" fillId="3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169" fontId="4" fillId="0" borderId="1" applyAlignment="1" pivotButton="0" quotePrefix="0" xfId="0">
      <alignment horizontal="center"/>
    </xf>
    <xf numFmtId="170" fontId="4" fillId="0" borderId="1" applyAlignment="1" pivotButton="0" quotePrefix="0" xfId="0">
      <alignment horizontal="center"/>
    </xf>
    <xf numFmtId="171" fontId="4" fillId="0" borderId="1" applyAlignment="1" pivotButton="0" quotePrefix="0" xfId="0">
      <alignment horizontal="center"/>
    </xf>
    <xf numFmtId="172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2" fontId="4" fillId="0" borderId="1" pivotButton="0" quotePrefix="0" xfId="0"/>
    <xf numFmtId="166" fontId="4" fillId="0" borderId="1" pivotButton="0" quotePrefix="0" xfId="0"/>
    <xf numFmtId="166" fontId="7" fillId="4" borderId="1" pivotButton="0" quotePrefix="0" xfId="0"/>
    <xf numFmtId="49" fontId="7" fillId="4" borderId="1" pivotButton="0" quotePrefix="0" xfId="0"/>
    <xf numFmtId="168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Penurunan per sublapisan - BH-01</a:t>
            </a:r>
          </a:p>
        </rich>
      </tx>
    </title>
    <plotArea>
      <scatterChart>
        <ser>
          <idx val="0"/>
          <order val="0"/>
          <tx>
            <v>Si segera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'BH-01'!$Z$13:$Z$53</f>
            </numRef>
          </xVal>
          <yVal>
            <numRef>
              <f>'BH-01'!$E$13:$E$53</f>
            </numRef>
          </yVal>
        </ser>
        <ser>
          <idx val="1"/>
          <order val="1"/>
          <tx>
            <v>Sc konsolidasi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'BH-01'!$AD$13:$AD$53</f>
            </numRef>
          </xVal>
          <yVal>
            <numRef>
              <f>'BH-01'!$E$13:$E$53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Penurunan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Kedalaman tengah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Penurunan per sublapisan - BH-02</a:t>
            </a:r>
          </a:p>
        </rich>
      </tx>
    </title>
    <plotArea>
      <scatterChart>
        <ser>
          <idx val="0"/>
          <order val="0"/>
          <tx>
            <v>Si segera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'BH-02'!$Z$13:$Z$53</f>
            </numRef>
          </xVal>
          <yVal>
            <numRef>
              <f>'BH-02'!$E$13:$E$53</f>
            </numRef>
          </yVal>
        </ser>
        <ser>
          <idx val="1"/>
          <order val="1"/>
          <tx>
            <v>Sc konsolidasi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'BH-02'!$AD$13:$AD$53</f>
            </numRef>
          </xVal>
          <yVal>
            <numRef>
              <f>'BH-02'!$E$13:$E$53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Penurunan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Kedalaman tengah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Penurunan per sublapisan - BH-03</a:t>
            </a:r>
          </a:p>
        </rich>
      </tx>
    </title>
    <plotArea>
      <scatterChart>
        <ser>
          <idx val="0"/>
          <order val="0"/>
          <tx>
            <v>Si segera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'BH-03'!$Z$13:$Z$53</f>
            </numRef>
          </xVal>
          <yVal>
            <numRef>
              <f>'BH-03'!$E$13:$E$53</f>
            </numRef>
          </yVal>
        </ser>
        <ser>
          <idx val="1"/>
          <order val="1"/>
          <tx>
            <v>Sc konsolidasi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'BH-03'!$AD$13:$AD$53</f>
            </numRef>
          </xVal>
          <yVal>
            <numRef>
              <f>'BH-03'!$E$13:$E$53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Penurunan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Kedalaman tengah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Penurunan per sublapisan - BH-04</a:t>
            </a:r>
          </a:p>
        </rich>
      </tx>
    </title>
    <plotArea>
      <scatterChart>
        <ser>
          <idx val="0"/>
          <order val="0"/>
          <tx>
            <v>Si segera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'BH-04'!$Z$13:$Z$53</f>
            </numRef>
          </xVal>
          <yVal>
            <numRef>
              <f>'BH-04'!$E$13:$E$53</f>
            </numRef>
          </yVal>
        </ser>
        <ser>
          <idx val="1"/>
          <order val="1"/>
          <tx>
            <v>Sc konsolidasi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'BH-04'!$AD$13:$AD$53</f>
            </numRef>
          </xVal>
          <yVal>
            <numRef>
              <f>'BH-04'!$E$13:$E$53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Penurunan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Kedalaman tengah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Penurunan per sublapisan - BH-05</a:t>
            </a:r>
          </a:p>
        </rich>
      </tx>
    </title>
    <plotArea>
      <scatterChart>
        <ser>
          <idx val="0"/>
          <order val="0"/>
          <tx>
            <v>Si segera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'BH-05'!$Z$13:$Z$53</f>
            </numRef>
          </xVal>
          <yVal>
            <numRef>
              <f>'BH-05'!$E$13:$E$53</f>
            </numRef>
          </yVal>
        </ser>
        <ser>
          <idx val="1"/>
          <order val="1"/>
          <tx>
            <v>Sc konsolidasi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'BH-05'!$AD$13:$AD$53</f>
            </numRef>
          </xVal>
          <yVal>
            <numRef>
              <f>'BH-05'!$E$13:$E$53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Penurunan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Kedalaman tengah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56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56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56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56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12</col>
      <colOff>0</colOff>
      <row>56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" customWidth="1" min="2" max="2"/>
    <col width="4" customWidth="1" min="3" max="3"/>
    <col width="4" customWidth="1" min="4" max="4"/>
    <col width="4" customWidth="1" min="5" max="5"/>
    <col width="10" customWidth="1" min="6" max="6"/>
    <col width="12" customWidth="1" min="7" max="7"/>
    <col width="9" customWidth="1" min="8" max="8"/>
    <col width="70" customWidth="1" min="9" max="9"/>
  </cols>
  <sheetData>
    <row r="1">
      <c r="A1" s="1" t="inlineStr">
        <is>
          <t>ANALISIS DAYA DUKUNG &amp; PENURUNAN TANAH DASAR - TIMBUNAN WELLPAD</t>
        </is>
      </c>
    </row>
    <row r="2">
      <c r="A2" s="2" t="inlineStr">
        <is>
          <t>Geotechnical Investigation &amp; DED Geothermal Wellpad - PSPE Bora Pulu (PT EDC Panas Bumi Indonesia)</t>
        </is>
      </c>
    </row>
    <row r="3">
      <c r="A3" s="2" t="inlineStr">
        <is>
          <t>Sel kuning = input. Semua sheet BH dan Ringkasan dihitung dari sheet ini.</t>
        </is>
      </c>
    </row>
    <row r="5">
      <c r="A5" s="3" t="inlineStr">
        <is>
          <t>A. BEBAN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Tinggi timbunan</t>
        </is>
      </c>
      <c r="F6" s="6" t="inlineStr">
        <is>
          <t>Hf</t>
        </is>
      </c>
      <c r="G6" s="7" t="n">
        <v>2</v>
      </c>
      <c r="H6" s="5" t="inlineStr">
        <is>
          <t>m</t>
        </is>
      </c>
      <c r="I6" s="2" t="inlineStr">
        <is>
          <t>arahan desain: timbunan 2 m di semua area</t>
        </is>
      </c>
    </row>
    <row r="7">
      <c r="A7" s="5" t="inlineStr">
        <is>
          <t>Berat isi material timbunan (dipadatkan)</t>
        </is>
      </c>
      <c r="F7" s="6" t="inlineStr">
        <is>
          <t>γf</t>
        </is>
      </c>
      <c r="G7" s="7" t="n">
        <v>18</v>
      </c>
      <c r="H7" s="5" t="inlineStr">
        <is>
          <t>kN/m³</t>
        </is>
      </c>
      <c r="I7" s="2" t="inlineStr">
        <is>
          <t>asumsi timbunan pilihan dipadatkan</t>
        </is>
      </c>
    </row>
    <row r="8">
      <c r="A8" s="5" t="inlineStr">
        <is>
          <t>Beban merata di atas timbunan</t>
        </is>
      </c>
      <c r="F8" s="6" t="inlineStr">
        <is>
          <t>qs</t>
        </is>
      </c>
      <c r="G8" s="7" t="n">
        <v>100</v>
      </c>
      <c r="H8" s="5" t="inlineStr">
        <is>
          <t>kPa</t>
        </is>
      </c>
      <c r="I8" s="2" t="inlineStr">
        <is>
          <t>arahan desain: 100 kPa di semua area</t>
        </is>
      </c>
    </row>
    <row r="9">
      <c r="A9" s="5" t="inlineStr">
        <is>
          <t>Tekanan total pada tanah dasar</t>
        </is>
      </c>
      <c r="F9" s="6" t="inlineStr">
        <is>
          <t>q</t>
        </is>
      </c>
      <c r="G9" s="8">
        <f>G6*G7+G8</f>
        <v/>
      </c>
      <c r="H9" s="5" t="inlineStr">
        <is>
          <t>kPa</t>
        </is>
      </c>
      <c r="I9" s="2" t="inlineStr">
        <is>
          <t>q = Hf·γf + qs</t>
        </is>
      </c>
    </row>
    <row r="10">
      <c r="A10" s="5" t="inlineStr">
        <is>
          <t>Lebar area pembebanan</t>
        </is>
      </c>
      <c r="F10" s="6" t="inlineStr">
        <is>
          <t>B</t>
        </is>
      </c>
      <c r="G10" s="7" t="n">
        <v>40</v>
      </c>
      <c r="H10" s="5" t="inlineStr">
        <is>
          <t>m</t>
        </is>
      </c>
      <c r="I10" s="2" t="inlineStr">
        <is>
          <t>ASUMSI ukuran platform/area beban - sesuaikan</t>
        </is>
      </c>
    </row>
    <row r="11">
      <c r="A11" s="5" t="inlineStr">
        <is>
          <t>Panjang area pembebanan</t>
        </is>
      </c>
      <c r="F11" s="6" t="inlineStr">
        <is>
          <t>L</t>
        </is>
      </c>
      <c r="G11" s="7" t="n">
        <v>60</v>
      </c>
      <c r="H11" s="5" t="inlineStr">
        <is>
          <t>m</t>
        </is>
      </c>
      <c r="I11" s="2" t="inlineStr">
        <is>
          <t>ASUMSI - sesuaikan (L ≥ B)</t>
        </is>
      </c>
    </row>
    <row r="13">
      <c r="A13" s="3" t="inlineStr">
        <is>
          <t>B. KRITERIA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5" t="inlineStr">
        <is>
          <t>Faktor keamanan daya dukung</t>
        </is>
      </c>
      <c r="F14" s="6" t="inlineStr">
        <is>
          <t>SF</t>
        </is>
      </c>
      <c r="G14" s="7" t="n">
        <v>3</v>
      </c>
      <c r="H14" s="5" t="inlineStr">
        <is>
          <t>-</t>
        </is>
      </c>
      <c r="I14" s="2" t="inlineStr">
        <is>
          <t>SNI 8460:2017 (daya dukung fondasi dangkal)</t>
        </is>
      </c>
    </row>
    <row r="15">
      <c r="A15" s="5" t="inlineStr">
        <is>
          <t>Kedalaman tinjauan kekuatan tanah daya dukung</t>
        </is>
      </c>
      <c r="F15" s="6" t="inlineStr">
        <is>
          <t>Hb</t>
        </is>
      </c>
      <c r="G15" s="7" t="n">
        <v>5</v>
      </c>
      <c r="H15" s="5" t="inlineStr">
        <is>
          <t>m</t>
        </is>
      </c>
      <c r="I15" s="2" t="inlineStr">
        <is>
          <t>rata-rata parameter kuat geser 0 - Hb (sama dengan template)</t>
        </is>
      </c>
    </row>
    <row r="16">
      <c r="A16" s="5" t="inlineStr">
        <is>
          <t>Batas penurunan total (informasi)</t>
        </is>
      </c>
      <c r="F16" s="6" t="inlineStr">
        <is>
          <t>S izin</t>
        </is>
      </c>
      <c r="G16" s="7" t="n">
        <v>100</v>
      </c>
      <c r="H16" s="5" t="inlineStr">
        <is>
          <t>mm</t>
        </is>
      </c>
      <c r="I16" s="2" t="inlineStr">
        <is>
          <t>ASUMSI untuk platform timbunan - sesuaikan</t>
        </is>
      </c>
    </row>
    <row r="18">
      <c r="A18" s="3" t="inlineStr">
        <is>
          <t>C. KORELASI PARAMETER (dari N-SPT bila tidak ada uji lab)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Kuat geser undrained lempung/lanau: cu = k·N</t>
        </is>
      </c>
      <c r="F19" s="6" t="inlineStr">
        <is>
          <t>k</t>
        </is>
      </c>
      <c r="G19" s="7" t="n">
        <v>5</v>
      </c>
      <c r="H19" s="5" t="inlineStr">
        <is>
          <t>kPa/N</t>
        </is>
      </c>
      <c r="I19" s="2" t="inlineStr">
        <is>
          <t>Stroud (1974), k ≈ 4,4-6; sama dengan PBCP &amp; template</t>
        </is>
      </c>
    </row>
    <row r="20">
      <c r="A20" s="5" t="inlineStr">
        <is>
          <t>Koreksi energi N60 = CE·N</t>
        </is>
      </c>
      <c r="F20" s="6" t="inlineStr">
        <is>
          <t>CE</t>
        </is>
      </c>
      <c r="G20" s="7" t="n">
        <v>1.083</v>
      </c>
      <c r="H20" s="5" t="inlineStr">
        <is>
          <t>-</t>
        </is>
      </c>
      <c r="I20" s="2" t="inlineStr">
        <is>
          <t>sama dengan analisis likuefaksi (ER 65%)</t>
        </is>
      </c>
    </row>
    <row r="21">
      <c r="A21" s="5" t="inlineStr">
        <is>
          <t>Modulus pasir: Es = k·N60</t>
        </is>
      </c>
      <c r="F21" s="6" t="inlineStr">
        <is>
          <t>k</t>
        </is>
      </c>
      <c r="G21" s="7" t="n">
        <v>1000</v>
      </c>
      <c r="H21" s="5" t="inlineStr">
        <is>
          <t>kPa</t>
        </is>
      </c>
      <c r="I21" s="2" t="inlineStr">
        <is>
          <t>Kulhawy &amp; Mayne (1990): E/pa = 10·N60 (pasir berlanau); sama dgn E50 = 1000N template</t>
        </is>
      </c>
    </row>
    <row r="22">
      <c r="A22" s="5" t="inlineStr">
        <is>
          <t>Modulus undrained lempung/lanau: Eu = k·cu</t>
        </is>
      </c>
      <c r="F22" s="6" t="inlineStr">
        <is>
          <t>k</t>
        </is>
      </c>
      <c r="G22" s="7" t="n">
        <v>500</v>
      </c>
      <c r="H22" s="5" t="inlineStr">
        <is>
          <t>-</t>
        </is>
      </c>
      <c r="I22" s="2" t="inlineStr">
        <is>
          <t>Bowles (1996), Eu = 500-1500 cu (konservatif)</t>
        </is>
      </c>
    </row>
    <row r="23">
      <c r="A23" s="5" t="inlineStr">
        <is>
          <t>Rasio Cr / Cc</t>
        </is>
      </c>
      <c r="F23" s="6" t="inlineStr">
        <is>
          <t>-</t>
        </is>
      </c>
      <c r="G23" s="7" t="n">
        <v>0.2</v>
      </c>
      <c r="H23" s="5" t="inlineStr">
        <is>
          <t>-</t>
        </is>
      </c>
      <c r="I23" s="2" t="inlineStr">
        <is>
          <t>Cr ≈ 0,1-0,2 Cc (Das 2019)</t>
        </is>
      </c>
    </row>
    <row r="24">
      <c r="A24" s="5" t="inlineStr">
        <is>
          <t>Rasio su / σ'p</t>
        </is>
      </c>
      <c r="F24" s="6" t="inlineStr">
        <is>
          <t>-</t>
        </is>
      </c>
      <c r="G24" s="7" t="n">
        <v>0.22</v>
      </c>
      <c r="H24" s="5" t="inlineStr">
        <is>
          <t>-</t>
        </is>
      </c>
      <c r="I24" s="2" t="inlineStr">
        <is>
          <t>Mesri (1975): σ'p = cu / 0,22</t>
        </is>
      </c>
    </row>
    <row r="25">
      <c r="A25" s="5" t="inlineStr">
        <is>
          <t>Faktor waktu Tv untuk U = 90%</t>
        </is>
      </c>
      <c r="F25" s="6" t="inlineStr">
        <is>
          <t>Tv</t>
        </is>
      </c>
      <c r="G25" s="7" t="n">
        <v>0.848</v>
      </c>
      <c r="H25" s="5" t="inlineStr">
        <is>
          <t>-</t>
        </is>
      </c>
      <c r="I25" s="2" t="inlineStr">
        <is>
          <t>Terzaghi</t>
        </is>
      </c>
    </row>
    <row r="26">
      <c r="A26" s="5" t="inlineStr">
        <is>
          <t>Poisson ratio pasir (drained)</t>
        </is>
      </c>
      <c r="F26" s="6" t="inlineStr">
        <is>
          <t>ν</t>
        </is>
      </c>
      <c r="G26" s="7" t="n">
        <v>0.3</v>
      </c>
      <c r="H26" s="5" t="inlineStr">
        <is>
          <t>-</t>
        </is>
      </c>
      <c r="I26" s="2" t="inlineStr">
        <is>
          <t>lanau/lempung undrained ν = 0,5</t>
        </is>
      </c>
    </row>
    <row r="27">
      <c r="A27" s="5" t="inlineStr">
        <is>
          <t>Batas kedalaman pengaruh penurunan: Δσz/σ'v0 ≥</t>
        </is>
      </c>
      <c r="F27" s="6" t="inlineStr">
        <is>
          <t>-</t>
        </is>
      </c>
      <c r="G27" s="7" t="n">
        <v>0.1</v>
      </c>
      <c r="H27" s="5" t="inlineStr">
        <is>
          <t>-</t>
        </is>
      </c>
      <c r="I27" s="2" t="inlineStr">
        <is>
          <t>lapisan dengan Δσz &lt; 10% σ'v0 diabaikan (Das 2019)</t>
        </is>
      </c>
    </row>
    <row r="29">
      <c r="A29" s="3" t="inlineStr">
        <is>
          <t>D. MATERIAL PENGGANTI (REPLACEMENT)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5" t="inlineStr">
        <is>
          <t>Berat isi material pengganti (granular dipadatkan)</t>
        </is>
      </c>
      <c r="F30" s="6" t="inlineStr">
        <is>
          <t>γr</t>
        </is>
      </c>
      <c r="G30" s="7" t="n">
        <v>19</v>
      </c>
      <c r="H30" s="5" t="inlineStr">
        <is>
          <t>kN/m³</t>
        </is>
      </c>
      <c r="I30" s="2" t="inlineStr">
        <is>
          <t>sirtu/selected fill dipadatkan</t>
        </is>
      </c>
    </row>
    <row r="31">
      <c r="A31" s="5" t="inlineStr">
        <is>
          <t>Sudut geser material pengganti</t>
        </is>
      </c>
      <c r="F31" s="6" t="inlineStr">
        <is>
          <t>φ'r</t>
        </is>
      </c>
      <c r="G31" s="7" t="n">
        <v>35</v>
      </c>
      <c r="H31" s="5" t="inlineStr">
        <is>
          <t>°</t>
        </is>
      </c>
      <c r="I31" s="2" t="inlineStr">
        <is>
          <t>granular dipadatkan</t>
        </is>
      </c>
    </row>
    <row r="32">
      <c r="A32" s="2" t="inlineStr">
        <is>
          <t>Kedalaman penggantian Dr diisi per borehole (sheet BH, sel G8).</t>
        </is>
      </c>
    </row>
    <row r="34">
      <c r="A34" s="2" t="inlineStr">
        <is>
          <t>Cc = 0,009(LL-10) (Terzaghi &amp; Peck 1967); φ' pasir = 27,1 + 0,3N60 - 0,00054N60² (Wolff 1989); φ' lanau/lempung: sin φ' = 0,8 - 0,094 ln PI (Terzaghi, Peck &amp; Mesri 1996), dibatasi 20-30°.</t>
        </is>
      </c>
    </row>
    <row r="35">
      <c r="A35" s="2" t="inlineStr">
        <is>
          <t>Cv dari LL (NAVFAC DM-7.1, Fig. 5-7, contoh tak terganggu) - tabel di sheet Korelasi. Tidak ada uji konsolidasi (oedometer) pada penyelidikan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RINGKASAN DAYA DUKUNG &amp; PENURUNAN TANAH DASAR</t>
        </is>
      </c>
    </row>
    <row r="2">
      <c r="A2" s="2">
        <f>" Beban: timbunan "&amp;TEXT(Input!G6,"0.0")&amp;" m + beban merata "&amp;TEXT(Input!G8,"0")&amp;" kPa  →  q = "&amp;TEXT(Input!G9,"0")&amp;" kPa;  area "&amp;TEXT(Input!G10,"0")&amp;" × "&amp;TEXT(Input!G11,"0")&amp;" m"</f>
        <v/>
      </c>
    </row>
    <row r="4" ht="44" customHeight="1">
      <c r="A4" s="9" t="inlineStr">
        <is>
          <t>Borehole</t>
        </is>
      </c>
      <c r="B4" s="9" t="inlineStr">
        <is>
          <t>Area</t>
        </is>
      </c>
      <c r="C4" s="9" t="inlineStr">
        <is>
          <t>Lanau/lempung 0-Hb (m)</t>
        </is>
      </c>
      <c r="D4" s="9" t="inlineStr">
        <is>
          <t>cu (kPa)</t>
        </is>
      </c>
      <c r="E4" s="9" t="inlineStr">
        <is>
          <t>φ' (°)</t>
        </is>
      </c>
      <c r="F4" s="9" t="inlineStr">
        <is>
          <t>qall tanpa perbaikan (kPa)</t>
        </is>
      </c>
      <c r="G4" s="9" t="inlineStr">
        <is>
          <t>FS tanpa perbaikan</t>
        </is>
      </c>
      <c r="H4" s="9" t="inlineStr">
        <is>
          <t>Kontrol</t>
        </is>
      </c>
      <c r="I4" s="9" t="inlineStr">
        <is>
          <t>Dr replacement (m)</t>
        </is>
      </c>
      <c r="J4" s="9" t="inlineStr">
        <is>
          <t>qall desain (kPa)</t>
        </is>
      </c>
      <c r="K4" s="9" t="inlineStr">
        <is>
          <t>FS desain</t>
        </is>
      </c>
      <c r="L4" s="9" t="inlineStr">
        <is>
          <t>Kontrol desain</t>
        </is>
      </c>
      <c r="M4" s="9" t="inlineStr">
        <is>
          <t>H timbunan izin desain (m)</t>
        </is>
      </c>
      <c r="N4" s="9" t="inlineStr">
        <is>
          <t>qa pasir S=25 mm (kPa)</t>
        </is>
      </c>
      <c r="O4" s="9" t="inlineStr">
        <is>
          <t>Si elastis (mm)</t>
        </is>
      </c>
      <c r="P4" s="9" t="inlineStr">
        <is>
          <t>Si pasir B&amp;B (mm)</t>
        </is>
      </c>
      <c r="Q4" s="9" t="inlineStr">
        <is>
          <t>Sc (mm)</t>
        </is>
      </c>
      <c r="R4" s="9" t="inlineStr">
        <is>
          <t>t90 (tahun)</t>
        </is>
      </c>
      <c r="S4" s="9" t="inlineStr">
        <is>
          <t>S total (mm)</t>
        </is>
      </c>
    </row>
    <row r="5">
      <c r="A5" s="10" t="inlineStr">
        <is>
          <t>BH-01</t>
        </is>
      </c>
      <c r="B5" s="11" t="inlineStr">
        <is>
          <t>Wellpad D</t>
        </is>
      </c>
      <c r="C5" s="12">
        <f>'BH-01'!$G$59</f>
        <v/>
      </c>
      <c r="D5" s="12">
        <f>'BH-01'!$G$60</f>
        <v/>
      </c>
      <c r="E5" s="12">
        <f>'BH-01'!$G$61</f>
        <v/>
      </c>
      <c r="F5" s="12">
        <f>'BH-01'!$G$70</f>
        <v/>
      </c>
      <c r="G5" s="13">
        <f>'BH-01'!$G$73</f>
        <v/>
      </c>
      <c r="H5" s="14">
        <f>'BH-01'!$G$72</f>
        <v/>
      </c>
      <c r="I5" s="12">
        <f>'BH-01'!$G$8</f>
        <v/>
      </c>
      <c r="J5" s="12">
        <f>'BH-01'!$G$88</f>
        <v/>
      </c>
      <c r="K5" s="13">
        <f>'BH-01'!$G$91</f>
        <v/>
      </c>
      <c r="L5" s="14">
        <f>'BH-01'!$G$90</f>
        <v/>
      </c>
      <c r="M5" s="12">
        <f>'BH-01'!$G$92</f>
        <v/>
      </c>
      <c r="N5" s="12">
        <f>'BH-01'!$G$96</f>
        <v/>
      </c>
      <c r="O5" s="12">
        <f>'BH-01'!$G$101</f>
        <v/>
      </c>
      <c r="P5" s="12">
        <f>'BH-01'!$G$110</f>
        <v/>
      </c>
      <c r="Q5" s="12">
        <f>'BH-01'!$G$115</f>
        <v/>
      </c>
      <c r="R5" s="13">
        <f>'BH-01'!$G$116</f>
        <v/>
      </c>
      <c r="S5" s="12">
        <f>'BH-01'!$G$119</f>
        <v/>
      </c>
    </row>
    <row r="6">
      <c r="A6" s="10" t="inlineStr">
        <is>
          <t>BH-02</t>
        </is>
      </c>
      <c r="B6" s="11" t="inlineStr">
        <is>
          <t>Wellpad A</t>
        </is>
      </c>
      <c r="C6" s="12">
        <f>'BH-02'!$G$59</f>
        <v/>
      </c>
      <c r="D6" s="12">
        <f>'BH-02'!$G$60</f>
        <v/>
      </c>
      <c r="E6" s="12">
        <f>'BH-02'!$G$61</f>
        <v/>
      </c>
      <c r="F6" s="12">
        <f>'BH-02'!$G$70</f>
        <v/>
      </c>
      <c r="G6" s="13">
        <f>'BH-02'!$G$73</f>
        <v/>
      </c>
      <c r="H6" s="14">
        <f>'BH-02'!$G$72</f>
        <v/>
      </c>
      <c r="I6" s="12">
        <f>'BH-02'!$G$8</f>
        <v/>
      </c>
      <c r="J6" s="12">
        <f>'BH-02'!$G$88</f>
        <v/>
      </c>
      <c r="K6" s="13">
        <f>'BH-02'!$G$91</f>
        <v/>
      </c>
      <c r="L6" s="14">
        <f>'BH-02'!$G$90</f>
        <v/>
      </c>
      <c r="M6" s="12">
        <f>'BH-02'!$G$92</f>
        <v/>
      </c>
      <c r="N6" s="12">
        <f>'BH-02'!$G$96</f>
        <v/>
      </c>
      <c r="O6" s="12">
        <f>'BH-02'!$G$101</f>
        <v/>
      </c>
      <c r="P6" s="12">
        <f>'BH-02'!$G$110</f>
        <v/>
      </c>
      <c r="Q6" s="12">
        <f>'BH-02'!$G$115</f>
        <v/>
      </c>
      <c r="R6" s="13">
        <f>'BH-02'!$G$116</f>
        <v/>
      </c>
      <c r="S6" s="12">
        <f>'BH-02'!$G$119</f>
        <v/>
      </c>
    </row>
    <row r="7">
      <c r="A7" s="10" t="inlineStr">
        <is>
          <t>BH-03</t>
        </is>
      </c>
      <c r="B7" s="11" t="inlineStr">
        <is>
          <t>Log Yard</t>
        </is>
      </c>
      <c r="C7" s="12">
        <f>'BH-03'!$G$59</f>
        <v/>
      </c>
      <c r="D7" s="12">
        <f>'BH-03'!$G$60</f>
        <v/>
      </c>
      <c r="E7" s="12">
        <f>'BH-03'!$G$61</f>
        <v/>
      </c>
      <c r="F7" s="12">
        <f>'BH-03'!$G$70</f>
        <v/>
      </c>
      <c r="G7" s="13">
        <f>'BH-03'!$G$73</f>
        <v/>
      </c>
      <c r="H7" s="14">
        <f>'BH-03'!$G$72</f>
        <v/>
      </c>
      <c r="I7" s="12">
        <f>'BH-03'!$G$8</f>
        <v/>
      </c>
      <c r="J7" s="12">
        <f>'BH-03'!$G$88</f>
        <v/>
      </c>
      <c r="K7" s="13">
        <f>'BH-03'!$G$91</f>
        <v/>
      </c>
      <c r="L7" s="14">
        <f>'BH-03'!$G$90</f>
        <v/>
      </c>
      <c r="M7" s="12">
        <f>'BH-03'!$G$92</f>
        <v/>
      </c>
      <c r="N7" s="12">
        <f>'BH-03'!$G$96</f>
        <v/>
      </c>
      <c r="O7" s="12">
        <f>'BH-03'!$G$101</f>
        <v/>
      </c>
      <c r="P7" s="12">
        <f>'BH-03'!$G$110</f>
        <v/>
      </c>
      <c r="Q7" s="12">
        <f>'BH-03'!$G$115</f>
        <v/>
      </c>
      <c r="R7" s="13">
        <f>'BH-03'!$G$116</f>
        <v/>
      </c>
      <c r="S7" s="12">
        <f>'BH-03'!$G$119</f>
        <v/>
      </c>
    </row>
    <row r="8">
      <c r="A8" s="10" t="inlineStr">
        <is>
          <t>BH-04</t>
        </is>
      </c>
      <c r="B8" s="11" t="inlineStr">
        <is>
          <t>Wellpad D</t>
        </is>
      </c>
      <c r="C8" s="12">
        <f>'BH-04'!$G$59</f>
        <v/>
      </c>
      <c r="D8" s="12">
        <f>'BH-04'!$G$60</f>
        <v/>
      </c>
      <c r="E8" s="12">
        <f>'BH-04'!$G$61</f>
        <v/>
      </c>
      <c r="F8" s="12">
        <f>'BH-04'!$G$70</f>
        <v/>
      </c>
      <c r="G8" s="13">
        <f>'BH-04'!$G$73</f>
        <v/>
      </c>
      <c r="H8" s="14">
        <f>'BH-04'!$G$72</f>
        <v/>
      </c>
      <c r="I8" s="12">
        <f>'BH-04'!$G$8</f>
        <v/>
      </c>
      <c r="J8" s="12">
        <f>'BH-04'!$G$88</f>
        <v/>
      </c>
      <c r="K8" s="13">
        <f>'BH-04'!$G$91</f>
        <v/>
      </c>
      <c r="L8" s="14">
        <f>'BH-04'!$G$90</f>
        <v/>
      </c>
      <c r="M8" s="12">
        <f>'BH-04'!$G$92</f>
        <v/>
      </c>
      <c r="N8" s="12">
        <f>'BH-04'!$G$96</f>
        <v/>
      </c>
      <c r="O8" s="12">
        <f>'BH-04'!$G$101</f>
        <v/>
      </c>
      <c r="P8" s="12">
        <f>'BH-04'!$G$110</f>
        <v/>
      </c>
      <c r="Q8" s="12">
        <f>'BH-04'!$G$115</f>
        <v/>
      </c>
      <c r="R8" s="13">
        <f>'BH-04'!$G$116</f>
        <v/>
      </c>
      <c r="S8" s="12">
        <f>'BH-04'!$G$119</f>
        <v/>
      </c>
    </row>
    <row r="9">
      <c r="A9" s="10" t="inlineStr">
        <is>
          <t>BH-05</t>
        </is>
      </c>
      <c r="B9" s="11" t="inlineStr">
        <is>
          <t>Wellpad A</t>
        </is>
      </c>
      <c r="C9" s="12">
        <f>'BH-05'!$G$59</f>
        <v/>
      </c>
      <c r="D9" s="12">
        <f>'BH-05'!$G$60</f>
        <v/>
      </c>
      <c r="E9" s="12">
        <f>'BH-05'!$G$61</f>
        <v/>
      </c>
      <c r="F9" s="12">
        <f>'BH-05'!$G$70</f>
        <v/>
      </c>
      <c r="G9" s="13">
        <f>'BH-05'!$G$73</f>
        <v/>
      </c>
      <c r="H9" s="14">
        <f>'BH-05'!$G$72</f>
        <v/>
      </c>
      <c r="I9" s="12">
        <f>'BH-05'!$G$8</f>
        <v/>
      </c>
      <c r="J9" s="12">
        <f>'BH-05'!$G$88</f>
        <v/>
      </c>
      <c r="K9" s="13">
        <f>'BH-05'!$G$91</f>
        <v/>
      </c>
      <c r="L9" s="14">
        <f>'BH-05'!$G$90</f>
        <v/>
      </c>
      <c r="M9" s="12">
        <f>'BH-05'!$G$92</f>
        <v/>
      </c>
      <c r="N9" s="12">
        <f>'BH-05'!$G$96</f>
        <v/>
      </c>
      <c r="O9" s="12">
        <f>'BH-05'!$G$101</f>
        <v/>
      </c>
      <c r="P9" s="12">
        <f>'BH-05'!$G$110</f>
        <v/>
      </c>
      <c r="Q9" s="12">
        <f>'BH-05'!$G$115</f>
        <v/>
      </c>
      <c r="R9" s="13">
        <f>'BH-05'!$G$116</f>
        <v/>
      </c>
      <c r="S9" s="12">
        <f>'BH-05'!$G$119</f>
        <v/>
      </c>
    </row>
    <row r="11">
      <c r="A11" s="15" t="inlineStr">
        <is>
          <t>CATATAN</t>
        </is>
      </c>
    </row>
    <row r="12">
      <c r="A12" s="2" t="inlineStr">
        <is>
          <t>1. Daya dukung: undrained (cu·Nc) bila ada lanau/lempung dalam 0 - Hb; drained (Vesic) untuk pasir. Pada area beban lebar (B besar) suku Nγ membuat qu drained sangat besar -</t>
        </is>
      </c>
    </row>
    <row r="13">
      <c r="A13" s="2" t="inlineStr">
        <is>
          <t xml:space="preserve">   artinya keruntuhan geser tidak menentukan; yang menentukan adalah penurunan.</t>
        </is>
      </c>
    </row>
    <row r="14">
      <c r="A14" s="2" t="inlineStr">
        <is>
          <t>2. Cara analisis tanah pasiran: (a) daya dukung drained dengan φ' dari N-SPT; (b) qa berbasis penurunan 25 mm (Meyerhof/Bowles); (c) penurunan segera dengan</t>
        </is>
      </c>
    </row>
    <row r="15">
      <c r="A15" s="2" t="inlineStr">
        <is>
          <t xml:space="preserve">   teori elastis berlapis (E dari N-SPT, batas atas konservatif karena E dianggap konstan) dan Burland &amp; Burbidge (empiris, lebih realistis untuk pasir);</t>
        </is>
      </c>
    </row>
    <row r="16">
      <c r="A16" s="2" t="inlineStr">
        <is>
          <t xml:space="preserve">   (d) pasir tidak mengalami konsolidasi primer; (e) pasir jenuh lepas: tambahkan penurunan pasca-likuefaksi pada kondisi gempa.</t>
        </is>
      </c>
    </row>
    <row r="17">
      <c r="A17" s="2" t="inlineStr">
        <is>
          <t>3. Ukuran area beban B×L di sheet Input adalah ASUMSI (40 × 60 m). Penurunan sangat dipengaruhi ukuran area: untuk B = L = 10 m, Si turun ±50-75%.</t>
        </is>
      </c>
    </row>
    <row r="18">
      <c r="A18" s="2" t="inlineStr">
        <is>
          <t>4. Penurunan pasca-likuefaksi saat gempa (laporan likuefaksi Tabel 5.4): BH-01 289, BH-02 383, BH-03 227, BH-04 159, BH-05 100 mm - ditinjau terpisah.</t>
        </is>
      </c>
    </row>
    <row r="19">
      <c r="A19" s="2" t="inlineStr">
        <is>
          <t>5. BH-01 kedalaman 1,5 m: data SPT = lempung N5, laporan likuefaksi/lab = pasir SP N12. Dipakai data SPT (konservatif).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1" t="inlineStr">
        <is>
          <t>TABEL KORELASI Cv - LL (NAVFAC DM-7.1)</t>
        </is>
      </c>
    </row>
    <row r="4">
      <c r="A4" s="9" t="inlineStr">
        <is>
          <t>LL (%)</t>
        </is>
      </c>
      <c r="B4" s="9" t="inlineStr">
        <is>
          <t>Cv (cm²/s)</t>
        </is>
      </c>
      <c r="C4" s="9" t="inlineStr">
        <is>
          <t>log10 Cv</t>
        </is>
      </c>
    </row>
    <row r="5">
      <c r="A5" s="16" t="n">
        <v>30</v>
      </c>
      <c r="B5" s="17" t="n">
        <v>0.003</v>
      </c>
      <c r="C5" s="18">
        <f>LOG10(B5)</f>
        <v/>
      </c>
    </row>
    <row r="6">
      <c r="A6" s="16" t="n">
        <v>40</v>
      </c>
      <c r="B6" s="17" t="n">
        <v>0.0015</v>
      </c>
      <c r="C6" s="18">
        <f>LOG10(B6)</f>
        <v/>
      </c>
    </row>
    <row r="7">
      <c r="A7" s="16" t="n">
        <v>50</v>
      </c>
      <c r="B7" s="17" t="n">
        <v>0.0007</v>
      </c>
      <c r="C7" s="18">
        <f>LOG10(B7)</f>
        <v/>
      </c>
    </row>
    <row r="8">
      <c r="A8" s="16" t="n">
        <v>60</v>
      </c>
      <c r="B8" s="17" t="n">
        <v>0.0004</v>
      </c>
      <c r="C8" s="18">
        <f>LOG10(B8)</f>
        <v/>
      </c>
    </row>
    <row r="9">
      <c r="A9" s="16" t="n">
        <v>80</v>
      </c>
      <c r="B9" s="17" t="n">
        <v>0.0002</v>
      </c>
      <c r="C9" s="18">
        <f>LOG10(B9)</f>
        <v/>
      </c>
    </row>
    <row r="10">
      <c r="A10" s="16" t="n">
        <v>100</v>
      </c>
      <c r="B10" s="17" t="n">
        <v>0.00012</v>
      </c>
      <c r="C10" s="18">
        <f>LOG10(B10)</f>
        <v/>
      </c>
    </row>
    <row r="11">
      <c r="A11" s="16" t="n">
        <v>120</v>
      </c>
      <c r="B11" s="17" t="n">
        <v>8.000000000000001e-05</v>
      </c>
      <c r="C11" s="18">
        <f>LOG10(B11)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J121"/>
  <sheetViews>
    <sheetView showGridLines="0" zoomScale="85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8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6" customWidth="1" min="16" max="16"/>
    <col width="9" customWidth="1" min="17" max="17"/>
    <col width="5" customWidth="1" min="18" max="18"/>
    <col width="6" customWidth="1" min="19" max="19"/>
    <col width="6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6" customWidth="1" min="27" max="27"/>
    <col width="6" customWidth="1" min="28" max="28"/>
    <col width="8" customWidth="1" min="29" max="29"/>
    <col width="7" customWidth="1" min="30" max="30"/>
    <col width="9" customWidth="1" min="31" max="31"/>
    <col width="7" customWidth="1" min="32" max="32"/>
    <col width="6" customWidth="1" min="33" max="33"/>
    <col width="6" customWidth="1" min="34" max="34"/>
    <col width="6" customWidth="1" min="35" max="35"/>
    <col width="34" customWidth="1" min="36" max="36"/>
  </cols>
  <sheetData>
    <row r="1">
      <c r="A1" s="1" t="inlineStr">
        <is>
          <t>ANALISIS DAYA DUKUNG, PENURUNAN SEGERA &amp; KONSOLIDASI - BH-01 (Wellpad D)</t>
        </is>
      </c>
    </row>
    <row r="2">
      <c r="A2" s="2" t="inlineStr">
        <is>
          <t>PSPE Bora Pulu - timbunan + beban merata (lihat sheet Input)</t>
        </is>
      </c>
    </row>
    <row r="4">
      <c r="A4" s="3" t="inlineStr">
        <is>
          <t>1. PARAMETER BOREHOLE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5" t="inlineStr">
        <is>
          <t>Muka air tanah (GWL)</t>
        </is>
      </c>
      <c r="G5" s="19" t="n">
        <v>9</v>
      </c>
      <c r="H5" s="5" t="inlineStr">
        <is>
          <t>m</t>
        </is>
      </c>
      <c r="I5" s="2" t="inlineStr">
        <is>
          <t>GWL analisis likuefaksi (Report BP-00-GEO-RPT-003)</t>
        </is>
      </c>
    </row>
    <row r="6">
      <c r="A6" s="5" t="inlineStr">
        <is>
          <t>Berat isi di atas GWL</t>
        </is>
      </c>
      <c r="G6" s="19" t="n">
        <v>17.8</v>
      </c>
      <c r="H6" s="5" t="inlineStr">
        <is>
          <t>kN/m³</t>
        </is>
      </c>
      <c r="I6" s="2" t="inlineStr">
        <is>
          <t>Report Tabel 5.1 (hasil lab)</t>
        </is>
      </c>
    </row>
    <row r="7">
      <c r="A7" s="5" t="inlineStr">
        <is>
          <t>Berat isi di bawah GWL</t>
        </is>
      </c>
      <c r="G7" s="19" t="n">
        <v>19.2</v>
      </c>
      <c r="H7" s="5" t="inlineStr">
        <is>
          <t>kN/m³</t>
        </is>
      </c>
      <c r="I7" s="2" t="inlineStr">
        <is>
          <t>Report Tabel 5.1 (hasil lab)</t>
        </is>
      </c>
    </row>
    <row r="8">
      <c r="A8" s="5" t="inlineStr">
        <is>
          <t>Kedalaman penggantian tanah (replacement) - kondisi desain</t>
        </is>
      </c>
      <c r="G8" s="19" t="n">
        <v>3</v>
      </c>
      <c r="H8" s="5" t="inlineStr">
        <is>
          <t>m</t>
        </is>
      </c>
      <c r="I8" s="2" t="inlineStr">
        <is>
          <t>0 = tanpa perbaikan; tanah 0 - Dr diganti material granular (sheet Input bagian D)</t>
        </is>
      </c>
    </row>
    <row r="10">
      <c r="A10" s="3" t="inlineStr">
        <is>
          <t>2. TABEL TANAH &amp; PERHITUNGAN PER LAPISAN (sublapisan = interval SPT 1,5 m)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</row>
    <row r="11" ht="26" customHeight="1">
      <c r="A11" s="9" t="inlineStr">
        <is>
          <t>No</t>
        </is>
      </c>
      <c r="B11" s="9" t="inlineStr">
        <is>
          <t>Atas</t>
        </is>
      </c>
      <c r="C11" s="9" t="inlineStr">
        <is>
          <t>Bawah</t>
        </is>
      </c>
      <c r="D11" s="9" t="inlineStr">
        <is>
          <t>Tebal h</t>
        </is>
      </c>
      <c r="E11" s="9" t="inlineStr">
        <is>
          <t>Tengah z</t>
        </is>
      </c>
      <c r="F11" s="9" t="inlineStr">
        <is>
          <t>Jenis</t>
        </is>
      </c>
      <c r="G11" s="9" t="inlineStr">
        <is>
          <t>N-SPT</t>
        </is>
      </c>
      <c r="H11" s="9" t="inlineStr">
        <is>
          <t>γ</t>
        </is>
      </c>
      <c r="I11" s="9" t="inlineStr">
        <is>
          <t>σv bawah</t>
        </is>
      </c>
      <c r="J11" s="9" t="inlineStr">
        <is>
          <t>σ'v0 tengah</t>
        </is>
      </c>
      <c r="K11" s="9" t="inlineStr">
        <is>
          <t>LL</t>
        </is>
      </c>
      <c r="L11" s="9" t="inlineStr">
        <is>
          <t>PL</t>
        </is>
      </c>
      <c r="M11" s="9" t="inlineStr">
        <is>
          <t>PI</t>
        </is>
      </c>
      <c r="N11" s="9" t="inlineStr">
        <is>
          <t>e0</t>
        </is>
      </c>
      <c r="O11" s="9" t="inlineStr">
        <is>
          <t>cu</t>
        </is>
      </c>
      <c r="P11" s="9" t="inlineStr">
        <is>
          <t>φ'</t>
        </is>
      </c>
      <c r="Q11" s="9" t="inlineStr">
        <is>
          <t>E</t>
        </is>
      </c>
      <c r="R11" s="9" t="inlineStr">
        <is>
          <t>ν</t>
        </is>
      </c>
      <c r="S11" s="9" t="inlineStr">
        <is>
          <t>m=B/2z</t>
        </is>
      </c>
      <c r="T11" s="9" t="inlineStr">
        <is>
          <t>n=L/2z</t>
        </is>
      </c>
      <c r="U11" s="9" t="inlineStr">
        <is>
          <t>I Bouss.</t>
        </is>
      </c>
      <c r="V11" s="9" t="inlineStr">
        <is>
          <t>Δσz pusat</t>
        </is>
      </c>
      <c r="W11" s="9" t="inlineStr">
        <is>
          <t>F1 (bawah)</t>
        </is>
      </c>
      <c r="X11" s="9" t="inlineStr">
        <is>
          <t>F2 (bawah)</t>
        </is>
      </c>
      <c r="Y11" s="9" t="inlineStr">
        <is>
          <t>faktor aktif</t>
        </is>
      </c>
      <c r="Z11" s="9" t="inlineStr">
        <is>
          <t>Si</t>
        </is>
      </c>
      <c r="AA11" s="9" t="inlineStr">
        <is>
          <t>Cc</t>
        </is>
      </c>
      <c r="AB11" s="9" t="inlineStr">
        <is>
          <t>Cr</t>
        </is>
      </c>
      <c r="AC11" s="9" t="inlineStr">
        <is>
          <t>σ'p</t>
        </is>
      </c>
      <c r="AD11" s="9" t="inlineStr">
        <is>
          <t>Sc</t>
        </is>
      </c>
      <c r="AE11" s="9" t="inlineStr">
        <is>
          <t>Cv</t>
        </is>
      </c>
      <c r="AF11" s="9" t="inlineStr">
        <is>
          <t>t90</t>
        </is>
      </c>
      <c r="AG11" s="9" t="inlineStr">
        <is>
          <t>Δ 0-Hb</t>
        </is>
      </c>
      <c r="AH11" s="9" t="inlineStr">
        <is>
          <t>Δ 0-Hb sisa</t>
        </is>
      </c>
      <c r="AI11" s="9" t="inlineStr">
        <is>
          <t>Δ 0-zI</t>
        </is>
      </c>
      <c r="AJ11" s="9" t="inlineStr">
        <is>
          <t>Ket.</t>
        </is>
      </c>
    </row>
    <row r="12">
      <c r="A12" s="9" t="inlineStr"/>
      <c r="B12" s="9" t="inlineStr">
        <is>
          <t>m</t>
        </is>
      </c>
      <c r="C12" s="9" t="inlineStr">
        <is>
          <t>m</t>
        </is>
      </c>
      <c r="D12" s="9" t="inlineStr">
        <is>
          <t>m</t>
        </is>
      </c>
      <c r="E12" s="9" t="inlineStr">
        <is>
          <t>m</t>
        </is>
      </c>
      <c r="F12" s="9" t="inlineStr"/>
      <c r="G12" s="9" t="inlineStr"/>
      <c r="H12" s="9" t="inlineStr">
        <is>
          <t>kN/m³</t>
        </is>
      </c>
      <c r="I12" s="9" t="inlineStr">
        <is>
          <t>kPa</t>
        </is>
      </c>
      <c r="J12" s="9" t="inlineStr">
        <is>
          <t>kPa</t>
        </is>
      </c>
      <c r="K12" s="9" t="inlineStr">
        <is>
          <t>%</t>
        </is>
      </c>
      <c r="L12" s="9" t="inlineStr">
        <is>
          <t>%</t>
        </is>
      </c>
      <c r="M12" s="9" t="inlineStr">
        <is>
          <t>%</t>
        </is>
      </c>
      <c r="N12" s="9" t="inlineStr">
        <is>
          <t>-</t>
        </is>
      </c>
      <c r="O12" s="9" t="inlineStr">
        <is>
          <t>kPa</t>
        </is>
      </c>
      <c r="P12" s="9" t="inlineStr">
        <is>
          <t>°</t>
        </is>
      </c>
      <c r="Q12" s="9" t="inlineStr">
        <is>
          <t>kPa</t>
        </is>
      </c>
      <c r="R12" s="9" t="inlineStr">
        <is>
          <t>-</t>
        </is>
      </c>
      <c r="S12" s="9" t="inlineStr">
        <is>
          <t>-</t>
        </is>
      </c>
      <c r="T12" s="9" t="inlineStr">
        <is>
          <t>-</t>
        </is>
      </c>
      <c r="U12" s="9" t="inlineStr">
        <is>
          <t>-</t>
        </is>
      </c>
      <c r="V12" s="9" t="inlineStr">
        <is>
          <t>kPa</t>
        </is>
      </c>
      <c r="W12" s="9" t="inlineStr">
        <is>
          <t>-</t>
        </is>
      </c>
      <c r="X12" s="9" t="inlineStr">
        <is>
          <t>-</t>
        </is>
      </c>
      <c r="Y12" s="9" t="inlineStr">
        <is>
          <t>-</t>
        </is>
      </c>
      <c r="Z12" s="9" t="inlineStr">
        <is>
          <t>mm</t>
        </is>
      </c>
      <c r="AA12" s="9" t="inlineStr">
        <is>
          <t>-</t>
        </is>
      </c>
      <c r="AB12" s="9" t="inlineStr">
        <is>
          <t>-</t>
        </is>
      </c>
      <c r="AC12" s="9" t="inlineStr">
        <is>
          <t>kPa</t>
        </is>
      </c>
      <c r="AD12" s="9" t="inlineStr">
        <is>
          <t>mm</t>
        </is>
      </c>
      <c r="AE12" s="9" t="inlineStr">
        <is>
          <t>cm²/s</t>
        </is>
      </c>
      <c r="AF12" s="9" t="inlineStr">
        <is>
          <t>tahun</t>
        </is>
      </c>
      <c r="AG12" s="9" t="inlineStr">
        <is>
          <t>m</t>
        </is>
      </c>
      <c r="AH12" s="9" t="inlineStr">
        <is>
          <t>m</t>
        </is>
      </c>
      <c r="AI12" s="9" t="inlineStr">
        <is>
          <t>m</t>
        </is>
      </c>
      <c r="AJ12" s="9" t="inlineStr"/>
    </row>
    <row r="13">
      <c r="A13" s="20" t="n">
        <v>1</v>
      </c>
      <c r="B13" s="21" t="n">
        <v>0</v>
      </c>
      <c r="C13" s="21" t="n">
        <v>1.5</v>
      </c>
      <c r="D13" s="13">
        <f>C13-B13</f>
        <v/>
      </c>
      <c r="E13" s="13">
        <f>(B13+C13)/2</f>
        <v/>
      </c>
      <c r="F13" s="22" t="inlineStr">
        <is>
          <t>Clay</t>
        </is>
      </c>
      <c r="G13" s="23" t="n">
        <v>5</v>
      </c>
      <c r="H13" s="12">
        <f>IF(E13&gt;$G$5,$G$7,$G$6)</f>
        <v/>
      </c>
      <c r="I13" s="12">
        <f>H13*D13</f>
        <v/>
      </c>
      <c r="J13" s="12">
        <f>I13-H13*D13/2-10*MAX(E13-$G$5,0)</f>
        <v/>
      </c>
      <c r="K13" s="24" t="n">
        <v>29.665</v>
      </c>
      <c r="L13" s="24" t="n">
        <v>19.806</v>
      </c>
      <c r="M13" s="12">
        <f>IF(K13="","",K13-L13)</f>
        <v/>
      </c>
      <c r="N13" s="25" t="n">
        <v>0.681</v>
      </c>
      <c r="O13" s="26">
        <f>IF(F13="Sand",0,Input!$G$19*G13)</f>
        <v/>
      </c>
      <c r="P13" s="12">
        <f>IF(F13="Sand",27.1+0.3*MIN(Input!$G$20*G13,60)-0.00054*MIN(Input!$G$20*G13,60)^2,MIN(MAX(DEGREES(ASIN(0.8-0.094*LN(MAX(IF(M13="",10,M13),5)))),20),30))</f>
        <v/>
      </c>
      <c r="Q13" s="27">
        <f>IF(F13="Sand",Input!$G$21*Input!$G$20*G13,Input!$G$22*O13)</f>
        <v/>
      </c>
      <c r="R13" s="13">
        <f>IF(F13="Sand",Input!$G$26,0.5)</f>
        <v/>
      </c>
      <c r="S13" s="13">
        <f>Input!$G$10/2/E13</f>
        <v/>
      </c>
      <c r="T13" s="13">
        <f>Input!$G$11/2/E13</f>
        <v/>
      </c>
      <c r="U13" s="28">
        <f>1/(4*PI())*(2*S13*T13*SQRT(S13^2+T13^2+1)/(S13^2+T13^2+1+S13^2*T13^2)*(S13^2+T13^2+2)/(S13^2+T13^2+1)+ATAN2(S13^2+T13^2+1-S13^2*T13^2,2*S13*T13*SQRT(S13^2+T13^2+1)))</f>
        <v/>
      </c>
      <c r="V13" s="12">
        <f>4*Input!$G$9*U13</f>
        <v/>
      </c>
      <c r="W13" s="29">
        <f>((Input!$G$11/Input!$G$10)*LN((1+SQRT((Input!$G$11/Input!$G$10)^2+1))*SQRT((Input!$G$11/Input!$G$10)^2+(C13/(Input!$G$10/2))^2)/((Input!$G$11/Input!$G$10)*(1+SQRT((Input!$G$11/Input!$G$10)^2+(C13/(Input!$G$10/2))^2+1))))+LN(((Input!$G$11/Input!$G$10)+SQRT((Input!$G$11/Input!$G$10)^2+1))*SQRT(1+(C13/(Input!$G$10/2))^2)/((Input!$G$11/Input!$G$10)+SQRT((Input!$G$11/Input!$G$10)^2+(C13/(Input!$G$10/2))^2+1))))/PI()</f>
        <v/>
      </c>
      <c r="X13" s="29">
        <f>(C13/(Input!$G$10/2))/(2*PI())*ATAN((Input!$G$11/Input!$G$10)/((C13/(Input!$G$10/2))*SQRT((Input!$G$11/Input!$G$10)^2+(C13/(Input!$G$10/2))^2+1)))</f>
        <v/>
      </c>
      <c r="Y13" s="13">
        <f>MAX(0,C13-MAX(B13,$G$8))/D13*IF(V13&gt;=Input!$G$27*J13,1,0)</f>
        <v/>
      </c>
      <c r="Z13" s="12">
        <f>4*Input!$G$9*(Input!$G$10/2)*(1-R13^2)/Q13*((W13-0)+(1-2*R13)/(1-R13)*(X13-0))*1000*Y13</f>
        <v/>
      </c>
      <c r="AA13" s="30">
        <f>IF(F13="Sand",0,0.009*(K13-10))</f>
        <v/>
      </c>
      <c r="AB13" s="30">
        <f>AA13*Input!$G$23</f>
        <v/>
      </c>
      <c r="AC13" s="26">
        <f>IF(F13="Sand",0,MAX(O13/Input!$G$24,J13))</f>
        <v/>
      </c>
      <c r="AD13" s="31">
        <f>IF(F13="Sand",0,1000*D13/(1+N13)*IF(J13+V13&lt;=AC13,AB13*LOG10((J13+V13)/J13),AB13*LOG10(AC13/J13)+AA13*LOG10((J13+V13)/AC13)))*Y13</f>
        <v/>
      </c>
      <c r="AE13" s="32">
        <f>IF(F13="Sand",0,10^(INDEX(Korelasi!$C$5:$C$11,MIN(MATCH(MIN(MAX(K13,30),120),Korelasi!$A$5:$A$11,1),6))+(MIN(MAX(K13,30),120)-INDEX(Korelasi!$A$5:$A$11,MIN(MATCH(MIN(MAX(K13,30),120),Korelasi!$A$5:$A$11,1),6)))/(INDEX(Korelasi!$A$5:$A$11,MIN(MATCH(MIN(MAX(K13,30),120),Korelasi!$A$5:$A$11,1),6)+1)-INDEX(Korelasi!$A$5:$A$11,MIN(MATCH(MIN(MAX(K13,30),120),Korelasi!$A$5:$A$11,1),6)))*(INDEX(Korelasi!$C$5:$C$11,MIN(MATCH(MIN(MAX(K13,30),120),Korelasi!$A$5:$A$11,1),6)+1)-INDEX(Korelasi!$C$5:$C$11,MIN(MATCH(MIN(MAX(K13,30),120),Korelasi!$A$5:$A$11,1),6)))))</f>
        <v/>
      </c>
      <c r="AF13" s="33">
        <f>IF(OR(F13="Sand",Y13=0),0,Input!$G$25*(D13/2)^2/(AE13*1E-4*31536000))</f>
        <v/>
      </c>
      <c r="AG13" s="13">
        <f>MAX(0,MIN(C13,Input!$G$15)-B13)</f>
        <v/>
      </c>
      <c r="AH13" s="13">
        <f>MAX(0,MIN(C13,Input!$G$15)-MAX(B13,$G$8))</f>
        <v/>
      </c>
      <c r="AI13" s="13">
        <f>MAX(0,MIN(C13,$G$106)-B13)</f>
        <v/>
      </c>
      <c r="AJ13" s="34" t="inlineStr">
        <is>
          <t>0-1,5 m tidak di-SPT: N lapisan berikut; LL/PL/e0 = rata-rata BH</t>
        </is>
      </c>
    </row>
    <row r="14">
      <c r="A14" s="20" t="n">
        <v>2</v>
      </c>
      <c r="B14" s="21" t="n">
        <v>1.5</v>
      </c>
      <c r="C14" s="21" t="n">
        <v>3</v>
      </c>
      <c r="D14" s="13">
        <f>C14-B14</f>
        <v/>
      </c>
      <c r="E14" s="13">
        <f>(B14+C14)/2</f>
        <v/>
      </c>
      <c r="F14" s="22" t="inlineStr">
        <is>
          <t>Clay</t>
        </is>
      </c>
      <c r="G14" s="23" t="n">
        <v>5</v>
      </c>
      <c r="H14" s="12">
        <f>IF(E14&gt;$G$5,$G$7,$G$6)</f>
        <v/>
      </c>
      <c r="I14" s="12">
        <f>I13+H14*D14</f>
        <v/>
      </c>
      <c r="J14" s="12">
        <f>I14-H14*D14/2-10*MAX(E14-$G$5,0)</f>
        <v/>
      </c>
      <c r="K14" s="24" t="n">
        <v>29.665</v>
      </c>
      <c r="L14" s="24" t="n">
        <v>19.806</v>
      </c>
      <c r="M14" s="12">
        <f>IF(K14="","",K14-L14)</f>
        <v/>
      </c>
      <c r="N14" s="25" t="n">
        <v>0.952</v>
      </c>
      <c r="O14" s="26">
        <f>IF(F14="Sand",0,Input!$G$19*G14)</f>
        <v/>
      </c>
      <c r="P14" s="12">
        <f>IF(F14="Sand",27.1+0.3*MIN(Input!$G$20*G14,60)-0.00054*MIN(Input!$G$20*G14,60)^2,MIN(MAX(DEGREES(ASIN(0.8-0.094*LN(MAX(IF(M14="",10,M14),5)))),20),30))</f>
        <v/>
      </c>
      <c r="Q14" s="27">
        <f>IF(F14="Sand",Input!$G$21*Input!$G$20*G14,Input!$G$22*O14)</f>
        <v/>
      </c>
      <c r="R14" s="13">
        <f>IF(F14="Sand",Input!$G$26,0.5)</f>
        <v/>
      </c>
      <c r="S14" s="13">
        <f>Input!$G$10/2/E14</f>
        <v/>
      </c>
      <c r="T14" s="13">
        <f>Input!$G$11/2/E14</f>
        <v/>
      </c>
      <c r="U14" s="28">
        <f>1/(4*PI())*(2*S14*T14*SQRT(S14^2+T14^2+1)/(S14^2+T14^2+1+S14^2*T14^2)*(S14^2+T14^2+2)/(S14^2+T14^2+1)+ATAN2(S14^2+T14^2+1-S14^2*T14^2,2*S14*T14*SQRT(S14^2+T14^2+1)))</f>
        <v/>
      </c>
      <c r="V14" s="12">
        <f>4*Input!$G$9*U14</f>
        <v/>
      </c>
      <c r="W14" s="29">
        <f>((Input!$G$11/Input!$G$10)*LN((1+SQRT((Input!$G$11/Input!$G$10)^2+1))*SQRT((Input!$G$11/Input!$G$10)^2+(C14/(Input!$G$10/2))^2)/((Input!$G$11/Input!$G$10)*(1+SQRT((Input!$G$11/Input!$G$10)^2+(C14/(Input!$G$10/2))^2+1))))+LN(((Input!$G$11/Input!$G$10)+SQRT((Input!$G$11/Input!$G$10)^2+1))*SQRT(1+(C14/(Input!$G$10/2))^2)/((Input!$G$11/Input!$G$10)+SQRT((Input!$G$11/Input!$G$10)^2+(C14/(Input!$G$10/2))^2+1))))/PI()</f>
        <v/>
      </c>
      <c r="X14" s="29">
        <f>(C14/(Input!$G$10/2))/(2*PI())*ATAN((Input!$G$11/Input!$G$10)/((C14/(Input!$G$10/2))*SQRT((Input!$G$11/Input!$G$10)^2+(C14/(Input!$G$10/2))^2+1)))</f>
        <v/>
      </c>
      <c r="Y14" s="13">
        <f>MAX(0,C14-MAX(B14,$G$8))/D14*IF(V14&gt;=Input!$G$27*J14,1,0)</f>
        <v/>
      </c>
      <c r="Z14" s="12">
        <f>4*Input!$G$9*(Input!$G$10/2)*(1-R14^2)/Q14*((W14-W13)+(1-2*R14)/(1-R14)*(X14-X13))*1000*Y14</f>
        <v/>
      </c>
      <c r="AA14" s="30">
        <f>IF(F14="Sand",0,0.009*(K14-10))</f>
        <v/>
      </c>
      <c r="AB14" s="30">
        <f>AA14*Input!$G$23</f>
        <v/>
      </c>
      <c r="AC14" s="26">
        <f>IF(F14="Sand",0,MAX(O14/Input!$G$24,J14))</f>
        <v/>
      </c>
      <c r="AD14" s="31">
        <f>IF(F14="Sand",0,1000*D14/(1+N14)*IF(J14+V14&lt;=AC14,AB14*LOG10((J14+V14)/J14),AB14*LOG10(AC14/J14)+AA14*LOG10((J14+V14)/AC14)))*Y14</f>
        <v/>
      </c>
      <c r="AE14" s="32">
        <f>IF(F14="Sand",0,10^(INDEX(Korelasi!$C$5:$C$11,MIN(MATCH(MIN(MAX(K14,30),120),Korelasi!$A$5:$A$11,1),6))+(MIN(MAX(K14,30),120)-INDEX(Korelasi!$A$5:$A$11,MIN(MATCH(MIN(MAX(K14,30),120),Korelasi!$A$5:$A$11,1),6)))/(INDEX(Korelasi!$A$5:$A$11,MIN(MATCH(MIN(MAX(K14,30),120),Korelasi!$A$5:$A$11,1),6)+1)-INDEX(Korelasi!$A$5:$A$11,MIN(MATCH(MIN(MAX(K14,30),120),Korelasi!$A$5:$A$11,1),6)))*(INDEX(Korelasi!$C$5:$C$11,MIN(MATCH(MIN(MAX(K14,30),120),Korelasi!$A$5:$A$11,1),6)+1)-INDEX(Korelasi!$C$5:$C$11,MIN(MATCH(MIN(MAX(K14,30),120),Korelasi!$A$5:$A$11,1),6)))))</f>
        <v/>
      </c>
      <c r="AF14" s="33">
        <f>IF(OR(F14="Sand",Y14=0),0,Input!$G$25*(D14/2)^2/(AE14*1E-4*31536000))</f>
        <v/>
      </c>
      <c r="AG14" s="13">
        <f>MAX(0,MIN(C14,Input!$G$15)-B14)</f>
        <v/>
      </c>
      <c r="AH14" s="13">
        <f>MAX(0,MIN(C14,Input!$G$15)-MAX(B14,$G$8))</f>
        <v/>
      </c>
      <c r="AI14" s="13">
        <f>MAX(0,MIN(C14,$G$106)-B14)</f>
        <v/>
      </c>
      <c r="AJ14" s="34" t="inlineStr">
        <is>
          <t>LL/PL/e0 = rata-rata BH</t>
        </is>
      </c>
    </row>
    <row r="15">
      <c r="A15" s="20" t="n">
        <v>3</v>
      </c>
      <c r="B15" s="21" t="n">
        <v>3</v>
      </c>
      <c r="C15" s="21" t="n">
        <v>5.5</v>
      </c>
      <c r="D15" s="13">
        <f>C15-B15</f>
        <v/>
      </c>
      <c r="E15" s="13">
        <f>(B15+C15)/2</f>
        <v/>
      </c>
      <c r="F15" s="22" t="inlineStr">
        <is>
          <t>Sand</t>
        </is>
      </c>
      <c r="G15" s="23" t="n">
        <v>18</v>
      </c>
      <c r="H15" s="12">
        <f>IF(E15&gt;$G$5,$G$7,$G$6)</f>
        <v/>
      </c>
      <c r="I15" s="12">
        <f>I14+H15*D15</f>
        <v/>
      </c>
      <c r="J15" s="12">
        <f>I15-H15*D15/2-10*MAX(E15-$G$5,0)</f>
        <v/>
      </c>
      <c r="K15" s="24" t="n"/>
      <c r="L15" s="24" t="n"/>
      <c r="M15" s="12">
        <f>IF(K15="","",K15-L15)</f>
        <v/>
      </c>
      <c r="N15" s="25" t="n">
        <v>0.759</v>
      </c>
      <c r="O15" s="26">
        <f>IF(F15="Sand",0,Input!$G$19*G15)</f>
        <v/>
      </c>
      <c r="P15" s="12">
        <f>IF(F15="Sand",27.1+0.3*MIN(Input!$G$20*G15,60)-0.00054*MIN(Input!$G$20*G15,60)^2,MIN(MAX(DEGREES(ASIN(0.8-0.094*LN(MAX(IF(M15="",10,M15),5)))),20),30))</f>
        <v/>
      </c>
      <c r="Q15" s="27">
        <f>IF(F15="Sand",Input!$G$21*Input!$G$20*G15,Input!$G$22*O15)</f>
        <v/>
      </c>
      <c r="R15" s="13">
        <f>IF(F15="Sand",Input!$G$26,0.5)</f>
        <v/>
      </c>
      <c r="S15" s="13">
        <f>Input!$G$10/2/E15</f>
        <v/>
      </c>
      <c r="T15" s="13">
        <f>Input!$G$11/2/E15</f>
        <v/>
      </c>
      <c r="U15" s="28">
        <f>1/(4*PI())*(2*S15*T15*SQRT(S15^2+T15^2+1)/(S15^2+T15^2+1+S15^2*T15^2)*(S15^2+T15^2+2)/(S15^2+T15^2+1)+ATAN2(S15^2+T15^2+1-S15^2*T15^2,2*S15*T15*SQRT(S15^2+T15^2+1)))</f>
        <v/>
      </c>
      <c r="V15" s="12">
        <f>4*Input!$G$9*U15</f>
        <v/>
      </c>
      <c r="W15" s="29">
        <f>((Input!$G$11/Input!$G$10)*LN((1+SQRT((Input!$G$11/Input!$G$10)^2+1))*SQRT((Input!$G$11/Input!$G$10)^2+(C15/(Input!$G$10/2))^2)/((Input!$G$11/Input!$G$10)*(1+SQRT((Input!$G$11/Input!$G$10)^2+(C15/(Input!$G$10/2))^2+1))))+LN(((Input!$G$11/Input!$G$10)+SQRT((Input!$G$11/Input!$G$10)^2+1))*SQRT(1+(C15/(Input!$G$10/2))^2)/((Input!$G$11/Input!$G$10)+SQRT((Input!$G$11/Input!$G$10)^2+(C15/(Input!$G$10/2))^2+1))))/PI()</f>
        <v/>
      </c>
      <c r="X15" s="29">
        <f>(C15/(Input!$G$10/2))/(2*PI())*ATAN((Input!$G$11/Input!$G$10)/((C15/(Input!$G$10/2))*SQRT((Input!$G$11/Input!$G$10)^2+(C15/(Input!$G$10/2))^2+1)))</f>
        <v/>
      </c>
      <c r="Y15" s="13">
        <f>MAX(0,C15-MAX(B15,$G$8))/D15*IF(V15&gt;=Input!$G$27*J15,1,0)</f>
        <v/>
      </c>
      <c r="Z15" s="12">
        <f>4*Input!$G$9*(Input!$G$10/2)*(1-R15^2)/Q15*((W15-W14)+(1-2*R15)/(1-R15)*(X15-X14))*1000*Y15</f>
        <v/>
      </c>
      <c r="AA15" s="30">
        <f>IF(F15="Sand",0,0.009*(K15-10))</f>
        <v/>
      </c>
      <c r="AB15" s="30">
        <f>AA15*Input!$G$23</f>
        <v/>
      </c>
      <c r="AC15" s="26">
        <f>IF(F15="Sand",0,MAX(O15/Input!$G$24,J15))</f>
        <v/>
      </c>
      <c r="AD15" s="31">
        <f>IF(F15="Sand",0,1000*D15/(1+N15)*IF(J15+V15&lt;=AC15,AB15*LOG10((J15+V15)/J15),AB15*LOG10(AC15/J15)+AA15*LOG10((J15+V15)/AC15)))*Y15</f>
        <v/>
      </c>
      <c r="AE15" s="32">
        <f>IF(F15="Sand",0,10^(INDEX(Korelasi!$C$5:$C$11,MIN(MATCH(MIN(MAX(K15,30),120),Korelasi!$A$5:$A$11,1),6))+(MIN(MAX(K15,30),120)-INDEX(Korelasi!$A$5:$A$11,MIN(MATCH(MIN(MAX(K15,30),120),Korelasi!$A$5:$A$11,1),6)))/(INDEX(Korelasi!$A$5:$A$11,MIN(MATCH(MIN(MAX(K15,30),120),Korelasi!$A$5:$A$11,1),6)+1)-INDEX(Korelasi!$A$5:$A$11,MIN(MATCH(MIN(MAX(K15,30),120),Korelasi!$A$5:$A$11,1),6)))*(INDEX(Korelasi!$C$5:$C$11,MIN(MATCH(MIN(MAX(K15,30),120),Korelasi!$A$5:$A$11,1),6)+1)-INDEX(Korelasi!$C$5:$C$11,MIN(MATCH(MIN(MAX(K15,30),120),Korelasi!$A$5:$A$11,1),6)))))</f>
        <v/>
      </c>
      <c r="AF15" s="33">
        <f>IF(OR(F15="Sand",Y15=0),0,Input!$G$25*(D15/2)^2/(AE15*1E-4*31536000))</f>
        <v/>
      </c>
      <c r="AG15" s="13">
        <f>MAX(0,MIN(C15,Input!$G$15)-B15)</f>
        <v/>
      </c>
      <c r="AH15" s="13">
        <f>MAX(0,MIN(C15,Input!$G$15)-MAX(B15,$G$8))</f>
        <v/>
      </c>
      <c r="AI15" s="13">
        <f>MAX(0,MIN(C15,$G$106)-B15)</f>
        <v/>
      </c>
      <c r="AJ15" s="34" t="inlineStr"/>
    </row>
    <row r="16">
      <c r="A16" s="20" t="n">
        <v>4</v>
      </c>
      <c r="B16" s="21" t="n">
        <v>5.5</v>
      </c>
      <c r="C16" s="21" t="n">
        <v>6</v>
      </c>
      <c r="D16" s="13">
        <f>C16-B16</f>
        <v/>
      </c>
      <c r="E16" s="13">
        <f>(B16+C16)/2</f>
        <v/>
      </c>
      <c r="F16" s="22" t="inlineStr">
        <is>
          <t>Silt</t>
        </is>
      </c>
      <c r="G16" s="23" t="n">
        <v>28</v>
      </c>
      <c r="H16" s="12">
        <f>IF(E16&gt;$G$5,$G$7,$G$6)</f>
        <v/>
      </c>
      <c r="I16" s="12">
        <f>I15+H16*D16</f>
        <v/>
      </c>
      <c r="J16" s="12">
        <f>I16-H16*D16/2-10*MAX(E16-$G$5,0)</f>
        <v/>
      </c>
      <c r="K16" s="24" t="n">
        <v>29.665</v>
      </c>
      <c r="L16" s="24" t="n">
        <v>19.806</v>
      </c>
      <c r="M16" s="12">
        <f>IF(K16="","",K16-L16)</f>
        <v/>
      </c>
      <c r="N16" s="25" t="n">
        <v>0.681</v>
      </c>
      <c r="O16" s="26">
        <f>IF(F16="Sand",0,Input!$G$19*G16)</f>
        <v/>
      </c>
      <c r="P16" s="12">
        <f>IF(F16="Sand",27.1+0.3*MIN(Input!$G$20*G16,60)-0.00054*MIN(Input!$G$20*G16,60)^2,MIN(MAX(DEGREES(ASIN(0.8-0.094*LN(MAX(IF(M16="",10,M16),5)))),20),30))</f>
        <v/>
      </c>
      <c r="Q16" s="27">
        <f>IF(F16="Sand",Input!$G$21*Input!$G$20*G16,Input!$G$22*O16)</f>
        <v/>
      </c>
      <c r="R16" s="13">
        <f>IF(F16="Sand",Input!$G$26,0.5)</f>
        <v/>
      </c>
      <c r="S16" s="13">
        <f>Input!$G$10/2/E16</f>
        <v/>
      </c>
      <c r="T16" s="13">
        <f>Input!$G$11/2/E16</f>
        <v/>
      </c>
      <c r="U16" s="28">
        <f>1/(4*PI())*(2*S16*T16*SQRT(S16^2+T16^2+1)/(S16^2+T16^2+1+S16^2*T16^2)*(S16^2+T16^2+2)/(S16^2+T16^2+1)+ATAN2(S16^2+T16^2+1-S16^2*T16^2,2*S16*T16*SQRT(S16^2+T16^2+1)))</f>
        <v/>
      </c>
      <c r="V16" s="12">
        <f>4*Input!$G$9*U16</f>
        <v/>
      </c>
      <c r="W16" s="29">
        <f>((Input!$G$11/Input!$G$10)*LN((1+SQRT((Input!$G$11/Input!$G$10)^2+1))*SQRT((Input!$G$11/Input!$G$10)^2+(C16/(Input!$G$10/2))^2)/((Input!$G$11/Input!$G$10)*(1+SQRT((Input!$G$11/Input!$G$10)^2+(C16/(Input!$G$10/2))^2+1))))+LN(((Input!$G$11/Input!$G$10)+SQRT((Input!$G$11/Input!$G$10)^2+1))*SQRT(1+(C16/(Input!$G$10/2))^2)/((Input!$G$11/Input!$G$10)+SQRT((Input!$G$11/Input!$G$10)^2+(C16/(Input!$G$10/2))^2+1))))/PI()</f>
        <v/>
      </c>
      <c r="X16" s="29">
        <f>(C16/(Input!$G$10/2))/(2*PI())*ATAN((Input!$G$11/Input!$G$10)/((C16/(Input!$G$10/2))*SQRT((Input!$G$11/Input!$G$10)^2+(C16/(Input!$G$10/2))^2+1)))</f>
        <v/>
      </c>
      <c r="Y16" s="13">
        <f>MAX(0,C16-MAX(B16,$G$8))/D16*IF(V16&gt;=Input!$G$27*J16,1,0)</f>
        <v/>
      </c>
      <c r="Z16" s="12">
        <f>4*Input!$G$9*(Input!$G$10/2)*(1-R16^2)/Q16*((W16-W15)+(1-2*R16)/(1-R16)*(X16-X15))*1000*Y16</f>
        <v/>
      </c>
      <c r="AA16" s="30">
        <f>IF(F16="Sand",0,0.009*(K16-10))</f>
        <v/>
      </c>
      <c r="AB16" s="30">
        <f>AA16*Input!$G$23</f>
        <v/>
      </c>
      <c r="AC16" s="26">
        <f>IF(F16="Sand",0,MAX(O16/Input!$G$24,J16))</f>
        <v/>
      </c>
      <c r="AD16" s="31">
        <f>IF(F16="Sand",0,1000*D16/(1+N16)*IF(J16+V16&lt;=AC16,AB16*LOG10((J16+V16)/J16),AB16*LOG10(AC16/J16)+AA16*LOG10((J16+V16)/AC16)))*Y16</f>
        <v/>
      </c>
      <c r="AE16" s="32">
        <f>IF(F16="Sand",0,10^(INDEX(Korelasi!$C$5:$C$11,MIN(MATCH(MIN(MAX(K16,30),120),Korelasi!$A$5:$A$11,1),6))+(MIN(MAX(K16,30),120)-INDEX(Korelasi!$A$5:$A$11,MIN(MATCH(MIN(MAX(K16,30),120),Korelasi!$A$5:$A$11,1),6)))/(INDEX(Korelasi!$A$5:$A$11,MIN(MATCH(MIN(MAX(K16,30),120),Korelasi!$A$5:$A$11,1),6)+1)-INDEX(Korelasi!$A$5:$A$11,MIN(MATCH(MIN(MAX(K16,30),120),Korelasi!$A$5:$A$11,1),6)))*(INDEX(Korelasi!$C$5:$C$11,MIN(MATCH(MIN(MAX(K16,30),120),Korelasi!$A$5:$A$11,1),6)+1)-INDEX(Korelasi!$C$5:$C$11,MIN(MATCH(MIN(MAX(K16,30),120),Korelasi!$A$5:$A$11,1),6)))))</f>
        <v/>
      </c>
      <c r="AF16" s="33">
        <f>IF(OR(F16="Sand",Y16=0),0,Input!$G$25*(D16/2)^2/(AE16*1E-4*31536000))</f>
        <v/>
      </c>
      <c r="AG16" s="13">
        <f>MAX(0,MIN(C16,Input!$G$15)-B16)</f>
        <v/>
      </c>
      <c r="AH16" s="13">
        <f>MAX(0,MIN(C16,Input!$G$15)-MAX(B16,$G$8))</f>
        <v/>
      </c>
      <c r="AI16" s="13">
        <f>MAX(0,MIN(C16,$G$106)-B16)</f>
        <v/>
      </c>
      <c r="AJ16" s="34" t="inlineStr">
        <is>
          <t>LL/PL/e0 = rata-rata BH</t>
        </is>
      </c>
    </row>
    <row r="17">
      <c r="A17" s="20" t="n">
        <v>5</v>
      </c>
      <c r="B17" s="21" t="n">
        <v>6</v>
      </c>
      <c r="C17" s="21" t="n">
        <v>7.5</v>
      </c>
      <c r="D17" s="13">
        <f>C17-B17</f>
        <v/>
      </c>
      <c r="E17" s="13">
        <f>(B17+C17)/2</f>
        <v/>
      </c>
      <c r="F17" s="22" t="inlineStr">
        <is>
          <t>Silt</t>
        </is>
      </c>
      <c r="G17" s="23" t="n">
        <v>30</v>
      </c>
      <c r="H17" s="12">
        <f>IF(E17&gt;$G$5,$G$7,$G$6)</f>
        <v/>
      </c>
      <c r="I17" s="12">
        <f>I16+H17*D17</f>
        <v/>
      </c>
      <c r="J17" s="12">
        <f>I17-H17*D17/2-10*MAX(E17-$G$5,0)</f>
        <v/>
      </c>
      <c r="K17" s="24" t="n">
        <v>29.665</v>
      </c>
      <c r="L17" s="24" t="n">
        <v>19.806</v>
      </c>
      <c r="M17" s="12">
        <f>IF(K17="","",K17-L17)</f>
        <v/>
      </c>
      <c r="N17" s="25" t="n">
        <v>0.681</v>
      </c>
      <c r="O17" s="26">
        <f>IF(F17="Sand",0,Input!$G$19*G17)</f>
        <v/>
      </c>
      <c r="P17" s="12">
        <f>IF(F17="Sand",27.1+0.3*MIN(Input!$G$20*G17,60)-0.00054*MIN(Input!$G$20*G17,60)^2,MIN(MAX(DEGREES(ASIN(0.8-0.094*LN(MAX(IF(M17="",10,M17),5)))),20),30))</f>
        <v/>
      </c>
      <c r="Q17" s="27">
        <f>IF(F17="Sand",Input!$G$21*Input!$G$20*G17,Input!$G$22*O17)</f>
        <v/>
      </c>
      <c r="R17" s="13">
        <f>IF(F17="Sand",Input!$G$26,0.5)</f>
        <v/>
      </c>
      <c r="S17" s="13">
        <f>Input!$G$10/2/E17</f>
        <v/>
      </c>
      <c r="T17" s="13">
        <f>Input!$G$11/2/E17</f>
        <v/>
      </c>
      <c r="U17" s="28">
        <f>1/(4*PI())*(2*S17*T17*SQRT(S17^2+T17^2+1)/(S17^2+T17^2+1+S17^2*T17^2)*(S17^2+T17^2+2)/(S17^2+T17^2+1)+ATAN2(S17^2+T17^2+1-S17^2*T17^2,2*S17*T17*SQRT(S17^2+T17^2+1)))</f>
        <v/>
      </c>
      <c r="V17" s="12">
        <f>4*Input!$G$9*U17</f>
        <v/>
      </c>
      <c r="W17" s="29">
        <f>((Input!$G$11/Input!$G$10)*LN((1+SQRT((Input!$G$11/Input!$G$10)^2+1))*SQRT((Input!$G$11/Input!$G$10)^2+(C17/(Input!$G$10/2))^2)/((Input!$G$11/Input!$G$10)*(1+SQRT((Input!$G$11/Input!$G$10)^2+(C17/(Input!$G$10/2))^2+1))))+LN(((Input!$G$11/Input!$G$10)+SQRT((Input!$G$11/Input!$G$10)^2+1))*SQRT(1+(C17/(Input!$G$10/2))^2)/((Input!$G$11/Input!$G$10)+SQRT((Input!$G$11/Input!$G$10)^2+(C17/(Input!$G$10/2))^2+1))))/PI()</f>
        <v/>
      </c>
      <c r="X17" s="29">
        <f>(C17/(Input!$G$10/2))/(2*PI())*ATAN((Input!$G$11/Input!$G$10)/((C17/(Input!$G$10/2))*SQRT((Input!$G$11/Input!$G$10)^2+(C17/(Input!$G$10/2))^2+1)))</f>
        <v/>
      </c>
      <c r="Y17" s="13">
        <f>MAX(0,C17-MAX(B17,$G$8))/D17*IF(V17&gt;=Input!$G$27*J17,1,0)</f>
        <v/>
      </c>
      <c r="Z17" s="12">
        <f>4*Input!$G$9*(Input!$G$10/2)*(1-R17^2)/Q17*((W17-W16)+(1-2*R17)/(1-R17)*(X17-X16))*1000*Y17</f>
        <v/>
      </c>
      <c r="AA17" s="30">
        <f>IF(F17="Sand",0,0.009*(K17-10))</f>
        <v/>
      </c>
      <c r="AB17" s="30">
        <f>AA17*Input!$G$23</f>
        <v/>
      </c>
      <c r="AC17" s="26">
        <f>IF(F17="Sand",0,MAX(O17/Input!$G$24,J17))</f>
        <v/>
      </c>
      <c r="AD17" s="31">
        <f>IF(F17="Sand",0,1000*D17/(1+N17)*IF(J17+V17&lt;=AC17,AB17*LOG10((J17+V17)/J17),AB17*LOG10(AC17/J17)+AA17*LOG10((J17+V17)/AC17)))*Y17</f>
        <v/>
      </c>
      <c r="AE17" s="32">
        <f>IF(F17="Sand",0,10^(INDEX(Korelasi!$C$5:$C$11,MIN(MATCH(MIN(MAX(K17,30),120),Korelasi!$A$5:$A$11,1),6))+(MIN(MAX(K17,30),120)-INDEX(Korelasi!$A$5:$A$11,MIN(MATCH(MIN(MAX(K17,30),120),Korelasi!$A$5:$A$11,1),6)))/(INDEX(Korelasi!$A$5:$A$11,MIN(MATCH(MIN(MAX(K17,30),120),Korelasi!$A$5:$A$11,1),6)+1)-INDEX(Korelasi!$A$5:$A$11,MIN(MATCH(MIN(MAX(K17,30),120),Korelasi!$A$5:$A$11,1),6)))*(INDEX(Korelasi!$C$5:$C$11,MIN(MATCH(MIN(MAX(K17,30),120),Korelasi!$A$5:$A$11,1),6)+1)-INDEX(Korelasi!$C$5:$C$11,MIN(MATCH(MIN(MAX(K17,30),120),Korelasi!$A$5:$A$11,1),6)))))</f>
        <v/>
      </c>
      <c r="AF17" s="33">
        <f>IF(OR(F17="Sand",Y17=0),0,Input!$G$25*(D17/2)^2/(AE17*1E-4*31536000))</f>
        <v/>
      </c>
      <c r="AG17" s="13">
        <f>MAX(0,MIN(C17,Input!$G$15)-B17)</f>
        <v/>
      </c>
      <c r="AH17" s="13">
        <f>MAX(0,MIN(C17,Input!$G$15)-MAX(B17,$G$8))</f>
        <v/>
      </c>
      <c r="AI17" s="13">
        <f>MAX(0,MIN(C17,$G$106)-B17)</f>
        <v/>
      </c>
      <c r="AJ17" s="34" t="inlineStr">
        <is>
          <t>LL/PL/e0 = rata-rata BH</t>
        </is>
      </c>
    </row>
    <row r="18">
      <c r="A18" s="20" t="n">
        <v>6</v>
      </c>
      <c r="B18" s="21" t="n">
        <v>7.5</v>
      </c>
      <c r="C18" s="21" t="n">
        <v>9</v>
      </c>
      <c r="D18" s="13">
        <f>C18-B18</f>
        <v/>
      </c>
      <c r="E18" s="13">
        <f>(B18+C18)/2</f>
        <v/>
      </c>
      <c r="F18" s="22" t="inlineStr">
        <is>
          <t>Sand</t>
        </is>
      </c>
      <c r="G18" s="23" t="n">
        <v>35</v>
      </c>
      <c r="H18" s="12">
        <f>IF(E18&gt;$G$5,$G$7,$G$6)</f>
        <v/>
      </c>
      <c r="I18" s="12">
        <f>I17+H18*D18</f>
        <v/>
      </c>
      <c r="J18" s="12">
        <f>I18-H18*D18/2-10*MAX(E18-$G$5,0)</f>
        <v/>
      </c>
      <c r="K18" s="24" t="n"/>
      <c r="L18" s="24" t="n"/>
      <c r="M18" s="12">
        <f>IF(K18="","",K18-L18)</f>
        <v/>
      </c>
      <c r="N18" s="25" t="n">
        <v>0.65</v>
      </c>
      <c r="O18" s="26">
        <f>IF(F18="Sand",0,Input!$G$19*G18)</f>
        <v/>
      </c>
      <c r="P18" s="12">
        <f>IF(F18="Sand",27.1+0.3*MIN(Input!$G$20*G18,60)-0.00054*MIN(Input!$G$20*G18,60)^2,MIN(MAX(DEGREES(ASIN(0.8-0.094*LN(MAX(IF(M18="",10,M18),5)))),20),30))</f>
        <v/>
      </c>
      <c r="Q18" s="27">
        <f>IF(F18="Sand",Input!$G$21*Input!$G$20*G18,Input!$G$22*O18)</f>
        <v/>
      </c>
      <c r="R18" s="13">
        <f>IF(F18="Sand",Input!$G$26,0.5)</f>
        <v/>
      </c>
      <c r="S18" s="13">
        <f>Input!$G$10/2/E18</f>
        <v/>
      </c>
      <c r="T18" s="13">
        <f>Input!$G$11/2/E18</f>
        <v/>
      </c>
      <c r="U18" s="28">
        <f>1/(4*PI())*(2*S18*T18*SQRT(S18^2+T18^2+1)/(S18^2+T18^2+1+S18^2*T18^2)*(S18^2+T18^2+2)/(S18^2+T18^2+1)+ATAN2(S18^2+T18^2+1-S18^2*T18^2,2*S18*T18*SQRT(S18^2+T18^2+1)))</f>
        <v/>
      </c>
      <c r="V18" s="12">
        <f>4*Input!$G$9*U18</f>
        <v/>
      </c>
      <c r="W18" s="29">
        <f>((Input!$G$11/Input!$G$10)*LN((1+SQRT((Input!$G$11/Input!$G$10)^2+1))*SQRT((Input!$G$11/Input!$G$10)^2+(C18/(Input!$G$10/2))^2)/((Input!$G$11/Input!$G$10)*(1+SQRT((Input!$G$11/Input!$G$10)^2+(C18/(Input!$G$10/2))^2+1))))+LN(((Input!$G$11/Input!$G$10)+SQRT((Input!$G$11/Input!$G$10)^2+1))*SQRT(1+(C18/(Input!$G$10/2))^2)/((Input!$G$11/Input!$G$10)+SQRT((Input!$G$11/Input!$G$10)^2+(C18/(Input!$G$10/2))^2+1))))/PI()</f>
        <v/>
      </c>
      <c r="X18" s="29">
        <f>(C18/(Input!$G$10/2))/(2*PI())*ATAN((Input!$G$11/Input!$G$10)/((C18/(Input!$G$10/2))*SQRT((Input!$G$11/Input!$G$10)^2+(C18/(Input!$G$10/2))^2+1)))</f>
        <v/>
      </c>
      <c r="Y18" s="13">
        <f>MAX(0,C18-MAX(B18,$G$8))/D18*IF(V18&gt;=Input!$G$27*J18,1,0)</f>
        <v/>
      </c>
      <c r="Z18" s="12">
        <f>4*Input!$G$9*(Input!$G$10/2)*(1-R18^2)/Q18*((W18-W17)+(1-2*R18)/(1-R18)*(X18-X17))*1000*Y18</f>
        <v/>
      </c>
      <c r="AA18" s="30">
        <f>IF(F18="Sand",0,0.009*(K18-10))</f>
        <v/>
      </c>
      <c r="AB18" s="30">
        <f>AA18*Input!$G$23</f>
        <v/>
      </c>
      <c r="AC18" s="26">
        <f>IF(F18="Sand",0,MAX(O18/Input!$G$24,J18))</f>
        <v/>
      </c>
      <c r="AD18" s="31">
        <f>IF(F18="Sand",0,1000*D18/(1+N18)*IF(J18+V18&lt;=AC18,AB18*LOG10((J18+V18)/J18),AB18*LOG10(AC18/J18)+AA18*LOG10((J18+V18)/AC18)))*Y18</f>
        <v/>
      </c>
      <c r="AE18" s="32">
        <f>IF(F18="Sand",0,10^(INDEX(Korelasi!$C$5:$C$11,MIN(MATCH(MIN(MAX(K18,30),120),Korelasi!$A$5:$A$11,1),6))+(MIN(MAX(K18,30),120)-INDEX(Korelasi!$A$5:$A$11,MIN(MATCH(MIN(MAX(K18,30),120),Korelasi!$A$5:$A$11,1),6)))/(INDEX(Korelasi!$A$5:$A$11,MIN(MATCH(MIN(MAX(K18,30),120),Korelasi!$A$5:$A$11,1),6)+1)-INDEX(Korelasi!$A$5:$A$11,MIN(MATCH(MIN(MAX(K18,30),120),Korelasi!$A$5:$A$11,1),6)))*(INDEX(Korelasi!$C$5:$C$11,MIN(MATCH(MIN(MAX(K18,30),120),Korelasi!$A$5:$A$11,1),6)+1)-INDEX(Korelasi!$C$5:$C$11,MIN(MATCH(MIN(MAX(K18,30),120),Korelasi!$A$5:$A$11,1),6)))))</f>
        <v/>
      </c>
      <c r="AF18" s="33">
        <f>IF(OR(F18="Sand",Y18=0),0,Input!$G$25*(D18/2)^2/(AE18*1E-4*31536000))</f>
        <v/>
      </c>
      <c r="AG18" s="13">
        <f>MAX(0,MIN(C18,Input!$G$15)-B18)</f>
        <v/>
      </c>
      <c r="AH18" s="13">
        <f>MAX(0,MIN(C18,Input!$G$15)-MAX(B18,$G$8))</f>
        <v/>
      </c>
      <c r="AI18" s="13">
        <f>MAX(0,MIN(C18,$G$106)-B18)</f>
        <v/>
      </c>
      <c r="AJ18" s="34" t="inlineStr"/>
    </row>
    <row r="19">
      <c r="A19" s="20" t="n">
        <v>7</v>
      </c>
      <c r="B19" s="21" t="n">
        <v>9</v>
      </c>
      <c r="C19" s="21" t="n">
        <v>10.5</v>
      </c>
      <c r="D19" s="13">
        <f>C19-B19</f>
        <v/>
      </c>
      <c r="E19" s="13">
        <f>(B19+C19)/2</f>
        <v/>
      </c>
      <c r="F19" s="22" t="inlineStr">
        <is>
          <t>Sand</t>
        </is>
      </c>
      <c r="G19" s="23" t="n">
        <v>34</v>
      </c>
      <c r="H19" s="12">
        <f>IF(E19&gt;$G$5,$G$7,$G$6)</f>
        <v/>
      </c>
      <c r="I19" s="12">
        <f>I18+H19*D19</f>
        <v/>
      </c>
      <c r="J19" s="12">
        <f>I19-H19*D19/2-10*MAX(E19-$G$5,0)</f>
        <v/>
      </c>
      <c r="K19" s="24" t="n"/>
      <c r="L19" s="24" t="n"/>
      <c r="M19" s="12">
        <f>IF(K19="","",K19-L19)</f>
        <v/>
      </c>
      <c r="N19" s="25" t="n">
        <v>0.465</v>
      </c>
      <c r="O19" s="26">
        <f>IF(F19="Sand",0,Input!$G$19*G19)</f>
        <v/>
      </c>
      <c r="P19" s="12">
        <f>IF(F19="Sand",27.1+0.3*MIN(Input!$G$20*G19,60)-0.00054*MIN(Input!$G$20*G19,60)^2,MIN(MAX(DEGREES(ASIN(0.8-0.094*LN(MAX(IF(M19="",10,M19),5)))),20),30))</f>
        <v/>
      </c>
      <c r="Q19" s="27">
        <f>IF(F19="Sand",Input!$G$21*Input!$G$20*G19,Input!$G$22*O19)</f>
        <v/>
      </c>
      <c r="R19" s="13">
        <f>IF(F19="Sand",Input!$G$26,0.5)</f>
        <v/>
      </c>
      <c r="S19" s="13">
        <f>Input!$G$10/2/E19</f>
        <v/>
      </c>
      <c r="T19" s="13">
        <f>Input!$G$11/2/E19</f>
        <v/>
      </c>
      <c r="U19" s="28">
        <f>1/(4*PI())*(2*S19*T19*SQRT(S19^2+T19^2+1)/(S19^2+T19^2+1+S19^2*T19^2)*(S19^2+T19^2+2)/(S19^2+T19^2+1)+ATAN2(S19^2+T19^2+1-S19^2*T19^2,2*S19*T19*SQRT(S19^2+T19^2+1)))</f>
        <v/>
      </c>
      <c r="V19" s="12">
        <f>4*Input!$G$9*U19</f>
        <v/>
      </c>
      <c r="W19" s="29">
        <f>((Input!$G$11/Input!$G$10)*LN((1+SQRT((Input!$G$11/Input!$G$10)^2+1))*SQRT((Input!$G$11/Input!$G$10)^2+(C19/(Input!$G$10/2))^2)/((Input!$G$11/Input!$G$10)*(1+SQRT((Input!$G$11/Input!$G$10)^2+(C19/(Input!$G$10/2))^2+1))))+LN(((Input!$G$11/Input!$G$10)+SQRT((Input!$G$11/Input!$G$10)^2+1))*SQRT(1+(C19/(Input!$G$10/2))^2)/((Input!$G$11/Input!$G$10)+SQRT((Input!$G$11/Input!$G$10)^2+(C19/(Input!$G$10/2))^2+1))))/PI()</f>
        <v/>
      </c>
      <c r="X19" s="29">
        <f>(C19/(Input!$G$10/2))/(2*PI())*ATAN((Input!$G$11/Input!$G$10)/((C19/(Input!$G$10/2))*SQRT((Input!$G$11/Input!$G$10)^2+(C19/(Input!$G$10/2))^2+1)))</f>
        <v/>
      </c>
      <c r="Y19" s="13">
        <f>MAX(0,C19-MAX(B19,$G$8))/D19*IF(V19&gt;=Input!$G$27*J19,1,0)</f>
        <v/>
      </c>
      <c r="Z19" s="12">
        <f>4*Input!$G$9*(Input!$G$10/2)*(1-R19^2)/Q19*((W19-W18)+(1-2*R19)/(1-R19)*(X19-X18))*1000*Y19</f>
        <v/>
      </c>
      <c r="AA19" s="30">
        <f>IF(F19="Sand",0,0.009*(K19-10))</f>
        <v/>
      </c>
      <c r="AB19" s="30">
        <f>AA19*Input!$G$23</f>
        <v/>
      </c>
      <c r="AC19" s="26">
        <f>IF(F19="Sand",0,MAX(O19/Input!$G$24,J19))</f>
        <v/>
      </c>
      <c r="AD19" s="31">
        <f>IF(F19="Sand",0,1000*D19/(1+N19)*IF(J19+V19&lt;=AC19,AB19*LOG10((J19+V19)/J19),AB19*LOG10(AC19/J19)+AA19*LOG10((J19+V19)/AC19)))*Y19</f>
        <v/>
      </c>
      <c r="AE19" s="32">
        <f>IF(F19="Sand",0,10^(INDEX(Korelasi!$C$5:$C$11,MIN(MATCH(MIN(MAX(K19,30),120),Korelasi!$A$5:$A$11,1),6))+(MIN(MAX(K19,30),120)-INDEX(Korelasi!$A$5:$A$11,MIN(MATCH(MIN(MAX(K19,30),120),Korelasi!$A$5:$A$11,1),6)))/(INDEX(Korelasi!$A$5:$A$11,MIN(MATCH(MIN(MAX(K19,30),120),Korelasi!$A$5:$A$11,1),6)+1)-INDEX(Korelasi!$A$5:$A$11,MIN(MATCH(MIN(MAX(K19,30),120),Korelasi!$A$5:$A$11,1),6)))*(INDEX(Korelasi!$C$5:$C$11,MIN(MATCH(MIN(MAX(K19,30),120),Korelasi!$A$5:$A$11,1),6)+1)-INDEX(Korelasi!$C$5:$C$11,MIN(MATCH(MIN(MAX(K19,30),120),Korelasi!$A$5:$A$11,1),6)))))</f>
        <v/>
      </c>
      <c r="AF19" s="33">
        <f>IF(OR(F19="Sand",Y19=0),0,Input!$G$25*(D19/2)^2/(AE19*1E-4*31536000))</f>
        <v/>
      </c>
      <c r="AG19" s="13">
        <f>MAX(0,MIN(C19,Input!$G$15)-B19)</f>
        <v/>
      </c>
      <c r="AH19" s="13">
        <f>MAX(0,MIN(C19,Input!$G$15)-MAX(B19,$G$8))</f>
        <v/>
      </c>
      <c r="AI19" s="13">
        <f>MAX(0,MIN(C19,$G$106)-B19)</f>
        <v/>
      </c>
      <c r="AJ19" s="34" t="inlineStr"/>
    </row>
    <row r="20">
      <c r="A20" s="20" t="n">
        <v>8</v>
      </c>
      <c r="B20" s="21" t="n">
        <v>10.5</v>
      </c>
      <c r="C20" s="21" t="n">
        <v>12</v>
      </c>
      <c r="D20" s="13">
        <f>C20-B20</f>
        <v/>
      </c>
      <c r="E20" s="13">
        <f>(B20+C20)/2</f>
        <v/>
      </c>
      <c r="F20" s="22" t="inlineStr">
        <is>
          <t>Sand</t>
        </is>
      </c>
      <c r="G20" s="23" t="n">
        <v>13</v>
      </c>
      <c r="H20" s="12">
        <f>IF(E20&gt;$G$5,$G$7,$G$6)</f>
        <v/>
      </c>
      <c r="I20" s="12">
        <f>I19+H20*D20</f>
        <v/>
      </c>
      <c r="J20" s="12">
        <f>I20-H20*D20/2-10*MAX(E20-$G$5,0)</f>
        <v/>
      </c>
      <c r="K20" s="24" t="n"/>
      <c r="L20" s="24" t="n"/>
      <c r="M20" s="12">
        <f>IF(K20="","",K20-L20)</f>
        <v/>
      </c>
      <c r="N20" s="25" t="n">
        <v>0.65</v>
      </c>
      <c r="O20" s="26">
        <f>IF(F20="Sand",0,Input!$G$19*G20)</f>
        <v/>
      </c>
      <c r="P20" s="12">
        <f>IF(F20="Sand",27.1+0.3*MIN(Input!$G$20*G20,60)-0.00054*MIN(Input!$G$20*G20,60)^2,MIN(MAX(DEGREES(ASIN(0.8-0.094*LN(MAX(IF(M20="",10,M20),5)))),20),30))</f>
        <v/>
      </c>
      <c r="Q20" s="27">
        <f>IF(F20="Sand",Input!$G$21*Input!$G$20*G20,Input!$G$22*O20)</f>
        <v/>
      </c>
      <c r="R20" s="13">
        <f>IF(F20="Sand",Input!$G$26,0.5)</f>
        <v/>
      </c>
      <c r="S20" s="13">
        <f>Input!$G$10/2/E20</f>
        <v/>
      </c>
      <c r="T20" s="13">
        <f>Input!$G$11/2/E20</f>
        <v/>
      </c>
      <c r="U20" s="28">
        <f>1/(4*PI())*(2*S20*T20*SQRT(S20^2+T20^2+1)/(S20^2+T20^2+1+S20^2*T20^2)*(S20^2+T20^2+2)/(S20^2+T20^2+1)+ATAN2(S20^2+T20^2+1-S20^2*T20^2,2*S20*T20*SQRT(S20^2+T20^2+1)))</f>
        <v/>
      </c>
      <c r="V20" s="12">
        <f>4*Input!$G$9*U20</f>
        <v/>
      </c>
      <c r="W20" s="29">
        <f>((Input!$G$11/Input!$G$10)*LN((1+SQRT((Input!$G$11/Input!$G$10)^2+1))*SQRT((Input!$G$11/Input!$G$10)^2+(C20/(Input!$G$10/2))^2)/((Input!$G$11/Input!$G$10)*(1+SQRT((Input!$G$11/Input!$G$10)^2+(C20/(Input!$G$10/2))^2+1))))+LN(((Input!$G$11/Input!$G$10)+SQRT((Input!$G$11/Input!$G$10)^2+1))*SQRT(1+(C20/(Input!$G$10/2))^2)/((Input!$G$11/Input!$G$10)+SQRT((Input!$G$11/Input!$G$10)^2+(C20/(Input!$G$10/2))^2+1))))/PI()</f>
        <v/>
      </c>
      <c r="X20" s="29">
        <f>(C20/(Input!$G$10/2))/(2*PI())*ATAN((Input!$G$11/Input!$G$10)/((C20/(Input!$G$10/2))*SQRT((Input!$G$11/Input!$G$10)^2+(C20/(Input!$G$10/2))^2+1)))</f>
        <v/>
      </c>
      <c r="Y20" s="13">
        <f>MAX(0,C20-MAX(B20,$G$8))/D20*IF(V20&gt;=Input!$G$27*J20,1,0)</f>
        <v/>
      </c>
      <c r="Z20" s="12">
        <f>4*Input!$G$9*(Input!$G$10/2)*(1-R20^2)/Q20*((W20-W19)+(1-2*R20)/(1-R20)*(X20-X19))*1000*Y20</f>
        <v/>
      </c>
      <c r="AA20" s="30">
        <f>IF(F20="Sand",0,0.009*(K20-10))</f>
        <v/>
      </c>
      <c r="AB20" s="30">
        <f>AA20*Input!$G$23</f>
        <v/>
      </c>
      <c r="AC20" s="26">
        <f>IF(F20="Sand",0,MAX(O20/Input!$G$24,J20))</f>
        <v/>
      </c>
      <c r="AD20" s="31">
        <f>IF(F20="Sand",0,1000*D20/(1+N20)*IF(J20+V20&lt;=AC20,AB20*LOG10((J20+V20)/J20),AB20*LOG10(AC20/J20)+AA20*LOG10((J20+V20)/AC20)))*Y20</f>
        <v/>
      </c>
      <c r="AE20" s="32">
        <f>IF(F20="Sand",0,10^(INDEX(Korelasi!$C$5:$C$11,MIN(MATCH(MIN(MAX(K20,30),120),Korelasi!$A$5:$A$11,1),6))+(MIN(MAX(K20,30),120)-INDEX(Korelasi!$A$5:$A$11,MIN(MATCH(MIN(MAX(K20,30),120),Korelasi!$A$5:$A$11,1),6)))/(INDEX(Korelasi!$A$5:$A$11,MIN(MATCH(MIN(MAX(K20,30),120),Korelasi!$A$5:$A$11,1),6)+1)-INDEX(Korelasi!$A$5:$A$11,MIN(MATCH(MIN(MAX(K20,30),120),Korelasi!$A$5:$A$11,1),6)))*(INDEX(Korelasi!$C$5:$C$11,MIN(MATCH(MIN(MAX(K20,30),120),Korelasi!$A$5:$A$11,1),6)+1)-INDEX(Korelasi!$C$5:$C$11,MIN(MATCH(MIN(MAX(K20,30),120),Korelasi!$A$5:$A$11,1),6)))))</f>
        <v/>
      </c>
      <c r="AF20" s="33">
        <f>IF(OR(F20="Sand",Y20=0),0,Input!$G$25*(D20/2)^2/(AE20*1E-4*31536000))</f>
        <v/>
      </c>
      <c r="AG20" s="13">
        <f>MAX(0,MIN(C20,Input!$G$15)-B20)</f>
        <v/>
      </c>
      <c r="AH20" s="13">
        <f>MAX(0,MIN(C20,Input!$G$15)-MAX(B20,$G$8))</f>
        <v/>
      </c>
      <c r="AI20" s="13">
        <f>MAX(0,MIN(C20,$G$106)-B20)</f>
        <v/>
      </c>
      <c r="AJ20" s="34" t="inlineStr"/>
    </row>
    <row r="21">
      <c r="A21" s="20" t="n">
        <v>9</v>
      </c>
      <c r="B21" s="21" t="n">
        <v>12</v>
      </c>
      <c r="C21" s="21" t="n">
        <v>13.5</v>
      </c>
      <c r="D21" s="13">
        <f>C21-B21</f>
        <v/>
      </c>
      <c r="E21" s="13">
        <f>(B21+C21)/2</f>
        <v/>
      </c>
      <c r="F21" s="22" t="inlineStr">
        <is>
          <t>Sand</t>
        </is>
      </c>
      <c r="G21" s="23" t="n">
        <v>17</v>
      </c>
      <c r="H21" s="12">
        <f>IF(E21&gt;$G$5,$G$7,$G$6)</f>
        <v/>
      </c>
      <c r="I21" s="12">
        <f>I20+H21*D21</f>
        <v/>
      </c>
      <c r="J21" s="12">
        <f>I21-H21*D21/2-10*MAX(E21-$G$5,0)</f>
        <v/>
      </c>
      <c r="K21" s="24" t="n"/>
      <c r="L21" s="24" t="n"/>
      <c r="M21" s="12">
        <f>IF(K21="","",K21-L21)</f>
        <v/>
      </c>
      <c r="N21" s="25" t="n">
        <v>0.414</v>
      </c>
      <c r="O21" s="26">
        <f>IF(F21="Sand",0,Input!$G$19*G21)</f>
        <v/>
      </c>
      <c r="P21" s="12">
        <f>IF(F21="Sand",27.1+0.3*MIN(Input!$G$20*G21,60)-0.00054*MIN(Input!$G$20*G21,60)^2,MIN(MAX(DEGREES(ASIN(0.8-0.094*LN(MAX(IF(M21="",10,M21),5)))),20),30))</f>
        <v/>
      </c>
      <c r="Q21" s="27">
        <f>IF(F21="Sand",Input!$G$21*Input!$G$20*G21,Input!$G$22*O21)</f>
        <v/>
      </c>
      <c r="R21" s="13">
        <f>IF(F21="Sand",Input!$G$26,0.5)</f>
        <v/>
      </c>
      <c r="S21" s="13">
        <f>Input!$G$10/2/E21</f>
        <v/>
      </c>
      <c r="T21" s="13">
        <f>Input!$G$11/2/E21</f>
        <v/>
      </c>
      <c r="U21" s="28">
        <f>1/(4*PI())*(2*S21*T21*SQRT(S21^2+T21^2+1)/(S21^2+T21^2+1+S21^2*T21^2)*(S21^2+T21^2+2)/(S21^2+T21^2+1)+ATAN2(S21^2+T21^2+1-S21^2*T21^2,2*S21*T21*SQRT(S21^2+T21^2+1)))</f>
        <v/>
      </c>
      <c r="V21" s="12">
        <f>4*Input!$G$9*U21</f>
        <v/>
      </c>
      <c r="W21" s="29">
        <f>((Input!$G$11/Input!$G$10)*LN((1+SQRT((Input!$G$11/Input!$G$10)^2+1))*SQRT((Input!$G$11/Input!$G$10)^2+(C21/(Input!$G$10/2))^2)/((Input!$G$11/Input!$G$10)*(1+SQRT((Input!$G$11/Input!$G$10)^2+(C21/(Input!$G$10/2))^2+1))))+LN(((Input!$G$11/Input!$G$10)+SQRT((Input!$G$11/Input!$G$10)^2+1))*SQRT(1+(C21/(Input!$G$10/2))^2)/((Input!$G$11/Input!$G$10)+SQRT((Input!$G$11/Input!$G$10)^2+(C21/(Input!$G$10/2))^2+1))))/PI()</f>
        <v/>
      </c>
      <c r="X21" s="29">
        <f>(C21/(Input!$G$10/2))/(2*PI())*ATAN((Input!$G$11/Input!$G$10)/((C21/(Input!$G$10/2))*SQRT((Input!$G$11/Input!$G$10)^2+(C21/(Input!$G$10/2))^2+1)))</f>
        <v/>
      </c>
      <c r="Y21" s="13">
        <f>MAX(0,C21-MAX(B21,$G$8))/D21*IF(V21&gt;=Input!$G$27*J21,1,0)</f>
        <v/>
      </c>
      <c r="Z21" s="12">
        <f>4*Input!$G$9*(Input!$G$10/2)*(1-R21^2)/Q21*((W21-W20)+(1-2*R21)/(1-R21)*(X21-X20))*1000*Y21</f>
        <v/>
      </c>
      <c r="AA21" s="30">
        <f>IF(F21="Sand",0,0.009*(K21-10))</f>
        <v/>
      </c>
      <c r="AB21" s="30">
        <f>AA21*Input!$G$23</f>
        <v/>
      </c>
      <c r="AC21" s="26">
        <f>IF(F21="Sand",0,MAX(O21/Input!$G$24,J21))</f>
        <v/>
      </c>
      <c r="AD21" s="31">
        <f>IF(F21="Sand",0,1000*D21/(1+N21)*IF(J21+V21&lt;=AC21,AB21*LOG10((J21+V21)/J21),AB21*LOG10(AC21/J21)+AA21*LOG10((J21+V21)/AC21)))*Y21</f>
        <v/>
      </c>
      <c r="AE21" s="32">
        <f>IF(F21="Sand",0,10^(INDEX(Korelasi!$C$5:$C$11,MIN(MATCH(MIN(MAX(K21,30),120),Korelasi!$A$5:$A$11,1),6))+(MIN(MAX(K21,30),120)-INDEX(Korelasi!$A$5:$A$11,MIN(MATCH(MIN(MAX(K21,30),120),Korelasi!$A$5:$A$11,1),6)))/(INDEX(Korelasi!$A$5:$A$11,MIN(MATCH(MIN(MAX(K21,30),120),Korelasi!$A$5:$A$11,1),6)+1)-INDEX(Korelasi!$A$5:$A$11,MIN(MATCH(MIN(MAX(K21,30),120),Korelasi!$A$5:$A$11,1),6)))*(INDEX(Korelasi!$C$5:$C$11,MIN(MATCH(MIN(MAX(K21,30),120),Korelasi!$A$5:$A$11,1),6)+1)-INDEX(Korelasi!$C$5:$C$11,MIN(MATCH(MIN(MAX(K21,30),120),Korelasi!$A$5:$A$11,1),6)))))</f>
        <v/>
      </c>
      <c r="AF21" s="33">
        <f>IF(OR(F21="Sand",Y21=0),0,Input!$G$25*(D21/2)^2/(AE21*1E-4*31536000))</f>
        <v/>
      </c>
      <c r="AG21" s="13">
        <f>MAX(0,MIN(C21,Input!$G$15)-B21)</f>
        <v/>
      </c>
      <c r="AH21" s="13">
        <f>MAX(0,MIN(C21,Input!$G$15)-MAX(B21,$G$8))</f>
        <v/>
      </c>
      <c r="AI21" s="13">
        <f>MAX(0,MIN(C21,$G$106)-B21)</f>
        <v/>
      </c>
      <c r="AJ21" s="34" t="inlineStr"/>
    </row>
    <row r="22">
      <c r="A22" s="20" t="n">
        <v>10</v>
      </c>
      <c r="B22" s="21" t="n">
        <v>13.5</v>
      </c>
      <c r="C22" s="21" t="n">
        <v>15</v>
      </c>
      <c r="D22" s="13">
        <f>C22-B22</f>
        <v/>
      </c>
      <c r="E22" s="13">
        <f>(B22+C22)/2</f>
        <v/>
      </c>
      <c r="F22" s="22" t="inlineStr">
        <is>
          <t>Sand</t>
        </is>
      </c>
      <c r="G22" s="23" t="n">
        <v>18</v>
      </c>
      <c r="H22" s="12">
        <f>IF(E22&gt;$G$5,$G$7,$G$6)</f>
        <v/>
      </c>
      <c r="I22" s="12">
        <f>I21+H22*D22</f>
        <v/>
      </c>
      <c r="J22" s="12">
        <f>I22-H22*D22/2-10*MAX(E22-$G$5,0)</f>
        <v/>
      </c>
      <c r="K22" s="24" t="n"/>
      <c r="L22" s="24" t="n"/>
      <c r="M22" s="12">
        <f>IF(K22="","",K22-L22)</f>
        <v/>
      </c>
      <c r="N22" s="25" t="n">
        <v>0.747</v>
      </c>
      <c r="O22" s="26">
        <f>IF(F22="Sand",0,Input!$G$19*G22)</f>
        <v/>
      </c>
      <c r="P22" s="12">
        <f>IF(F22="Sand",27.1+0.3*MIN(Input!$G$20*G22,60)-0.00054*MIN(Input!$G$20*G22,60)^2,MIN(MAX(DEGREES(ASIN(0.8-0.094*LN(MAX(IF(M22="",10,M22),5)))),20),30))</f>
        <v/>
      </c>
      <c r="Q22" s="27">
        <f>IF(F22="Sand",Input!$G$21*Input!$G$20*G22,Input!$G$22*O22)</f>
        <v/>
      </c>
      <c r="R22" s="13">
        <f>IF(F22="Sand",Input!$G$26,0.5)</f>
        <v/>
      </c>
      <c r="S22" s="13">
        <f>Input!$G$10/2/E22</f>
        <v/>
      </c>
      <c r="T22" s="13">
        <f>Input!$G$11/2/E22</f>
        <v/>
      </c>
      <c r="U22" s="28">
        <f>1/(4*PI())*(2*S22*T22*SQRT(S22^2+T22^2+1)/(S22^2+T22^2+1+S22^2*T22^2)*(S22^2+T22^2+2)/(S22^2+T22^2+1)+ATAN2(S22^2+T22^2+1-S22^2*T22^2,2*S22*T22*SQRT(S22^2+T22^2+1)))</f>
        <v/>
      </c>
      <c r="V22" s="12">
        <f>4*Input!$G$9*U22</f>
        <v/>
      </c>
      <c r="W22" s="29">
        <f>((Input!$G$11/Input!$G$10)*LN((1+SQRT((Input!$G$11/Input!$G$10)^2+1))*SQRT((Input!$G$11/Input!$G$10)^2+(C22/(Input!$G$10/2))^2)/((Input!$G$11/Input!$G$10)*(1+SQRT((Input!$G$11/Input!$G$10)^2+(C22/(Input!$G$10/2))^2+1))))+LN(((Input!$G$11/Input!$G$10)+SQRT((Input!$G$11/Input!$G$10)^2+1))*SQRT(1+(C22/(Input!$G$10/2))^2)/((Input!$G$11/Input!$G$10)+SQRT((Input!$G$11/Input!$G$10)^2+(C22/(Input!$G$10/2))^2+1))))/PI()</f>
        <v/>
      </c>
      <c r="X22" s="29">
        <f>(C22/(Input!$G$10/2))/(2*PI())*ATAN((Input!$G$11/Input!$G$10)/((C22/(Input!$G$10/2))*SQRT((Input!$G$11/Input!$G$10)^2+(C22/(Input!$G$10/2))^2+1)))</f>
        <v/>
      </c>
      <c r="Y22" s="13">
        <f>MAX(0,C22-MAX(B22,$G$8))/D22*IF(V22&gt;=Input!$G$27*J22,1,0)</f>
        <v/>
      </c>
      <c r="Z22" s="12">
        <f>4*Input!$G$9*(Input!$G$10/2)*(1-R22^2)/Q22*((W22-W21)+(1-2*R22)/(1-R22)*(X22-X21))*1000*Y22</f>
        <v/>
      </c>
      <c r="AA22" s="30">
        <f>IF(F22="Sand",0,0.009*(K22-10))</f>
        <v/>
      </c>
      <c r="AB22" s="30">
        <f>AA22*Input!$G$23</f>
        <v/>
      </c>
      <c r="AC22" s="26">
        <f>IF(F22="Sand",0,MAX(O22/Input!$G$24,J22))</f>
        <v/>
      </c>
      <c r="AD22" s="31">
        <f>IF(F22="Sand",0,1000*D22/(1+N22)*IF(J22+V22&lt;=AC22,AB22*LOG10((J22+V22)/J22),AB22*LOG10(AC22/J22)+AA22*LOG10((J22+V22)/AC22)))*Y22</f>
        <v/>
      </c>
      <c r="AE22" s="32">
        <f>IF(F22="Sand",0,10^(INDEX(Korelasi!$C$5:$C$11,MIN(MATCH(MIN(MAX(K22,30),120),Korelasi!$A$5:$A$11,1),6))+(MIN(MAX(K22,30),120)-INDEX(Korelasi!$A$5:$A$11,MIN(MATCH(MIN(MAX(K22,30),120),Korelasi!$A$5:$A$11,1),6)))/(INDEX(Korelasi!$A$5:$A$11,MIN(MATCH(MIN(MAX(K22,30),120),Korelasi!$A$5:$A$11,1),6)+1)-INDEX(Korelasi!$A$5:$A$11,MIN(MATCH(MIN(MAX(K22,30),120),Korelasi!$A$5:$A$11,1),6)))*(INDEX(Korelasi!$C$5:$C$11,MIN(MATCH(MIN(MAX(K22,30),120),Korelasi!$A$5:$A$11,1),6)+1)-INDEX(Korelasi!$C$5:$C$11,MIN(MATCH(MIN(MAX(K22,30),120),Korelasi!$A$5:$A$11,1),6)))))</f>
        <v/>
      </c>
      <c r="AF22" s="33">
        <f>IF(OR(F22="Sand",Y22=0),0,Input!$G$25*(D22/2)^2/(AE22*1E-4*31536000))</f>
        <v/>
      </c>
      <c r="AG22" s="13">
        <f>MAX(0,MIN(C22,Input!$G$15)-B22)</f>
        <v/>
      </c>
      <c r="AH22" s="13">
        <f>MAX(0,MIN(C22,Input!$G$15)-MAX(B22,$G$8))</f>
        <v/>
      </c>
      <c r="AI22" s="13">
        <f>MAX(0,MIN(C22,$G$106)-B22)</f>
        <v/>
      </c>
      <c r="AJ22" s="34" t="inlineStr"/>
    </row>
    <row r="23">
      <c r="A23" s="20" t="n">
        <v>11</v>
      </c>
      <c r="B23" s="21" t="n">
        <v>15</v>
      </c>
      <c r="C23" s="21" t="n">
        <v>16.5</v>
      </c>
      <c r="D23" s="13">
        <f>C23-B23</f>
        <v/>
      </c>
      <c r="E23" s="13">
        <f>(B23+C23)/2</f>
        <v/>
      </c>
      <c r="F23" s="22" t="inlineStr">
        <is>
          <t>Sand</t>
        </is>
      </c>
      <c r="G23" s="23" t="n">
        <v>19</v>
      </c>
      <c r="H23" s="12">
        <f>IF(E23&gt;$G$5,$G$7,$G$6)</f>
        <v/>
      </c>
      <c r="I23" s="12">
        <f>I22+H23*D23</f>
        <v/>
      </c>
      <c r="J23" s="12">
        <f>I23-H23*D23/2-10*MAX(E23-$G$5,0)</f>
        <v/>
      </c>
      <c r="K23" s="24" t="n"/>
      <c r="L23" s="24" t="n"/>
      <c r="M23" s="12">
        <f>IF(K23="","",K23-L23)</f>
        <v/>
      </c>
      <c r="N23" s="25" t="n">
        <v>0.65</v>
      </c>
      <c r="O23" s="26">
        <f>IF(F23="Sand",0,Input!$G$19*G23)</f>
        <v/>
      </c>
      <c r="P23" s="12">
        <f>IF(F23="Sand",27.1+0.3*MIN(Input!$G$20*G23,60)-0.00054*MIN(Input!$G$20*G23,60)^2,MIN(MAX(DEGREES(ASIN(0.8-0.094*LN(MAX(IF(M23="",10,M23),5)))),20),30))</f>
        <v/>
      </c>
      <c r="Q23" s="27">
        <f>IF(F23="Sand",Input!$G$21*Input!$G$20*G23,Input!$G$22*O23)</f>
        <v/>
      </c>
      <c r="R23" s="13">
        <f>IF(F23="Sand",Input!$G$26,0.5)</f>
        <v/>
      </c>
      <c r="S23" s="13">
        <f>Input!$G$10/2/E23</f>
        <v/>
      </c>
      <c r="T23" s="13">
        <f>Input!$G$11/2/E23</f>
        <v/>
      </c>
      <c r="U23" s="28">
        <f>1/(4*PI())*(2*S23*T23*SQRT(S23^2+T23^2+1)/(S23^2+T23^2+1+S23^2*T23^2)*(S23^2+T23^2+2)/(S23^2+T23^2+1)+ATAN2(S23^2+T23^2+1-S23^2*T23^2,2*S23*T23*SQRT(S23^2+T23^2+1)))</f>
        <v/>
      </c>
      <c r="V23" s="12">
        <f>4*Input!$G$9*U23</f>
        <v/>
      </c>
      <c r="W23" s="29">
        <f>((Input!$G$11/Input!$G$10)*LN((1+SQRT((Input!$G$11/Input!$G$10)^2+1))*SQRT((Input!$G$11/Input!$G$10)^2+(C23/(Input!$G$10/2))^2)/((Input!$G$11/Input!$G$10)*(1+SQRT((Input!$G$11/Input!$G$10)^2+(C23/(Input!$G$10/2))^2+1))))+LN(((Input!$G$11/Input!$G$10)+SQRT((Input!$G$11/Input!$G$10)^2+1))*SQRT(1+(C23/(Input!$G$10/2))^2)/((Input!$G$11/Input!$G$10)+SQRT((Input!$G$11/Input!$G$10)^2+(C23/(Input!$G$10/2))^2+1))))/PI()</f>
        <v/>
      </c>
      <c r="X23" s="29">
        <f>(C23/(Input!$G$10/2))/(2*PI())*ATAN((Input!$G$11/Input!$G$10)/((C23/(Input!$G$10/2))*SQRT((Input!$G$11/Input!$G$10)^2+(C23/(Input!$G$10/2))^2+1)))</f>
        <v/>
      </c>
      <c r="Y23" s="13">
        <f>MAX(0,C23-MAX(B23,$G$8))/D23*IF(V23&gt;=Input!$G$27*J23,1,0)</f>
        <v/>
      </c>
      <c r="Z23" s="12">
        <f>4*Input!$G$9*(Input!$G$10/2)*(1-R23^2)/Q23*((W23-W22)+(1-2*R23)/(1-R23)*(X23-X22))*1000*Y23</f>
        <v/>
      </c>
      <c r="AA23" s="30">
        <f>IF(F23="Sand",0,0.009*(K23-10))</f>
        <v/>
      </c>
      <c r="AB23" s="30">
        <f>AA23*Input!$G$23</f>
        <v/>
      </c>
      <c r="AC23" s="26">
        <f>IF(F23="Sand",0,MAX(O23/Input!$G$24,J23))</f>
        <v/>
      </c>
      <c r="AD23" s="31">
        <f>IF(F23="Sand",0,1000*D23/(1+N23)*IF(J23+V23&lt;=AC23,AB23*LOG10((J23+V23)/J23),AB23*LOG10(AC23/J23)+AA23*LOG10((J23+V23)/AC23)))*Y23</f>
        <v/>
      </c>
      <c r="AE23" s="32">
        <f>IF(F23="Sand",0,10^(INDEX(Korelasi!$C$5:$C$11,MIN(MATCH(MIN(MAX(K23,30),120),Korelasi!$A$5:$A$11,1),6))+(MIN(MAX(K23,30),120)-INDEX(Korelasi!$A$5:$A$11,MIN(MATCH(MIN(MAX(K23,30),120),Korelasi!$A$5:$A$11,1),6)))/(INDEX(Korelasi!$A$5:$A$11,MIN(MATCH(MIN(MAX(K23,30),120),Korelasi!$A$5:$A$11,1),6)+1)-INDEX(Korelasi!$A$5:$A$11,MIN(MATCH(MIN(MAX(K23,30),120),Korelasi!$A$5:$A$11,1),6)))*(INDEX(Korelasi!$C$5:$C$11,MIN(MATCH(MIN(MAX(K23,30),120),Korelasi!$A$5:$A$11,1),6)+1)-INDEX(Korelasi!$C$5:$C$11,MIN(MATCH(MIN(MAX(K23,30),120),Korelasi!$A$5:$A$11,1),6)))))</f>
        <v/>
      </c>
      <c r="AF23" s="33">
        <f>IF(OR(F23="Sand",Y23=0),0,Input!$G$25*(D23/2)^2/(AE23*1E-4*31536000))</f>
        <v/>
      </c>
      <c r="AG23" s="13">
        <f>MAX(0,MIN(C23,Input!$G$15)-B23)</f>
        <v/>
      </c>
      <c r="AH23" s="13">
        <f>MAX(0,MIN(C23,Input!$G$15)-MAX(B23,$G$8))</f>
        <v/>
      </c>
      <c r="AI23" s="13">
        <f>MAX(0,MIN(C23,$G$106)-B23)</f>
        <v/>
      </c>
      <c r="AJ23" s="34" t="inlineStr"/>
    </row>
    <row r="24">
      <c r="A24" s="20" t="n">
        <v>12</v>
      </c>
      <c r="B24" s="21" t="n">
        <v>16.5</v>
      </c>
      <c r="C24" s="21" t="n">
        <v>18</v>
      </c>
      <c r="D24" s="13">
        <f>C24-B24</f>
        <v/>
      </c>
      <c r="E24" s="13">
        <f>(B24+C24)/2</f>
        <v/>
      </c>
      <c r="F24" s="22" t="inlineStr">
        <is>
          <t>Sand</t>
        </is>
      </c>
      <c r="G24" s="23" t="n">
        <v>12</v>
      </c>
      <c r="H24" s="12">
        <f>IF(E24&gt;$G$5,$G$7,$G$6)</f>
        <v/>
      </c>
      <c r="I24" s="12">
        <f>I23+H24*D24</f>
        <v/>
      </c>
      <c r="J24" s="12">
        <f>I24-H24*D24/2-10*MAX(E24-$G$5,0)</f>
        <v/>
      </c>
      <c r="K24" s="24" t="n"/>
      <c r="L24" s="24" t="n"/>
      <c r="M24" s="12">
        <f>IF(K24="","",K24-L24)</f>
        <v/>
      </c>
      <c r="N24" s="25" t="n">
        <v>0.48</v>
      </c>
      <c r="O24" s="26">
        <f>IF(F24="Sand",0,Input!$G$19*G24)</f>
        <v/>
      </c>
      <c r="P24" s="12">
        <f>IF(F24="Sand",27.1+0.3*MIN(Input!$G$20*G24,60)-0.00054*MIN(Input!$G$20*G24,60)^2,MIN(MAX(DEGREES(ASIN(0.8-0.094*LN(MAX(IF(M24="",10,M24),5)))),20),30))</f>
        <v/>
      </c>
      <c r="Q24" s="27">
        <f>IF(F24="Sand",Input!$G$21*Input!$G$20*G24,Input!$G$22*O24)</f>
        <v/>
      </c>
      <c r="R24" s="13">
        <f>IF(F24="Sand",Input!$G$26,0.5)</f>
        <v/>
      </c>
      <c r="S24" s="13">
        <f>Input!$G$10/2/E24</f>
        <v/>
      </c>
      <c r="T24" s="13">
        <f>Input!$G$11/2/E24</f>
        <v/>
      </c>
      <c r="U24" s="28">
        <f>1/(4*PI())*(2*S24*T24*SQRT(S24^2+T24^2+1)/(S24^2+T24^2+1+S24^2*T24^2)*(S24^2+T24^2+2)/(S24^2+T24^2+1)+ATAN2(S24^2+T24^2+1-S24^2*T24^2,2*S24*T24*SQRT(S24^2+T24^2+1)))</f>
        <v/>
      </c>
      <c r="V24" s="12">
        <f>4*Input!$G$9*U24</f>
        <v/>
      </c>
      <c r="W24" s="29">
        <f>((Input!$G$11/Input!$G$10)*LN((1+SQRT((Input!$G$11/Input!$G$10)^2+1))*SQRT((Input!$G$11/Input!$G$10)^2+(C24/(Input!$G$10/2))^2)/((Input!$G$11/Input!$G$10)*(1+SQRT((Input!$G$11/Input!$G$10)^2+(C24/(Input!$G$10/2))^2+1))))+LN(((Input!$G$11/Input!$G$10)+SQRT((Input!$G$11/Input!$G$10)^2+1))*SQRT(1+(C24/(Input!$G$10/2))^2)/((Input!$G$11/Input!$G$10)+SQRT((Input!$G$11/Input!$G$10)^2+(C24/(Input!$G$10/2))^2+1))))/PI()</f>
        <v/>
      </c>
      <c r="X24" s="29">
        <f>(C24/(Input!$G$10/2))/(2*PI())*ATAN((Input!$G$11/Input!$G$10)/((C24/(Input!$G$10/2))*SQRT((Input!$G$11/Input!$G$10)^2+(C24/(Input!$G$10/2))^2+1)))</f>
        <v/>
      </c>
      <c r="Y24" s="13">
        <f>MAX(0,C24-MAX(B24,$G$8))/D24*IF(V24&gt;=Input!$G$27*J24,1,0)</f>
        <v/>
      </c>
      <c r="Z24" s="12">
        <f>4*Input!$G$9*(Input!$G$10/2)*(1-R24^2)/Q24*((W24-W23)+(1-2*R24)/(1-R24)*(X24-X23))*1000*Y24</f>
        <v/>
      </c>
      <c r="AA24" s="30">
        <f>IF(F24="Sand",0,0.009*(K24-10))</f>
        <v/>
      </c>
      <c r="AB24" s="30">
        <f>AA24*Input!$G$23</f>
        <v/>
      </c>
      <c r="AC24" s="26">
        <f>IF(F24="Sand",0,MAX(O24/Input!$G$24,J24))</f>
        <v/>
      </c>
      <c r="AD24" s="31">
        <f>IF(F24="Sand",0,1000*D24/(1+N24)*IF(J24+V24&lt;=AC24,AB24*LOG10((J24+V24)/J24),AB24*LOG10(AC24/J24)+AA24*LOG10((J24+V24)/AC24)))*Y24</f>
        <v/>
      </c>
      <c r="AE24" s="32">
        <f>IF(F24="Sand",0,10^(INDEX(Korelasi!$C$5:$C$11,MIN(MATCH(MIN(MAX(K24,30),120),Korelasi!$A$5:$A$11,1),6))+(MIN(MAX(K24,30),120)-INDEX(Korelasi!$A$5:$A$11,MIN(MATCH(MIN(MAX(K24,30),120),Korelasi!$A$5:$A$11,1),6)))/(INDEX(Korelasi!$A$5:$A$11,MIN(MATCH(MIN(MAX(K24,30),120),Korelasi!$A$5:$A$11,1),6)+1)-INDEX(Korelasi!$A$5:$A$11,MIN(MATCH(MIN(MAX(K24,30),120),Korelasi!$A$5:$A$11,1),6)))*(INDEX(Korelasi!$C$5:$C$11,MIN(MATCH(MIN(MAX(K24,30),120),Korelasi!$A$5:$A$11,1),6)+1)-INDEX(Korelasi!$C$5:$C$11,MIN(MATCH(MIN(MAX(K24,30),120),Korelasi!$A$5:$A$11,1),6)))))</f>
        <v/>
      </c>
      <c r="AF24" s="33">
        <f>IF(OR(F24="Sand",Y24=0),0,Input!$G$25*(D24/2)^2/(AE24*1E-4*31536000))</f>
        <v/>
      </c>
      <c r="AG24" s="13">
        <f>MAX(0,MIN(C24,Input!$G$15)-B24)</f>
        <v/>
      </c>
      <c r="AH24" s="13">
        <f>MAX(0,MIN(C24,Input!$G$15)-MAX(B24,$G$8))</f>
        <v/>
      </c>
      <c r="AI24" s="13">
        <f>MAX(0,MIN(C24,$G$106)-B24)</f>
        <v/>
      </c>
      <c r="AJ24" s="34" t="inlineStr"/>
    </row>
    <row r="25">
      <c r="A25" s="20" t="n">
        <v>13</v>
      </c>
      <c r="B25" s="21" t="n">
        <v>18</v>
      </c>
      <c r="C25" s="21" t="n">
        <v>19.5</v>
      </c>
      <c r="D25" s="13">
        <f>C25-B25</f>
        <v/>
      </c>
      <c r="E25" s="13">
        <f>(B25+C25)/2</f>
        <v/>
      </c>
      <c r="F25" s="22" t="inlineStr">
        <is>
          <t>Sand</t>
        </is>
      </c>
      <c r="G25" s="23" t="n">
        <v>42</v>
      </c>
      <c r="H25" s="12">
        <f>IF(E25&gt;$G$5,$G$7,$G$6)</f>
        <v/>
      </c>
      <c r="I25" s="12">
        <f>I24+H25*D25</f>
        <v/>
      </c>
      <c r="J25" s="12">
        <f>I25-H25*D25/2-10*MAX(E25-$G$5,0)</f>
        <v/>
      </c>
      <c r="K25" s="24" t="n"/>
      <c r="L25" s="24" t="n"/>
      <c r="M25" s="12">
        <f>IF(K25="","",K25-L25)</f>
        <v/>
      </c>
      <c r="N25" s="25" t="n">
        <v>0.65</v>
      </c>
      <c r="O25" s="26">
        <f>IF(F25="Sand",0,Input!$G$19*G25)</f>
        <v/>
      </c>
      <c r="P25" s="12">
        <f>IF(F25="Sand",27.1+0.3*MIN(Input!$G$20*G25,60)-0.00054*MIN(Input!$G$20*G25,60)^2,MIN(MAX(DEGREES(ASIN(0.8-0.094*LN(MAX(IF(M25="",10,M25),5)))),20),30))</f>
        <v/>
      </c>
      <c r="Q25" s="27">
        <f>IF(F25="Sand",Input!$G$21*Input!$G$20*G25,Input!$G$22*O25)</f>
        <v/>
      </c>
      <c r="R25" s="13">
        <f>IF(F25="Sand",Input!$G$26,0.5)</f>
        <v/>
      </c>
      <c r="S25" s="13">
        <f>Input!$G$10/2/E25</f>
        <v/>
      </c>
      <c r="T25" s="13">
        <f>Input!$G$11/2/E25</f>
        <v/>
      </c>
      <c r="U25" s="28">
        <f>1/(4*PI())*(2*S25*T25*SQRT(S25^2+T25^2+1)/(S25^2+T25^2+1+S25^2*T25^2)*(S25^2+T25^2+2)/(S25^2+T25^2+1)+ATAN2(S25^2+T25^2+1-S25^2*T25^2,2*S25*T25*SQRT(S25^2+T25^2+1)))</f>
        <v/>
      </c>
      <c r="V25" s="12">
        <f>4*Input!$G$9*U25</f>
        <v/>
      </c>
      <c r="W25" s="29">
        <f>((Input!$G$11/Input!$G$10)*LN((1+SQRT((Input!$G$11/Input!$G$10)^2+1))*SQRT((Input!$G$11/Input!$G$10)^2+(C25/(Input!$G$10/2))^2)/((Input!$G$11/Input!$G$10)*(1+SQRT((Input!$G$11/Input!$G$10)^2+(C25/(Input!$G$10/2))^2+1))))+LN(((Input!$G$11/Input!$G$10)+SQRT((Input!$G$11/Input!$G$10)^2+1))*SQRT(1+(C25/(Input!$G$10/2))^2)/((Input!$G$11/Input!$G$10)+SQRT((Input!$G$11/Input!$G$10)^2+(C25/(Input!$G$10/2))^2+1))))/PI()</f>
        <v/>
      </c>
      <c r="X25" s="29">
        <f>(C25/(Input!$G$10/2))/(2*PI())*ATAN((Input!$G$11/Input!$G$10)/((C25/(Input!$G$10/2))*SQRT((Input!$G$11/Input!$G$10)^2+(C25/(Input!$G$10/2))^2+1)))</f>
        <v/>
      </c>
      <c r="Y25" s="13">
        <f>MAX(0,C25-MAX(B25,$G$8))/D25*IF(V25&gt;=Input!$G$27*J25,1,0)</f>
        <v/>
      </c>
      <c r="Z25" s="12">
        <f>4*Input!$G$9*(Input!$G$10/2)*(1-R25^2)/Q25*((W25-W24)+(1-2*R25)/(1-R25)*(X25-X24))*1000*Y25</f>
        <v/>
      </c>
      <c r="AA25" s="30">
        <f>IF(F25="Sand",0,0.009*(K25-10))</f>
        <v/>
      </c>
      <c r="AB25" s="30">
        <f>AA25*Input!$G$23</f>
        <v/>
      </c>
      <c r="AC25" s="26">
        <f>IF(F25="Sand",0,MAX(O25/Input!$G$24,J25))</f>
        <v/>
      </c>
      <c r="AD25" s="31">
        <f>IF(F25="Sand",0,1000*D25/(1+N25)*IF(J25+V25&lt;=AC25,AB25*LOG10((J25+V25)/J25),AB25*LOG10(AC25/J25)+AA25*LOG10((J25+V25)/AC25)))*Y25</f>
        <v/>
      </c>
      <c r="AE25" s="32">
        <f>IF(F25="Sand",0,10^(INDEX(Korelasi!$C$5:$C$11,MIN(MATCH(MIN(MAX(K25,30),120),Korelasi!$A$5:$A$11,1),6))+(MIN(MAX(K25,30),120)-INDEX(Korelasi!$A$5:$A$11,MIN(MATCH(MIN(MAX(K25,30),120),Korelasi!$A$5:$A$11,1),6)))/(INDEX(Korelasi!$A$5:$A$11,MIN(MATCH(MIN(MAX(K25,30),120),Korelasi!$A$5:$A$11,1),6)+1)-INDEX(Korelasi!$A$5:$A$11,MIN(MATCH(MIN(MAX(K25,30),120),Korelasi!$A$5:$A$11,1),6)))*(INDEX(Korelasi!$C$5:$C$11,MIN(MATCH(MIN(MAX(K25,30),120),Korelasi!$A$5:$A$11,1),6)+1)-INDEX(Korelasi!$C$5:$C$11,MIN(MATCH(MIN(MAX(K25,30),120),Korelasi!$A$5:$A$11,1),6)))))</f>
        <v/>
      </c>
      <c r="AF25" s="33">
        <f>IF(OR(F25="Sand",Y25=0),0,Input!$G$25*(D25/2)^2/(AE25*1E-4*31536000))</f>
        <v/>
      </c>
      <c r="AG25" s="13">
        <f>MAX(0,MIN(C25,Input!$G$15)-B25)</f>
        <v/>
      </c>
      <c r="AH25" s="13">
        <f>MAX(0,MIN(C25,Input!$G$15)-MAX(B25,$G$8))</f>
        <v/>
      </c>
      <c r="AI25" s="13">
        <f>MAX(0,MIN(C25,$G$106)-B25)</f>
        <v/>
      </c>
      <c r="AJ25" s="34" t="inlineStr"/>
    </row>
    <row r="26">
      <c r="A26" s="20" t="n">
        <v>14</v>
      </c>
      <c r="B26" s="21" t="n">
        <v>19.5</v>
      </c>
      <c r="C26" s="21" t="n">
        <v>21</v>
      </c>
      <c r="D26" s="13">
        <f>C26-B26</f>
        <v/>
      </c>
      <c r="E26" s="13">
        <f>(B26+C26)/2</f>
        <v/>
      </c>
      <c r="F26" s="22" t="inlineStr">
        <is>
          <t>Sand</t>
        </is>
      </c>
      <c r="G26" s="23" t="n">
        <v>49</v>
      </c>
      <c r="H26" s="12">
        <f>IF(E26&gt;$G$5,$G$7,$G$6)</f>
        <v/>
      </c>
      <c r="I26" s="12">
        <f>I25+H26*D26</f>
        <v/>
      </c>
      <c r="J26" s="12">
        <f>I26-H26*D26/2-10*MAX(E26-$G$5,0)</f>
        <v/>
      </c>
      <c r="K26" s="24" t="n"/>
      <c r="L26" s="24" t="n"/>
      <c r="M26" s="12">
        <f>IF(K26="","",K26-L26)</f>
        <v/>
      </c>
      <c r="N26" s="25" t="n">
        <v>0.848</v>
      </c>
      <c r="O26" s="26">
        <f>IF(F26="Sand",0,Input!$G$19*G26)</f>
        <v/>
      </c>
      <c r="P26" s="12">
        <f>IF(F26="Sand",27.1+0.3*MIN(Input!$G$20*G26,60)-0.00054*MIN(Input!$G$20*G26,60)^2,MIN(MAX(DEGREES(ASIN(0.8-0.094*LN(MAX(IF(M26="",10,M26),5)))),20),30))</f>
        <v/>
      </c>
      <c r="Q26" s="27">
        <f>IF(F26="Sand",Input!$G$21*Input!$G$20*G26,Input!$G$22*O26)</f>
        <v/>
      </c>
      <c r="R26" s="13">
        <f>IF(F26="Sand",Input!$G$26,0.5)</f>
        <v/>
      </c>
      <c r="S26" s="13">
        <f>Input!$G$10/2/E26</f>
        <v/>
      </c>
      <c r="T26" s="13">
        <f>Input!$G$11/2/E26</f>
        <v/>
      </c>
      <c r="U26" s="28">
        <f>1/(4*PI())*(2*S26*T26*SQRT(S26^2+T26^2+1)/(S26^2+T26^2+1+S26^2*T26^2)*(S26^2+T26^2+2)/(S26^2+T26^2+1)+ATAN2(S26^2+T26^2+1-S26^2*T26^2,2*S26*T26*SQRT(S26^2+T26^2+1)))</f>
        <v/>
      </c>
      <c r="V26" s="12">
        <f>4*Input!$G$9*U26</f>
        <v/>
      </c>
      <c r="W26" s="29">
        <f>((Input!$G$11/Input!$G$10)*LN((1+SQRT((Input!$G$11/Input!$G$10)^2+1))*SQRT((Input!$G$11/Input!$G$10)^2+(C26/(Input!$G$10/2))^2)/((Input!$G$11/Input!$G$10)*(1+SQRT((Input!$G$11/Input!$G$10)^2+(C26/(Input!$G$10/2))^2+1))))+LN(((Input!$G$11/Input!$G$10)+SQRT((Input!$G$11/Input!$G$10)^2+1))*SQRT(1+(C26/(Input!$G$10/2))^2)/((Input!$G$11/Input!$G$10)+SQRT((Input!$G$11/Input!$G$10)^2+(C26/(Input!$G$10/2))^2+1))))/PI()</f>
        <v/>
      </c>
      <c r="X26" s="29">
        <f>(C26/(Input!$G$10/2))/(2*PI())*ATAN((Input!$G$11/Input!$G$10)/((C26/(Input!$G$10/2))*SQRT((Input!$G$11/Input!$G$10)^2+(C26/(Input!$G$10/2))^2+1)))</f>
        <v/>
      </c>
      <c r="Y26" s="13">
        <f>MAX(0,C26-MAX(B26,$G$8))/D26*IF(V26&gt;=Input!$G$27*J26,1,0)</f>
        <v/>
      </c>
      <c r="Z26" s="12">
        <f>4*Input!$G$9*(Input!$G$10/2)*(1-R26^2)/Q26*((W26-W25)+(1-2*R26)/(1-R26)*(X26-X25))*1000*Y26</f>
        <v/>
      </c>
      <c r="AA26" s="30">
        <f>IF(F26="Sand",0,0.009*(K26-10))</f>
        <v/>
      </c>
      <c r="AB26" s="30">
        <f>AA26*Input!$G$23</f>
        <v/>
      </c>
      <c r="AC26" s="26">
        <f>IF(F26="Sand",0,MAX(O26/Input!$G$24,J26))</f>
        <v/>
      </c>
      <c r="AD26" s="31">
        <f>IF(F26="Sand",0,1000*D26/(1+N26)*IF(J26+V26&lt;=AC26,AB26*LOG10((J26+V26)/J26),AB26*LOG10(AC26/J26)+AA26*LOG10((J26+V26)/AC26)))*Y26</f>
        <v/>
      </c>
      <c r="AE26" s="32">
        <f>IF(F26="Sand",0,10^(INDEX(Korelasi!$C$5:$C$11,MIN(MATCH(MIN(MAX(K26,30),120),Korelasi!$A$5:$A$11,1),6))+(MIN(MAX(K26,30),120)-INDEX(Korelasi!$A$5:$A$11,MIN(MATCH(MIN(MAX(K26,30),120),Korelasi!$A$5:$A$11,1),6)))/(INDEX(Korelasi!$A$5:$A$11,MIN(MATCH(MIN(MAX(K26,30),120),Korelasi!$A$5:$A$11,1),6)+1)-INDEX(Korelasi!$A$5:$A$11,MIN(MATCH(MIN(MAX(K26,30),120),Korelasi!$A$5:$A$11,1),6)))*(INDEX(Korelasi!$C$5:$C$11,MIN(MATCH(MIN(MAX(K26,30),120),Korelasi!$A$5:$A$11,1),6)+1)-INDEX(Korelasi!$C$5:$C$11,MIN(MATCH(MIN(MAX(K26,30),120),Korelasi!$A$5:$A$11,1),6)))))</f>
        <v/>
      </c>
      <c r="AF26" s="33">
        <f>IF(OR(F26="Sand",Y26=0),0,Input!$G$25*(D26/2)^2/(AE26*1E-4*31536000))</f>
        <v/>
      </c>
      <c r="AG26" s="13">
        <f>MAX(0,MIN(C26,Input!$G$15)-B26)</f>
        <v/>
      </c>
      <c r="AH26" s="13">
        <f>MAX(0,MIN(C26,Input!$G$15)-MAX(B26,$G$8))</f>
        <v/>
      </c>
      <c r="AI26" s="13">
        <f>MAX(0,MIN(C26,$G$106)-B26)</f>
        <v/>
      </c>
      <c r="AJ26" s="34" t="inlineStr"/>
    </row>
    <row r="27">
      <c r="A27" s="20" t="n">
        <v>15</v>
      </c>
      <c r="B27" s="21" t="n">
        <v>21</v>
      </c>
      <c r="C27" s="21" t="n">
        <v>22.5</v>
      </c>
      <c r="D27" s="13">
        <f>C27-B27</f>
        <v/>
      </c>
      <c r="E27" s="13">
        <f>(B27+C27)/2</f>
        <v/>
      </c>
      <c r="F27" s="22" t="inlineStr">
        <is>
          <t>Sand</t>
        </is>
      </c>
      <c r="G27" s="23" t="n">
        <v>49</v>
      </c>
      <c r="H27" s="12">
        <f>IF(E27&gt;$G$5,$G$7,$G$6)</f>
        <v/>
      </c>
      <c r="I27" s="12">
        <f>I26+H27*D27</f>
        <v/>
      </c>
      <c r="J27" s="12">
        <f>I27-H27*D27/2-10*MAX(E27-$G$5,0)</f>
        <v/>
      </c>
      <c r="K27" s="24" t="n"/>
      <c r="L27" s="24" t="n"/>
      <c r="M27" s="12">
        <f>IF(K27="","",K27-L27)</f>
        <v/>
      </c>
      <c r="N27" s="25" t="n">
        <v>0.65</v>
      </c>
      <c r="O27" s="26">
        <f>IF(F27="Sand",0,Input!$G$19*G27)</f>
        <v/>
      </c>
      <c r="P27" s="12">
        <f>IF(F27="Sand",27.1+0.3*MIN(Input!$G$20*G27,60)-0.00054*MIN(Input!$G$20*G27,60)^2,MIN(MAX(DEGREES(ASIN(0.8-0.094*LN(MAX(IF(M27="",10,M27),5)))),20),30))</f>
        <v/>
      </c>
      <c r="Q27" s="27">
        <f>IF(F27="Sand",Input!$G$21*Input!$G$20*G27,Input!$G$22*O27)</f>
        <v/>
      </c>
      <c r="R27" s="13">
        <f>IF(F27="Sand",Input!$G$26,0.5)</f>
        <v/>
      </c>
      <c r="S27" s="13">
        <f>Input!$G$10/2/E27</f>
        <v/>
      </c>
      <c r="T27" s="13">
        <f>Input!$G$11/2/E27</f>
        <v/>
      </c>
      <c r="U27" s="28">
        <f>1/(4*PI())*(2*S27*T27*SQRT(S27^2+T27^2+1)/(S27^2+T27^2+1+S27^2*T27^2)*(S27^2+T27^2+2)/(S27^2+T27^2+1)+ATAN2(S27^2+T27^2+1-S27^2*T27^2,2*S27*T27*SQRT(S27^2+T27^2+1)))</f>
        <v/>
      </c>
      <c r="V27" s="12">
        <f>4*Input!$G$9*U27</f>
        <v/>
      </c>
      <c r="W27" s="29">
        <f>((Input!$G$11/Input!$G$10)*LN((1+SQRT((Input!$G$11/Input!$G$10)^2+1))*SQRT((Input!$G$11/Input!$G$10)^2+(C27/(Input!$G$10/2))^2)/((Input!$G$11/Input!$G$10)*(1+SQRT((Input!$G$11/Input!$G$10)^2+(C27/(Input!$G$10/2))^2+1))))+LN(((Input!$G$11/Input!$G$10)+SQRT((Input!$G$11/Input!$G$10)^2+1))*SQRT(1+(C27/(Input!$G$10/2))^2)/((Input!$G$11/Input!$G$10)+SQRT((Input!$G$11/Input!$G$10)^2+(C27/(Input!$G$10/2))^2+1))))/PI()</f>
        <v/>
      </c>
      <c r="X27" s="29">
        <f>(C27/(Input!$G$10/2))/(2*PI())*ATAN((Input!$G$11/Input!$G$10)/((C27/(Input!$G$10/2))*SQRT((Input!$G$11/Input!$G$10)^2+(C27/(Input!$G$10/2))^2+1)))</f>
        <v/>
      </c>
      <c r="Y27" s="13">
        <f>MAX(0,C27-MAX(B27,$G$8))/D27*IF(V27&gt;=Input!$G$27*J27,1,0)</f>
        <v/>
      </c>
      <c r="Z27" s="12">
        <f>4*Input!$G$9*(Input!$G$10/2)*(1-R27^2)/Q27*((W27-W26)+(1-2*R27)/(1-R27)*(X27-X26))*1000*Y27</f>
        <v/>
      </c>
      <c r="AA27" s="30">
        <f>IF(F27="Sand",0,0.009*(K27-10))</f>
        <v/>
      </c>
      <c r="AB27" s="30">
        <f>AA27*Input!$G$23</f>
        <v/>
      </c>
      <c r="AC27" s="26">
        <f>IF(F27="Sand",0,MAX(O27/Input!$G$24,J27))</f>
        <v/>
      </c>
      <c r="AD27" s="31">
        <f>IF(F27="Sand",0,1000*D27/(1+N27)*IF(J27+V27&lt;=AC27,AB27*LOG10((J27+V27)/J27),AB27*LOG10(AC27/J27)+AA27*LOG10((J27+V27)/AC27)))*Y27</f>
        <v/>
      </c>
      <c r="AE27" s="32">
        <f>IF(F27="Sand",0,10^(INDEX(Korelasi!$C$5:$C$11,MIN(MATCH(MIN(MAX(K27,30),120),Korelasi!$A$5:$A$11,1),6))+(MIN(MAX(K27,30),120)-INDEX(Korelasi!$A$5:$A$11,MIN(MATCH(MIN(MAX(K27,30),120),Korelasi!$A$5:$A$11,1),6)))/(INDEX(Korelasi!$A$5:$A$11,MIN(MATCH(MIN(MAX(K27,30),120),Korelasi!$A$5:$A$11,1),6)+1)-INDEX(Korelasi!$A$5:$A$11,MIN(MATCH(MIN(MAX(K27,30),120),Korelasi!$A$5:$A$11,1),6)))*(INDEX(Korelasi!$C$5:$C$11,MIN(MATCH(MIN(MAX(K27,30),120),Korelasi!$A$5:$A$11,1),6)+1)-INDEX(Korelasi!$C$5:$C$11,MIN(MATCH(MIN(MAX(K27,30),120),Korelasi!$A$5:$A$11,1),6)))))</f>
        <v/>
      </c>
      <c r="AF27" s="33">
        <f>IF(OR(F27="Sand",Y27=0),0,Input!$G$25*(D27/2)^2/(AE27*1E-4*31536000))</f>
        <v/>
      </c>
      <c r="AG27" s="13">
        <f>MAX(0,MIN(C27,Input!$G$15)-B27)</f>
        <v/>
      </c>
      <c r="AH27" s="13">
        <f>MAX(0,MIN(C27,Input!$G$15)-MAX(B27,$G$8))</f>
        <v/>
      </c>
      <c r="AI27" s="13">
        <f>MAX(0,MIN(C27,$G$106)-B27)</f>
        <v/>
      </c>
      <c r="AJ27" s="34" t="inlineStr"/>
    </row>
    <row r="28">
      <c r="A28" s="20" t="n">
        <v>16</v>
      </c>
      <c r="B28" s="21" t="n">
        <v>22.5</v>
      </c>
      <c r="C28" s="21" t="n">
        <v>24</v>
      </c>
      <c r="D28" s="13">
        <f>C28-B28</f>
        <v/>
      </c>
      <c r="E28" s="13">
        <f>(B28+C28)/2</f>
        <v/>
      </c>
      <c r="F28" s="22" t="inlineStr">
        <is>
          <t>Clay</t>
        </is>
      </c>
      <c r="G28" s="23" t="n">
        <v>44</v>
      </c>
      <c r="H28" s="12">
        <f>IF(E28&gt;$G$5,$G$7,$G$6)</f>
        <v/>
      </c>
      <c r="I28" s="12">
        <f>I27+H28*D28</f>
        <v/>
      </c>
      <c r="J28" s="12">
        <f>I28-H28*D28/2-10*MAX(E28-$G$5,0)</f>
        <v/>
      </c>
      <c r="K28" s="24" t="n">
        <v>31.31</v>
      </c>
      <c r="L28" s="24" t="n">
        <v>20.24</v>
      </c>
      <c r="M28" s="12">
        <f>IF(K28="","",K28-L28)</f>
        <v/>
      </c>
      <c r="N28" s="25" t="n">
        <v>0.662</v>
      </c>
      <c r="O28" s="26">
        <f>IF(F28="Sand",0,Input!$G$19*G28)</f>
        <v/>
      </c>
      <c r="P28" s="12">
        <f>IF(F28="Sand",27.1+0.3*MIN(Input!$G$20*G28,60)-0.00054*MIN(Input!$G$20*G28,60)^2,MIN(MAX(DEGREES(ASIN(0.8-0.094*LN(MAX(IF(M28="",10,M28),5)))),20),30))</f>
        <v/>
      </c>
      <c r="Q28" s="27">
        <f>IF(F28="Sand",Input!$G$21*Input!$G$20*G28,Input!$G$22*O28)</f>
        <v/>
      </c>
      <c r="R28" s="13">
        <f>IF(F28="Sand",Input!$G$26,0.5)</f>
        <v/>
      </c>
      <c r="S28" s="13">
        <f>Input!$G$10/2/E28</f>
        <v/>
      </c>
      <c r="T28" s="13">
        <f>Input!$G$11/2/E28</f>
        <v/>
      </c>
      <c r="U28" s="28">
        <f>1/(4*PI())*(2*S28*T28*SQRT(S28^2+T28^2+1)/(S28^2+T28^2+1+S28^2*T28^2)*(S28^2+T28^2+2)/(S28^2+T28^2+1)+ATAN2(S28^2+T28^2+1-S28^2*T28^2,2*S28*T28*SQRT(S28^2+T28^2+1)))</f>
        <v/>
      </c>
      <c r="V28" s="12">
        <f>4*Input!$G$9*U28</f>
        <v/>
      </c>
      <c r="W28" s="29">
        <f>((Input!$G$11/Input!$G$10)*LN((1+SQRT((Input!$G$11/Input!$G$10)^2+1))*SQRT((Input!$G$11/Input!$G$10)^2+(C28/(Input!$G$10/2))^2)/((Input!$G$11/Input!$G$10)*(1+SQRT((Input!$G$11/Input!$G$10)^2+(C28/(Input!$G$10/2))^2+1))))+LN(((Input!$G$11/Input!$G$10)+SQRT((Input!$G$11/Input!$G$10)^2+1))*SQRT(1+(C28/(Input!$G$10/2))^2)/((Input!$G$11/Input!$G$10)+SQRT((Input!$G$11/Input!$G$10)^2+(C28/(Input!$G$10/2))^2+1))))/PI()</f>
        <v/>
      </c>
      <c r="X28" s="29">
        <f>(C28/(Input!$G$10/2))/(2*PI())*ATAN((Input!$G$11/Input!$G$10)/((C28/(Input!$G$10/2))*SQRT((Input!$G$11/Input!$G$10)^2+(C28/(Input!$G$10/2))^2+1)))</f>
        <v/>
      </c>
      <c r="Y28" s="13">
        <f>MAX(0,C28-MAX(B28,$G$8))/D28*IF(V28&gt;=Input!$G$27*J28,1,0)</f>
        <v/>
      </c>
      <c r="Z28" s="12">
        <f>4*Input!$G$9*(Input!$G$10/2)*(1-R28^2)/Q28*((W28-W27)+(1-2*R28)/(1-R28)*(X28-X27))*1000*Y28</f>
        <v/>
      </c>
      <c r="AA28" s="30">
        <f>IF(F28="Sand",0,0.009*(K28-10))</f>
        <v/>
      </c>
      <c r="AB28" s="30">
        <f>AA28*Input!$G$23</f>
        <v/>
      </c>
      <c r="AC28" s="26">
        <f>IF(F28="Sand",0,MAX(O28/Input!$G$24,J28))</f>
        <v/>
      </c>
      <c r="AD28" s="31">
        <f>IF(F28="Sand",0,1000*D28/(1+N28)*IF(J28+V28&lt;=AC28,AB28*LOG10((J28+V28)/J28),AB28*LOG10(AC28/J28)+AA28*LOG10((J28+V28)/AC28)))*Y28</f>
        <v/>
      </c>
      <c r="AE28" s="32">
        <f>IF(F28="Sand",0,10^(INDEX(Korelasi!$C$5:$C$11,MIN(MATCH(MIN(MAX(K28,30),120),Korelasi!$A$5:$A$11,1),6))+(MIN(MAX(K28,30),120)-INDEX(Korelasi!$A$5:$A$11,MIN(MATCH(MIN(MAX(K28,30),120),Korelasi!$A$5:$A$11,1),6)))/(INDEX(Korelasi!$A$5:$A$11,MIN(MATCH(MIN(MAX(K28,30),120),Korelasi!$A$5:$A$11,1),6)+1)-INDEX(Korelasi!$A$5:$A$11,MIN(MATCH(MIN(MAX(K28,30),120),Korelasi!$A$5:$A$11,1),6)))*(INDEX(Korelasi!$C$5:$C$11,MIN(MATCH(MIN(MAX(K28,30),120),Korelasi!$A$5:$A$11,1),6)+1)-INDEX(Korelasi!$C$5:$C$11,MIN(MATCH(MIN(MAX(K28,30),120),Korelasi!$A$5:$A$11,1),6)))))</f>
        <v/>
      </c>
      <c r="AF28" s="33">
        <f>IF(OR(F28="Sand",Y28=0),0,Input!$G$25*(D28/2)^2/(AE28*1E-4*31536000))</f>
        <v/>
      </c>
      <c r="AG28" s="13">
        <f>MAX(0,MIN(C28,Input!$G$15)-B28)</f>
        <v/>
      </c>
      <c r="AH28" s="13">
        <f>MAX(0,MIN(C28,Input!$G$15)-MAX(B28,$G$8))</f>
        <v/>
      </c>
      <c r="AI28" s="13">
        <f>MAX(0,MIN(C28,$G$106)-B28)</f>
        <v/>
      </c>
      <c r="AJ28" s="34" t="inlineStr"/>
    </row>
    <row r="29">
      <c r="A29" s="20" t="n">
        <v>17</v>
      </c>
      <c r="B29" s="21" t="n">
        <v>24</v>
      </c>
      <c r="C29" s="21" t="n">
        <v>25.5</v>
      </c>
      <c r="D29" s="13">
        <f>C29-B29</f>
        <v/>
      </c>
      <c r="E29" s="13">
        <f>(B29+C29)/2</f>
        <v/>
      </c>
      <c r="F29" s="22" t="inlineStr">
        <is>
          <t>Clay</t>
        </is>
      </c>
      <c r="G29" s="23" t="n">
        <v>20</v>
      </c>
      <c r="H29" s="12">
        <f>IF(E29&gt;$G$5,$G$7,$G$6)</f>
        <v/>
      </c>
      <c r="I29" s="12">
        <f>I28+H29*D29</f>
        <v/>
      </c>
      <c r="J29" s="12">
        <f>I29-H29*D29/2-10*MAX(E29-$G$5,0)</f>
        <v/>
      </c>
      <c r="K29" s="24" t="n">
        <v>34.63</v>
      </c>
      <c r="L29" s="24" t="n">
        <v>24.12</v>
      </c>
      <c r="M29" s="12">
        <f>IF(K29="","",K29-L29)</f>
        <v/>
      </c>
      <c r="N29" s="25" t="n">
        <v>0.775</v>
      </c>
      <c r="O29" s="26">
        <f>IF(F29="Sand",0,Input!$G$19*G29)</f>
        <v/>
      </c>
      <c r="P29" s="12">
        <f>IF(F29="Sand",27.1+0.3*MIN(Input!$G$20*G29,60)-0.00054*MIN(Input!$G$20*G29,60)^2,MIN(MAX(DEGREES(ASIN(0.8-0.094*LN(MAX(IF(M29="",10,M29),5)))),20),30))</f>
        <v/>
      </c>
      <c r="Q29" s="27">
        <f>IF(F29="Sand",Input!$G$21*Input!$G$20*G29,Input!$G$22*O29)</f>
        <v/>
      </c>
      <c r="R29" s="13">
        <f>IF(F29="Sand",Input!$G$26,0.5)</f>
        <v/>
      </c>
      <c r="S29" s="13">
        <f>Input!$G$10/2/E29</f>
        <v/>
      </c>
      <c r="T29" s="13">
        <f>Input!$G$11/2/E29</f>
        <v/>
      </c>
      <c r="U29" s="28">
        <f>1/(4*PI())*(2*S29*T29*SQRT(S29^2+T29^2+1)/(S29^2+T29^2+1+S29^2*T29^2)*(S29^2+T29^2+2)/(S29^2+T29^2+1)+ATAN2(S29^2+T29^2+1-S29^2*T29^2,2*S29*T29*SQRT(S29^2+T29^2+1)))</f>
        <v/>
      </c>
      <c r="V29" s="12">
        <f>4*Input!$G$9*U29</f>
        <v/>
      </c>
      <c r="W29" s="29">
        <f>((Input!$G$11/Input!$G$10)*LN((1+SQRT((Input!$G$11/Input!$G$10)^2+1))*SQRT((Input!$G$11/Input!$G$10)^2+(C29/(Input!$G$10/2))^2)/((Input!$G$11/Input!$G$10)*(1+SQRT((Input!$G$11/Input!$G$10)^2+(C29/(Input!$G$10/2))^2+1))))+LN(((Input!$G$11/Input!$G$10)+SQRT((Input!$G$11/Input!$G$10)^2+1))*SQRT(1+(C29/(Input!$G$10/2))^2)/((Input!$G$11/Input!$G$10)+SQRT((Input!$G$11/Input!$G$10)^2+(C29/(Input!$G$10/2))^2+1))))/PI()</f>
        <v/>
      </c>
      <c r="X29" s="29">
        <f>(C29/(Input!$G$10/2))/(2*PI())*ATAN((Input!$G$11/Input!$G$10)/((C29/(Input!$G$10/2))*SQRT((Input!$G$11/Input!$G$10)^2+(C29/(Input!$G$10/2))^2+1)))</f>
        <v/>
      </c>
      <c r="Y29" s="13">
        <f>MAX(0,C29-MAX(B29,$G$8))/D29*IF(V29&gt;=Input!$G$27*J29,1,0)</f>
        <v/>
      </c>
      <c r="Z29" s="12">
        <f>4*Input!$G$9*(Input!$G$10/2)*(1-R29^2)/Q29*((W29-W28)+(1-2*R29)/(1-R29)*(X29-X28))*1000*Y29</f>
        <v/>
      </c>
      <c r="AA29" s="30">
        <f>IF(F29="Sand",0,0.009*(K29-10))</f>
        <v/>
      </c>
      <c r="AB29" s="30">
        <f>AA29*Input!$G$23</f>
        <v/>
      </c>
      <c r="AC29" s="26">
        <f>IF(F29="Sand",0,MAX(O29/Input!$G$24,J29))</f>
        <v/>
      </c>
      <c r="AD29" s="31">
        <f>IF(F29="Sand",0,1000*D29/(1+N29)*IF(J29+V29&lt;=AC29,AB29*LOG10((J29+V29)/J29),AB29*LOG10(AC29/J29)+AA29*LOG10((J29+V29)/AC29)))*Y29</f>
        <v/>
      </c>
      <c r="AE29" s="32">
        <f>IF(F29="Sand",0,10^(INDEX(Korelasi!$C$5:$C$11,MIN(MATCH(MIN(MAX(K29,30),120),Korelasi!$A$5:$A$11,1),6))+(MIN(MAX(K29,30),120)-INDEX(Korelasi!$A$5:$A$11,MIN(MATCH(MIN(MAX(K29,30),120),Korelasi!$A$5:$A$11,1),6)))/(INDEX(Korelasi!$A$5:$A$11,MIN(MATCH(MIN(MAX(K29,30),120),Korelasi!$A$5:$A$11,1),6)+1)-INDEX(Korelasi!$A$5:$A$11,MIN(MATCH(MIN(MAX(K29,30),120),Korelasi!$A$5:$A$11,1),6)))*(INDEX(Korelasi!$C$5:$C$11,MIN(MATCH(MIN(MAX(K29,30),120),Korelasi!$A$5:$A$11,1),6)+1)-INDEX(Korelasi!$C$5:$C$11,MIN(MATCH(MIN(MAX(K29,30),120),Korelasi!$A$5:$A$11,1),6)))))</f>
        <v/>
      </c>
      <c r="AF29" s="33">
        <f>IF(OR(F29="Sand",Y29=0),0,Input!$G$25*(D29/2)^2/(AE29*1E-4*31536000))</f>
        <v/>
      </c>
      <c r="AG29" s="13">
        <f>MAX(0,MIN(C29,Input!$G$15)-B29)</f>
        <v/>
      </c>
      <c r="AH29" s="13">
        <f>MAX(0,MIN(C29,Input!$G$15)-MAX(B29,$G$8))</f>
        <v/>
      </c>
      <c r="AI29" s="13">
        <f>MAX(0,MIN(C29,$G$106)-B29)</f>
        <v/>
      </c>
      <c r="AJ29" s="34" t="inlineStr"/>
    </row>
    <row r="30">
      <c r="A30" s="20" t="n">
        <v>18</v>
      </c>
      <c r="B30" s="21" t="n">
        <v>25.5</v>
      </c>
      <c r="C30" s="21" t="n">
        <v>27</v>
      </c>
      <c r="D30" s="13">
        <f>C30-B30</f>
        <v/>
      </c>
      <c r="E30" s="13">
        <f>(B30+C30)/2</f>
        <v/>
      </c>
      <c r="F30" s="22" t="inlineStr">
        <is>
          <t>Clay</t>
        </is>
      </c>
      <c r="G30" s="23" t="n">
        <v>21</v>
      </c>
      <c r="H30" s="12">
        <f>IF(E30&gt;$G$5,$G$7,$G$6)</f>
        <v/>
      </c>
      <c r="I30" s="12">
        <f>I29+H30*D30</f>
        <v/>
      </c>
      <c r="J30" s="12">
        <f>I30-H30*D30/2-10*MAX(E30-$G$5,0)</f>
        <v/>
      </c>
      <c r="K30" s="24" t="n">
        <v>29.665</v>
      </c>
      <c r="L30" s="24" t="n">
        <v>19.806</v>
      </c>
      <c r="M30" s="12">
        <f>IF(K30="","",K30-L30)</f>
        <v/>
      </c>
      <c r="N30" s="25" t="n">
        <v>0.401</v>
      </c>
      <c r="O30" s="26">
        <f>IF(F30="Sand",0,Input!$G$19*G30)</f>
        <v/>
      </c>
      <c r="P30" s="12">
        <f>IF(F30="Sand",27.1+0.3*MIN(Input!$G$20*G30,60)-0.00054*MIN(Input!$G$20*G30,60)^2,MIN(MAX(DEGREES(ASIN(0.8-0.094*LN(MAX(IF(M30="",10,M30),5)))),20),30))</f>
        <v/>
      </c>
      <c r="Q30" s="27">
        <f>IF(F30="Sand",Input!$G$21*Input!$G$20*G30,Input!$G$22*O30)</f>
        <v/>
      </c>
      <c r="R30" s="13">
        <f>IF(F30="Sand",Input!$G$26,0.5)</f>
        <v/>
      </c>
      <c r="S30" s="13">
        <f>Input!$G$10/2/E30</f>
        <v/>
      </c>
      <c r="T30" s="13">
        <f>Input!$G$11/2/E30</f>
        <v/>
      </c>
      <c r="U30" s="28">
        <f>1/(4*PI())*(2*S30*T30*SQRT(S30^2+T30^2+1)/(S30^2+T30^2+1+S30^2*T30^2)*(S30^2+T30^2+2)/(S30^2+T30^2+1)+ATAN2(S30^2+T30^2+1-S30^2*T30^2,2*S30*T30*SQRT(S30^2+T30^2+1)))</f>
        <v/>
      </c>
      <c r="V30" s="12">
        <f>4*Input!$G$9*U30</f>
        <v/>
      </c>
      <c r="W30" s="29">
        <f>((Input!$G$11/Input!$G$10)*LN((1+SQRT((Input!$G$11/Input!$G$10)^2+1))*SQRT((Input!$G$11/Input!$G$10)^2+(C30/(Input!$G$10/2))^2)/((Input!$G$11/Input!$G$10)*(1+SQRT((Input!$G$11/Input!$G$10)^2+(C30/(Input!$G$10/2))^2+1))))+LN(((Input!$G$11/Input!$G$10)+SQRT((Input!$G$11/Input!$G$10)^2+1))*SQRT(1+(C30/(Input!$G$10/2))^2)/((Input!$G$11/Input!$G$10)+SQRT((Input!$G$11/Input!$G$10)^2+(C30/(Input!$G$10/2))^2+1))))/PI()</f>
        <v/>
      </c>
      <c r="X30" s="29">
        <f>(C30/(Input!$G$10/2))/(2*PI())*ATAN((Input!$G$11/Input!$G$10)/((C30/(Input!$G$10/2))*SQRT((Input!$G$11/Input!$G$10)^2+(C30/(Input!$G$10/2))^2+1)))</f>
        <v/>
      </c>
      <c r="Y30" s="13">
        <f>MAX(0,C30-MAX(B30,$G$8))/D30*IF(V30&gt;=Input!$G$27*J30,1,0)</f>
        <v/>
      </c>
      <c r="Z30" s="12">
        <f>4*Input!$G$9*(Input!$G$10/2)*(1-R30^2)/Q30*((W30-W29)+(1-2*R30)/(1-R30)*(X30-X29))*1000*Y30</f>
        <v/>
      </c>
      <c r="AA30" s="30">
        <f>IF(F30="Sand",0,0.009*(K30-10))</f>
        <v/>
      </c>
      <c r="AB30" s="30">
        <f>AA30*Input!$G$23</f>
        <v/>
      </c>
      <c r="AC30" s="26">
        <f>IF(F30="Sand",0,MAX(O30/Input!$G$24,J30))</f>
        <v/>
      </c>
      <c r="AD30" s="31">
        <f>IF(F30="Sand",0,1000*D30/(1+N30)*IF(J30+V30&lt;=AC30,AB30*LOG10((J30+V30)/J30),AB30*LOG10(AC30/J30)+AA30*LOG10((J30+V30)/AC30)))*Y30</f>
        <v/>
      </c>
      <c r="AE30" s="32">
        <f>IF(F30="Sand",0,10^(INDEX(Korelasi!$C$5:$C$11,MIN(MATCH(MIN(MAX(K30,30),120),Korelasi!$A$5:$A$11,1),6))+(MIN(MAX(K30,30),120)-INDEX(Korelasi!$A$5:$A$11,MIN(MATCH(MIN(MAX(K30,30),120),Korelasi!$A$5:$A$11,1),6)))/(INDEX(Korelasi!$A$5:$A$11,MIN(MATCH(MIN(MAX(K30,30),120),Korelasi!$A$5:$A$11,1),6)+1)-INDEX(Korelasi!$A$5:$A$11,MIN(MATCH(MIN(MAX(K30,30),120),Korelasi!$A$5:$A$11,1),6)))*(INDEX(Korelasi!$C$5:$C$11,MIN(MATCH(MIN(MAX(K30,30),120),Korelasi!$A$5:$A$11,1),6)+1)-INDEX(Korelasi!$C$5:$C$11,MIN(MATCH(MIN(MAX(K30,30),120),Korelasi!$A$5:$A$11,1),6)))))</f>
        <v/>
      </c>
      <c r="AF30" s="33">
        <f>IF(OR(F30="Sand",Y30=0),0,Input!$G$25*(D30/2)^2/(AE30*1E-4*31536000))</f>
        <v/>
      </c>
      <c r="AG30" s="13">
        <f>MAX(0,MIN(C30,Input!$G$15)-B30)</f>
        <v/>
      </c>
      <c r="AH30" s="13">
        <f>MAX(0,MIN(C30,Input!$G$15)-MAX(B30,$G$8))</f>
        <v/>
      </c>
      <c r="AI30" s="13">
        <f>MAX(0,MIN(C30,$G$106)-B30)</f>
        <v/>
      </c>
      <c r="AJ30" s="34" t="inlineStr">
        <is>
          <t>LL/PL/e0 = rata-rata BH</t>
        </is>
      </c>
    </row>
    <row r="31">
      <c r="A31" s="20" t="n">
        <v>19</v>
      </c>
      <c r="B31" s="21" t="n">
        <v>27</v>
      </c>
      <c r="C31" s="21" t="n">
        <v>28.5</v>
      </c>
      <c r="D31" s="13">
        <f>C31-B31</f>
        <v/>
      </c>
      <c r="E31" s="13">
        <f>(B31+C31)/2</f>
        <v/>
      </c>
      <c r="F31" s="22" t="inlineStr">
        <is>
          <t>Sand</t>
        </is>
      </c>
      <c r="G31" s="23" t="n">
        <v>21</v>
      </c>
      <c r="H31" s="12">
        <f>IF(E31&gt;$G$5,$G$7,$G$6)</f>
        <v/>
      </c>
      <c r="I31" s="12">
        <f>I30+H31*D31</f>
        <v/>
      </c>
      <c r="J31" s="12">
        <f>I31-H31*D31/2-10*MAX(E31-$G$5,0)</f>
        <v/>
      </c>
      <c r="K31" s="24" t="n"/>
      <c r="L31" s="24" t="n"/>
      <c r="M31" s="12">
        <f>IF(K31="","",K31-L31)</f>
        <v/>
      </c>
      <c r="N31" s="25" t="n">
        <v>0.474</v>
      </c>
      <c r="O31" s="26">
        <f>IF(F31="Sand",0,Input!$G$19*G31)</f>
        <v/>
      </c>
      <c r="P31" s="12">
        <f>IF(F31="Sand",27.1+0.3*MIN(Input!$G$20*G31,60)-0.00054*MIN(Input!$G$20*G31,60)^2,MIN(MAX(DEGREES(ASIN(0.8-0.094*LN(MAX(IF(M31="",10,M31),5)))),20),30))</f>
        <v/>
      </c>
      <c r="Q31" s="27">
        <f>IF(F31="Sand",Input!$G$21*Input!$G$20*G31,Input!$G$22*O31)</f>
        <v/>
      </c>
      <c r="R31" s="13">
        <f>IF(F31="Sand",Input!$G$26,0.5)</f>
        <v/>
      </c>
      <c r="S31" s="13">
        <f>Input!$G$10/2/E31</f>
        <v/>
      </c>
      <c r="T31" s="13">
        <f>Input!$G$11/2/E31</f>
        <v/>
      </c>
      <c r="U31" s="28">
        <f>1/(4*PI())*(2*S31*T31*SQRT(S31^2+T31^2+1)/(S31^2+T31^2+1+S31^2*T31^2)*(S31^2+T31^2+2)/(S31^2+T31^2+1)+ATAN2(S31^2+T31^2+1-S31^2*T31^2,2*S31*T31*SQRT(S31^2+T31^2+1)))</f>
        <v/>
      </c>
      <c r="V31" s="12">
        <f>4*Input!$G$9*U31</f>
        <v/>
      </c>
      <c r="W31" s="29">
        <f>((Input!$G$11/Input!$G$10)*LN((1+SQRT((Input!$G$11/Input!$G$10)^2+1))*SQRT((Input!$G$11/Input!$G$10)^2+(C31/(Input!$G$10/2))^2)/((Input!$G$11/Input!$G$10)*(1+SQRT((Input!$G$11/Input!$G$10)^2+(C31/(Input!$G$10/2))^2+1))))+LN(((Input!$G$11/Input!$G$10)+SQRT((Input!$G$11/Input!$G$10)^2+1))*SQRT(1+(C31/(Input!$G$10/2))^2)/((Input!$G$11/Input!$G$10)+SQRT((Input!$G$11/Input!$G$10)^2+(C31/(Input!$G$10/2))^2+1))))/PI()</f>
        <v/>
      </c>
      <c r="X31" s="29">
        <f>(C31/(Input!$G$10/2))/(2*PI())*ATAN((Input!$G$11/Input!$G$10)/((C31/(Input!$G$10/2))*SQRT((Input!$G$11/Input!$G$10)^2+(C31/(Input!$G$10/2))^2+1)))</f>
        <v/>
      </c>
      <c r="Y31" s="13">
        <f>MAX(0,C31-MAX(B31,$G$8))/D31*IF(V31&gt;=Input!$G$27*J31,1,0)</f>
        <v/>
      </c>
      <c r="Z31" s="12">
        <f>4*Input!$G$9*(Input!$G$10/2)*(1-R31^2)/Q31*((W31-W30)+(1-2*R31)/(1-R31)*(X31-X30))*1000*Y31</f>
        <v/>
      </c>
      <c r="AA31" s="30">
        <f>IF(F31="Sand",0,0.009*(K31-10))</f>
        <v/>
      </c>
      <c r="AB31" s="30">
        <f>AA31*Input!$G$23</f>
        <v/>
      </c>
      <c r="AC31" s="26">
        <f>IF(F31="Sand",0,MAX(O31/Input!$G$24,J31))</f>
        <v/>
      </c>
      <c r="AD31" s="31">
        <f>IF(F31="Sand",0,1000*D31/(1+N31)*IF(J31+V31&lt;=AC31,AB31*LOG10((J31+V31)/J31),AB31*LOG10(AC31/J31)+AA31*LOG10((J31+V31)/AC31)))*Y31</f>
        <v/>
      </c>
      <c r="AE31" s="32">
        <f>IF(F31="Sand",0,10^(INDEX(Korelasi!$C$5:$C$11,MIN(MATCH(MIN(MAX(K31,30),120),Korelasi!$A$5:$A$11,1),6))+(MIN(MAX(K31,30),120)-INDEX(Korelasi!$A$5:$A$11,MIN(MATCH(MIN(MAX(K31,30),120),Korelasi!$A$5:$A$11,1),6)))/(INDEX(Korelasi!$A$5:$A$11,MIN(MATCH(MIN(MAX(K31,30),120),Korelasi!$A$5:$A$11,1),6)+1)-INDEX(Korelasi!$A$5:$A$11,MIN(MATCH(MIN(MAX(K31,30),120),Korelasi!$A$5:$A$11,1),6)))*(INDEX(Korelasi!$C$5:$C$11,MIN(MATCH(MIN(MAX(K31,30),120),Korelasi!$A$5:$A$11,1),6)+1)-INDEX(Korelasi!$C$5:$C$11,MIN(MATCH(MIN(MAX(K31,30),120),Korelasi!$A$5:$A$11,1),6)))))</f>
        <v/>
      </c>
      <c r="AF31" s="33">
        <f>IF(OR(F31="Sand",Y31=0),0,Input!$G$25*(D31/2)^2/(AE31*1E-4*31536000))</f>
        <v/>
      </c>
      <c r="AG31" s="13">
        <f>MAX(0,MIN(C31,Input!$G$15)-B31)</f>
        <v/>
      </c>
      <c r="AH31" s="13">
        <f>MAX(0,MIN(C31,Input!$G$15)-MAX(B31,$G$8))</f>
        <v/>
      </c>
      <c r="AI31" s="13">
        <f>MAX(0,MIN(C31,$G$106)-B31)</f>
        <v/>
      </c>
      <c r="AJ31" s="34" t="inlineStr"/>
    </row>
    <row r="32">
      <c r="A32" s="20" t="n">
        <v>20</v>
      </c>
      <c r="B32" s="21" t="n">
        <v>28.5</v>
      </c>
      <c r="C32" s="21" t="n">
        <v>30</v>
      </c>
      <c r="D32" s="13">
        <f>C32-B32</f>
        <v/>
      </c>
      <c r="E32" s="13">
        <f>(B32+C32)/2</f>
        <v/>
      </c>
      <c r="F32" s="22" t="inlineStr">
        <is>
          <t>Clay</t>
        </is>
      </c>
      <c r="G32" s="23" t="n">
        <v>48</v>
      </c>
      <c r="H32" s="12">
        <f>IF(E32&gt;$G$5,$G$7,$G$6)</f>
        <v/>
      </c>
      <c r="I32" s="12">
        <f>I31+H32*D32</f>
        <v/>
      </c>
      <c r="J32" s="12">
        <f>I32-H32*D32/2-10*MAX(E32-$G$5,0)</f>
        <v/>
      </c>
      <c r="K32" s="24" t="n">
        <v>37.95</v>
      </c>
      <c r="L32" s="24" t="n">
        <v>20.57</v>
      </c>
      <c r="M32" s="12">
        <f>IF(K32="","",K32-L32)</f>
        <v/>
      </c>
      <c r="N32" s="25" t="n">
        <v>0.745</v>
      </c>
      <c r="O32" s="26">
        <f>IF(F32="Sand",0,Input!$G$19*G32)</f>
        <v/>
      </c>
      <c r="P32" s="12">
        <f>IF(F32="Sand",27.1+0.3*MIN(Input!$G$20*G32,60)-0.00054*MIN(Input!$G$20*G32,60)^2,MIN(MAX(DEGREES(ASIN(0.8-0.094*LN(MAX(IF(M32="",10,M32),5)))),20),30))</f>
        <v/>
      </c>
      <c r="Q32" s="27">
        <f>IF(F32="Sand",Input!$G$21*Input!$G$20*G32,Input!$G$22*O32)</f>
        <v/>
      </c>
      <c r="R32" s="13">
        <f>IF(F32="Sand",Input!$G$26,0.5)</f>
        <v/>
      </c>
      <c r="S32" s="13">
        <f>Input!$G$10/2/E32</f>
        <v/>
      </c>
      <c r="T32" s="13">
        <f>Input!$G$11/2/E32</f>
        <v/>
      </c>
      <c r="U32" s="28">
        <f>1/(4*PI())*(2*S32*T32*SQRT(S32^2+T32^2+1)/(S32^2+T32^2+1+S32^2*T32^2)*(S32^2+T32^2+2)/(S32^2+T32^2+1)+ATAN2(S32^2+T32^2+1-S32^2*T32^2,2*S32*T32*SQRT(S32^2+T32^2+1)))</f>
        <v/>
      </c>
      <c r="V32" s="12">
        <f>4*Input!$G$9*U32</f>
        <v/>
      </c>
      <c r="W32" s="29">
        <f>((Input!$G$11/Input!$G$10)*LN((1+SQRT((Input!$G$11/Input!$G$10)^2+1))*SQRT((Input!$G$11/Input!$G$10)^2+(C32/(Input!$G$10/2))^2)/((Input!$G$11/Input!$G$10)*(1+SQRT((Input!$G$11/Input!$G$10)^2+(C32/(Input!$G$10/2))^2+1))))+LN(((Input!$G$11/Input!$G$10)+SQRT((Input!$G$11/Input!$G$10)^2+1))*SQRT(1+(C32/(Input!$G$10/2))^2)/((Input!$G$11/Input!$G$10)+SQRT((Input!$G$11/Input!$G$10)^2+(C32/(Input!$G$10/2))^2+1))))/PI()</f>
        <v/>
      </c>
      <c r="X32" s="29">
        <f>(C32/(Input!$G$10/2))/(2*PI())*ATAN((Input!$G$11/Input!$G$10)/((C32/(Input!$G$10/2))*SQRT((Input!$G$11/Input!$G$10)^2+(C32/(Input!$G$10/2))^2+1)))</f>
        <v/>
      </c>
      <c r="Y32" s="13">
        <f>MAX(0,C32-MAX(B32,$G$8))/D32*IF(V32&gt;=Input!$G$27*J32,1,0)</f>
        <v/>
      </c>
      <c r="Z32" s="12">
        <f>4*Input!$G$9*(Input!$G$10/2)*(1-R32^2)/Q32*((W32-W31)+(1-2*R32)/(1-R32)*(X32-X31))*1000*Y32</f>
        <v/>
      </c>
      <c r="AA32" s="30">
        <f>IF(F32="Sand",0,0.009*(K32-10))</f>
        <v/>
      </c>
      <c r="AB32" s="30">
        <f>AA32*Input!$G$23</f>
        <v/>
      </c>
      <c r="AC32" s="26">
        <f>IF(F32="Sand",0,MAX(O32/Input!$G$24,J32))</f>
        <v/>
      </c>
      <c r="AD32" s="31">
        <f>IF(F32="Sand",0,1000*D32/(1+N32)*IF(J32+V32&lt;=AC32,AB32*LOG10((J32+V32)/J32),AB32*LOG10(AC32/J32)+AA32*LOG10((J32+V32)/AC32)))*Y32</f>
        <v/>
      </c>
      <c r="AE32" s="32">
        <f>IF(F32="Sand",0,10^(INDEX(Korelasi!$C$5:$C$11,MIN(MATCH(MIN(MAX(K32,30),120),Korelasi!$A$5:$A$11,1),6))+(MIN(MAX(K32,30),120)-INDEX(Korelasi!$A$5:$A$11,MIN(MATCH(MIN(MAX(K32,30),120),Korelasi!$A$5:$A$11,1),6)))/(INDEX(Korelasi!$A$5:$A$11,MIN(MATCH(MIN(MAX(K32,30),120),Korelasi!$A$5:$A$11,1),6)+1)-INDEX(Korelasi!$A$5:$A$11,MIN(MATCH(MIN(MAX(K32,30),120),Korelasi!$A$5:$A$11,1),6)))*(INDEX(Korelasi!$C$5:$C$11,MIN(MATCH(MIN(MAX(K32,30),120),Korelasi!$A$5:$A$11,1),6)+1)-INDEX(Korelasi!$C$5:$C$11,MIN(MATCH(MIN(MAX(K32,30),120),Korelasi!$A$5:$A$11,1),6)))))</f>
        <v/>
      </c>
      <c r="AF32" s="33">
        <f>IF(OR(F32="Sand",Y32=0),0,Input!$G$25*(D32/2)^2/(AE32*1E-4*31536000))</f>
        <v/>
      </c>
      <c r="AG32" s="13">
        <f>MAX(0,MIN(C32,Input!$G$15)-B32)</f>
        <v/>
      </c>
      <c r="AH32" s="13">
        <f>MAX(0,MIN(C32,Input!$G$15)-MAX(B32,$G$8))</f>
        <v/>
      </c>
      <c r="AI32" s="13">
        <f>MAX(0,MIN(C32,$G$106)-B32)</f>
        <v/>
      </c>
      <c r="AJ32" s="34" t="inlineStr"/>
    </row>
    <row r="33">
      <c r="A33" s="20" t="n">
        <v>21</v>
      </c>
      <c r="B33" s="21" t="n">
        <v>30</v>
      </c>
      <c r="C33" s="21" t="n">
        <v>31.5</v>
      </c>
      <c r="D33" s="13">
        <f>C33-B33</f>
        <v/>
      </c>
      <c r="E33" s="13">
        <f>(B33+C33)/2</f>
        <v/>
      </c>
      <c r="F33" s="22" t="inlineStr">
        <is>
          <t>Clay</t>
        </is>
      </c>
      <c r="G33" s="23" t="n">
        <v>50</v>
      </c>
      <c r="H33" s="12">
        <f>IF(E33&gt;$G$5,$G$7,$G$6)</f>
        <v/>
      </c>
      <c r="I33" s="12">
        <f>I32+H33*D33</f>
        <v/>
      </c>
      <c r="J33" s="12">
        <f>I33-H33*D33/2-10*MAX(E33-$G$5,0)</f>
        <v/>
      </c>
      <c r="K33" s="24" t="n">
        <v>29.665</v>
      </c>
      <c r="L33" s="24" t="n">
        <v>19.806</v>
      </c>
      <c r="M33" s="12">
        <f>IF(K33="","",K33-L33)</f>
        <v/>
      </c>
      <c r="N33" s="25" t="n">
        <v>0.681</v>
      </c>
      <c r="O33" s="26">
        <f>IF(F33="Sand",0,Input!$G$19*G33)</f>
        <v/>
      </c>
      <c r="P33" s="12">
        <f>IF(F33="Sand",27.1+0.3*MIN(Input!$G$20*G33,60)-0.00054*MIN(Input!$G$20*G33,60)^2,MIN(MAX(DEGREES(ASIN(0.8-0.094*LN(MAX(IF(M33="",10,M33),5)))),20),30))</f>
        <v/>
      </c>
      <c r="Q33" s="27">
        <f>IF(F33="Sand",Input!$G$21*Input!$G$20*G33,Input!$G$22*O33)</f>
        <v/>
      </c>
      <c r="R33" s="13">
        <f>IF(F33="Sand",Input!$G$26,0.5)</f>
        <v/>
      </c>
      <c r="S33" s="13">
        <f>Input!$G$10/2/E33</f>
        <v/>
      </c>
      <c r="T33" s="13">
        <f>Input!$G$11/2/E33</f>
        <v/>
      </c>
      <c r="U33" s="28">
        <f>1/(4*PI())*(2*S33*T33*SQRT(S33^2+T33^2+1)/(S33^2+T33^2+1+S33^2*T33^2)*(S33^2+T33^2+2)/(S33^2+T33^2+1)+ATAN2(S33^2+T33^2+1-S33^2*T33^2,2*S33*T33*SQRT(S33^2+T33^2+1)))</f>
        <v/>
      </c>
      <c r="V33" s="12">
        <f>4*Input!$G$9*U33</f>
        <v/>
      </c>
      <c r="W33" s="29">
        <f>((Input!$G$11/Input!$G$10)*LN((1+SQRT((Input!$G$11/Input!$G$10)^2+1))*SQRT((Input!$G$11/Input!$G$10)^2+(C33/(Input!$G$10/2))^2)/((Input!$G$11/Input!$G$10)*(1+SQRT((Input!$G$11/Input!$G$10)^2+(C33/(Input!$G$10/2))^2+1))))+LN(((Input!$G$11/Input!$G$10)+SQRT((Input!$G$11/Input!$G$10)^2+1))*SQRT(1+(C33/(Input!$G$10/2))^2)/((Input!$G$11/Input!$G$10)+SQRT((Input!$G$11/Input!$G$10)^2+(C33/(Input!$G$10/2))^2+1))))/PI()</f>
        <v/>
      </c>
      <c r="X33" s="29">
        <f>(C33/(Input!$G$10/2))/(2*PI())*ATAN((Input!$G$11/Input!$G$10)/((C33/(Input!$G$10/2))*SQRT((Input!$G$11/Input!$G$10)^2+(C33/(Input!$G$10/2))^2+1)))</f>
        <v/>
      </c>
      <c r="Y33" s="13">
        <f>MAX(0,C33-MAX(B33,$G$8))/D33*IF(V33&gt;=Input!$G$27*J33,1,0)</f>
        <v/>
      </c>
      <c r="Z33" s="12">
        <f>4*Input!$G$9*(Input!$G$10/2)*(1-R33^2)/Q33*((W33-W32)+(1-2*R33)/(1-R33)*(X33-X32))*1000*Y33</f>
        <v/>
      </c>
      <c r="AA33" s="30">
        <f>IF(F33="Sand",0,0.009*(K33-10))</f>
        <v/>
      </c>
      <c r="AB33" s="30">
        <f>AA33*Input!$G$23</f>
        <v/>
      </c>
      <c r="AC33" s="26">
        <f>IF(F33="Sand",0,MAX(O33/Input!$G$24,J33))</f>
        <v/>
      </c>
      <c r="AD33" s="31">
        <f>IF(F33="Sand",0,1000*D33/(1+N33)*IF(J33+V33&lt;=AC33,AB33*LOG10((J33+V33)/J33),AB33*LOG10(AC33/J33)+AA33*LOG10((J33+V33)/AC33)))*Y33</f>
        <v/>
      </c>
      <c r="AE33" s="32">
        <f>IF(F33="Sand",0,10^(INDEX(Korelasi!$C$5:$C$11,MIN(MATCH(MIN(MAX(K33,30),120),Korelasi!$A$5:$A$11,1),6))+(MIN(MAX(K33,30),120)-INDEX(Korelasi!$A$5:$A$11,MIN(MATCH(MIN(MAX(K33,30),120),Korelasi!$A$5:$A$11,1),6)))/(INDEX(Korelasi!$A$5:$A$11,MIN(MATCH(MIN(MAX(K33,30),120),Korelasi!$A$5:$A$11,1),6)+1)-INDEX(Korelasi!$A$5:$A$11,MIN(MATCH(MIN(MAX(K33,30),120),Korelasi!$A$5:$A$11,1),6)))*(INDEX(Korelasi!$C$5:$C$11,MIN(MATCH(MIN(MAX(K33,30),120),Korelasi!$A$5:$A$11,1),6)+1)-INDEX(Korelasi!$C$5:$C$11,MIN(MATCH(MIN(MAX(K33,30),120),Korelasi!$A$5:$A$11,1),6)))))</f>
        <v/>
      </c>
      <c r="AF33" s="33">
        <f>IF(OR(F33="Sand",Y33=0),0,Input!$G$25*(D33/2)^2/(AE33*1E-4*31536000))</f>
        <v/>
      </c>
      <c r="AG33" s="13">
        <f>MAX(0,MIN(C33,Input!$G$15)-B33)</f>
        <v/>
      </c>
      <c r="AH33" s="13">
        <f>MAX(0,MIN(C33,Input!$G$15)-MAX(B33,$G$8))</f>
        <v/>
      </c>
      <c r="AI33" s="13">
        <f>MAX(0,MIN(C33,$G$106)-B33)</f>
        <v/>
      </c>
      <c r="AJ33" s="34" t="inlineStr">
        <is>
          <t>LL/PL/e0 = rata-rata BH</t>
        </is>
      </c>
    </row>
    <row r="34">
      <c r="A34" s="20" t="n">
        <v>22</v>
      </c>
      <c r="B34" s="21" t="n">
        <v>31.5</v>
      </c>
      <c r="C34" s="21" t="n">
        <v>33</v>
      </c>
      <c r="D34" s="13">
        <f>C34-B34</f>
        <v/>
      </c>
      <c r="E34" s="13">
        <f>(B34+C34)/2</f>
        <v/>
      </c>
      <c r="F34" s="22" t="inlineStr">
        <is>
          <t>Clay</t>
        </is>
      </c>
      <c r="G34" s="23" t="n">
        <v>50</v>
      </c>
      <c r="H34" s="12">
        <f>IF(E34&gt;$G$5,$G$7,$G$6)</f>
        <v/>
      </c>
      <c r="I34" s="12">
        <f>I33+H34*D34</f>
        <v/>
      </c>
      <c r="J34" s="12">
        <f>I34-H34*D34/2-10*MAX(E34-$G$5,0)</f>
        <v/>
      </c>
      <c r="K34" s="24" t="n">
        <v>29.665</v>
      </c>
      <c r="L34" s="24" t="n">
        <v>19.806</v>
      </c>
      <c r="M34" s="12">
        <f>IF(K34="","",K34-L34)</f>
        <v/>
      </c>
      <c r="N34" s="25" t="n">
        <v>0.681</v>
      </c>
      <c r="O34" s="26">
        <f>IF(F34="Sand",0,Input!$G$19*G34)</f>
        <v/>
      </c>
      <c r="P34" s="12">
        <f>IF(F34="Sand",27.1+0.3*MIN(Input!$G$20*G34,60)-0.00054*MIN(Input!$G$20*G34,60)^2,MIN(MAX(DEGREES(ASIN(0.8-0.094*LN(MAX(IF(M34="",10,M34),5)))),20),30))</f>
        <v/>
      </c>
      <c r="Q34" s="27">
        <f>IF(F34="Sand",Input!$G$21*Input!$G$20*G34,Input!$G$22*O34)</f>
        <v/>
      </c>
      <c r="R34" s="13">
        <f>IF(F34="Sand",Input!$G$26,0.5)</f>
        <v/>
      </c>
      <c r="S34" s="13">
        <f>Input!$G$10/2/E34</f>
        <v/>
      </c>
      <c r="T34" s="13">
        <f>Input!$G$11/2/E34</f>
        <v/>
      </c>
      <c r="U34" s="28">
        <f>1/(4*PI())*(2*S34*T34*SQRT(S34^2+T34^2+1)/(S34^2+T34^2+1+S34^2*T34^2)*(S34^2+T34^2+2)/(S34^2+T34^2+1)+ATAN2(S34^2+T34^2+1-S34^2*T34^2,2*S34*T34*SQRT(S34^2+T34^2+1)))</f>
        <v/>
      </c>
      <c r="V34" s="12">
        <f>4*Input!$G$9*U34</f>
        <v/>
      </c>
      <c r="W34" s="29">
        <f>((Input!$G$11/Input!$G$10)*LN((1+SQRT((Input!$G$11/Input!$G$10)^2+1))*SQRT((Input!$G$11/Input!$G$10)^2+(C34/(Input!$G$10/2))^2)/((Input!$G$11/Input!$G$10)*(1+SQRT((Input!$G$11/Input!$G$10)^2+(C34/(Input!$G$10/2))^2+1))))+LN(((Input!$G$11/Input!$G$10)+SQRT((Input!$G$11/Input!$G$10)^2+1))*SQRT(1+(C34/(Input!$G$10/2))^2)/((Input!$G$11/Input!$G$10)+SQRT((Input!$G$11/Input!$G$10)^2+(C34/(Input!$G$10/2))^2+1))))/PI()</f>
        <v/>
      </c>
      <c r="X34" s="29">
        <f>(C34/(Input!$G$10/2))/(2*PI())*ATAN((Input!$G$11/Input!$G$10)/((C34/(Input!$G$10/2))*SQRT((Input!$G$11/Input!$G$10)^2+(C34/(Input!$G$10/2))^2+1)))</f>
        <v/>
      </c>
      <c r="Y34" s="13">
        <f>MAX(0,C34-MAX(B34,$G$8))/D34*IF(V34&gt;=Input!$G$27*J34,1,0)</f>
        <v/>
      </c>
      <c r="Z34" s="12">
        <f>4*Input!$G$9*(Input!$G$10/2)*(1-R34^2)/Q34*((W34-W33)+(1-2*R34)/(1-R34)*(X34-X33))*1000*Y34</f>
        <v/>
      </c>
      <c r="AA34" s="30">
        <f>IF(F34="Sand",0,0.009*(K34-10))</f>
        <v/>
      </c>
      <c r="AB34" s="30">
        <f>AA34*Input!$G$23</f>
        <v/>
      </c>
      <c r="AC34" s="26">
        <f>IF(F34="Sand",0,MAX(O34/Input!$G$24,J34))</f>
        <v/>
      </c>
      <c r="AD34" s="31">
        <f>IF(F34="Sand",0,1000*D34/(1+N34)*IF(J34+V34&lt;=AC34,AB34*LOG10((J34+V34)/J34),AB34*LOG10(AC34/J34)+AA34*LOG10((J34+V34)/AC34)))*Y34</f>
        <v/>
      </c>
      <c r="AE34" s="32">
        <f>IF(F34="Sand",0,10^(INDEX(Korelasi!$C$5:$C$11,MIN(MATCH(MIN(MAX(K34,30),120),Korelasi!$A$5:$A$11,1),6))+(MIN(MAX(K34,30),120)-INDEX(Korelasi!$A$5:$A$11,MIN(MATCH(MIN(MAX(K34,30),120),Korelasi!$A$5:$A$11,1),6)))/(INDEX(Korelasi!$A$5:$A$11,MIN(MATCH(MIN(MAX(K34,30),120),Korelasi!$A$5:$A$11,1),6)+1)-INDEX(Korelasi!$A$5:$A$11,MIN(MATCH(MIN(MAX(K34,30),120),Korelasi!$A$5:$A$11,1),6)))*(INDEX(Korelasi!$C$5:$C$11,MIN(MATCH(MIN(MAX(K34,30),120),Korelasi!$A$5:$A$11,1),6)+1)-INDEX(Korelasi!$C$5:$C$11,MIN(MATCH(MIN(MAX(K34,30),120),Korelasi!$A$5:$A$11,1),6)))))</f>
        <v/>
      </c>
      <c r="AF34" s="33">
        <f>IF(OR(F34="Sand",Y34=0),0,Input!$G$25*(D34/2)^2/(AE34*1E-4*31536000))</f>
        <v/>
      </c>
      <c r="AG34" s="13">
        <f>MAX(0,MIN(C34,Input!$G$15)-B34)</f>
        <v/>
      </c>
      <c r="AH34" s="13">
        <f>MAX(0,MIN(C34,Input!$G$15)-MAX(B34,$G$8))</f>
        <v/>
      </c>
      <c r="AI34" s="13">
        <f>MAX(0,MIN(C34,$G$106)-B34)</f>
        <v/>
      </c>
      <c r="AJ34" s="34" t="inlineStr">
        <is>
          <t>LL/PL/e0 = rata-rata BH</t>
        </is>
      </c>
    </row>
    <row r="35">
      <c r="A35" s="20" t="n">
        <v>23</v>
      </c>
      <c r="B35" s="21" t="n">
        <v>33</v>
      </c>
      <c r="C35" s="21" t="n">
        <v>34.5</v>
      </c>
      <c r="D35" s="13">
        <f>C35-B35</f>
        <v/>
      </c>
      <c r="E35" s="13">
        <f>(B35+C35)/2</f>
        <v/>
      </c>
      <c r="F35" s="22" t="inlineStr">
        <is>
          <t>Clay</t>
        </is>
      </c>
      <c r="G35" s="23" t="n">
        <v>50</v>
      </c>
      <c r="H35" s="12">
        <f>IF(E35&gt;$G$5,$G$7,$G$6)</f>
        <v/>
      </c>
      <c r="I35" s="12">
        <f>I34+H35*D35</f>
        <v/>
      </c>
      <c r="J35" s="12">
        <f>I35-H35*D35/2-10*MAX(E35-$G$5,0)</f>
        <v/>
      </c>
      <c r="K35" s="24" t="n">
        <v>29.665</v>
      </c>
      <c r="L35" s="24" t="n">
        <v>19.806</v>
      </c>
      <c r="M35" s="12">
        <f>IF(K35="","",K35-L35)</f>
        <v/>
      </c>
      <c r="N35" s="25" t="n">
        <v>0.681</v>
      </c>
      <c r="O35" s="26">
        <f>IF(F35="Sand",0,Input!$G$19*G35)</f>
        <v/>
      </c>
      <c r="P35" s="12">
        <f>IF(F35="Sand",27.1+0.3*MIN(Input!$G$20*G35,60)-0.00054*MIN(Input!$G$20*G35,60)^2,MIN(MAX(DEGREES(ASIN(0.8-0.094*LN(MAX(IF(M35="",10,M35),5)))),20),30))</f>
        <v/>
      </c>
      <c r="Q35" s="27">
        <f>IF(F35="Sand",Input!$G$21*Input!$G$20*G35,Input!$G$22*O35)</f>
        <v/>
      </c>
      <c r="R35" s="13">
        <f>IF(F35="Sand",Input!$G$26,0.5)</f>
        <v/>
      </c>
      <c r="S35" s="13">
        <f>Input!$G$10/2/E35</f>
        <v/>
      </c>
      <c r="T35" s="13">
        <f>Input!$G$11/2/E35</f>
        <v/>
      </c>
      <c r="U35" s="28">
        <f>1/(4*PI())*(2*S35*T35*SQRT(S35^2+T35^2+1)/(S35^2+T35^2+1+S35^2*T35^2)*(S35^2+T35^2+2)/(S35^2+T35^2+1)+ATAN2(S35^2+T35^2+1-S35^2*T35^2,2*S35*T35*SQRT(S35^2+T35^2+1)))</f>
        <v/>
      </c>
      <c r="V35" s="12">
        <f>4*Input!$G$9*U35</f>
        <v/>
      </c>
      <c r="W35" s="29">
        <f>((Input!$G$11/Input!$G$10)*LN((1+SQRT((Input!$G$11/Input!$G$10)^2+1))*SQRT((Input!$G$11/Input!$G$10)^2+(C35/(Input!$G$10/2))^2)/((Input!$G$11/Input!$G$10)*(1+SQRT((Input!$G$11/Input!$G$10)^2+(C35/(Input!$G$10/2))^2+1))))+LN(((Input!$G$11/Input!$G$10)+SQRT((Input!$G$11/Input!$G$10)^2+1))*SQRT(1+(C35/(Input!$G$10/2))^2)/((Input!$G$11/Input!$G$10)+SQRT((Input!$G$11/Input!$G$10)^2+(C35/(Input!$G$10/2))^2+1))))/PI()</f>
        <v/>
      </c>
      <c r="X35" s="29">
        <f>(C35/(Input!$G$10/2))/(2*PI())*ATAN((Input!$G$11/Input!$G$10)/((C35/(Input!$G$10/2))*SQRT((Input!$G$11/Input!$G$10)^2+(C35/(Input!$G$10/2))^2+1)))</f>
        <v/>
      </c>
      <c r="Y35" s="13">
        <f>MAX(0,C35-MAX(B35,$G$8))/D35*IF(V35&gt;=Input!$G$27*J35,1,0)</f>
        <v/>
      </c>
      <c r="Z35" s="12">
        <f>4*Input!$G$9*(Input!$G$10/2)*(1-R35^2)/Q35*((W35-W34)+(1-2*R35)/(1-R35)*(X35-X34))*1000*Y35</f>
        <v/>
      </c>
      <c r="AA35" s="30">
        <f>IF(F35="Sand",0,0.009*(K35-10))</f>
        <v/>
      </c>
      <c r="AB35" s="30">
        <f>AA35*Input!$G$23</f>
        <v/>
      </c>
      <c r="AC35" s="26">
        <f>IF(F35="Sand",0,MAX(O35/Input!$G$24,J35))</f>
        <v/>
      </c>
      <c r="AD35" s="31">
        <f>IF(F35="Sand",0,1000*D35/(1+N35)*IF(J35+V35&lt;=AC35,AB35*LOG10((J35+V35)/J35),AB35*LOG10(AC35/J35)+AA35*LOG10((J35+V35)/AC35)))*Y35</f>
        <v/>
      </c>
      <c r="AE35" s="32">
        <f>IF(F35="Sand",0,10^(INDEX(Korelasi!$C$5:$C$11,MIN(MATCH(MIN(MAX(K35,30),120),Korelasi!$A$5:$A$11,1),6))+(MIN(MAX(K35,30),120)-INDEX(Korelasi!$A$5:$A$11,MIN(MATCH(MIN(MAX(K35,30),120),Korelasi!$A$5:$A$11,1),6)))/(INDEX(Korelasi!$A$5:$A$11,MIN(MATCH(MIN(MAX(K35,30),120),Korelasi!$A$5:$A$11,1),6)+1)-INDEX(Korelasi!$A$5:$A$11,MIN(MATCH(MIN(MAX(K35,30),120),Korelasi!$A$5:$A$11,1),6)))*(INDEX(Korelasi!$C$5:$C$11,MIN(MATCH(MIN(MAX(K35,30),120),Korelasi!$A$5:$A$11,1),6)+1)-INDEX(Korelasi!$C$5:$C$11,MIN(MATCH(MIN(MAX(K35,30),120),Korelasi!$A$5:$A$11,1),6)))))</f>
        <v/>
      </c>
      <c r="AF35" s="33">
        <f>IF(OR(F35="Sand",Y35=0),0,Input!$G$25*(D35/2)^2/(AE35*1E-4*31536000))</f>
        <v/>
      </c>
      <c r="AG35" s="13">
        <f>MAX(0,MIN(C35,Input!$G$15)-B35)</f>
        <v/>
      </c>
      <c r="AH35" s="13">
        <f>MAX(0,MIN(C35,Input!$G$15)-MAX(B35,$G$8))</f>
        <v/>
      </c>
      <c r="AI35" s="13">
        <f>MAX(0,MIN(C35,$G$106)-B35)</f>
        <v/>
      </c>
      <c r="AJ35" s="34" t="inlineStr">
        <is>
          <t>LL/PL/e0 = rata-rata BH</t>
        </is>
      </c>
    </row>
    <row r="36">
      <c r="A36" s="20" t="n">
        <v>24</v>
      </c>
      <c r="B36" s="21" t="n">
        <v>34.5</v>
      </c>
      <c r="C36" s="21" t="n">
        <v>36</v>
      </c>
      <c r="D36" s="13">
        <f>C36-B36</f>
        <v/>
      </c>
      <c r="E36" s="13">
        <f>(B36+C36)/2</f>
        <v/>
      </c>
      <c r="F36" s="22" t="inlineStr">
        <is>
          <t>Clay</t>
        </is>
      </c>
      <c r="G36" s="23" t="n">
        <v>50</v>
      </c>
      <c r="H36" s="12">
        <f>IF(E36&gt;$G$5,$G$7,$G$6)</f>
        <v/>
      </c>
      <c r="I36" s="12">
        <f>I35+H36*D36</f>
        <v/>
      </c>
      <c r="J36" s="12">
        <f>I36-H36*D36/2-10*MAX(E36-$G$5,0)</f>
        <v/>
      </c>
      <c r="K36" s="24" t="n">
        <v>25.39</v>
      </c>
      <c r="L36" s="24" t="n">
        <v>15.08</v>
      </c>
      <c r="M36" s="12">
        <f>IF(K36="","",K36-L36)</f>
        <v/>
      </c>
      <c r="N36" s="25" t="n">
        <v>0.51</v>
      </c>
      <c r="O36" s="26">
        <f>IF(F36="Sand",0,Input!$G$19*G36)</f>
        <v/>
      </c>
      <c r="P36" s="12">
        <f>IF(F36="Sand",27.1+0.3*MIN(Input!$G$20*G36,60)-0.00054*MIN(Input!$G$20*G36,60)^2,MIN(MAX(DEGREES(ASIN(0.8-0.094*LN(MAX(IF(M36="",10,M36),5)))),20),30))</f>
        <v/>
      </c>
      <c r="Q36" s="27">
        <f>IF(F36="Sand",Input!$G$21*Input!$G$20*G36,Input!$G$22*O36)</f>
        <v/>
      </c>
      <c r="R36" s="13">
        <f>IF(F36="Sand",Input!$G$26,0.5)</f>
        <v/>
      </c>
      <c r="S36" s="13">
        <f>Input!$G$10/2/E36</f>
        <v/>
      </c>
      <c r="T36" s="13">
        <f>Input!$G$11/2/E36</f>
        <v/>
      </c>
      <c r="U36" s="28">
        <f>1/(4*PI())*(2*S36*T36*SQRT(S36^2+T36^2+1)/(S36^2+T36^2+1+S36^2*T36^2)*(S36^2+T36^2+2)/(S36^2+T36^2+1)+ATAN2(S36^2+T36^2+1-S36^2*T36^2,2*S36*T36*SQRT(S36^2+T36^2+1)))</f>
        <v/>
      </c>
      <c r="V36" s="12">
        <f>4*Input!$G$9*U36</f>
        <v/>
      </c>
      <c r="W36" s="29">
        <f>((Input!$G$11/Input!$G$10)*LN((1+SQRT((Input!$G$11/Input!$G$10)^2+1))*SQRT((Input!$G$11/Input!$G$10)^2+(C36/(Input!$G$10/2))^2)/((Input!$G$11/Input!$G$10)*(1+SQRT((Input!$G$11/Input!$G$10)^2+(C36/(Input!$G$10/2))^2+1))))+LN(((Input!$G$11/Input!$G$10)+SQRT((Input!$G$11/Input!$G$10)^2+1))*SQRT(1+(C36/(Input!$G$10/2))^2)/((Input!$G$11/Input!$G$10)+SQRT((Input!$G$11/Input!$G$10)^2+(C36/(Input!$G$10/2))^2+1))))/PI()</f>
        <v/>
      </c>
      <c r="X36" s="29">
        <f>(C36/(Input!$G$10/2))/(2*PI())*ATAN((Input!$G$11/Input!$G$10)/((C36/(Input!$G$10/2))*SQRT((Input!$G$11/Input!$G$10)^2+(C36/(Input!$G$10/2))^2+1)))</f>
        <v/>
      </c>
      <c r="Y36" s="13">
        <f>MAX(0,C36-MAX(B36,$G$8))/D36*IF(V36&gt;=Input!$G$27*J36,1,0)</f>
        <v/>
      </c>
      <c r="Z36" s="12">
        <f>4*Input!$G$9*(Input!$G$10/2)*(1-R36^2)/Q36*((W36-W35)+(1-2*R36)/(1-R36)*(X36-X35))*1000*Y36</f>
        <v/>
      </c>
      <c r="AA36" s="30">
        <f>IF(F36="Sand",0,0.009*(K36-10))</f>
        <v/>
      </c>
      <c r="AB36" s="30">
        <f>AA36*Input!$G$23</f>
        <v/>
      </c>
      <c r="AC36" s="26">
        <f>IF(F36="Sand",0,MAX(O36/Input!$G$24,J36))</f>
        <v/>
      </c>
      <c r="AD36" s="31">
        <f>IF(F36="Sand",0,1000*D36/(1+N36)*IF(J36+V36&lt;=AC36,AB36*LOG10((J36+V36)/J36),AB36*LOG10(AC36/J36)+AA36*LOG10((J36+V36)/AC36)))*Y36</f>
        <v/>
      </c>
      <c r="AE36" s="32">
        <f>IF(F36="Sand",0,10^(INDEX(Korelasi!$C$5:$C$11,MIN(MATCH(MIN(MAX(K36,30),120),Korelasi!$A$5:$A$11,1),6))+(MIN(MAX(K36,30),120)-INDEX(Korelasi!$A$5:$A$11,MIN(MATCH(MIN(MAX(K36,30),120),Korelasi!$A$5:$A$11,1),6)))/(INDEX(Korelasi!$A$5:$A$11,MIN(MATCH(MIN(MAX(K36,30),120),Korelasi!$A$5:$A$11,1),6)+1)-INDEX(Korelasi!$A$5:$A$11,MIN(MATCH(MIN(MAX(K36,30),120),Korelasi!$A$5:$A$11,1),6)))*(INDEX(Korelasi!$C$5:$C$11,MIN(MATCH(MIN(MAX(K36,30),120),Korelasi!$A$5:$A$11,1),6)+1)-INDEX(Korelasi!$C$5:$C$11,MIN(MATCH(MIN(MAX(K36,30),120),Korelasi!$A$5:$A$11,1),6)))))</f>
        <v/>
      </c>
      <c r="AF36" s="33">
        <f>IF(OR(F36="Sand",Y36=0),0,Input!$G$25*(D36/2)^2/(AE36*1E-4*31536000))</f>
        <v/>
      </c>
      <c r="AG36" s="13">
        <f>MAX(0,MIN(C36,Input!$G$15)-B36)</f>
        <v/>
      </c>
      <c r="AH36" s="13">
        <f>MAX(0,MIN(C36,Input!$G$15)-MAX(B36,$G$8))</f>
        <v/>
      </c>
      <c r="AI36" s="13">
        <f>MAX(0,MIN(C36,$G$106)-B36)</f>
        <v/>
      </c>
      <c r="AJ36" s="34" t="inlineStr"/>
    </row>
    <row r="37">
      <c r="A37" s="20" t="n">
        <v>25</v>
      </c>
      <c r="B37" s="21" t="n">
        <v>36</v>
      </c>
      <c r="C37" s="21" t="n">
        <v>37.5</v>
      </c>
      <c r="D37" s="13">
        <f>C37-B37</f>
        <v/>
      </c>
      <c r="E37" s="13">
        <f>(B37+C37)/2</f>
        <v/>
      </c>
      <c r="F37" s="22" t="inlineStr">
        <is>
          <t>Sand</t>
        </is>
      </c>
      <c r="G37" s="23" t="n">
        <v>50</v>
      </c>
      <c r="H37" s="12">
        <f>IF(E37&gt;$G$5,$G$7,$G$6)</f>
        <v/>
      </c>
      <c r="I37" s="12">
        <f>I36+H37*D37</f>
        <v/>
      </c>
      <c r="J37" s="12">
        <f>I37-H37*D37/2-10*MAX(E37-$G$5,0)</f>
        <v/>
      </c>
      <c r="K37" s="24" t="n"/>
      <c r="L37" s="24" t="n"/>
      <c r="M37" s="12">
        <f>IF(K37="","",K37-L37)</f>
        <v/>
      </c>
      <c r="N37" s="25" t="n">
        <v>0.65</v>
      </c>
      <c r="O37" s="26">
        <f>IF(F37="Sand",0,Input!$G$19*G37)</f>
        <v/>
      </c>
      <c r="P37" s="12">
        <f>IF(F37="Sand",27.1+0.3*MIN(Input!$G$20*G37,60)-0.00054*MIN(Input!$G$20*G37,60)^2,MIN(MAX(DEGREES(ASIN(0.8-0.094*LN(MAX(IF(M37="",10,M37),5)))),20),30))</f>
        <v/>
      </c>
      <c r="Q37" s="27">
        <f>IF(F37="Sand",Input!$G$21*Input!$G$20*G37,Input!$G$22*O37)</f>
        <v/>
      </c>
      <c r="R37" s="13">
        <f>IF(F37="Sand",Input!$G$26,0.5)</f>
        <v/>
      </c>
      <c r="S37" s="13">
        <f>Input!$G$10/2/E37</f>
        <v/>
      </c>
      <c r="T37" s="13">
        <f>Input!$G$11/2/E37</f>
        <v/>
      </c>
      <c r="U37" s="28">
        <f>1/(4*PI())*(2*S37*T37*SQRT(S37^2+T37^2+1)/(S37^2+T37^2+1+S37^2*T37^2)*(S37^2+T37^2+2)/(S37^2+T37^2+1)+ATAN2(S37^2+T37^2+1-S37^2*T37^2,2*S37*T37*SQRT(S37^2+T37^2+1)))</f>
        <v/>
      </c>
      <c r="V37" s="12">
        <f>4*Input!$G$9*U37</f>
        <v/>
      </c>
      <c r="W37" s="29">
        <f>((Input!$G$11/Input!$G$10)*LN((1+SQRT((Input!$G$11/Input!$G$10)^2+1))*SQRT((Input!$G$11/Input!$G$10)^2+(C37/(Input!$G$10/2))^2)/((Input!$G$11/Input!$G$10)*(1+SQRT((Input!$G$11/Input!$G$10)^2+(C37/(Input!$G$10/2))^2+1))))+LN(((Input!$G$11/Input!$G$10)+SQRT((Input!$G$11/Input!$G$10)^2+1))*SQRT(1+(C37/(Input!$G$10/2))^2)/((Input!$G$11/Input!$G$10)+SQRT((Input!$G$11/Input!$G$10)^2+(C37/(Input!$G$10/2))^2+1))))/PI()</f>
        <v/>
      </c>
      <c r="X37" s="29">
        <f>(C37/(Input!$G$10/2))/(2*PI())*ATAN((Input!$G$11/Input!$G$10)/((C37/(Input!$G$10/2))*SQRT((Input!$G$11/Input!$G$10)^2+(C37/(Input!$G$10/2))^2+1)))</f>
        <v/>
      </c>
      <c r="Y37" s="13">
        <f>MAX(0,C37-MAX(B37,$G$8))/D37*IF(V37&gt;=Input!$G$27*J37,1,0)</f>
        <v/>
      </c>
      <c r="Z37" s="12">
        <f>4*Input!$G$9*(Input!$G$10/2)*(1-R37^2)/Q37*((W37-W36)+(1-2*R37)/(1-R37)*(X37-X36))*1000*Y37</f>
        <v/>
      </c>
      <c r="AA37" s="30">
        <f>IF(F37="Sand",0,0.009*(K37-10))</f>
        <v/>
      </c>
      <c r="AB37" s="30">
        <f>AA37*Input!$G$23</f>
        <v/>
      </c>
      <c r="AC37" s="26">
        <f>IF(F37="Sand",0,MAX(O37/Input!$G$24,J37))</f>
        <v/>
      </c>
      <c r="AD37" s="31">
        <f>IF(F37="Sand",0,1000*D37/(1+N37)*IF(J37+V37&lt;=AC37,AB37*LOG10((J37+V37)/J37),AB37*LOG10(AC37/J37)+AA37*LOG10((J37+V37)/AC37)))*Y37</f>
        <v/>
      </c>
      <c r="AE37" s="32">
        <f>IF(F37="Sand",0,10^(INDEX(Korelasi!$C$5:$C$11,MIN(MATCH(MIN(MAX(K37,30),120),Korelasi!$A$5:$A$11,1),6))+(MIN(MAX(K37,30),120)-INDEX(Korelasi!$A$5:$A$11,MIN(MATCH(MIN(MAX(K37,30),120),Korelasi!$A$5:$A$11,1),6)))/(INDEX(Korelasi!$A$5:$A$11,MIN(MATCH(MIN(MAX(K37,30),120),Korelasi!$A$5:$A$11,1),6)+1)-INDEX(Korelasi!$A$5:$A$11,MIN(MATCH(MIN(MAX(K37,30),120),Korelasi!$A$5:$A$11,1),6)))*(INDEX(Korelasi!$C$5:$C$11,MIN(MATCH(MIN(MAX(K37,30),120),Korelasi!$A$5:$A$11,1),6)+1)-INDEX(Korelasi!$C$5:$C$11,MIN(MATCH(MIN(MAX(K37,30),120),Korelasi!$A$5:$A$11,1),6)))))</f>
        <v/>
      </c>
      <c r="AF37" s="33">
        <f>IF(OR(F37="Sand",Y37=0),0,Input!$G$25*(D37/2)^2/(AE37*1E-4*31536000))</f>
        <v/>
      </c>
      <c r="AG37" s="13">
        <f>MAX(0,MIN(C37,Input!$G$15)-B37)</f>
        <v/>
      </c>
      <c r="AH37" s="13">
        <f>MAX(0,MIN(C37,Input!$G$15)-MAX(B37,$G$8))</f>
        <v/>
      </c>
      <c r="AI37" s="13">
        <f>MAX(0,MIN(C37,$G$106)-B37)</f>
        <v/>
      </c>
      <c r="AJ37" s="34" t="inlineStr"/>
    </row>
    <row r="38">
      <c r="A38" s="20" t="n">
        <v>26</v>
      </c>
      <c r="B38" s="21" t="n">
        <v>37.5</v>
      </c>
      <c r="C38" s="21" t="n">
        <v>39</v>
      </c>
      <c r="D38" s="13">
        <f>C38-B38</f>
        <v/>
      </c>
      <c r="E38" s="13">
        <f>(B38+C38)/2</f>
        <v/>
      </c>
      <c r="F38" s="22" t="inlineStr">
        <is>
          <t>Clay</t>
        </is>
      </c>
      <c r="G38" s="23" t="n">
        <v>50</v>
      </c>
      <c r="H38" s="12">
        <f>IF(E38&gt;$G$5,$G$7,$G$6)</f>
        <v/>
      </c>
      <c r="I38" s="12">
        <f>I37+H38*D38</f>
        <v/>
      </c>
      <c r="J38" s="12">
        <f>I38-H38*D38/2-10*MAX(E38-$G$5,0)</f>
        <v/>
      </c>
      <c r="K38" s="24" t="n">
        <v>42.56</v>
      </c>
      <c r="L38" s="24" t="n">
        <v>27.27</v>
      </c>
      <c r="M38" s="12">
        <f>IF(K38="","",K38-L38)</f>
        <v/>
      </c>
      <c r="N38" s="25" t="n">
        <v>1.001</v>
      </c>
      <c r="O38" s="26">
        <f>IF(F38="Sand",0,Input!$G$19*G38)</f>
        <v/>
      </c>
      <c r="P38" s="12">
        <f>IF(F38="Sand",27.1+0.3*MIN(Input!$G$20*G38,60)-0.00054*MIN(Input!$G$20*G38,60)^2,MIN(MAX(DEGREES(ASIN(0.8-0.094*LN(MAX(IF(M38="",10,M38),5)))),20),30))</f>
        <v/>
      </c>
      <c r="Q38" s="27">
        <f>IF(F38="Sand",Input!$G$21*Input!$G$20*G38,Input!$G$22*O38)</f>
        <v/>
      </c>
      <c r="R38" s="13">
        <f>IF(F38="Sand",Input!$G$26,0.5)</f>
        <v/>
      </c>
      <c r="S38" s="13">
        <f>Input!$G$10/2/E38</f>
        <v/>
      </c>
      <c r="T38" s="13">
        <f>Input!$G$11/2/E38</f>
        <v/>
      </c>
      <c r="U38" s="28">
        <f>1/(4*PI())*(2*S38*T38*SQRT(S38^2+T38^2+1)/(S38^2+T38^2+1+S38^2*T38^2)*(S38^2+T38^2+2)/(S38^2+T38^2+1)+ATAN2(S38^2+T38^2+1-S38^2*T38^2,2*S38*T38*SQRT(S38^2+T38^2+1)))</f>
        <v/>
      </c>
      <c r="V38" s="12">
        <f>4*Input!$G$9*U38</f>
        <v/>
      </c>
      <c r="W38" s="29">
        <f>((Input!$G$11/Input!$G$10)*LN((1+SQRT((Input!$G$11/Input!$G$10)^2+1))*SQRT((Input!$G$11/Input!$G$10)^2+(C38/(Input!$G$10/2))^2)/((Input!$G$11/Input!$G$10)*(1+SQRT((Input!$G$11/Input!$G$10)^2+(C38/(Input!$G$10/2))^2+1))))+LN(((Input!$G$11/Input!$G$10)+SQRT((Input!$G$11/Input!$G$10)^2+1))*SQRT(1+(C38/(Input!$G$10/2))^2)/((Input!$G$11/Input!$G$10)+SQRT((Input!$G$11/Input!$G$10)^2+(C38/(Input!$G$10/2))^2+1))))/PI()</f>
        <v/>
      </c>
      <c r="X38" s="29">
        <f>(C38/(Input!$G$10/2))/(2*PI())*ATAN((Input!$G$11/Input!$G$10)/((C38/(Input!$G$10/2))*SQRT((Input!$G$11/Input!$G$10)^2+(C38/(Input!$G$10/2))^2+1)))</f>
        <v/>
      </c>
      <c r="Y38" s="13">
        <f>MAX(0,C38-MAX(B38,$G$8))/D38*IF(V38&gt;=Input!$G$27*J38,1,0)</f>
        <v/>
      </c>
      <c r="Z38" s="12">
        <f>4*Input!$G$9*(Input!$G$10/2)*(1-R38^2)/Q38*((W38-W37)+(1-2*R38)/(1-R38)*(X38-X37))*1000*Y38</f>
        <v/>
      </c>
      <c r="AA38" s="30">
        <f>IF(F38="Sand",0,0.009*(K38-10))</f>
        <v/>
      </c>
      <c r="AB38" s="30">
        <f>AA38*Input!$G$23</f>
        <v/>
      </c>
      <c r="AC38" s="26">
        <f>IF(F38="Sand",0,MAX(O38/Input!$G$24,J38))</f>
        <v/>
      </c>
      <c r="AD38" s="31">
        <f>IF(F38="Sand",0,1000*D38/(1+N38)*IF(J38+V38&lt;=AC38,AB38*LOG10((J38+V38)/J38),AB38*LOG10(AC38/J38)+AA38*LOG10((J38+V38)/AC38)))*Y38</f>
        <v/>
      </c>
      <c r="AE38" s="32">
        <f>IF(F38="Sand",0,10^(INDEX(Korelasi!$C$5:$C$11,MIN(MATCH(MIN(MAX(K38,30),120),Korelasi!$A$5:$A$11,1),6))+(MIN(MAX(K38,30),120)-INDEX(Korelasi!$A$5:$A$11,MIN(MATCH(MIN(MAX(K38,30),120),Korelasi!$A$5:$A$11,1),6)))/(INDEX(Korelasi!$A$5:$A$11,MIN(MATCH(MIN(MAX(K38,30),120),Korelasi!$A$5:$A$11,1),6)+1)-INDEX(Korelasi!$A$5:$A$11,MIN(MATCH(MIN(MAX(K38,30),120),Korelasi!$A$5:$A$11,1),6)))*(INDEX(Korelasi!$C$5:$C$11,MIN(MATCH(MIN(MAX(K38,30),120),Korelasi!$A$5:$A$11,1),6)+1)-INDEX(Korelasi!$C$5:$C$11,MIN(MATCH(MIN(MAX(K38,30),120),Korelasi!$A$5:$A$11,1),6)))))</f>
        <v/>
      </c>
      <c r="AF38" s="33">
        <f>IF(OR(F38="Sand",Y38=0),0,Input!$G$25*(D38/2)^2/(AE38*1E-4*31536000))</f>
        <v/>
      </c>
      <c r="AG38" s="13">
        <f>MAX(0,MIN(C38,Input!$G$15)-B38)</f>
        <v/>
      </c>
      <c r="AH38" s="13">
        <f>MAX(0,MIN(C38,Input!$G$15)-MAX(B38,$G$8))</f>
        <v/>
      </c>
      <c r="AI38" s="13">
        <f>MAX(0,MIN(C38,$G$106)-B38)</f>
        <v/>
      </c>
      <c r="AJ38" s="34" t="inlineStr"/>
    </row>
    <row r="39">
      <c r="A39" s="20" t="n">
        <v>27</v>
      </c>
      <c r="B39" s="21" t="n">
        <v>39</v>
      </c>
      <c r="C39" s="21" t="n">
        <v>40.5</v>
      </c>
      <c r="D39" s="13">
        <f>C39-B39</f>
        <v/>
      </c>
      <c r="E39" s="13">
        <f>(B39+C39)/2</f>
        <v/>
      </c>
      <c r="F39" s="22" t="inlineStr">
        <is>
          <t>Clay</t>
        </is>
      </c>
      <c r="G39" s="23" t="n">
        <v>50</v>
      </c>
      <c r="H39" s="12">
        <f>IF(E39&gt;$G$5,$G$7,$G$6)</f>
        <v/>
      </c>
      <c r="I39" s="12">
        <f>I38+H39*D39</f>
        <v/>
      </c>
      <c r="J39" s="12">
        <f>I39-H39*D39/2-10*MAX(E39-$G$5,0)</f>
        <v/>
      </c>
      <c r="K39" s="24" t="n">
        <v>29.665</v>
      </c>
      <c r="L39" s="24" t="n">
        <v>19.806</v>
      </c>
      <c r="M39" s="12">
        <f>IF(K39="","",K39-L39)</f>
        <v/>
      </c>
      <c r="N39" s="25" t="n">
        <v>0.681</v>
      </c>
      <c r="O39" s="26">
        <f>IF(F39="Sand",0,Input!$G$19*G39)</f>
        <v/>
      </c>
      <c r="P39" s="12">
        <f>IF(F39="Sand",27.1+0.3*MIN(Input!$G$20*G39,60)-0.00054*MIN(Input!$G$20*G39,60)^2,MIN(MAX(DEGREES(ASIN(0.8-0.094*LN(MAX(IF(M39="",10,M39),5)))),20),30))</f>
        <v/>
      </c>
      <c r="Q39" s="27">
        <f>IF(F39="Sand",Input!$G$21*Input!$G$20*G39,Input!$G$22*O39)</f>
        <v/>
      </c>
      <c r="R39" s="13">
        <f>IF(F39="Sand",Input!$G$26,0.5)</f>
        <v/>
      </c>
      <c r="S39" s="13">
        <f>Input!$G$10/2/E39</f>
        <v/>
      </c>
      <c r="T39" s="13">
        <f>Input!$G$11/2/E39</f>
        <v/>
      </c>
      <c r="U39" s="28">
        <f>1/(4*PI())*(2*S39*T39*SQRT(S39^2+T39^2+1)/(S39^2+T39^2+1+S39^2*T39^2)*(S39^2+T39^2+2)/(S39^2+T39^2+1)+ATAN2(S39^2+T39^2+1-S39^2*T39^2,2*S39*T39*SQRT(S39^2+T39^2+1)))</f>
        <v/>
      </c>
      <c r="V39" s="12">
        <f>4*Input!$G$9*U39</f>
        <v/>
      </c>
      <c r="W39" s="29">
        <f>((Input!$G$11/Input!$G$10)*LN((1+SQRT((Input!$G$11/Input!$G$10)^2+1))*SQRT((Input!$G$11/Input!$G$10)^2+(C39/(Input!$G$10/2))^2)/((Input!$G$11/Input!$G$10)*(1+SQRT((Input!$G$11/Input!$G$10)^2+(C39/(Input!$G$10/2))^2+1))))+LN(((Input!$G$11/Input!$G$10)+SQRT((Input!$G$11/Input!$G$10)^2+1))*SQRT(1+(C39/(Input!$G$10/2))^2)/((Input!$G$11/Input!$G$10)+SQRT((Input!$G$11/Input!$G$10)^2+(C39/(Input!$G$10/2))^2+1))))/PI()</f>
        <v/>
      </c>
      <c r="X39" s="29">
        <f>(C39/(Input!$G$10/2))/(2*PI())*ATAN((Input!$G$11/Input!$G$10)/((C39/(Input!$G$10/2))*SQRT((Input!$G$11/Input!$G$10)^2+(C39/(Input!$G$10/2))^2+1)))</f>
        <v/>
      </c>
      <c r="Y39" s="13">
        <f>MAX(0,C39-MAX(B39,$G$8))/D39*IF(V39&gt;=Input!$G$27*J39,1,0)</f>
        <v/>
      </c>
      <c r="Z39" s="12">
        <f>4*Input!$G$9*(Input!$G$10/2)*(1-R39^2)/Q39*((W39-W38)+(1-2*R39)/(1-R39)*(X39-X38))*1000*Y39</f>
        <v/>
      </c>
      <c r="AA39" s="30">
        <f>IF(F39="Sand",0,0.009*(K39-10))</f>
        <v/>
      </c>
      <c r="AB39" s="30">
        <f>AA39*Input!$G$23</f>
        <v/>
      </c>
      <c r="AC39" s="26">
        <f>IF(F39="Sand",0,MAX(O39/Input!$G$24,J39))</f>
        <v/>
      </c>
      <c r="AD39" s="31">
        <f>IF(F39="Sand",0,1000*D39/(1+N39)*IF(J39+V39&lt;=AC39,AB39*LOG10((J39+V39)/J39),AB39*LOG10(AC39/J39)+AA39*LOG10((J39+V39)/AC39)))*Y39</f>
        <v/>
      </c>
      <c r="AE39" s="32">
        <f>IF(F39="Sand",0,10^(INDEX(Korelasi!$C$5:$C$11,MIN(MATCH(MIN(MAX(K39,30),120),Korelasi!$A$5:$A$11,1),6))+(MIN(MAX(K39,30),120)-INDEX(Korelasi!$A$5:$A$11,MIN(MATCH(MIN(MAX(K39,30),120),Korelasi!$A$5:$A$11,1),6)))/(INDEX(Korelasi!$A$5:$A$11,MIN(MATCH(MIN(MAX(K39,30),120),Korelasi!$A$5:$A$11,1),6)+1)-INDEX(Korelasi!$A$5:$A$11,MIN(MATCH(MIN(MAX(K39,30),120),Korelasi!$A$5:$A$11,1),6)))*(INDEX(Korelasi!$C$5:$C$11,MIN(MATCH(MIN(MAX(K39,30),120),Korelasi!$A$5:$A$11,1),6)+1)-INDEX(Korelasi!$C$5:$C$11,MIN(MATCH(MIN(MAX(K39,30),120),Korelasi!$A$5:$A$11,1),6)))))</f>
        <v/>
      </c>
      <c r="AF39" s="33">
        <f>IF(OR(F39="Sand",Y39=0),0,Input!$G$25*(D39/2)^2/(AE39*1E-4*31536000))</f>
        <v/>
      </c>
      <c r="AG39" s="13">
        <f>MAX(0,MIN(C39,Input!$G$15)-B39)</f>
        <v/>
      </c>
      <c r="AH39" s="13">
        <f>MAX(0,MIN(C39,Input!$G$15)-MAX(B39,$G$8))</f>
        <v/>
      </c>
      <c r="AI39" s="13">
        <f>MAX(0,MIN(C39,$G$106)-B39)</f>
        <v/>
      </c>
      <c r="AJ39" s="34" t="inlineStr">
        <is>
          <t>LL/PL/e0 = rata-rata BH</t>
        </is>
      </c>
    </row>
    <row r="40">
      <c r="A40" s="20" t="n">
        <v>28</v>
      </c>
      <c r="B40" s="21" t="n">
        <v>40.5</v>
      </c>
      <c r="C40" s="21" t="n">
        <v>42</v>
      </c>
      <c r="D40" s="13">
        <f>C40-B40</f>
        <v/>
      </c>
      <c r="E40" s="13">
        <f>(B40+C40)/2</f>
        <v/>
      </c>
      <c r="F40" s="22" t="inlineStr">
        <is>
          <t>Clay</t>
        </is>
      </c>
      <c r="G40" s="23" t="n">
        <v>50</v>
      </c>
      <c r="H40" s="12">
        <f>IF(E40&gt;$G$5,$G$7,$G$6)</f>
        <v/>
      </c>
      <c r="I40" s="12">
        <f>I39+H40*D40</f>
        <v/>
      </c>
      <c r="J40" s="12">
        <f>I40-H40*D40/2-10*MAX(E40-$G$5,0)</f>
        <v/>
      </c>
      <c r="K40" s="24" t="n">
        <v>36.82</v>
      </c>
      <c r="L40" s="24" t="n">
        <v>20.32</v>
      </c>
      <c r="M40" s="12">
        <f>IF(K40="","",K40-L40)</f>
        <v/>
      </c>
      <c r="N40" s="25" t="n">
        <v>0.836</v>
      </c>
      <c r="O40" s="26">
        <f>IF(F40="Sand",0,Input!$G$19*G40)</f>
        <v/>
      </c>
      <c r="P40" s="12">
        <f>IF(F40="Sand",27.1+0.3*MIN(Input!$G$20*G40,60)-0.00054*MIN(Input!$G$20*G40,60)^2,MIN(MAX(DEGREES(ASIN(0.8-0.094*LN(MAX(IF(M40="",10,M40),5)))),20),30))</f>
        <v/>
      </c>
      <c r="Q40" s="27">
        <f>IF(F40="Sand",Input!$G$21*Input!$G$20*G40,Input!$G$22*O40)</f>
        <v/>
      </c>
      <c r="R40" s="13">
        <f>IF(F40="Sand",Input!$G$26,0.5)</f>
        <v/>
      </c>
      <c r="S40" s="13">
        <f>Input!$G$10/2/E40</f>
        <v/>
      </c>
      <c r="T40" s="13">
        <f>Input!$G$11/2/E40</f>
        <v/>
      </c>
      <c r="U40" s="28">
        <f>1/(4*PI())*(2*S40*T40*SQRT(S40^2+T40^2+1)/(S40^2+T40^2+1+S40^2*T40^2)*(S40^2+T40^2+2)/(S40^2+T40^2+1)+ATAN2(S40^2+T40^2+1-S40^2*T40^2,2*S40*T40*SQRT(S40^2+T40^2+1)))</f>
        <v/>
      </c>
      <c r="V40" s="12">
        <f>4*Input!$G$9*U40</f>
        <v/>
      </c>
      <c r="W40" s="29">
        <f>((Input!$G$11/Input!$G$10)*LN((1+SQRT((Input!$G$11/Input!$G$10)^2+1))*SQRT((Input!$G$11/Input!$G$10)^2+(C40/(Input!$G$10/2))^2)/((Input!$G$11/Input!$G$10)*(1+SQRT((Input!$G$11/Input!$G$10)^2+(C40/(Input!$G$10/2))^2+1))))+LN(((Input!$G$11/Input!$G$10)+SQRT((Input!$G$11/Input!$G$10)^2+1))*SQRT(1+(C40/(Input!$G$10/2))^2)/((Input!$G$11/Input!$G$10)+SQRT((Input!$G$11/Input!$G$10)^2+(C40/(Input!$G$10/2))^2+1))))/PI()</f>
        <v/>
      </c>
      <c r="X40" s="29">
        <f>(C40/(Input!$G$10/2))/(2*PI())*ATAN((Input!$G$11/Input!$G$10)/((C40/(Input!$G$10/2))*SQRT((Input!$G$11/Input!$G$10)^2+(C40/(Input!$G$10/2))^2+1)))</f>
        <v/>
      </c>
      <c r="Y40" s="13">
        <f>MAX(0,C40-MAX(B40,$G$8))/D40*IF(V40&gt;=Input!$G$27*J40,1,0)</f>
        <v/>
      </c>
      <c r="Z40" s="12">
        <f>4*Input!$G$9*(Input!$G$10/2)*(1-R40^2)/Q40*((W40-W39)+(1-2*R40)/(1-R40)*(X40-X39))*1000*Y40</f>
        <v/>
      </c>
      <c r="AA40" s="30">
        <f>IF(F40="Sand",0,0.009*(K40-10))</f>
        <v/>
      </c>
      <c r="AB40" s="30">
        <f>AA40*Input!$G$23</f>
        <v/>
      </c>
      <c r="AC40" s="26">
        <f>IF(F40="Sand",0,MAX(O40/Input!$G$24,J40))</f>
        <v/>
      </c>
      <c r="AD40" s="31">
        <f>IF(F40="Sand",0,1000*D40/(1+N40)*IF(J40+V40&lt;=AC40,AB40*LOG10((J40+V40)/J40),AB40*LOG10(AC40/J40)+AA40*LOG10((J40+V40)/AC40)))*Y40</f>
        <v/>
      </c>
      <c r="AE40" s="32">
        <f>IF(F40="Sand",0,10^(INDEX(Korelasi!$C$5:$C$11,MIN(MATCH(MIN(MAX(K40,30),120),Korelasi!$A$5:$A$11,1),6))+(MIN(MAX(K40,30),120)-INDEX(Korelasi!$A$5:$A$11,MIN(MATCH(MIN(MAX(K40,30),120),Korelasi!$A$5:$A$11,1),6)))/(INDEX(Korelasi!$A$5:$A$11,MIN(MATCH(MIN(MAX(K40,30),120),Korelasi!$A$5:$A$11,1),6)+1)-INDEX(Korelasi!$A$5:$A$11,MIN(MATCH(MIN(MAX(K40,30),120),Korelasi!$A$5:$A$11,1),6)))*(INDEX(Korelasi!$C$5:$C$11,MIN(MATCH(MIN(MAX(K40,30),120),Korelasi!$A$5:$A$11,1),6)+1)-INDEX(Korelasi!$C$5:$C$11,MIN(MATCH(MIN(MAX(K40,30),120),Korelasi!$A$5:$A$11,1),6)))))</f>
        <v/>
      </c>
      <c r="AF40" s="33">
        <f>IF(OR(F40="Sand",Y40=0),0,Input!$G$25*(D40/2)^2/(AE40*1E-4*31536000))</f>
        <v/>
      </c>
      <c r="AG40" s="13">
        <f>MAX(0,MIN(C40,Input!$G$15)-B40)</f>
        <v/>
      </c>
      <c r="AH40" s="13">
        <f>MAX(0,MIN(C40,Input!$G$15)-MAX(B40,$G$8))</f>
        <v/>
      </c>
      <c r="AI40" s="13">
        <f>MAX(0,MIN(C40,$G$106)-B40)</f>
        <v/>
      </c>
      <c r="AJ40" s="34" t="inlineStr"/>
    </row>
    <row r="41">
      <c r="A41" s="20" t="n">
        <v>29</v>
      </c>
      <c r="B41" s="21" t="n">
        <v>42</v>
      </c>
      <c r="C41" s="21" t="n">
        <v>43.5</v>
      </c>
      <c r="D41" s="13">
        <f>C41-B41</f>
        <v/>
      </c>
      <c r="E41" s="13">
        <f>(B41+C41)/2</f>
        <v/>
      </c>
      <c r="F41" s="22" t="inlineStr">
        <is>
          <t>Clay</t>
        </is>
      </c>
      <c r="G41" s="23" t="n">
        <v>50</v>
      </c>
      <c r="H41" s="12">
        <f>IF(E41&gt;$G$5,$G$7,$G$6)</f>
        <v/>
      </c>
      <c r="I41" s="12">
        <f>I40+H41*D41</f>
        <v/>
      </c>
      <c r="J41" s="12">
        <f>I41-H41*D41/2-10*MAX(E41-$G$5,0)</f>
        <v/>
      </c>
      <c r="K41" s="24" t="n">
        <v>29.665</v>
      </c>
      <c r="L41" s="24" t="n">
        <v>19.806</v>
      </c>
      <c r="M41" s="12">
        <f>IF(K41="","",K41-L41)</f>
        <v/>
      </c>
      <c r="N41" s="25" t="n">
        <v>0.681</v>
      </c>
      <c r="O41" s="26">
        <f>IF(F41="Sand",0,Input!$G$19*G41)</f>
        <v/>
      </c>
      <c r="P41" s="12">
        <f>IF(F41="Sand",27.1+0.3*MIN(Input!$G$20*G41,60)-0.00054*MIN(Input!$G$20*G41,60)^2,MIN(MAX(DEGREES(ASIN(0.8-0.094*LN(MAX(IF(M41="",10,M41),5)))),20),30))</f>
        <v/>
      </c>
      <c r="Q41" s="27">
        <f>IF(F41="Sand",Input!$G$21*Input!$G$20*G41,Input!$G$22*O41)</f>
        <v/>
      </c>
      <c r="R41" s="13">
        <f>IF(F41="Sand",Input!$G$26,0.5)</f>
        <v/>
      </c>
      <c r="S41" s="13">
        <f>Input!$G$10/2/E41</f>
        <v/>
      </c>
      <c r="T41" s="13">
        <f>Input!$G$11/2/E41</f>
        <v/>
      </c>
      <c r="U41" s="28">
        <f>1/(4*PI())*(2*S41*T41*SQRT(S41^2+T41^2+1)/(S41^2+T41^2+1+S41^2*T41^2)*(S41^2+T41^2+2)/(S41^2+T41^2+1)+ATAN2(S41^2+T41^2+1-S41^2*T41^2,2*S41*T41*SQRT(S41^2+T41^2+1)))</f>
        <v/>
      </c>
      <c r="V41" s="12">
        <f>4*Input!$G$9*U41</f>
        <v/>
      </c>
      <c r="W41" s="29">
        <f>((Input!$G$11/Input!$G$10)*LN((1+SQRT((Input!$G$11/Input!$G$10)^2+1))*SQRT((Input!$G$11/Input!$G$10)^2+(C41/(Input!$G$10/2))^2)/((Input!$G$11/Input!$G$10)*(1+SQRT((Input!$G$11/Input!$G$10)^2+(C41/(Input!$G$10/2))^2+1))))+LN(((Input!$G$11/Input!$G$10)+SQRT((Input!$G$11/Input!$G$10)^2+1))*SQRT(1+(C41/(Input!$G$10/2))^2)/((Input!$G$11/Input!$G$10)+SQRT((Input!$G$11/Input!$G$10)^2+(C41/(Input!$G$10/2))^2+1))))/PI()</f>
        <v/>
      </c>
      <c r="X41" s="29">
        <f>(C41/(Input!$G$10/2))/(2*PI())*ATAN((Input!$G$11/Input!$G$10)/((C41/(Input!$G$10/2))*SQRT((Input!$G$11/Input!$G$10)^2+(C41/(Input!$G$10/2))^2+1)))</f>
        <v/>
      </c>
      <c r="Y41" s="13">
        <f>MAX(0,C41-MAX(B41,$G$8))/D41*IF(V41&gt;=Input!$G$27*J41,1,0)</f>
        <v/>
      </c>
      <c r="Z41" s="12">
        <f>4*Input!$G$9*(Input!$G$10/2)*(1-R41^2)/Q41*((W41-W40)+(1-2*R41)/(1-R41)*(X41-X40))*1000*Y41</f>
        <v/>
      </c>
      <c r="AA41" s="30">
        <f>IF(F41="Sand",0,0.009*(K41-10))</f>
        <v/>
      </c>
      <c r="AB41" s="30">
        <f>AA41*Input!$G$23</f>
        <v/>
      </c>
      <c r="AC41" s="26">
        <f>IF(F41="Sand",0,MAX(O41/Input!$G$24,J41))</f>
        <v/>
      </c>
      <c r="AD41" s="31">
        <f>IF(F41="Sand",0,1000*D41/(1+N41)*IF(J41+V41&lt;=AC41,AB41*LOG10((J41+V41)/J41),AB41*LOG10(AC41/J41)+AA41*LOG10((J41+V41)/AC41)))*Y41</f>
        <v/>
      </c>
      <c r="AE41" s="32">
        <f>IF(F41="Sand",0,10^(INDEX(Korelasi!$C$5:$C$11,MIN(MATCH(MIN(MAX(K41,30),120),Korelasi!$A$5:$A$11,1),6))+(MIN(MAX(K41,30),120)-INDEX(Korelasi!$A$5:$A$11,MIN(MATCH(MIN(MAX(K41,30),120),Korelasi!$A$5:$A$11,1),6)))/(INDEX(Korelasi!$A$5:$A$11,MIN(MATCH(MIN(MAX(K41,30),120),Korelasi!$A$5:$A$11,1),6)+1)-INDEX(Korelasi!$A$5:$A$11,MIN(MATCH(MIN(MAX(K41,30),120),Korelasi!$A$5:$A$11,1),6)))*(INDEX(Korelasi!$C$5:$C$11,MIN(MATCH(MIN(MAX(K41,30),120),Korelasi!$A$5:$A$11,1),6)+1)-INDEX(Korelasi!$C$5:$C$11,MIN(MATCH(MIN(MAX(K41,30),120),Korelasi!$A$5:$A$11,1),6)))))</f>
        <v/>
      </c>
      <c r="AF41" s="33">
        <f>IF(OR(F41="Sand",Y41=0),0,Input!$G$25*(D41/2)^2/(AE41*1E-4*31536000))</f>
        <v/>
      </c>
      <c r="AG41" s="13">
        <f>MAX(0,MIN(C41,Input!$G$15)-B41)</f>
        <v/>
      </c>
      <c r="AH41" s="13">
        <f>MAX(0,MIN(C41,Input!$G$15)-MAX(B41,$G$8))</f>
        <v/>
      </c>
      <c r="AI41" s="13">
        <f>MAX(0,MIN(C41,$G$106)-B41)</f>
        <v/>
      </c>
      <c r="AJ41" s="34" t="inlineStr">
        <is>
          <t>LL/PL/e0 = rata-rata BH</t>
        </is>
      </c>
    </row>
    <row r="42">
      <c r="A42" s="20" t="n">
        <v>30</v>
      </c>
      <c r="B42" s="21" t="n">
        <v>43.5</v>
      </c>
      <c r="C42" s="21" t="n">
        <v>45</v>
      </c>
      <c r="D42" s="13">
        <f>C42-B42</f>
        <v/>
      </c>
      <c r="E42" s="13">
        <f>(B42+C42)/2</f>
        <v/>
      </c>
      <c r="F42" s="22" t="inlineStr">
        <is>
          <t>Clay</t>
        </is>
      </c>
      <c r="G42" s="23" t="n">
        <v>50</v>
      </c>
      <c r="H42" s="12">
        <f>IF(E42&gt;$G$5,$G$7,$G$6)</f>
        <v/>
      </c>
      <c r="I42" s="12">
        <f>I41+H42*D42</f>
        <v/>
      </c>
      <c r="J42" s="12">
        <f>I42-H42*D42/2-10*MAX(E42-$G$5,0)</f>
        <v/>
      </c>
      <c r="K42" s="24" t="n">
        <v>30.1</v>
      </c>
      <c r="L42" s="24" t="n">
        <v>20.6</v>
      </c>
      <c r="M42" s="12">
        <f>IF(K42="","",K42-L42)</f>
        <v/>
      </c>
      <c r="N42" s="25" t="n">
        <v>0.703</v>
      </c>
      <c r="O42" s="26">
        <f>IF(F42="Sand",0,Input!$G$19*G42)</f>
        <v/>
      </c>
      <c r="P42" s="12">
        <f>IF(F42="Sand",27.1+0.3*MIN(Input!$G$20*G42,60)-0.00054*MIN(Input!$G$20*G42,60)^2,MIN(MAX(DEGREES(ASIN(0.8-0.094*LN(MAX(IF(M42="",10,M42),5)))),20),30))</f>
        <v/>
      </c>
      <c r="Q42" s="27">
        <f>IF(F42="Sand",Input!$G$21*Input!$G$20*G42,Input!$G$22*O42)</f>
        <v/>
      </c>
      <c r="R42" s="13">
        <f>IF(F42="Sand",Input!$G$26,0.5)</f>
        <v/>
      </c>
      <c r="S42" s="13">
        <f>Input!$G$10/2/E42</f>
        <v/>
      </c>
      <c r="T42" s="13">
        <f>Input!$G$11/2/E42</f>
        <v/>
      </c>
      <c r="U42" s="28">
        <f>1/(4*PI())*(2*S42*T42*SQRT(S42^2+T42^2+1)/(S42^2+T42^2+1+S42^2*T42^2)*(S42^2+T42^2+2)/(S42^2+T42^2+1)+ATAN2(S42^2+T42^2+1-S42^2*T42^2,2*S42*T42*SQRT(S42^2+T42^2+1)))</f>
        <v/>
      </c>
      <c r="V42" s="12">
        <f>4*Input!$G$9*U42</f>
        <v/>
      </c>
      <c r="W42" s="29">
        <f>((Input!$G$11/Input!$G$10)*LN((1+SQRT((Input!$G$11/Input!$G$10)^2+1))*SQRT((Input!$G$11/Input!$G$10)^2+(C42/(Input!$G$10/2))^2)/((Input!$G$11/Input!$G$10)*(1+SQRT((Input!$G$11/Input!$G$10)^2+(C42/(Input!$G$10/2))^2+1))))+LN(((Input!$G$11/Input!$G$10)+SQRT((Input!$G$11/Input!$G$10)^2+1))*SQRT(1+(C42/(Input!$G$10/2))^2)/((Input!$G$11/Input!$G$10)+SQRT((Input!$G$11/Input!$G$10)^2+(C42/(Input!$G$10/2))^2+1))))/PI()</f>
        <v/>
      </c>
      <c r="X42" s="29">
        <f>(C42/(Input!$G$10/2))/(2*PI())*ATAN((Input!$G$11/Input!$G$10)/((C42/(Input!$G$10/2))*SQRT((Input!$G$11/Input!$G$10)^2+(C42/(Input!$G$10/2))^2+1)))</f>
        <v/>
      </c>
      <c r="Y42" s="13">
        <f>MAX(0,C42-MAX(B42,$G$8))/D42*IF(V42&gt;=Input!$G$27*J42,1,0)</f>
        <v/>
      </c>
      <c r="Z42" s="12">
        <f>4*Input!$G$9*(Input!$G$10/2)*(1-R42^2)/Q42*((W42-W41)+(1-2*R42)/(1-R42)*(X42-X41))*1000*Y42</f>
        <v/>
      </c>
      <c r="AA42" s="30">
        <f>IF(F42="Sand",0,0.009*(K42-10))</f>
        <v/>
      </c>
      <c r="AB42" s="30">
        <f>AA42*Input!$G$23</f>
        <v/>
      </c>
      <c r="AC42" s="26">
        <f>IF(F42="Sand",0,MAX(O42/Input!$G$24,J42))</f>
        <v/>
      </c>
      <c r="AD42" s="31">
        <f>IF(F42="Sand",0,1000*D42/(1+N42)*IF(J42+V42&lt;=AC42,AB42*LOG10((J42+V42)/J42),AB42*LOG10(AC42/J42)+AA42*LOG10((J42+V42)/AC42)))*Y42</f>
        <v/>
      </c>
      <c r="AE42" s="32">
        <f>IF(F42="Sand",0,10^(INDEX(Korelasi!$C$5:$C$11,MIN(MATCH(MIN(MAX(K42,30),120),Korelasi!$A$5:$A$11,1),6))+(MIN(MAX(K42,30),120)-INDEX(Korelasi!$A$5:$A$11,MIN(MATCH(MIN(MAX(K42,30),120),Korelasi!$A$5:$A$11,1),6)))/(INDEX(Korelasi!$A$5:$A$11,MIN(MATCH(MIN(MAX(K42,30),120),Korelasi!$A$5:$A$11,1),6)+1)-INDEX(Korelasi!$A$5:$A$11,MIN(MATCH(MIN(MAX(K42,30),120),Korelasi!$A$5:$A$11,1),6)))*(INDEX(Korelasi!$C$5:$C$11,MIN(MATCH(MIN(MAX(K42,30),120),Korelasi!$A$5:$A$11,1),6)+1)-INDEX(Korelasi!$C$5:$C$11,MIN(MATCH(MIN(MAX(K42,30),120),Korelasi!$A$5:$A$11,1),6)))))</f>
        <v/>
      </c>
      <c r="AF42" s="33">
        <f>IF(OR(F42="Sand",Y42=0),0,Input!$G$25*(D42/2)^2/(AE42*1E-4*31536000))</f>
        <v/>
      </c>
      <c r="AG42" s="13">
        <f>MAX(0,MIN(C42,Input!$G$15)-B42)</f>
        <v/>
      </c>
      <c r="AH42" s="13">
        <f>MAX(0,MIN(C42,Input!$G$15)-MAX(B42,$G$8))</f>
        <v/>
      </c>
      <c r="AI42" s="13">
        <f>MAX(0,MIN(C42,$G$106)-B42)</f>
        <v/>
      </c>
      <c r="AJ42" s="34" t="inlineStr"/>
    </row>
    <row r="43">
      <c r="A43" s="20" t="n">
        <v>31</v>
      </c>
      <c r="B43" s="21" t="n">
        <v>45</v>
      </c>
      <c r="C43" s="21" t="n">
        <v>46.5</v>
      </c>
      <c r="D43" s="13">
        <f>C43-B43</f>
        <v/>
      </c>
      <c r="E43" s="13">
        <f>(B43+C43)/2</f>
        <v/>
      </c>
      <c r="F43" s="22" t="inlineStr">
        <is>
          <t>Clay</t>
        </is>
      </c>
      <c r="G43" s="23" t="n">
        <v>33</v>
      </c>
      <c r="H43" s="12">
        <f>IF(E43&gt;$G$5,$G$7,$G$6)</f>
        <v/>
      </c>
      <c r="I43" s="12">
        <f>I42+H43*D43</f>
        <v/>
      </c>
      <c r="J43" s="12">
        <f>I43-H43*D43/2-10*MAX(E43-$G$5,0)</f>
        <v/>
      </c>
      <c r="K43" s="24" t="n">
        <v>29.665</v>
      </c>
      <c r="L43" s="24" t="n">
        <v>19.806</v>
      </c>
      <c r="M43" s="12">
        <f>IF(K43="","",K43-L43)</f>
        <v/>
      </c>
      <c r="N43" s="25" t="n">
        <v>0.681</v>
      </c>
      <c r="O43" s="26">
        <f>IF(F43="Sand",0,Input!$G$19*G43)</f>
        <v/>
      </c>
      <c r="P43" s="12">
        <f>IF(F43="Sand",27.1+0.3*MIN(Input!$G$20*G43,60)-0.00054*MIN(Input!$G$20*G43,60)^2,MIN(MAX(DEGREES(ASIN(0.8-0.094*LN(MAX(IF(M43="",10,M43),5)))),20),30))</f>
        <v/>
      </c>
      <c r="Q43" s="27">
        <f>IF(F43="Sand",Input!$G$21*Input!$G$20*G43,Input!$G$22*O43)</f>
        <v/>
      </c>
      <c r="R43" s="13">
        <f>IF(F43="Sand",Input!$G$26,0.5)</f>
        <v/>
      </c>
      <c r="S43" s="13">
        <f>Input!$G$10/2/E43</f>
        <v/>
      </c>
      <c r="T43" s="13">
        <f>Input!$G$11/2/E43</f>
        <v/>
      </c>
      <c r="U43" s="28">
        <f>1/(4*PI())*(2*S43*T43*SQRT(S43^2+T43^2+1)/(S43^2+T43^2+1+S43^2*T43^2)*(S43^2+T43^2+2)/(S43^2+T43^2+1)+ATAN2(S43^2+T43^2+1-S43^2*T43^2,2*S43*T43*SQRT(S43^2+T43^2+1)))</f>
        <v/>
      </c>
      <c r="V43" s="12">
        <f>4*Input!$G$9*U43</f>
        <v/>
      </c>
      <c r="W43" s="29">
        <f>((Input!$G$11/Input!$G$10)*LN((1+SQRT((Input!$G$11/Input!$G$10)^2+1))*SQRT((Input!$G$11/Input!$G$10)^2+(C43/(Input!$G$10/2))^2)/((Input!$G$11/Input!$G$10)*(1+SQRT((Input!$G$11/Input!$G$10)^2+(C43/(Input!$G$10/2))^2+1))))+LN(((Input!$G$11/Input!$G$10)+SQRT((Input!$G$11/Input!$G$10)^2+1))*SQRT(1+(C43/(Input!$G$10/2))^2)/((Input!$G$11/Input!$G$10)+SQRT((Input!$G$11/Input!$G$10)^2+(C43/(Input!$G$10/2))^2+1))))/PI()</f>
        <v/>
      </c>
      <c r="X43" s="29">
        <f>(C43/(Input!$G$10/2))/(2*PI())*ATAN((Input!$G$11/Input!$G$10)/((C43/(Input!$G$10/2))*SQRT((Input!$G$11/Input!$G$10)^2+(C43/(Input!$G$10/2))^2+1)))</f>
        <v/>
      </c>
      <c r="Y43" s="13">
        <f>MAX(0,C43-MAX(B43,$G$8))/D43*IF(V43&gt;=Input!$G$27*J43,1,0)</f>
        <v/>
      </c>
      <c r="Z43" s="12">
        <f>4*Input!$G$9*(Input!$G$10/2)*(1-R43^2)/Q43*((W43-W42)+(1-2*R43)/(1-R43)*(X43-X42))*1000*Y43</f>
        <v/>
      </c>
      <c r="AA43" s="30">
        <f>IF(F43="Sand",0,0.009*(K43-10))</f>
        <v/>
      </c>
      <c r="AB43" s="30">
        <f>AA43*Input!$G$23</f>
        <v/>
      </c>
      <c r="AC43" s="26">
        <f>IF(F43="Sand",0,MAX(O43/Input!$G$24,J43))</f>
        <v/>
      </c>
      <c r="AD43" s="31">
        <f>IF(F43="Sand",0,1000*D43/(1+N43)*IF(J43+V43&lt;=AC43,AB43*LOG10((J43+V43)/J43),AB43*LOG10(AC43/J43)+AA43*LOG10((J43+V43)/AC43)))*Y43</f>
        <v/>
      </c>
      <c r="AE43" s="32">
        <f>IF(F43="Sand",0,10^(INDEX(Korelasi!$C$5:$C$11,MIN(MATCH(MIN(MAX(K43,30),120),Korelasi!$A$5:$A$11,1),6))+(MIN(MAX(K43,30),120)-INDEX(Korelasi!$A$5:$A$11,MIN(MATCH(MIN(MAX(K43,30),120),Korelasi!$A$5:$A$11,1),6)))/(INDEX(Korelasi!$A$5:$A$11,MIN(MATCH(MIN(MAX(K43,30),120),Korelasi!$A$5:$A$11,1),6)+1)-INDEX(Korelasi!$A$5:$A$11,MIN(MATCH(MIN(MAX(K43,30),120),Korelasi!$A$5:$A$11,1),6)))*(INDEX(Korelasi!$C$5:$C$11,MIN(MATCH(MIN(MAX(K43,30),120),Korelasi!$A$5:$A$11,1),6)+1)-INDEX(Korelasi!$C$5:$C$11,MIN(MATCH(MIN(MAX(K43,30),120),Korelasi!$A$5:$A$11,1),6)))))</f>
        <v/>
      </c>
      <c r="AF43" s="33">
        <f>IF(OR(F43="Sand",Y43=0),0,Input!$G$25*(D43/2)^2/(AE43*1E-4*31536000))</f>
        <v/>
      </c>
      <c r="AG43" s="13">
        <f>MAX(0,MIN(C43,Input!$G$15)-B43)</f>
        <v/>
      </c>
      <c r="AH43" s="13">
        <f>MAX(0,MIN(C43,Input!$G$15)-MAX(B43,$G$8))</f>
        <v/>
      </c>
      <c r="AI43" s="13">
        <f>MAX(0,MIN(C43,$G$106)-B43)</f>
        <v/>
      </c>
      <c r="AJ43" s="34" t="inlineStr">
        <is>
          <t>LL/PL/e0 = rata-rata BH</t>
        </is>
      </c>
    </row>
    <row r="44">
      <c r="A44" s="20" t="n">
        <v>32</v>
      </c>
      <c r="B44" s="21" t="n">
        <v>46.5</v>
      </c>
      <c r="C44" s="21" t="n">
        <v>48</v>
      </c>
      <c r="D44" s="13">
        <f>C44-B44</f>
        <v/>
      </c>
      <c r="E44" s="13">
        <f>(B44+C44)/2</f>
        <v/>
      </c>
      <c r="F44" s="22" t="inlineStr">
        <is>
          <t>Clay</t>
        </is>
      </c>
      <c r="G44" s="23" t="n">
        <v>36</v>
      </c>
      <c r="H44" s="12">
        <f>IF(E44&gt;$G$5,$G$7,$G$6)</f>
        <v/>
      </c>
      <c r="I44" s="12">
        <f>I43+H44*D44</f>
        <v/>
      </c>
      <c r="J44" s="12">
        <f>I44-H44*D44/2-10*MAX(E44-$G$5,0)</f>
        <v/>
      </c>
      <c r="K44" s="24" t="n">
        <v>39.36</v>
      </c>
      <c r="L44" s="24" t="n">
        <v>25.37</v>
      </c>
      <c r="M44" s="12">
        <f>IF(K44="","",K44-L44)</f>
        <v/>
      </c>
      <c r="N44" s="25" t="n">
        <v>0.841</v>
      </c>
      <c r="O44" s="26">
        <f>IF(F44="Sand",0,Input!$G$19*G44)</f>
        <v/>
      </c>
      <c r="P44" s="12">
        <f>IF(F44="Sand",27.1+0.3*MIN(Input!$G$20*G44,60)-0.00054*MIN(Input!$G$20*G44,60)^2,MIN(MAX(DEGREES(ASIN(0.8-0.094*LN(MAX(IF(M44="",10,M44),5)))),20),30))</f>
        <v/>
      </c>
      <c r="Q44" s="27">
        <f>IF(F44="Sand",Input!$G$21*Input!$G$20*G44,Input!$G$22*O44)</f>
        <v/>
      </c>
      <c r="R44" s="13">
        <f>IF(F44="Sand",Input!$G$26,0.5)</f>
        <v/>
      </c>
      <c r="S44" s="13">
        <f>Input!$G$10/2/E44</f>
        <v/>
      </c>
      <c r="T44" s="13">
        <f>Input!$G$11/2/E44</f>
        <v/>
      </c>
      <c r="U44" s="28">
        <f>1/(4*PI())*(2*S44*T44*SQRT(S44^2+T44^2+1)/(S44^2+T44^2+1+S44^2*T44^2)*(S44^2+T44^2+2)/(S44^2+T44^2+1)+ATAN2(S44^2+T44^2+1-S44^2*T44^2,2*S44*T44*SQRT(S44^2+T44^2+1)))</f>
        <v/>
      </c>
      <c r="V44" s="12">
        <f>4*Input!$G$9*U44</f>
        <v/>
      </c>
      <c r="W44" s="29">
        <f>((Input!$G$11/Input!$G$10)*LN((1+SQRT((Input!$G$11/Input!$G$10)^2+1))*SQRT((Input!$G$11/Input!$G$10)^2+(C44/(Input!$G$10/2))^2)/((Input!$G$11/Input!$G$10)*(1+SQRT((Input!$G$11/Input!$G$10)^2+(C44/(Input!$G$10/2))^2+1))))+LN(((Input!$G$11/Input!$G$10)+SQRT((Input!$G$11/Input!$G$10)^2+1))*SQRT(1+(C44/(Input!$G$10/2))^2)/((Input!$G$11/Input!$G$10)+SQRT((Input!$G$11/Input!$G$10)^2+(C44/(Input!$G$10/2))^2+1))))/PI()</f>
        <v/>
      </c>
      <c r="X44" s="29">
        <f>(C44/(Input!$G$10/2))/(2*PI())*ATAN((Input!$G$11/Input!$G$10)/((C44/(Input!$G$10/2))*SQRT((Input!$G$11/Input!$G$10)^2+(C44/(Input!$G$10/2))^2+1)))</f>
        <v/>
      </c>
      <c r="Y44" s="13">
        <f>MAX(0,C44-MAX(B44,$G$8))/D44*IF(V44&gt;=Input!$G$27*J44,1,0)</f>
        <v/>
      </c>
      <c r="Z44" s="12">
        <f>4*Input!$G$9*(Input!$G$10/2)*(1-R44^2)/Q44*((W44-W43)+(1-2*R44)/(1-R44)*(X44-X43))*1000*Y44</f>
        <v/>
      </c>
      <c r="AA44" s="30">
        <f>IF(F44="Sand",0,0.009*(K44-10))</f>
        <v/>
      </c>
      <c r="AB44" s="30">
        <f>AA44*Input!$G$23</f>
        <v/>
      </c>
      <c r="AC44" s="26">
        <f>IF(F44="Sand",0,MAX(O44/Input!$G$24,J44))</f>
        <v/>
      </c>
      <c r="AD44" s="31">
        <f>IF(F44="Sand",0,1000*D44/(1+N44)*IF(J44+V44&lt;=AC44,AB44*LOG10((J44+V44)/J44),AB44*LOG10(AC44/J44)+AA44*LOG10((J44+V44)/AC44)))*Y44</f>
        <v/>
      </c>
      <c r="AE44" s="32">
        <f>IF(F44="Sand",0,10^(INDEX(Korelasi!$C$5:$C$11,MIN(MATCH(MIN(MAX(K44,30),120),Korelasi!$A$5:$A$11,1),6))+(MIN(MAX(K44,30),120)-INDEX(Korelasi!$A$5:$A$11,MIN(MATCH(MIN(MAX(K44,30),120),Korelasi!$A$5:$A$11,1),6)))/(INDEX(Korelasi!$A$5:$A$11,MIN(MATCH(MIN(MAX(K44,30),120),Korelasi!$A$5:$A$11,1),6)+1)-INDEX(Korelasi!$A$5:$A$11,MIN(MATCH(MIN(MAX(K44,30),120),Korelasi!$A$5:$A$11,1),6)))*(INDEX(Korelasi!$C$5:$C$11,MIN(MATCH(MIN(MAX(K44,30),120),Korelasi!$A$5:$A$11,1),6)+1)-INDEX(Korelasi!$C$5:$C$11,MIN(MATCH(MIN(MAX(K44,30),120),Korelasi!$A$5:$A$11,1),6)))))</f>
        <v/>
      </c>
      <c r="AF44" s="33">
        <f>IF(OR(F44="Sand",Y44=0),0,Input!$G$25*(D44/2)^2/(AE44*1E-4*31536000))</f>
        <v/>
      </c>
      <c r="AG44" s="13">
        <f>MAX(0,MIN(C44,Input!$G$15)-B44)</f>
        <v/>
      </c>
      <c r="AH44" s="13">
        <f>MAX(0,MIN(C44,Input!$G$15)-MAX(B44,$G$8))</f>
        <v/>
      </c>
      <c r="AI44" s="13">
        <f>MAX(0,MIN(C44,$G$106)-B44)</f>
        <v/>
      </c>
      <c r="AJ44" s="34" t="inlineStr"/>
    </row>
    <row r="45">
      <c r="A45" s="20" t="n">
        <v>33</v>
      </c>
      <c r="B45" s="21" t="n">
        <v>48</v>
      </c>
      <c r="C45" s="21" t="n">
        <v>49.5</v>
      </c>
      <c r="D45" s="13">
        <f>C45-B45</f>
        <v/>
      </c>
      <c r="E45" s="13">
        <f>(B45+C45)/2</f>
        <v/>
      </c>
      <c r="F45" s="22" t="inlineStr">
        <is>
          <t>Clay</t>
        </is>
      </c>
      <c r="G45" s="23" t="n">
        <v>31</v>
      </c>
      <c r="H45" s="12">
        <f>IF(E45&gt;$G$5,$G$7,$G$6)</f>
        <v/>
      </c>
      <c r="I45" s="12">
        <f>I44+H45*D45</f>
        <v/>
      </c>
      <c r="J45" s="12">
        <f>I45-H45*D45/2-10*MAX(E45-$G$5,0)</f>
        <v/>
      </c>
      <c r="K45" s="24" t="n">
        <v>29.665</v>
      </c>
      <c r="L45" s="24" t="n">
        <v>19.806</v>
      </c>
      <c r="M45" s="12">
        <f>IF(K45="","",K45-L45)</f>
        <v/>
      </c>
      <c r="N45" s="25" t="n">
        <v>0.681</v>
      </c>
      <c r="O45" s="26">
        <f>IF(F45="Sand",0,Input!$G$19*G45)</f>
        <v/>
      </c>
      <c r="P45" s="12">
        <f>IF(F45="Sand",27.1+0.3*MIN(Input!$G$20*G45,60)-0.00054*MIN(Input!$G$20*G45,60)^2,MIN(MAX(DEGREES(ASIN(0.8-0.094*LN(MAX(IF(M45="",10,M45),5)))),20),30))</f>
        <v/>
      </c>
      <c r="Q45" s="27">
        <f>IF(F45="Sand",Input!$G$21*Input!$G$20*G45,Input!$G$22*O45)</f>
        <v/>
      </c>
      <c r="R45" s="13">
        <f>IF(F45="Sand",Input!$G$26,0.5)</f>
        <v/>
      </c>
      <c r="S45" s="13">
        <f>Input!$G$10/2/E45</f>
        <v/>
      </c>
      <c r="T45" s="13">
        <f>Input!$G$11/2/E45</f>
        <v/>
      </c>
      <c r="U45" s="28">
        <f>1/(4*PI())*(2*S45*T45*SQRT(S45^2+T45^2+1)/(S45^2+T45^2+1+S45^2*T45^2)*(S45^2+T45^2+2)/(S45^2+T45^2+1)+ATAN2(S45^2+T45^2+1-S45^2*T45^2,2*S45*T45*SQRT(S45^2+T45^2+1)))</f>
        <v/>
      </c>
      <c r="V45" s="12">
        <f>4*Input!$G$9*U45</f>
        <v/>
      </c>
      <c r="W45" s="29">
        <f>((Input!$G$11/Input!$G$10)*LN((1+SQRT((Input!$G$11/Input!$G$10)^2+1))*SQRT((Input!$G$11/Input!$G$10)^2+(C45/(Input!$G$10/2))^2)/((Input!$G$11/Input!$G$10)*(1+SQRT((Input!$G$11/Input!$G$10)^2+(C45/(Input!$G$10/2))^2+1))))+LN(((Input!$G$11/Input!$G$10)+SQRT((Input!$G$11/Input!$G$10)^2+1))*SQRT(1+(C45/(Input!$G$10/2))^2)/((Input!$G$11/Input!$G$10)+SQRT((Input!$G$11/Input!$G$10)^2+(C45/(Input!$G$10/2))^2+1))))/PI()</f>
        <v/>
      </c>
      <c r="X45" s="29">
        <f>(C45/(Input!$G$10/2))/(2*PI())*ATAN((Input!$G$11/Input!$G$10)/((C45/(Input!$G$10/2))*SQRT((Input!$G$11/Input!$G$10)^2+(C45/(Input!$G$10/2))^2+1)))</f>
        <v/>
      </c>
      <c r="Y45" s="13">
        <f>MAX(0,C45-MAX(B45,$G$8))/D45*IF(V45&gt;=Input!$G$27*J45,1,0)</f>
        <v/>
      </c>
      <c r="Z45" s="12">
        <f>4*Input!$G$9*(Input!$G$10/2)*(1-R45^2)/Q45*((W45-W44)+(1-2*R45)/(1-R45)*(X45-X44))*1000*Y45</f>
        <v/>
      </c>
      <c r="AA45" s="30">
        <f>IF(F45="Sand",0,0.009*(K45-10))</f>
        <v/>
      </c>
      <c r="AB45" s="30">
        <f>AA45*Input!$G$23</f>
        <v/>
      </c>
      <c r="AC45" s="26">
        <f>IF(F45="Sand",0,MAX(O45/Input!$G$24,J45))</f>
        <v/>
      </c>
      <c r="AD45" s="31">
        <f>IF(F45="Sand",0,1000*D45/(1+N45)*IF(J45+V45&lt;=AC45,AB45*LOG10((J45+V45)/J45),AB45*LOG10(AC45/J45)+AA45*LOG10((J45+V45)/AC45)))*Y45</f>
        <v/>
      </c>
      <c r="AE45" s="32">
        <f>IF(F45="Sand",0,10^(INDEX(Korelasi!$C$5:$C$11,MIN(MATCH(MIN(MAX(K45,30),120),Korelasi!$A$5:$A$11,1),6))+(MIN(MAX(K45,30),120)-INDEX(Korelasi!$A$5:$A$11,MIN(MATCH(MIN(MAX(K45,30),120),Korelasi!$A$5:$A$11,1),6)))/(INDEX(Korelasi!$A$5:$A$11,MIN(MATCH(MIN(MAX(K45,30),120),Korelasi!$A$5:$A$11,1),6)+1)-INDEX(Korelasi!$A$5:$A$11,MIN(MATCH(MIN(MAX(K45,30),120),Korelasi!$A$5:$A$11,1),6)))*(INDEX(Korelasi!$C$5:$C$11,MIN(MATCH(MIN(MAX(K45,30),120),Korelasi!$A$5:$A$11,1),6)+1)-INDEX(Korelasi!$C$5:$C$11,MIN(MATCH(MIN(MAX(K45,30),120),Korelasi!$A$5:$A$11,1),6)))))</f>
        <v/>
      </c>
      <c r="AF45" s="33">
        <f>IF(OR(F45="Sand",Y45=0),0,Input!$G$25*(D45/2)^2/(AE45*1E-4*31536000))</f>
        <v/>
      </c>
      <c r="AG45" s="13">
        <f>MAX(0,MIN(C45,Input!$G$15)-B45)</f>
        <v/>
      </c>
      <c r="AH45" s="13">
        <f>MAX(0,MIN(C45,Input!$G$15)-MAX(B45,$G$8))</f>
        <v/>
      </c>
      <c r="AI45" s="13">
        <f>MAX(0,MIN(C45,$G$106)-B45)</f>
        <v/>
      </c>
      <c r="AJ45" s="34" t="inlineStr">
        <is>
          <t>LL/PL/e0 = rata-rata BH</t>
        </is>
      </c>
    </row>
    <row r="46">
      <c r="A46" s="20" t="n">
        <v>34</v>
      </c>
      <c r="B46" s="21" t="n">
        <v>49.5</v>
      </c>
      <c r="C46" s="21" t="n">
        <v>51</v>
      </c>
      <c r="D46" s="13">
        <f>C46-B46</f>
        <v/>
      </c>
      <c r="E46" s="13">
        <f>(B46+C46)/2</f>
        <v/>
      </c>
      <c r="F46" s="22" t="inlineStr">
        <is>
          <t>Sand</t>
        </is>
      </c>
      <c r="G46" s="23" t="n">
        <v>30</v>
      </c>
      <c r="H46" s="12">
        <f>IF(E46&gt;$G$5,$G$7,$G$6)</f>
        <v/>
      </c>
      <c r="I46" s="12">
        <f>I45+H46*D46</f>
        <v/>
      </c>
      <c r="J46" s="12">
        <f>I46-H46*D46/2-10*MAX(E46-$G$5,0)</f>
        <v/>
      </c>
      <c r="K46" s="24" t="n"/>
      <c r="L46" s="24" t="n"/>
      <c r="M46" s="12">
        <f>IF(K46="","",K46-L46)</f>
        <v/>
      </c>
      <c r="N46" s="25" t="n">
        <v>0.357</v>
      </c>
      <c r="O46" s="26">
        <f>IF(F46="Sand",0,Input!$G$19*G46)</f>
        <v/>
      </c>
      <c r="P46" s="12">
        <f>IF(F46="Sand",27.1+0.3*MIN(Input!$G$20*G46,60)-0.00054*MIN(Input!$G$20*G46,60)^2,MIN(MAX(DEGREES(ASIN(0.8-0.094*LN(MAX(IF(M46="",10,M46),5)))),20),30))</f>
        <v/>
      </c>
      <c r="Q46" s="27">
        <f>IF(F46="Sand",Input!$G$21*Input!$G$20*G46,Input!$G$22*O46)</f>
        <v/>
      </c>
      <c r="R46" s="13">
        <f>IF(F46="Sand",Input!$G$26,0.5)</f>
        <v/>
      </c>
      <c r="S46" s="13">
        <f>Input!$G$10/2/E46</f>
        <v/>
      </c>
      <c r="T46" s="13">
        <f>Input!$G$11/2/E46</f>
        <v/>
      </c>
      <c r="U46" s="28">
        <f>1/(4*PI())*(2*S46*T46*SQRT(S46^2+T46^2+1)/(S46^2+T46^2+1+S46^2*T46^2)*(S46^2+T46^2+2)/(S46^2+T46^2+1)+ATAN2(S46^2+T46^2+1-S46^2*T46^2,2*S46*T46*SQRT(S46^2+T46^2+1)))</f>
        <v/>
      </c>
      <c r="V46" s="12">
        <f>4*Input!$G$9*U46</f>
        <v/>
      </c>
      <c r="W46" s="29">
        <f>((Input!$G$11/Input!$G$10)*LN((1+SQRT((Input!$G$11/Input!$G$10)^2+1))*SQRT((Input!$G$11/Input!$G$10)^2+(C46/(Input!$G$10/2))^2)/((Input!$G$11/Input!$G$10)*(1+SQRT((Input!$G$11/Input!$G$10)^2+(C46/(Input!$G$10/2))^2+1))))+LN(((Input!$G$11/Input!$G$10)+SQRT((Input!$G$11/Input!$G$10)^2+1))*SQRT(1+(C46/(Input!$G$10/2))^2)/((Input!$G$11/Input!$G$10)+SQRT((Input!$G$11/Input!$G$10)^2+(C46/(Input!$G$10/2))^2+1))))/PI()</f>
        <v/>
      </c>
      <c r="X46" s="29">
        <f>(C46/(Input!$G$10/2))/(2*PI())*ATAN((Input!$G$11/Input!$G$10)/((C46/(Input!$G$10/2))*SQRT((Input!$G$11/Input!$G$10)^2+(C46/(Input!$G$10/2))^2+1)))</f>
        <v/>
      </c>
      <c r="Y46" s="13">
        <f>MAX(0,C46-MAX(B46,$G$8))/D46*IF(V46&gt;=Input!$G$27*J46,1,0)</f>
        <v/>
      </c>
      <c r="Z46" s="12">
        <f>4*Input!$G$9*(Input!$G$10/2)*(1-R46^2)/Q46*((W46-W45)+(1-2*R46)/(1-R46)*(X46-X45))*1000*Y46</f>
        <v/>
      </c>
      <c r="AA46" s="30">
        <f>IF(F46="Sand",0,0.009*(K46-10))</f>
        <v/>
      </c>
      <c r="AB46" s="30">
        <f>AA46*Input!$G$23</f>
        <v/>
      </c>
      <c r="AC46" s="26">
        <f>IF(F46="Sand",0,MAX(O46/Input!$G$24,J46))</f>
        <v/>
      </c>
      <c r="AD46" s="31">
        <f>IF(F46="Sand",0,1000*D46/(1+N46)*IF(J46+V46&lt;=AC46,AB46*LOG10((J46+V46)/J46),AB46*LOG10(AC46/J46)+AA46*LOG10((J46+V46)/AC46)))*Y46</f>
        <v/>
      </c>
      <c r="AE46" s="32">
        <f>IF(F46="Sand",0,10^(INDEX(Korelasi!$C$5:$C$11,MIN(MATCH(MIN(MAX(K46,30),120),Korelasi!$A$5:$A$11,1),6))+(MIN(MAX(K46,30),120)-INDEX(Korelasi!$A$5:$A$11,MIN(MATCH(MIN(MAX(K46,30),120),Korelasi!$A$5:$A$11,1),6)))/(INDEX(Korelasi!$A$5:$A$11,MIN(MATCH(MIN(MAX(K46,30),120),Korelasi!$A$5:$A$11,1),6)+1)-INDEX(Korelasi!$A$5:$A$11,MIN(MATCH(MIN(MAX(K46,30),120),Korelasi!$A$5:$A$11,1),6)))*(INDEX(Korelasi!$C$5:$C$11,MIN(MATCH(MIN(MAX(K46,30),120),Korelasi!$A$5:$A$11,1),6)+1)-INDEX(Korelasi!$C$5:$C$11,MIN(MATCH(MIN(MAX(K46,30),120),Korelasi!$A$5:$A$11,1),6)))))</f>
        <v/>
      </c>
      <c r="AF46" s="33">
        <f>IF(OR(F46="Sand",Y46=0),0,Input!$G$25*(D46/2)^2/(AE46*1E-4*31536000))</f>
        <v/>
      </c>
      <c r="AG46" s="13">
        <f>MAX(0,MIN(C46,Input!$G$15)-B46)</f>
        <v/>
      </c>
      <c r="AH46" s="13">
        <f>MAX(0,MIN(C46,Input!$G$15)-MAX(B46,$G$8))</f>
        <v/>
      </c>
      <c r="AI46" s="13">
        <f>MAX(0,MIN(C46,$G$106)-B46)</f>
        <v/>
      </c>
      <c r="AJ46" s="34" t="inlineStr"/>
    </row>
    <row r="47">
      <c r="A47" s="20" t="n">
        <v>35</v>
      </c>
      <c r="B47" s="21" t="n">
        <v>51</v>
      </c>
      <c r="C47" s="21" t="n">
        <v>52.5</v>
      </c>
      <c r="D47" s="13">
        <f>C47-B47</f>
        <v/>
      </c>
      <c r="E47" s="13">
        <f>(B47+C47)/2</f>
        <v/>
      </c>
      <c r="F47" s="22" t="inlineStr">
        <is>
          <t>Sand</t>
        </is>
      </c>
      <c r="G47" s="23" t="n">
        <v>34</v>
      </c>
      <c r="H47" s="12">
        <f>IF(E47&gt;$G$5,$G$7,$G$6)</f>
        <v/>
      </c>
      <c r="I47" s="12">
        <f>I46+H47*D47</f>
        <v/>
      </c>
      <c r="J47" s="12">
        <f>I47-H47*D47/2-10*MAX(E47-$G$5,0)</f>
        <v/>
      </c>
      <c r="K47" s="24" t="n"/>
      <c r="L47" s="24" t="n"/>
      <c r="M47" s="12">
        <f>IF(K47="","",K47-L47)</f>
        <v/>
      </c>
      <c r="N47" s="25" t="n">
        <v>0.65</v>
      </c>
      <c r="O47" s="26">
        <f>IF(F47="Sand",0,Input!$G$19*G47)</f>
        <v/>
      </c>
      <c r="P47" s="12">
        <f>IF(F47="Sand",27.1+0.3*MIN(Input!$G$20*G47,60)-0.00054*MIN(Input!$G$20*G47,60)^2,MIN(MAX(DEGREES(ASIN(0.8-0.094*LN(MAX(IF(M47="",10,M47),5)))),20),30))</f>
        <v/>
      </c>
      <c r="Q47" s="27">
        <f>IF(F47="Sand",Input!$G$21*Input!$G$20*G47,Input!$G$22*O47)</f>
        <v/>
      </c>
      <c r="R47" s="13">
        <f>IF(F47="Sand",Input!$G$26,0.5)</f>
        <v/>
      </c>
      <c r="S47" s="13">
        <f>Input!$G$10/2/E47</f>
        <v/>
      </c>
      <c r="T47" s="13">
        <f>Input!$G$11/2/E47</f>
        <v/>
      </c>
      <c r="U47" s="28">
        <f>1/(4*PI())*(2*S47*T47*SQRT(S47^2+T47^2+1)/(S47^2+T47^2+1+S47^2*T47^2)*(S47^2+T47^2+2)/(S47^2+T47^2+1)+ATAN2(S47^2+T47^2+1-S47^2*T47^2,2*S47*T47*SQRT(S47^2+T47^2+1)))</f>
        <v/>
      </c>
      <c r="V47" s="12">
        <f>4*Input!$G$9*U47</f>
        <v/>
      </c>
      <c r="W47" s="29">
        <f>((Input!$G$11/Input!$G$10)*LN((1+SQRT((Input!$G$11/Input!$G$10)^2+1))*SQRT((Input!$G$11/Input!$G$10)^2+(C47/(Input!$G$10/2))^2)/((Input!$G$11/Input!$G$10)*(1+SQRT((Input!$G$11/Input!$G$10)^2+(C47/(Input!$G$10/2))^2+1))))+LN(((Input!$G$11/Input!$G$10)+SQRT((Input!$G$11/Input!$G$10)^2+1))*SQRT(1+(C47/(Input!$G$10/2))^2)/((Input!$G$11/Input!$G$10)+SQRT((Input!$G$11/Input!$G$10)^2+(C47/(Input!$G$10/2))^2+1))))/PI()</f>
        <v/>
      </c>
      <c r="X47" s="29">
        <f>(C47/(Input!$G$10/2))/(2*PI())*ATAN((Input!$G$11/Input!$G$10)/((C47/(Input!$G$10/2))*SQRT((Input!$G$11/Input!$G$10)^2+(C47/(Input!$G$10/2))^2+1)))</f>
        <v/>
      </c>
      <c r="Y47" s="13">
        <f>MAX(0,C47-MAX(B47,$G$8))/D47*IF(V47&gt;=Input!$G$27*J47,1,0)</f>
        <v/>
      </c>
      <c r="Z47" s="12">
        <f>4*Input!$G$9*(Input!$G$10/2)*(1-R47^2)/Q47*((W47-W46)+(1-2*R47)/(1-R47)*(X47-X46))*1000*Y47</f>
        <v/>
      </c>
      <c r="AA47" s="30">
        <f>IF(F47="Sand",0,0.009*(K47-10))</f>
        <v/>
      </c>
      <c r="AB47" s="30">
        <f>AA47*Input!$G$23</f>
        <v/>
      </c>
      <c r="AC47" s="26">
        <f>IF(F47="Sand",0,MAX(O47/Input!$G$24,J47))</f>
        <v/>
      </c>
      <c r="AD47" s="31">
        <f>IF(F47="Sand",0,1000*D47/(1+N47)*IF(J47+V47&lt;=AC47,AB47*LOG10((J47+V47)/J47),AB47*LOG10(AC47/J47)+AA47*LOG10((J47+V47)/AC47)))*Y47</f>
        <v/>
      </c>
      <c r="AE47" s="32">
        <f>IF(F47="Sand",0,10^(INDEX(Korelasi!$C$5:$C$11,MIN(MATCH(MIN(MAX(K47,30),120),Korelasi!$A$5:$A$11,1),6))+(MIN(MAX(K47,30),120)-INDEX(Korelasi!$A$5:$A$11,MIN(MATCH(MIN(MAX(K47,30),120),Korelasi!$A$5:$A$11,1),6)))/(INDEX(Korelasi!$A$5:$A$11,MIN(MATCH(MIN(MAX(K47,30),120),Korelasi!$A$5:$A$11,1),6)+1)-INDEX(Korelasi!$A$5:$A$11,MIN(MATCH(MIN(MAX(K47,30),120),Korelasi!$A$5:$A$11,1),6)))*(INDEX(Korelasi!$C$5:$C$11,MIN(MATCH(MIN(MAX(K47,30),120),Korelasi!$A$5:$A$11,1),6)+1)-INDEX(Korelasi!$C$5:$C$11,MIN(MATCH(MIN(MAX(K47,30),120),Korelasi!$A$5:$A$11,1),6)))))</f>
        <v/>
      </c>
      <c r="AF47" s="33">
        <f>IF(OR(F47="Sand",Y47=0),0,Input!$G$25*(D47/2)^2/(AE47*1E-4*31536000))</f>
        <v/>
      </c>
      <c r="AG47" s="13">
        <f>MAX(0,MIN(C47,Input!$G$15)-B47)</f>
        <v/>
      </c>
      <c r="AH47" s="13">
        <f>MAX(0,MIN(C47,Input!$G$15)-MAX(B47,$G$8))</f>
        <v/>
      </c>
      <c r="AI47" s="13">
        <f>MAX(0,MIN(C47,$G$106)-B47)</f>
        <v/>
      </c>
      <c r="AJ47" s="34" t="inlineStr"/>
    </row>
    <row r="48">
      <c r="A48" s="20" t="n">
        <v>36</v>
      </c>
      <c r="B48" s="21" t="n">
        <v>52.5</v>
      </c>
      <c r="C48" s="21" t="n">
        <v>54</v>
      </c>
      <c r="D48" s="13">
        <f>C48-B48</f>
        <v/>
      </c>
      <c r="E48" s="13">
        <f>(B48+C48)/2</f>
        <v/>
      </c>
      <c r="F48" s="22" t="inlineStr">
        <is>
          <t>Clay</t>
        </is>
      </c>
      <c r="G48" s="23" t="n">
        <v>31</v>
      </c>
      <c r="H48" s="12">
        <f>IF(E48&gt;$G$5,$G$7,$G$6)</f>
        <v/>
      </c>
      <c r="I48" s="12">
        <f>I47+H48*D48</f>
        <v/>
      </c>
      <c r="J48" s="12">
        <f>I48-H48*D48/2-10*MAX(E48-$G$5,0)</f>
        <v/>
      </c>
      <c r="K48" s="24" t="n">
        <v>29.665</v>
      </c>
      <c r="L48" s="24" t="n">
        <v>19.806</v>
      </c>
      <c r="M48" s="12">
        <f>IF(K48="","",K48-L48)</f>
        <v/>
      </c>
      <c r="N48" s="25" t="n">
        <v>0.681</v>
      </c>
      <c r="O48" s="26">
        <f>IF(F48="Sand",0,Input!$G$19*G48)</f>
        <v/>
      </c>
      <c r="P48" s="12">
        <f>IF(F48="Sand",27.1+0.3*MIN(Input!$G$20*G48,60)-0.00054*MIN(Input!$G$20*G48,60)^2,MIN(MAX(DEGREES(ASIN(0.8-0.094*LN(MAX(IF(M48="",10,M48),5)))),20),30))</f>
        <v/>
      </c>
      <c r="Q48" s="27">
        <f>IF(F48="Sand",Input!$G$21*Input!$G$20*G48,Input!$G$22*O48)</f>
        <v/>
      </c>
      <c r="R48" s="13">
        <f>IF(F48="Sand",Input!$G$26,0.5)</f>
        <v/>
      </c>
      <c r="S48" s="13">
        <f>Input!$G$10/2/E48</f>
        <v/>
      </c>
      <c r="T48" s="13">
        <f>Input!$G$11/2/E48</f>
        <v/>
      </c>
      <c r="U48" s="28">
        <f>1/(4*PI())*(2*S48*T48*SQRT(S48^2+T48^2+1)/(S48^2+T48^2+1+S48^2*T48^2)*(S48^2+T48^2+2)/(S48^2+T48^2+1)+ATAN2(S48^2+T48^2+1-S48^2*T48^2,2*S48*T48*SQRT(S48^2+T48^2+1)))</f>
        <v/>
      </c>
      <c r="V48" s="12">
        <f>4*Input!$G$9*U48</f>
        <v/>
      </c>
      <c r="W48" s="29">
        <f>((Input!$G$11/Input!$G$10)*LN((1+SQRT((Input!$G$11/Input!$G$10)^2+1))*SQRT((Input!$G$11/Input!$G$10)^2+(C48/(Input!$G$10/2))^2)/((Input!$G$11/Input!$G$10)*(1+SQRT((Input!$G$11/Input!$G$10)^2+(C48/(Input!$G$10/2))^2+1))))+LN(((Input!$G$11/Input!$G$10)+SQRT((Input!$G$11/Input!$G$10)^2+1))*SQRT(1+(C48/(Input!$G$10/2))^2)/((Input!$G$11/Input!$G$10)+SQRT((Input!$G$11/Input!$G$10)^2+(C48/(Input!$G$10/2))^2+1))))/PI()</f>
        <v/>
      </c>
      <c r="X48" s="29">
        <f>(C48/(Input!$G$10/2))/(2*PI())*ATAN((Input!$G$11/Input!$G$10)/((C48/(Input!$G$10/2))*SQRT((Input!$G$11/Input!$G$10)^2+(C48/(Input!$G$10/2))^2+1)))</f>
        <v/>
      </c>
      <c r="Y48" s="13">
        <f>MAX(0,C48-MAX(B48,$G$8))/D48*IF(V48&gt;=Input!$G$27*J48,1,0)</f>
        <v/>
      </c>
      <c r="Z48" s="12">
        <f>4*Input!$G$9*(Input!$G$10/2)*(1-R48^2)/Q48*((W48-W47)+(1-2*R48)/(1-R48)*(X48-X47))*1000*Y48</f>
        <v/>
      </c>
      <c r="AA48" s="30">
        <f>IF(F48="Sand",0,0.009*(K48-10))</f>
        <v/>
      </c>
      <c r="AB48" s="30">
        <f>AA48*Input!$G$23</f>
        <v/>
      </c>
      <c r="AC48" s="26">
        <f>IF(F48="Sand",0,MAX(O48/Input!$G$24,J48))</f>
        <v/>
      </c>
      <c r="AD48" s="31">
        <f>IF(F48="Sand",0,1000*D48/(1+N48)*IF(J48+V48&lt;=AC48,AB48*LOG10((J48+V48)/J48),AB48*LOG10(AC48/J48)+AA48*LOG10((J48+V48)/AC48)))*Y48</f>
        <v/>
      </c>
      <c r="AE48" s="32">
        <f>IF(F48="Sand",0,10^(INDEX(Korelasi!$C$5:$C$11,MIN(MATCH(MIN(MAX(K48,30),120),Korelasi!$A$5:$A$11,1),6))+(MIN(MAX(K48,30),120)-INDEX(Korelasi!$A$5:$A$11,MIN(MATCH(MIN(MAX(K48,30),120),Korelasi!$A$5:$A$11,1),6)))/(INDEX(Korelasi!$A$5:$A$11,MIN(MATCH(MIN(MAX(K48,30),120),Korelasi!$A$5:$A$11,1),6)+1)-INDEX(Korelasi!$A$5:$A$11,MIN(MATCH(MIN(MAX(K48,30),120),Korelasi!$A$5:$A$11,1),6)))*(INDEX(Korelasi!$C$5:$C$11,MIN(MATCH(MIN(MAX(K48,30),120),Korelasi!$A$5:$A$11,1),6)+1)-INDEX(Korelasi!$C$5:$C$11,MIN(MATCH(MIN(MAX(K48,30),120),Korelasi!$A$5:$A$11,1),6)))))</f>
        <v/>
      </c>
      <c r="AF48" s="33">
        <f>IF(OR(F48="Sand",Y48=0),0,Input!$G$25*(D48/2)^2/(AE48*1E-4*31536000))</f>
        <v/>
      </c>
      <c r="AG48" s="13">
        <f>MAX(0,MIN(C48,Input!$G$15)-B48)</f>
        <v/>
      </c>
      <c r="AH48" s="13">
        <f>MAX(0,MIN(C48,Input!$G$15)-MAX(B48,$G$8))</f>
        <v/>
      </c>
      <c r="AI48" s="13">
        <f>MAX(0,MIN(C48,$G$106)-B48)</f>
        <v/>
      </c>
      <c r="AJ48" s="34" t="inlineStr">
        <is>
          <t>LL/PL/e0 = rata-rata BH</t>
        </is>
      </c>
    </row>
    <row r="49">
      <c r="A49" s="20" t="n">
        <v>37</v>
      </c>
      <c r="B49" s="21" t="n">
        <v>54</v>
      </c>
      <c r="C49" s="21" t="n">
        <v>55.5</v>
      </c>
      <c r="D49" s="13">
        <f>C49-B49</f>
        <v/>
      </c>
      <c r="E49" s="13">
        <f>(B49+C49)/2</f>
        <v/>
      </c>
      <c r="F49" s="22" t="inlineStr">
        <is>
          <t>Sand</t>
        </is>
      </c>
      <c r="G49" s="23" t="n">
        <v>29</v>
      </c>
      <c r="H49" s="12">
        <f>IF(E49&gt;$G$5,$G$7,$G$6)</f>
        <v/>
      </c>
      <c r="I49" s="12">
        <f>I48+H49*D49</f>
        <v/>
      </c>
      <c r="J49" s="12">
        <f>I49-H49*D49/2-10*MAX(E49-$G$5,0)</f>
        <v/>
      </c>
      <c r="K49" s="24" t="n"/>
      <c r="L49" s="24" t="n"/>
      <c r="M49" s="12">
        <f>IF(K49="","",K49-L49)</f>
        <v/>
      </c>
      <c r="N49" s="25" t="n">
        <v>0.65</v>
      </c>
      <c r="O49" s="26">
        <f>IF(F49="Sand",0,Input!$G$19*G49)</f>
        <v/>
      </c>
      <c r="P49" s="12">
        <f>IF(F49="Sand",27.1+0.3*MIN(Input!$G$20*G49,60)-0.00054*MIN(Input!$G$20*G49,60)^2,MIN(MAX(DEGREES(ASIN(0.8-0.094*LN(MAX(IF(M49="",10,M49),5)))),20),30))</f>
        <v/>
      </c>
      <c r="Q49" s="27">
        <f>IF(F49="Sand",Input!$G$21*Input!$G$20*G49,Input!$G$22*O49)</f>
        <v/>
      </c>
      <c r="R49" s="13">
        <f>IF(F49="Sand",Input!$G$26,0.5)</f>
        <v/>
      </c>
      <c r="S49" s="13">
        <f>Input!$G$10/2/E49</f>
        <v/>
      </c>
      <c r="T49" s="13">
        <f>Input!$G$11/2/E49</f>
        <v/>
      </c>
      <c r="U49" s="28">
        <f>1/(4*PI())*(2*S49*T49*SQRT(S49^2+T49^2+1)/(S49^2+T49^2+1+S49^2*T49^2)*(S49^2+T49^2+2)/(S49^2+T49^2+1)+ATAN2(S49^2+T49^2+1-S49^2*T49^2,2*S49*T49*SQRT(S49^2+T49^2+1)))</f>
        <v/>
      </c>
      <c r="V49" s="12">
        <f>4*Input!$G$9*U49</f>
        <v/>
      </c>
      <c r="W49" s="29">
        <f>((Input!$G$11/Input!$G$10)*LN((1+SQRT((Input!$G$11/Input!$G$10)^2+1))*SQRT((Input!$G$11/Input!$G$10)^2+(C49/(Input!$G$10/2))^2)/((Input!$G$11/Input!$G$10)*(1+SQRT((Input!$G$11/Input!$G$10)^2+(C49/(Input!$G$10/2))^2+1))))+LN(((Input!$G$11/Input!$G$10)+SQRT((Input!$G$11/Input!$G$10)^2+1))*SQRT(1+(C49/(Input!$G$10/2))^2)/((Input!$G$11/Input!$G$10)+SQRT((Input!$G$11/Input!$G$10)^2+(C49/(Input!$G$10/2))^2+1))))/PI()</f>
        <v/>
      </c>
      <c r="X49" s="29">
        <f>(C49/(Input!$G$10/2))/(2*PI())*ATAN((Input!$G$11/Input!$G$10)/((C49/(Input!$G$10/2))*SQRT((Input!$G$11/Input!$G$10)^2+(C49/(Input!$G$10/2))^2+1)))</f>
        <v/>
      </c>
      <c r="Y49" s="13">
        <f>MAX(0,C49-MAX(B49,$G$8))/D49*IF(V49&gt;=Input!$G$27*J49,1,0)</f>
        <v/>
      </c>
      <c r="Z49" s="12">
        <f>4*Input!$G$9*(Input!$G$10/2)*(1-R49^2)/Q49*((W49-W48)+(1-2*R49)/(1-R49)*(X49-X48))*1000*Y49</f>
        <v/>
      </c>
      <c r="AA49" s="30">
        <f>IF(F49="Sand",0,0.009*(K49-10))</f>
        <v/>
      </c>
      <c r="AB49" s="30">
        <f>AA49*Input!$G$23</f>
        <v/>
      </c>
      <c r="AC49" s="26">
        <f>IF(F49="Sand",0,MAX(O49/Input!$G$24,J49))</f>
        <v/>
      </c>
      <c r="AD49" s="31">
        <f>IF(F49="Sand",0,1000*D49/(1+N49)*IF(J49+V49&lt;=AC49,AB49*LOG10((J49+V49)/J49),AB49*LOG10(AC49/J49)+AA49*LOG10((J49+V49)/AC49)))*Y49</f>
        <v/>
      </c>
      <c r="AE49" s="32">
        <f>IF(F49="Sand",0,10^(INDEX(Korelasi!$C$5:$C$11,MIN(MATCH(MIN(MAX(K49,30),120),Korelasi!$A$5:$A$11,1),6))+(MIN(MAX(K49,30),120)-INDEX(Korelasi!$A$5:$A$11,MIN(MATCH(MIN(MAX(K49,30),120),Korelasi!$A$5:$A$11,1),6)))/(INDEX(Korelasi!$A$5:$A$11,MIN(MATCH(MIN(MAX(K49,30),120),Korelasi!$A$5:$A$11,1),6)+1)-INDEX(Korelasi!$A$5:$A$11,MIN(MATCH(MIN(MAX(K49,30),120),Korelasi!$A$5:$A$11,1),6)))*(INDEX(Korelasi!$C$5:$C$11,MIN(MATCH(MIN(MAX(K49,30),120),Korelasi!$A$5:$A$11,1),6)+1)-INDEX(Korelasi!$C$5:$C$11,MIN(MATCH(MIN(MAX(K49,30),120),Korelasi!$A$5:$A$11,1),6)))))</f>
        <v/>
      </c>
      <c r="AF49" s="33">
        <f>IF(OR(F49="Sand",Y49=0),0,Input!$G$25*(D49/2)^2/(AE49*1E-4*31536000))</f>
        <v/>
      </c>
      <c r="AG49" s="13">
        <f>MAX(0,MIN(C49,Input!$G$15)-B49)</f>
        <v/>
      </c>
      <c r="AH49" s="13">
        <f>MAX(0,MIN(C49,Input!$G$15)-MAX(B49,$G$8))</f>
        <v/>
      </c>
      <c r="AI49" s="13">
        <f>MAX(0,MIN(C49,$G$106)-B49)</f>
        <v/>
      </c>
      <c r="AJ49" s="34" t="inlineStr"/>
    </row>
    <row r="50">
      <c r="A50" s="20" t="n">
        <v>38</v>
      </c>
      <c r="B50" s="21" t="n">
        <v>55.5</v>
      </c>
      <c r="C50" s="21" t="n">
        <v>57</v>
      </c>
      <c r="D50" s="13">
        <f>C50-B50</f>
        <v/>
      </c>
      <c r="E50" s="13">
        <f>(B50+C50)/2</f>
        <v/>
      </c>
      <c r="F50" s="22" t="inlineStr">
        <is>
          <t>Sand</t>
        </is>
      </c>
      <c r="G50" s="23" t="n">
        <v>25</v>
      </c>
      <c r="H50" s="12">
        <f>IF(E50&gt;$G$5,$G$7,$G$6)</f>
        <v/>
      </c>
      <c r="I50" s="12">
        <f>I49+H50*D50</f>
        <v/>
      </c>
      <c r="J50" s="12">
        <f>I50-H50*D50/2-10*MAX(E50-$G$5,0)</f>
        <v/>
      </c>
      <c r="K50" s="24" t="n"/>
      <c r="L50" s="24" t="n"/>
      <c r="M50" s="12">
        <f>IF(K50="","",K50-L50)</f>
        <v/>
      </c>
      <c r="N50" s="25" t="n">
        <v>0.65</v>
      </c>
      <c r="O50" s="26">
        <f>IF(F50="Sand",0,Input!$G$19*G50)</f>
        <v/>
      </c>
      <c r="P50" s="12">
        <f>IF(F50="Sand",27.1+0.3*MIN(Input!$G$20*G50,60)-0.00054*MIN(Input!$G$20*G50,60)^2,MIN(MAX(DEGREES(ASIN(0.8-0.094*LN(MAX(IF(M50="",10,M50),5)))),20),30))</f>
        <v/>
      </c>
      <c r="Q50" s="27">
        <f>IF(F50="Sand",Input!$G$21*Input!$G$20*G50,Input!$G$22*O50)</f>
        <v/>
      </c>
      <c r="R50" s="13">
        <f>IF(F50="Sand",Input!$G$26,0.5)</f>
        <v/>
      </c>
      <c r="S50" s="13">
        <f>Input!$G$10/2/E50</f>
        <v/>
      </c>
      <c r="T50" s="13">
        <f>Input!$G$11/2/E50</f>
        <v/>
      </c>
      <c r="U50" s="28">
        <f>1/(4*PI())*(2*S50*T50*SQRT(S50^2+T50^2+1)/(S50^2+T50^2+1+S50^2*T50^2)*(S50^2+T50^2+2)/(S50^2+T50^2+1)+ATAN2(S50^2+T50^2+1-S50^2*T50^2,2*S50*T50*SQRT(S50^2+T50^2+1)))</f>
        <v/>
      </c>
      <c r="V50" s="12">
        <f>4*Input!$G$9*U50</f>
        <v/>
      </c>
      <c r="W50" s="29">
        <f>((Input!$G$11/Input!$G$10)*LN((1+SQRT((Input!$G$11/Input!$G$10)^2+1))*SQRT((Input!$G$11/Input!$G$10)^2+(C50/(Input!$G$10/2))^2)/((Input!$G$11/Input!$G$10)*(1+SQRT((Input!$G$11/Input!$G$10)^2+(C50/(Input!$G$10/2))^2+1))))+LN(((Input!$G$11/Input!$G$10)+SQRT((Input!$G$11/Input!$G$10)^2+1))*SQRT(1+(C50/(Input!$G$10/2))^2)/((Input!$G$11/Input!$G$10)+SQRT((Input!$G$11/Input!$G$10)^2+(C50/(Input!$G$10/2))^2+1))))/PI()</f>
        <v/>
      </c>
      <c r="X50" s="29">
        <f>(C50/(Input!$G$10/2))/(2*PI())*ATAN((Input!$G$11/Input!$G$10)/((C50/(Input!$G$10/2))*SQRT((Input!$G$11/Input!$G$10)^2+(C50/(Input!$G$10/2))^2+1)))</f>
        <v/>
      </c>
      <c r="Y50" s="13">
        <f>MAX(0,C50-MAX(B50,$G$8))/D50*IF(V50&gt;=Input!$G$27*J50,1,0)</f>
        <v/>
      </c>
      <c r="Z50" s="12">
        <f>4*Input!$G$9*(Input!$G$10/2)*(1-R50^2)/Q50*((W50-W49)+(1-2*R50)/(1-R50)*(X50-X49))*1000*Y50</f>
        <v/>
      </c>
      <c r="AA50" s="30">
        <f>IF(F50="Sand",0,0.009*(K50-10))</f>
        <v/>
      </c>
      <c r="AB50" s="30">
        <f>AA50*Input!$G$23</f>
        <v/>
      </c>
      <c r="AC50" s="26">
        <f>IF(F50="Sand",0,MAX(O50/Input!$G$24,J50))</f>
        <v/>
      </c>
      <c r="AD50" s="31">
        <f>IF(F50="Sand",0,1000*D50/(1+N50)*IF(J50+V50&lt;=AC50,AB50*LOG10((J50+V50)/J50),AB50*LOG10(AC50/J50)+AA50*LOG10((J50+V50)/AC50)))*Y50</f>
        <v/>
      </c>
      <c r="AE50" s="32">
        <f>IF(F50="Sand",0,10^(INDEX(Korelasi!$C$5:$C$11,MIN(MATCH(MIN(MAX(K50,30),120),Korelasi!$A$5:$A$11,1),6))+(MIN(MAX(K50,30),120)-INDEX(Korelasi!$A$5:$A$11,MIN(MATCH(MIN(MAX(K50,30),120),Korelasi!$A$5:$A$11,1),6)))/(INDEX(Korelasi!$A$5:$A$11,MIN(MATCH(MIN(MAX(K50,30),120),Korelasi!$A$5:$A$11,1),6)+1)-INDEX(Korelasi!$A$5:$A$11,MIN(MATCH(MIN(MAX(K50,30),120),Korelasi!$A$5:$A$11,1),6)))*(INDEX(Korelasi!$C$5:$C$11,MIN(MATCH(MIN(MAX(K50,30),120),Korelasi!$A$5:$A$11,1),6)+1)-INDEX(Korelasi!$C$5:$C$11,MIN(MATCH(MIN(MAX(K50,30),120),Korelasi!$A$5:$A$11,1),6)))))</f>
        <v/>
      </c>
      <c r="AF50" s="33">
        <f>IF(OR(F50="Sand",Y50=0),0,Input!$G$25*(D50/2)^2/(AE50*1E-4*31536000))</f>
        <v/>
      </c>
      <c r="AG50" s="13">
        <f>MAX(0,MIN(C50,Input!$G$15)-B50)</f>
        <v/>
      </c>
      <c r="AH50" s="13">
        <f>MAX(0,MIN(C50,Input!$G$15)-MAX(B50,$G$8))</f>
        <v/>
      </c>
      <c r="AI50" s="13">
        <f>MAX(0,MIN(C50,$G$106)-B50)</f>
        <v/>
      </c>
      <c r="AJ50" s="34" t="inlineStr"/>
    </row>
    <row r="51">
      <c r="A51" s="20" t="n">
        <v>39</v>
      </c>
      <c r="B51" s="21" t="n">
        <v>57</v>
      </c>
      <c r="C51" s="21" t="n">
        <v>58.5</v>
      </c>
      <c r="D51" s="13">
        <f>C51-B51</f>
        <v/>
      </c>
      <c r="E51" s="13">
        <f>(B51+C51)/2</f>
        <v/>
      </c>
      <c r="F51" s="22" t="inlineStr">
        <is>
          <t>Sand</t>
        </is>
      </c>
      <c r="G51" s="23" t="n">
        <v>35</v>
      </c>
      <c r="H51" s="12">
        <f>IF(E51&gt;$G$5,$G$7,$G$6)</f>
        <v/>
      </c>
      <c r="I51" s="12">
        <f>I50+H51*D51</f>
        <v/>
      </c>
      <c r="J51" s="12">
        <f>I51-H51*D51/2-10*MAX(E51-$G$5,0)</f>
        <v/>
      </c>
      <c r="K51" s="24" t="n"/>
      <c r="L51" s="24" t="n"/>
      <c r="M51" s="12">
        <f>IF(K51="","",K51-L51)</f>
        <v/>
      </c>
      <c r="N51" s="25" t="n">
        <v>0.65</v>
      </c>
      <c r="O51" s="26">
        <f>IF(F51="Sand",0,Input!$G$19*G51)</f>
        <v/>
      </c>
      <c r="P51" s="12">
        <f>IF(F51="Sand",27.1+0.3*MIN(Input!$G$20*G51,60)-0.00054*MIN(Input!$G$20*G51,60)^2,MIN(MAX(DEGREES(ASIN(0.8-0.094*LN(MAX(IF(M51="",10,M51),5)))),20),30))</f>
        <v/>
      </c>
      <c r="Q51" s="27">
        <f>IF(F51="Sand",Input!$G$21*Input!$G$20*G51,Input!$G$22*O51)</f>
        <v/>
      </c>
      <c r="R51" s="13">
        <f>IF(F51="Sand",Input!$G$26,0.5)</f>
        <v/>
      </c>
      <c r="S51" s="13">
        <f>Input!$G$10/2/E51</f>
        <v/>
      </c>
      <c r="T51" s="13">
        <f>Input!$G$11/2/E51</f>
        <v/>
      </c>
      <c r="U51" s="28">
        <f>1/(4*PI())*(2*S51*T51*SQRT(S51^2+T51^2+1)/(S51^2+T51^2+1+S51^2*T51^2)*(S51^2+T51^2+2)/(S51^2+T51^2+1)+ATAN2(S51^2+T51^2+1-S51^2*T51^2,2*S51*T51*SQRT(S51^2+T51^2+1)))</f>
        <v/>
      </c>
      <c r="V51" s="12">
        <f>4*Input!$G$9*U51</f>
        <v/>
      </c>
      <c r="W51" s="29">
        <f>((Input!$G$11/Input!$G$10)*LN((1+SQRT((Input!$G$11/Input!$G$10)^2+1))*SQRT((Input!$G$11/Input!$G$10)^2+(C51/(Input!$G$10/2))^2)/((Input!$G$11/Input!$G$10)*(1+SQRT((Input!$G$11/Input!$G$10)^2+(C51/(Input!$G$10/2))^2+1))))+LN(((Input!$G$11/Input!$G$10)+SQRT((Input!$G$11/Input!$G$10)^2+1))*SQRT(1+(C51/(Input!$G$10/2))^2)/((Input!$G$11/Input!$G$10)+SQRT((Input!$G$11/Input!$G$10)^2+(C51/(Input!$G$10/2))^2+1))))/PI()</f>
        <v/>
      </c>
      <c r="X51" s="29">
        <f>(C51/(Input!$G$10/2))/(2*PI())*ATAN((Input!$G$11/Input!$G$10)/((C51/(Input!$G$10/2))*SQRT((Input!$G$11/Input!$G$10)^2+(C51/(Input!$G$10/2))^2+1)))</f>
        <v/>
      </c>
      <c r="Y51" s="13">
        <f>MAX(0,C51-MAX(B51,$G$8))/D51*IF(V51&gt;=Input!$G$27*J51,1,0)</f>
        <v/>
      </c>
      <c r="Z51" s="12">
        <f>4*Input!$G$9*(Input!$G$10/2)*(1-R51^2)/Q51*((W51-W50)+(1-2*R51)/(1-R51)*(X51-X50))*1000*Y51</f>
        <v/>
      </c>
      <c r="AA51" s="30">
        <f>IF(F51="Sand",0,0.009*(K51-10))</f>
        <v/>
      </c>
      <c r="AB51" s="30">
        <f>AA51*Input!$G$23</f>
        <v/>
      </c>
      <c r="AC51" s="26">
        <f>IF(F51="Sand",0,MAX(O51/Input!$G$24,J51))</f>
        <v/>
      </c>
      <c r="AD51" s="31">
        <f>IF(F51="Sand",0,1000*D51/(1+N51)*IF(J51+V51&lt;=AC51,AB51*LOG10((J51+V51)/J51),AB51*LOG10(AC51/J51)+AA51*LOG10((J51+V51)/AC51)))*Y51</f>
        <v/>
      </c>
      <c r="AE51" s="32">
        <f>IF(F51="Sand",0,10^(INDEX(Korelasi!$C$5:$C$11,MIN(MATCH(MIN(MAX(K51,30),120),Korelasi!$A$5:$A$11,1),6))+(MIN(MAX(K51,30),120)-INDEX(Korelasi!$A$5:$A$11,MIN(MATCH(MIN(MAX(K51,30),120),Korelasi!$A$5:$A$11,1),6)))/(INDEX(Korelasi!$A$5:$A$11,MIN(MATCH(MIN(MAX(K51,30),120),Korelasi!$A$5:$A$11,1),6)+1)-INDEX(Korelasi!$A$5:$A$11,MIN(MATCH(MIN(MAX(K51,30),120),Korelasi!$A$5:$A$11,1),6)))*(INDEX(Korelasi!$C$5:$C$11,MIN(MATCH(MIN(MAX(K51,30),120),Korelasi!$A$5:$A$11,1),6)+1)-INDEX(Korelasi!$C$5:$C$11,MIN(MATCH(MIN(MAX(K51,30),120),Korelasi!$A$5:$A$11,1),6)))))</f>
        <v/>
      </c>
      <c r="AF51" s="33">
        <f>IF(OR(F51="Sand",Y51=0),0,Input!$G$25*(D51/2)^2/(AE51*1E-4*31536000))</f>
        <v/>
      </c>
      <c r="AG51" s="13">
        <f>MAX(0,MIN(C51,Input!$G$15)-B51)</f>
        <v/>
      </c>
      <c r="AH51" s="13">
        <f>MAX(0,MIN(C51,Input!$G$15)-MAX(B51,$G$8))</f>
        <v/>
      </c>
      <c r="AI51" s="13">
        <f>MAX(0,MIN(C51,$G$106)-B51)</f>
        <v/>
      </c>
      <c r="AJ51" s="34" t="inlineStr"/>
    </row>
    <row r="52">
      <c r="A52" s="20" t="n">
        <v>40</v>
      </c>
      <c r="B52" s="21" t="n">
        <v>58.5</v>
      </c>
      <c r="C52" s="21" t="n">
        <v>59.5</v>
      </c>
      <c r="D52" s="13">
        <f>C52-B52</f>
        <v/>
      </c>
      <c r="E52" s="13">
        <f>(B52+C52)/2</f>
        <v/>
      </c>
      <c r="F52" s="22" t="inlineStr">
        <is>
          <t>Sand</t>
        </is>
      </c>
      <c r="G52" s="23" t="n">
        <v>42</v>
      </c>
      <c r="H52" s="12">
        <f>IF(E52&gt;$G$5,$G$7,$G$6)</f>
        <v/>
      </c>
      <c r="I52" s="12">
        <f>I51+H52*D52</f>
        <v/>
      </c>
      <c r="J52" s="12">
        <f>I52-H52*D52/2-10*MAX(E52-$G$5,0)</f>
        <v/>
      </c>
      <c r="K52" s="24" t="n"/>
      <c r="L52" s="24" t="n"/>
      <c r="M52" s="12">
        <f>IF(K52="","",K52-L52)</f>
        <v/>
      </c>
      <c r="N52" s="25" t="n">
        <v>0.65</v>
      </c>
      <c r="O52" s="26">
        <f>IF(F52="Sand",0,Input!$G$19*G52)</f>
        <v/>
      </c>
      <c r="P52" s="12">
        <f>IF(F52="Sand",27.1+0.3*MIN(Input!$G$20*G52,60)-0.00054*MIN(Input!$G$20*G52,60)^2,MIN(MAX(DEGREES(ASIN(0.8-0.094*LN(MAX(IF(M52="",10,M52),5)))),20),30))</f>
        <v/>
      </c>
      <c r="Q52" s="27">
        <f>IF(F52="Sand",Input!$G$21*Input!$G$20*G52,Input!$G$22*O52)</f>
        <v/>
      </c>
      <c r="R52" s="13">
        <f>IF(F52="Sand",Input!$G$26,0.5)</f>
        <v/>
      </c>
      <c r="S52" s="13">
        <f>Input!$G$10/2/E52</f>
        <v/>
      </c>
      <c r="T52" s="13">
        <f>Input!$G$11/2/E52</f>
        <v/>
      </c>
      <c r="U52" s="28">
        <f>1/(4*PI())*(2*S52*T52*SQRT(S52^2+T52^2+1)/(S52^2+T52^2+1+S52^2*T52^2)*(S52^2+T52^2+2)/(S52^2+T52^2+1)+ATAN2(S52^2+T52^2+1-S52^2*T52^2,2*S52*T52*SQRT(S52^2+T52^2+1)))</f>
        <v/>
      </c>
      <c r="V52" s="12">
        <f>4*Input!$G$9*U52</f>
        <v/>
      </c>
      <c r="W52" s="29">
        <f>((Input!$G$11/Input!$G$10)*LN((1+SQRT((Input!$G$11/Input!$G$10)^2+1))*SQRT((Input!$G$11/Input!$G$10)^2+(C52/(Input!$G$10/2))^2)/((Input!$G$11/Input!$G$10)*(1+SQRT((Input!$G$11/Input!$G$10)^2+(C52/(Input!$G$10/2))^2+1))))+LN(((Input!$G$11/Input!$G$10)+SQRT((Input!$G$11/Input!$G$10)^2+1))*SQRT(1+(C52/(Input!$G$10/2))^2)/((Input!$G$11/Input!$G$10)+SQRT((Input!$G$11/Input!$G$10)^2+(C52/(Input!$G$10/2))^2+1))))/PI()</f>
        <v/>
      </c>
      <c r="X52" s="29">
        <f>(C52/(Input!$G$10/2))/(2*PI())*ATAN((Input!$G$11/Input!$G$10)/((C52/(Input!$G$10/2))*SQRT((Input!$G$11/Input!$G$10)^2+(C52/(Input!$G$10/2))^2+1)))</f>
        <v/>
      </c>
      <c r="Y52" s="13">
        <f>MAX(0,C52-MAX(B52,$G$8))/D52*IF(V52&gt;=Input!$G$27*J52,1,0)</f>
        <v/>
      </c>
      <c r="Z52" s="12">
        <f>4*Input!$G$9*(Input!$G$10/2)*(1-R52^2)/Q52*((W52-W51)+(1-2*R52)/(1-R52)*(X52-X51))*1000*Y52</f>
        <v/>
      </c>
      <c r="AA52" s="30">
        <f>IF(F52="Sand",0,0.009*(K52-10))</f>
        <v/>
      </c>
      <c r="AB52" s="30">
        <f>AA52*Input!$G$23</f>
        <v/>
      </c>
      <c r="AC52" s="26">
        <f>IF(F52="Sand",0,MAX(O52/Input!$G$24,J52))</f>
        <v/>
      </c>
      <c r="AD52" s="31">
        <f>IF(F52="Sand",0,1000*D52/(1+N52)*IF(J52+V52&lt;=AC52,AB52*LOG10((J52+V52)/J52),AB52*LOG10(AC52/J52)+AA52*LOG10((J52+V52)/AC52)))*Y52</f>
        <v/>
      </c>
      <c r="AE52" s="32">
        <f>IF(F52="Sand",0,10^(INDEX(Korelasi!$C$5:$C$11,MIN(MATCH(MIN(MAX(K52,30),120),Korelasi!$A$5:$A$11,1),6))+(MIN(MAX(K52,30),120)-INDEX(Korelasi!$A$5:$A$11,MIN(MATCH(MIN(MAX(K52,30),120),Korelasi!$A$5:$A$11,1),6)))/(INDEX(Korelasi!$A$5:$A$11,MIN(MATCH(MIN(MAX(K52,30),120),Korelasi!$A$5:$A$11,1),6)+1)-INDEX(Korelasi!$A$5:$A$11,MIN(MATCH(MIN(MAX(K52,30),120),Korelasi!$A$5:$A$11,1),6)))*(INDEX(Korelasi!$C$5:$C$11,MIN(MATCH(MIN(MAX(K52,30),120),Korelasi!$A$5:$A$11,1),6)+1)-INDEX(Korelasi!$C$5:$C$11,MIN(MATCH(MIN(MAX(K52,30),120),Korelasi!$A$5:$A$11,1),6)))))</f>
        <v/>
      </c>
      <c r="AF52" s="33">
        <f>IF(OR(F52="Sand",Y52=0),0,Input!$G$25*(D52/2)^2/(AE52*1E-4*31536000))</f>
        <v/>
      </c>
      <c r="AG52" s="13">
        <f>MAX(0,MIN(C52,Input!$G$15)-B52)</f>
        <v/>
      </c>
      <c r="AH52" s="13">
        <f>MAX(0,MIN(C52,Input!$G$15)-MAX(B52,$G$8))</f>
        <v/>
      </c>
      <c r="AI52" s="13">
        <f>MAX(0,MIN(C52,$G$106)-B52)</f>
        <v/>
      </c>
      <c r="AJ52" s="34" t="inlineStr"/>
    </row>
    <row r="53">
      <c r="A53" s="20" t="n">
        <v>41</v>
      </c>
      <c r="B53" s="21" t="n">
        <v>59.5</v>
      </c>
      <c r="C53" s="21" t="n">
        <v>60</v>
      </c>
      <c r="D53" s="13">
        <f>C53-B53</f>
        <v/>
      </c>
      <c r="E53" s="13">
        <f>(B53+C53)/2</f>
        <v/>
      </c>
      <c r="F53" s="22" t="inlineStr">
        <is>
          <t>Sand</t>
        </is>
      </c>
      <c r="G53" s="23" t="n">
        <v>46</v>
      </c>
      <c r="H53" s="12">
        <f>IF(E53&gt;$G$5,$G$7,$G$6)</f>
        <v/>
      </c>
      <c r="I53" s="12">
        <f>I52+H53*D53</f>
        <v/>
      </c>
      <c r="J53" s="12">
        <f>I53-H53*D53/2-10*MAX(E53-$G$5,0)</f>
        <v/>
      </c>
      <c r="K53" s="24" t="n"/>
      <c r="L53" s="24" t="n"/>
      <c r="M53" s="12">
        <f>IF(K53="","",K53-L53)</f>
        <v/>
      </c>
      <c r="N53" s="25" t="n">
        <v>0.65</v>
      </c>
      <c r="O53" s="26">
        <f>IF(F53="Sand",0,Input!$G$19*G53)</f>
        <v/>
      </c>
      <c r="P53" s="12">
        <f>IF(F53="Sand",27.1+0.3*MIN(Input!$G$20*G53,60)-0.00054*MIN(Input!$G$20*G53,60)^2,MIN(MAX(DEGREES(ASIN(0.8-0.094*LN(MAX(IF(M53="",10,M53),5)))),20),30))</f>
        <v/>
      </c>
      <c r="Q53" s="27">
        <f>IF(F53="Sand",Input!$G$21*Input!$G$20*G53,Input!$G$22*O53)</f>
        <v/>
      </c>
      <c r="R53" s="13">
        <f>IF(F53="Sand",Input!$G$26,0.5)</f>
        <v/>
      </c>
      <c r="S53" s="13">
        <f>Input!$G$10/2/E53</f>
        <v/>
      </c>
      <c r="T53" s="13">
        <f>Input!$G$11/2/E53</f>
        <v/>
      </c>
      <c r="U53" s="28">
        <f>1/(4*PI())*(2*S53*T53*SQRT(S53^2+T53^2+1)/(S53^2+T53^2+1+S53^2*T53^2)*(S53^2+T53^2+2)/(S53^2+T53^2+1)+ATAN2(S53^2+T53^2+1-S53^2*T53^2,2*S53*T53*SQRT(S53^2+T53^2+1)))</f>
        <v/>
      </c>
      <c r="V53" s="12">
        <f>4*Input!$G$9*U53</f>
        <v/>
      </c>
      <c r="W53" s="29">
        <f>((Input!$G$11/Input!$G$10)*LN((1+SQRT((Input!$G$11/Input!$G$10)^2+1))*SQRT((Input!$G$11/Input!$G$10)^2+(C53/(Input!$G$10/2))^2)/((Input!$G$11/Input!$G$10)*(1+SQRT((Input!$G$11/Input!$G$10)^2+(C53/(Input!$G$10/2))^2+1))))+LN(((Input!$G$11/Input!$G$10)+SQRT((Input!$G$11/Input!$G$10)^2+1))*SQRT(1+(C53/(Input!$G$10/2))^2)/((Input!$G$11/Input!$G$10)+SQRT((Input!$G$11/Input!$G$10)^2+(C53/(Input!$G$10/2))^2+1))))/PI()</f>
        <v/>
      </c>
      <c r="X53" s="29">
        <f>(C53/(Input!$G$10/2))/(2*PI())*ATAN((Input!$G$11/Input!$G$10)/((C53/(Input!$G$10/2))*SQRT((Input!$G$11/Input!$G$10)^2+(C53/(Input!$G$10/2))^2+1)))</f>
        <v/>
      </c>
      <c r="Y53" s="13">
        <f>MAX(0,C53-MAX(B53,$G$8))/D53*IF(V53&gt;=Input!$G$27*J53,1,0)</f>
        <v/>
      </c>
      <c r="Z53" s="12">
        <f>4*Input!$G$9*(Input!$G$10/2)*(1-R53^2)/Q53*((W53-W52)+(1-2*R53)/(1-R53)*(X53-X52))*1000*Y53</f>
        <v/>
      </c>
      <c r="AA53" s="30">
        <f>IF(F53="Sand",0,0.009*(K53-10))</f>
        <v/>
      </c>
      <c r="AB53" s="30">
        <f>AA53*Input!$G$23</f>
        <v/>
      </c>
      <c r="AC53" s="26">
        <f>IF(F53="Sand",0,MAX(O53/Input!$G$24,J53))</f>
        <v/>
      </c>
      <c r="AD53" s="31">
        <f>IF(F53="Sand",0,1000*D53/(1+N53)*IF(J53+V53&lt;=AC53,AB53*LOG10((J53+V53)/J53),AB53*LOG10(AC53/J53)+AA53*LOG10((J53+V53)/AC53)))*Y53</f>
        <v/>
      </c>
      <c r="AE53" s="32">
        <f>IF(F53="Sand",0,10^(INDEX(Korelasi!$C$5:$C$11,MIN(MATCH(MIN(MAX(K53,30),120),Korelasi!$A$5:$A$11,1),6))+(MIN(MAX(K53,30),120)-INDEX(Korelasi!$A$5:$A$11,MIN(MATCH(MIN(MAX(K53,30),120),Korelasi!$A$5:$A$11,1),6)))/(INDEX(Korelasi!$A$5:$A$11,MIN(MATCH(MIN(MAX(K53,30),120),Korelasi!$A$5:$A$11,1),6)+1)-INDEX(Korelasi!$A$5:$A$11,MIN(MATCH(MIN(MAX(K53,30),120),Korelasi!$A$5:$A$11,1),6)))*(INDEX(Korelasi!$C$5:$C$11,MIN(MATCH(MIN(MAX(K53,30),120),Korelasi!$A$5:$A$11,1),6)+1)-INDEX(Korelasi!$C$5:$C$11,MIN(MATCH(MIN(MAX(K53,30),120),Korelasi!$A$5:$A$11,1),6)))))</f>
        <v/>
      </c>
      <c r="AF53" s="33">
        <f>IF(OR(F53="Sand",Y53=0),0,Input!$G$25*(D53/2)^2/(AE53*1E-4*31536000))</f>
        <v/>
      </c>
      <c r="AG53" s="13">
        <f>MAX(0,MIN(C53,Input!$G$15)-B53)</f>
        <v/>
      </c>
      <c r="AH53" s="13">
        <f>MAX(0,MIN(C53,Input!$G$15)-MAX(B53,$G$8))</f>
        <v/>
      </c>
      <c r="AI53" s="13">
        <f>MAX(0,MIN(C53,$G$106)-B53)</f>
        <v/>
      </c>
      <c r="AJ53" s="34" t="inlineStr"/>
    </row>
    <row r="54">
      <c r="A54" s="2" t="inlineStr">
        <is>
          <t>Sel kuning = data (SPT, lab, laporan). Jenis: Sand / Silt / Clay. Sublapisan di bawah kedalaman bor memakai data borehole terdekat (lihat Ket.).</t>
        </is>
      </c>
    </row>
    <row r="56">
      <c r="A56" s="3" t="inlineStr">
        <is>
          <t>3. DAYA DUKUNG TANAH DASAR (Terzaghi/Vesic, SNI 8460:2017)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</row>
    <row r="57">
      <c r="A57" s="2" t="inlineStr">
        <is>
          <t>Kondisi undrained (jangka pendek) dihitung bila ada lanau/lempung dalam 0 - Hb; kondisi drained (jangka panjang) selalu dihitung; daya dukung = nilai terkecil. Tanah 0 - Dr yang diganti dianggap material granular (Input bagian D).</t>
        </is>
      </c>
    </row>
    <row r="58">
      <c r="A58" s="15" t="inlineStr">
        <is>
          <t>a) TANPA PERBAIKAN</t>
        </is>
      </c>
    </row>
    <row r="59">
      <c r="A59" s="5" t="inlineStr">
        <is>
          <t>Tebal lanau/lempung asli dalam 0 - Hb</t>
        </is>
      </c>
      <c r="F59" s="6" t="inlineStr">
        <is>
          <t>Σh</t>
        </is>
      </c>
      <c r="G59" s="35">
        <f>SUMPRODUCT(--(F13:F53&lt;&gt;"Sand"),AG13:AG53)</f>
        <v/>
      </c>
      <c r="H59" s="5" t="inlineStr">
        <is>
          <t>m</t>
        </is>
      </c>
      <c r="I59" s="2" t="inlineStr"/>
    </row>
    <row r="60">
      <c r="A60" s="5" t="inlineStr">
        <is>
          <t>cu rata-rata lanau/lempung (0 - Hb)</t>
        </is>
      </c>
      <c r="F60" s="6" t="inlineStr">
        <is>
          <t>cu</t>
        </is>
      </c>
      <c r="G60" s="35">
        <f>IF($G$59=0,0,SUMPRODUCT(--(F13:F53&lt;&gt;"Sand"),AG13:AG53,O13:O53)/$G$59)</f>
        <v/>
      </c>
      <c r="H60" s="5" t="inlineStr">
        <is>
          <t>kPa</t>
        </is>
      </c>
      <c r="I60" s="2" t="inlineStr">
        <is>
          <t>cu = k·N</t>
        </is>
      </c>
    </row>
    <row r="61">
      <c r="A61" s="5" t="inlineStr">
        <is>
          <t>φ' rata-rata (0 - Hb)</t>
        </is>
      </c>
      <c r="F61" s="6" t="inlineStr">
        <is>
          <t>φ'</t>
        </is>
      </c>
      <c r="G61" s="35">
        <f>(SUMPRODUCT(AG13:AG53,P13:P53)+MIN(0,Input!$G$15)*Input!$G$31)/Input!$G$15</f>
        <v/>
      </c>
      <c r="H61" s="5" t="inlineStr">
        <is>
          <t>°</t>
        </is>
      </c>
      <c r="I61" s="2" t="inlineStr">
        <is>
          <t>lapisan diganti memakai φ' material pengganti</t>
        </is>
      </c>
    </row>
    <row r="62">
      <c r="A62" s="5" t="inlineStr">
        <is>
          <t>Berat isi efektif rata-rata (0 - Hb)</t>
        </is>
      </c>
      <c r="F62" s="6" t="inlineStr">
        <is>
          <t>γ'</t>
        </is>
      </c>
      <c r="G62" s="35">
        <f>(SUMPRODUCT(AG13:AG53,H13:H53)+MIN(0,Input!$G$15)*Input!$G$30)/Input!$G$15-10*MAX(0,Input!$G$15-$G$5)/Input!$G$15</f>
        <v/>
      </c>
      <c r="H62" s="5" t="inlineStr">
        <is>
          <t>kN/m³</t>
        </is>
      </c>
      <c r="I62" s="2" t="inlineStr"/>
    </row>
    <row r="63">
      <c r="A63" s="5" t="inlineStr">
        <is>
          <t>Undrained: faktor bentuk (Nc = 5,14)</t>
        </is>
      </c>
      <c r="F63" s="6" t="inlineStr">
        <is>
          <t>sc</t>
        </is>
      </c>
      <c r="G63" s="35">
        <f>1+0.2*Input!$G$10/Input!$G$11</f>
        <v/>
      </c>
      <c r="H63" s="5" t="inlineStr">
        <is>
          <t>-</t>
        </is>
      </c>
      <c r="I63" s="2" t="inlineStr"/>
    </row>
    <row r="64">
      <c r="A64" s="5" t="inlineStr">
        <is>
          <t>qu undrained = cu·Nc·sc</t>
        </is>
      </c>
      <c r="F64" s="6" t="inlineStr">
        <is>
          <t>qu,u</t>
        </is>
      </c>
      <c r="G64" s="36">
        <f>IF($G$59=0,"-",$G$60*5.14*$G$63)</f>
        <v/>
      </c>
      <c r="H64" s="5" t="inlineStr">
        <is>
          <t>kPa</t>
        </is>
      </c>
      <c r="I64" s="2" t="inlineStr">
        <is>
          <t>tidak berlaku bila tidak ada lanau/lempung</t>
        </is>
      </c>
    </row>
    <row r="65">
      <c r="A65" s="5" t="inlineStr">
        <is>
          <t>Drained: Nq = e^(π tanφ)·tan²(45+φ/2)</t>
        </is>
      </c>
      <c r="F65" s="6" t="inlineStr">
        <is>
          <t>Nq</t>
        </is>
      </c>
      <c r="G65" s="35">
        <f>EXP(PI()*TAN(RADIANS($G$61)))*TAN(RADIANS(45+$G$61/2))^2</f>
        <v/>
      </c>
      <c r="H65" s="5" t="inlineStr">
        <is>
          <t>-</t>
        </is>
      </c>
      <c r="I65" s="2" t="inlineStr"/>
    </row>
    <row r="66">
      <c r="A66" s="5" t="inlineStr">
        <is>
          <t>Nγ = 2(Nq+1)tanφ (Vesic 1975)</t>
        </is>
      </c>
      <c r="F66" s="6" t="inlineStr">
        <is>
          <t>Nγ</t>
        </is>
      </c>
      <c r="G66" s="35">
        <f>2*($G$65+1)*TAN(RADIANS($G$61))</f>
        <v/>
      </c>
      <c r="H66" s="5" t="inlineStr">
        <is>
          <t>-</t>
        </is>
      </c>
      <c r="I66" s="2" t="inlineStr"/>
    </row>
    <row r="67">
      <c r="A67" s="5" t="inlineStr">
        <is>
          <t>sγ = 1 - 0,4B/L ;  rγ = 1 - 0,25log(B/2) (Bowles 1996)</t>
        </is>
      </c>
      <c r="F67" s="6" t="inlineStr">
        <is>
          <t>sγ·rγ</t>
        </is>
      </c>
      <c r="G67" s="35">
        <f>(1-0.4*Input!$G$10/Input!$G$11)*IF(Input!$G$10&gt;2,1-0.25*LOG10(Input!$G$10/2),1)</f>
        <v/>
      </c>
      <c r="H67" s="5" t="inlineStr">
        <is>
          <t>-</t>
        </is>
      </c>
      <c r="I67" s="2" t="inlineStr"/>
    </row>
    <row r="68">
      <c r="A68" s="5" t="inlineStr">
        <is>
          <t>qu drained = 0,5·γ'·B·Nγ·sγ·rγ   (c' = 0, q = 0)</t>
        </is>
      </c>
      <c r="F68" s="6" t="inlineStr">
        <is>
          <t>qu,d</t>
        </is>
      </c>
      <c r="G68" s="36">
        <f>0.5*$G$62*Input!$G$10*$G$66*$G$67</f>
        <v/>
      </c>
      <c r="H68" s="5" t="inlineStr">
        <is>
          <t>kPa</t>
        </is>
      </c>
      <c r="I68" s="2" t="inlineStr"/>
    </row>
    <row r="69">
      <c r="A69" s="5" t="inlineStr">
        <is>
          <t>Daya dukung ultimit menentukan</t>
        </is>
      </c>
      <c r="F69" s="6" t="inlineStr">
        <is>
          <t>qu</t>
        </is>
      </c>
      <c r="G69" s="37">
        <f>IF($G$59=0,$G$68,MIN($G$64,$G$68))</f>
        <v/>
      </c>
      <c r="H69" s="5" t="inlineStr">
        <is>
          <t>kPa</t>
        </is>
      </c>
      <c r="I69" s="2" t="inlineStr"/>
    </row>
    <row r="70">
      <c r="A70" s="5" t="inlineStr">
        <is>
          <t>Daya dukung izin = qu / SF</t>
        </is>
      </c>
      <c r="F70" s="6" t="inlineStr">
        <is>
          <t>qall</t>
        </is>
      </c>
      <c r="G70" s="37">
        <f>$G$69/Input!$G$14</f>
        <v/>
      </c>
      <c r="H70" s="5" t="inlineStr">
        <is>
          <t>kPa</t>
        </is>
      </c>
      <c r="I70" s="2" t="inlineStr"/>
    </row>
    <row r="71">
      <c r="A71" s="5" t="inlineStr">
        <is>
          <t>Tekanan kerja (timbunan + beban merata)</t>
        </is>
      </c>
      <c r="F71" s="6" t="inlineStr">
        <is>
          <t>q</t>
        </is>
      </c>
      <c r="G71" s="36">
        <f>Input!$G$9</f>
        <v/>
      </c>
      <c r="H71" s="5" t="inlineStr">
        <is>
          <t>kPa</t>
        </is>
      </c>
      <c r="I71" s="2" t="inlineStr"/>
    </row>
    <row r="72">
      <c r="A72" s="5" t="inlineStr">
        <is>
          <t>Kontrol daya dukung</t>
        </is>
      </c>
      <c r="F72" s="6" t="inlineStr"/>
      <c r="G72" s="38">
        <f>IF($G$70&gt;=Input!$G$9,"qall ≥ q … OK","qall &lt; q … NG")</f>
        <v/>
      </c>
      <c r="H72" s="5" t="inlineStr"/>
      <c r="I72" s="2" t="inlineStr"/>
    </row>
    <row r="73">
      <c r="A73" s="5" t="inlineStr">
        <is>
          <t>Faktor keamanan aktual = qu / q</t>
        </is>
      </c>
      <c r="F73" s="6" t="inlineStr">
        <is>
          <t>FS</t>
        </is>
      </c>
      <c r="G73" s="35">
        <f>$G$69/Input!$G$9</f>
        <v/>
      </c>
      <c r="H73" s="5" t="inlineStr">
        <is>
          <t>-</t>
        </is>
      </c>
      <c r="I73" s="2" t="inlineStr"/>
    </row>
    <row r="74">
      <c r="A74" s="5" t="inlineStr">
        <is>
          <t>Tinggi timbunan izin (dengan beban merata)</t>
        </is>
      </c>
      <c r="F74" s="6" t="inlineStr">
        <is>
          <t>H izin</t>
        </is>
      </c>
      <c r="G74" s="35">
        <f>MAX(0,($G$70-Input!$G$8)/Input!$G$7)</f>
        <v/>
      </c>
      <c r="H74" s="5" t="inlineStr">
        <is>
          <t>m</t>
        </is>
      </c>
      <c r="I74" s="2" t="inlineStr">
        <is>
          <t>H izin = (qall - qs)/γf</t>
        </is>
      </c>
    </row>
    <row r="76">
      <c r="A76" s="15" t="inlineStr">
        <is>
          <t>b) DENGAN PENGGANTIAN TANAH 0 - Dr (kondisi desain)</t>
        </is>
      </c>
    </row>
    <row r="77">
      <c r="A77" s="5" t="inlineStr">
        <is>
          <t>Tebal lanau/lempung asli dalam 0 - Hb</t>
        </is>
      </c>
      <c r="F77" s="6" t="inlineStr">
        <is>
          <t>Σh</t>
        </is>
      </c>
      <c r="G77" s="35">
        <f>SUMPRODUCT(--(F13:F53&lt;&gt;"Sand"),AH13:AH53)</f>
        <v/>
      </c>
      <c r="H77" s="5" t="inlineStr">
        <is>
          <t>m</t>
        </is>
      </c>
      <c r="I77" s="2" t="inlineStr"/>
    </row>
    <row r="78">
      <c r="A78" s="5" t="inlineStr">
        <is>
          <t>cu rata-rata lanau/lempung (0 - Hb)</t>
        </is>
      </c>
      <c r="F78" s="6" t="inlineStr">
        <is>
          <t>cu</t>
        </is>
      </c>
      <c r="G78" s="35">
        <f>IF($G$77=0,0,SUMPRODUCT(--(F13:F53&lt;&gt;"Sand"),AH13:AH53,O13:O53)/$G$77)</f>
        <v/>
      </c>
      <c r="H78" s="5" t="inlineStr">
        <is>
          <t>kPa</t>
        </is>
      </c>
      <c r="I78" s="2" t="inlineStr">
        <is>
          <t>cu = k·N</t>
        </is>
      </c>
    </row>
    <row r="79">
      <c r="A79" s="5" t="inlineStr">
        <is>
          <t>φ' rata-rata (0 - Hb)</t>
        </is>
      </c>
      <c r="F79" s="6" t="inlineStr">
        <is>
          <t>φ'</t>
        </is>
      </c>
      <c r="G79" s="35">
        <f>(SUMPRODUCT(AH13:AH53,P13:P53)+MIN($G$8,Input!$G$15)*Input!$G$31)/Input!$G$15</f>
        <v/>
      </c>
      <c r="H79" s="5" t="inlineStr">
        <is>
          <t>°</t>
        </is>
      </c>
      <c r="I79" s="2" t="inlineStr">
        <is>
          <t>lapisan diganti memakai φ' material pengganti</t>
        </is>
      </c>
    </row>
    <row r="80">
      <c r="A80" s="5" t="inlineStr">
        <is>
          <t>Berat isi efektif rata-rata (0 - Hb)</t>
        </is>
      </c>
      <c r="F80" s="6" t="inlineStr">
        <is>
          <t>γ'</t>
        </is>
      </c>
      <c r="G80" s="35">
        <f>(SUMPRODUCT(AH13:AH53,H13:H53)+MIN($G$8,Input!$G$15)*Input!$G$30)/Input!$G$15-10*MAX(0,Input!$G$15-$G$5)/Input!$G$15</f>
        <v/>
      </c>
      <c r="H80" s="5" t="inlineStr">
        <is>
          <t>kN/m³</t>
        </is>
      </c>
      <c r="I80" s="2" t="inlineStr"/>
    </row>
    <row r="81">
      <c r="A81" s="5" t="inlineStr">
        <is>
          <t>Undrained: faktor bentuk (Nc = 5,14)</t>
        </is>
      </c>
      <c r="F81" s="6" t="inlineStr">
        <is>
          <t>sc</t>
        </is>
      </c>
      <c r="G81" s="35">
        <f>1+0.2*Input!$G$10/Input!$G$11</f>
        <v/>
      </c>
      <c r="H81" s="5" t="inlineStr">
        <is>
          <t>-</t>
        </is>
      </c>
      <c r="I81" s="2" t="inlineStr"/>
    </row>
    <row r="82">
      <c r="A82" s="5" t="inlineStr">
        <is>
          <t>qu undrained = cu·Nc·sc</t>
        </is>
      </c>
      <c r="F82" s="6" t="inlineStr">
        <is>
          <t>qu,u</t>
        </is>
      </c>
      <c r="G82" s="36">
        <f>IF($G$77=0,"-",$G$78*5.14*$G$81)</f>
        <v/>
      </c>
      <c r="H82" s="5" t="inlineStr">
        <is>
          <t>kPa</t>
        </is>
      </c>
      <c r="I82" s="2" t="inlineStr">
        <is>
          <t>tidak berlaku bila tidak ada lanau/lempung</t>
        </is>
      </c>
    </row>
    <row r="83">
      <c r="A83" s="5" t="inlineStr">
        <is>
          <t>Drained: Nq = e^(π tanφ)·tan²(45+φ/2)</t>
        </is>
      </c>
      <c r="F83" s="6" t="inlineStr">
        <is>
          <t>Nq</t>
        </is>
      </c>
      <c r="G83" s="35">
        <f>EXP(PI()*TAN(RADIANS($G$79)))*TAN(RADIANS(45+$G$79/2))^2</f>
        <v/>
      </c>
      <c r="H83" s="5" t="inlineStr">
        <is>
          <t>-</t>
        </is>
      </c>
      <c r="I83" s="2" t="inlineStr"/>
    </row>
    <row r="84">
      <c r="A84" s="5" t="inlineStr">
        <is>
          <t>Nγ = 2(Nq+1)tanφ (Vesic 1975)</t>
        </is>
      </c>
      <c r="F84" s="6" t="inlineStr">
        <is>
          <t>Nγ</t>
        </is>
      </c>
      <c r="G84" s="35">
        <f>2*($G$83+1)*TAN(RADIANS($G$79))</f>
        <v/>
      </c>
      <c r="H84" s="5" t="inlineStr">
        <is>
          <t>-</t>
        </is>
      </c>
      <c r="I84" s="2" t="inlineStr"/>
    </row>
    <row r="85">
      <c r="A85" s="5" t="inlineStr">
        <is>
          <t>sγ = 1 - 0,4B/L ;  rγ = 1 - 0,25log(B/2) (Bowles 1996)</t>
        </is>
      </c>
      <c r="F85" s="6" t="inlineStr">
        <is>
          <t>sγ·rγ</t>
        </is>
      </c>
      <c r="G85" s="35">
        <f>(1-0.4*Input!$G$10/Input!$G$11)*IF(Input!$G$10&gt;2,1-0.25*LOG10(Input!$G$10/2),1)</f>
        <v/>
      </c>
      <c r="H85" s="5" t="inlineStr">
        <is>
          <t>-</t>
        </is>
      </c>
      <c r="I85" s="2" t="inlineStr"/>
    </row>
    <row r="86">
      <c r="A86" s="5" t="inlineStr">
        <is>
          <t>qu drained = 0,5·γ'·B·Nγ·sγ·rγ   (c' = 0, q = 0)</t>
        </is>
      </c>
      <c r="F86" s="6" t="inlineStr">
        <is>
          <t>qu,d</t>
        </is>
      </c>
      <c r="G86" s="36">
        <f>0.5*$G$80*Input!$G$10*$G$84*$G$85</f>
        <v/>
      </c>
      <c r="H86" s="5" t="inlineStr">
        <is>
          <t>kPa</t>
        </is>
      </c>
      <c r="I86" s="2" t="inlineStr"/>
    </row>
    <row r="87">
      <c r="A87" s="5" t="inlineStr">
        <is>
          <t>Daya dukung ultimit menentukan</t>
        </is>
      </c>
      <c r="F87" s="6" t="inlineStr">
        <is>
          <t>qu</t>
        </is>
      </c>
      <c r="G87" s="37">
        <f>IF($G$77=0,$G$86,MIN($G$82,$G$86))</f>
        <v/>
      </c>
      <c r="H87" s="5" t="inlineStr">
        <is>
          <t>kPa</t>
        </is>
      </c>
      <c r="I87" s="2" t="inlineStr"/>
    </row>
    <row r="88">
      <c r="A88" s="5" t="inlineStr">
        <is>
          <t>Daya dukung izin = qu / SF</t>
        </is>
      </c>
      <c r="F88" s="6" t="inlineStr">
        <is>
          <t>qall</t>
        </is>
      </c>
      <c r="G88" s="37">
        <f>$G$87/Input!$G$14</f>
        <v/>
      </c>
      <c r="H88" s="5" t="inlineStr">
        <is>
          <t>kPa</t>
        </is>
      </c>
      <c r="I88" s="2" t="inlineStr"/>
    </row>
    <row r="89">
      <c r="A89" s="5" t="inlineStr">
        <is>
          <t>Tekanan kerja (timbunan + beban merata)</t>
        </is>
      </c>
      <c r="F89" s="6" t="inlineStr">
        <is>
          <t>q</t>
        </is>
      </c>
      <c r="G89" s="36">
        <f>Input!$G$9</f>
        <v/>
      </c>
      <c r="H89" s="5" t="inlineStr">
        <is>
          <t>kPa</t>
        </is>
      </c>
      <c r="I89" s="2" t="inlineStr"/>
    </row>
    <row r="90">
      <c r="A90" s="5" t="inlineStr">
        <is>
          <t>Kontrol daya dukung</t>
        </is>
      </c>
      <c r="F90" s="6" t="inlineStr"/>
      <c r="G90" s="38">
        <f>IF($G$88&gt;=Input!$G$9,"qall ≥ q … OK","qall &lt; q … NG")</f>
        <v/>
      </c>
      <c r="H90" s="5" t="inlineStr"/>
      <c r="I90" s="2" t="inlineStr"/>
    </row>
    <row r="91">
      <c r="A91" s="5" t="inlineStr">
        <is>
          <t>Faktor keamanan aktual = qu / q</t>
        </is>
      </c>
      <c r="F91" s="6" t="inlineStr">
        <is>
          <t>FS</t>
        </is>
      </c>
      <c r="G91" s="35">
        <f>$G$87/Input!$G$9</f>
        <v/>
      </c>
      <c r="H91" s="5" t="inlineStr">
        <is>
          <t>-</t>
        </is>
      </c>
      <c r="I91" s="2" t="inlineStr"/>
    </row>
    <row r="92">
      <c r="A92" s="5" t="inlineStr">
        <is>
          <t>Tinggi timbunan izin (dengan beban merata)</t>
        </is>
      </c>
      <c r="F92" s="6" t="inlineStr">
        <is>
          <t>H izin</t>
        </is>
      </c>
      <c r="G92" s="35">
        <f>MAX(0,($G$88-Input!$G$8)/Input!$G$7)</f>
        <v/>
      </c>
      <c r="H92" s="5" t="inlineStr">
        <is>
          <t>m</t>
        </is>
      </c>
      <c r="I92" s="2" t="inlineStr">
        <is>
          <t>H izin = (qall - qs)/γf</t>
        </is>
      </c>
    </row>
    <row r="94">
      <c r="A94" s="15" t="inlineStr">
        <is>
          <t>c) Tanah pasiran - daya dukung izin berbasis penurunan 25 mm (Meyerhof 1965, Bowles 1996)</t>
        </is>
      </c>
    </row>
    <row r="95">
      <c r="A95" s="5" t="inlineStr">
        <is>
          <t>N60 rata-rata lapisan pasir (0 - Hb)</t>
        </is>
      </c>
      <c r="F95" s="6" t="inlineStr">
        <is>
          <t>N60</t>
        </is>
      </c>
      <c r="G95" s="36">
        <f>IFERROR(SUMPRODUCT(--(F13:F53="Sand"),AG13:AG53,G13:G53)/SUMPRODUCT(--(F13:F53="Sand"),AG13:AG53)*Input!$G$20,"-")</f>
        <v/>
      </c>
      <c r="H95" s="5" t="inlineStr">
        <is>
          <t>-</t>
        </is>
      </c>
      <c r="I95" s="2" t="inlineStr"/>
    </row>
    <row r="96">
      <c r="A96" s="5" t="inlineStr">
        <is>
          <t>qa (S = 25 mm) = (N55/0,08)·((B+0,3)/B)²·Kd</t>
        </is>
      </c>
      <c r="F96" s="6" t="inlineStr">
        <is>
          <t>qa</t>
        </is>
      </c>
      <c r="G96" s="36">
        <f>IFERROR(($G$95*60/55)/0.08*((Input!$G$10+0.3)/Input!$G$10)^2,"-")</f>
        <v/>
      </c>
      <c r="H96" s="5" t="inlineStr">
        <is>
          <t>kPa</t>
        </is>
      </c>
      <c r="I96" s="2" t="inlineStr">
        <is>
          <t>Kd = 1 (beban di permukaan)</t>
        </is>
      </c>
    </row>
    <row r="97">
      <c r="A97" s="2" t="inlineStr">
        <is>
          <t>Pada tanah pasiran daya dukung geser hampir selalu jauh di atas beban; penentu desain adalah penurunan (bagian 4).</t>
        </is>
      </c>
    </row>
    <row r="99">
      <c r="A99" s="3" t="inlineStr">
        <is>
          <t>4. PENURUNAN SEGERA (IMMEDIATE SETTLEMENT) - kondisi desain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</row>
    <row r="100">
      <c r="A100" s="2" t="inlineStr">
        <is>
          <t>d) Teori elastis berlapis (Steinbrenner 1934; Bowles 1996): pusat area fleksibel B×L, tiap lapisan Si = 4q(B/2)(1-ν²)/E·[ΔF1 + (1-2ν)/(1-ν)·ΔF2]. Pasir: E drained, ν pasir; lanau/lempung: Eu undrained, ν = 0,5.</t>
        </is>
      </c>
    </row>
    <row r="101">
      <c r="A101" s="5" t="inlineStr">
        <is>
          <t>Penurunan segera total (dalam kedalaman pengaruh)</t>
        </is>
      </c>
      <c r="F101" s="6" t="inlineStr">
        <is>
          <t>Si</t>
        </is>
      </c>
      <c r="G101" s="37">
        <f>SUM(Z13:Z53)</f>
        <v/>
      </c>
      <c r="H101" s="5" t="inlineStr">
        <is>
          <t>mm</t>
        </is>
      </c>
      <c r="I101" s="2" t="inlineStr"/>
    </row>
    <row r="102">
      <c r="A102" s="5" t="inlineStr">
        <is>
          <t xml:space="preserve">   - dari lapisan pasir</t>
        </is>
      </c>
      <c r="F102" s="6" t="inlineStr"/>
      <c r="G102" s="36">
        <f>SUMPRODUCT(--(F13:F53="Sand"),Z13:Z53)</f>
        <v/>
      </c>
      <c r="H102" s="5" t="inlineStr">
        <is>
          <t>mm</t>
        </is>
      </c>
      <c r="I102" s="2" t="inlineStr"/>
    </row>
    <row r="103">
      <c r="A103" s="5" t="inlineStr">
        <is>
          <t xml:space="preserve">   - dari lapisan lanau/lempung (undrained)</t>
        </is>
      </c>
      <c r="F103" s="6" t="inlineStr"/>
      <c r="G103" s="36">
        <f>$G$101-$G$102</f>
        <v/>
      </c>
      <c r="H103" s="5" t="inlineStr">
        <is>
          <t>mm</t>
        </is>
      </c>
      <c r="I103" s="2" t="inlineStr"/>
    </row>
    <row r="105">
      <c r="A105" s="15" t="inlineStr">
        <is>
          <t>e) Pemeriksaan tanah pasiran - Burland &amp; Burbidge (1985), pasir NC:  S = fs·fl·q·B^0,7·Ic,   Ic = 1,71/N̄^1,4</t>
        </is>
      </c>
    </row>
    <row r="106">
      <c r="A106" s="5" t="inlineStr">
        <is>
          <t>Kedalaman pengaruh zI = B^0,763</t>
        </is>
      </c>
      <c r="F106" s="6" t="inlineStr">
        <is>
          <t>zI</t>
        </is>
      </c>
      <c r="G106" s="35">
        <f>MIN(Input!$G$10^0.763,C53)</f>
        <v/>
      </c>
      <c r="H106" s="5" t="inlineStr">
        <is>
          <t>m</t>
        </is>
      </c>
      <c r="I106" s="2" t="inlineStr"/>
    </row>
    <row r="107">
      <c r="A107" s="5" t="inlineStr">
        <is>
          <t>N rata-rata dalam zI (N terukur)</t>
        </is>
      </c>
      <c r="F107" s="6" t="inlineStr">
        <is>
          <t>N̄</t>
        </is>
      </c>
      <c r="G107" s="36">
        <f>SUMPRODUCT(AI13:AI53,G13:G53)/$G$106</f>
        <v/>
      </c>
      <c r="H107" s="5" t="inlineStr">
        <is>
          <t>-</t>
        </is>
      </c>
      <c r="I107" s="2" t="inlineStr"/>
    </row>
    <row r="108">
      <c r="A108" s="5" t="inlineStr">
        <is>
          <t>Indeks kompresibilitas</t>
        </is>
      </c>
      <c r="F108" s="6" t="inlineStr">
        <is>
          <t>Ic</t>
        </is>
      </c>
      <c r="G108" s="39">
        <f>1.71/$G$107^1.4</f>
        <v/>
      </c>
      <c r="H108" s="5" t="inlineStr">
        <is>
          <t>-</t>
        </is>
      </c>
      <c r="I108" s="2" t="inlineStr"/>
    </row>
    <row r="109">
      <c r="A109" s="5" t="inlineStr">
        <is>
          <t>Faktor bentuk fs = [1,25(L/B)/(L/B+0,25)]²</t>
        </is>
      </c>
      <c r="F109" s="6" t="inlineStr">
        <is>
          <t>fs</t>
        </is>
      </c>
      <c r="G109" s="35">
        <f>(1.25*Input!$G$11/Input!$G$10/(Input!$G$11/Input!$G$10+0.25))^2</f>
        <v/>
      </c>
      <c r="H109" s="5" t="inlineStr">
        <is>
          <t>-</t>
        </is>
      </c>
      <c r="I109" s="2" t="inlineStr"/>
    </row>
    <row r="110">
      <c r="A110" s="5" t="inlineStr">
        <is>
          <t>Penurunan (B&amp;B), fl = 1</t>
        </is>
      </c>
      <c r="F110" s="6" t="inlineStr">
        <is>
          <t>S</t>
        </is>
      </c>
      <c r="G110" s="37">
        <f>$G$109*Input!$G$9*Input!$G$10^0.7*$G$108</f>
        <v/>
      </c>
      <c r="H110" s="5" t="inlineStr">
        <is>
          <t>mm</t>
        </is>
      </c>
      <c r="I110" s="2" t="inlineStr"/>
    </row>
    <row r="111">
      <c r="A111" s="2" t="inlineStr">
        <is>
          <t>B&amp;B menganggap seluruh zona pengaruh berupa pasir; bila ada lanau/lempung, pakai butir d) sebagai nilai desain.</t>
        </is>
      </c>
    </row>
    <row r="113">
      <c r="A113" s="3" t="inlineStr">
        <is>
          <t>5. PENURUNAN KONSOLIDASI PRIMER &amp; WAKTU KONSOLIDASI (lapisan lanau/lempung) - kondisi desain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</row>
    <row r="114">
      <c r="A114" s="2" t="inlineStr">
        <is>
          <t>Sc = h/(1+e0)·[Cr·log(σ'p/σ'0) + Cc·log((σ'0+Δσ)/σ'p)] (Das 2019); Δσ Boussinesq di pusat area; σ'p = max(cu/0,22 ; σ'0); t90 = Tv·Hdr²/Cv, drainase ganda (Hdr = h/2) karena diapit pasir.</t>
        </is>
      </c>
    </row>
    <row r="115">
      <c r="A115" s="5" t="inlineStr">
        <is>
          <t>Penurunan konsolidasi total</t>
        </is>
      </c>
      <c r="F115" s="6" t="inlineStr">
        <is>
          <t>Sc</t>
        </is>
      </c>
      <c r="G115" s="37">
        <f>SUM(AD13:AD53)</f>
        <v/>
      </c>
      <c r="H115" s="5" t="inlineStr">
        <is>
          <t>mm</t>
        </is>
      </c>
      <c r="I115" s="2" t="inlineStr"/>
    </row>
    <row r="116">
      <c r="A116" s="5" t="inlineStr">
        <is>
          <t>Waktu konsolidasi 90% (lapisan terlama)</t>
        </is>
      </c>
      <c r="F116" s="6" t="inlineStr">
        <is>
          <t>t90</t>
        </is>
      </c>
      <c r="G116" s="35">
        <f>MAX(AF13:AF53)</f>
        <v/>
      </c>
      <c r="H116" s="5" t="inlineStr">
        <is>
          <t>tahun</t>
        </is>
      </c>
      <c r="I116" s="2" t="inlineStr"/>
    </row>
    <row r="118">
      <c r="A118" s="3" t="inlineStr">
        <is>
          <t>6. RINGKASAN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</row>
    <row r="119">
      <c r="A119" s="5" t="inlineStr">
        <is>
          <t>Penurunan total jangka panjang = Si + Sc</t>
        </is>
      </c>
      <c r="F119" s="6" t="inlineStr">
        <is>
          <t>S</t>
        </is>
      </c>
      <c r="G119" s="37">
        <f>$G$101+$G$115</f>
        <v/>
      </c>
      <c r="H119" s="5" t="inlineStr">
        <is>
          <t>mm</t>
        </is>
      </c>
      <c r="I119" s="2" t="inlineStr"/>
    </row>
    <row r="120">
      <c r="A120" s="5" t="inlineStr">
        <is>
          <t>Kontrol terhadap batas penurunan</t>
        </is>
      </c>
      <c r="F120" s="6" t="inlineStr"/>
      <c r="G120" s="38">
        <f>IF($G$119&lt;=Input!$G$16,"S ≤ S izin … OK","S &gt; S izin … NG")</f>
        <v/>
      </c>
      <c r="H120" s="5" t="inlineStr"/>
      <c r="I120" s="2" t="inlineStr"/>
    </row>
    <row r="121">
      <c r="A121" s="2" t="inlineStr">
        <is>
          <t>Penurunan pasca-likuefaksi saat gempa (laporan likuefaksi, Tabel 5.4: 100 - 383 mm) TIDAK termasuk; ditinjau terpisah.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J121"/>
  <sheetViews>
    <sheetView showGridLines="0" zoomScale="85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8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6" customWidth="1" min="16" max="16"/>
    <col width="9" customWidth="1" min="17" max="17"/>
    <col width="5" customWidth="1" min="18" max="18"/>
    <col width="6" customWidth="1" min="19" max="19"/>
    <col width="6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6" customWidth="1" min="27" max="27"/>
    <col width="6" customWidth="1" min="28" max="28"/>
    <col width="8" customWidth="1" min="29" max="29"/>
    <col width="7" customWidth="1" min="30" max="30"/>
    <col width="9" customWidth="1" min="31" max="31"/>
    <col width="7" customWidth="1" min="32" max="32"/>
    <col width="6" customWidth="1" min="33" max="33"/>
    <col width="6" customWidth="1" min="34" max="34"/>
    <col width="6" customWidth="1" min="35" max="35"/>
    <col width="34" customWidth="1" min="36" max="36"/>
  </cols>
  <sheetData>
    <row r="1">
      <c r="A1" s="1" t="inlineStr">
        <is>
          <t>ANALISIS DAYA DUKUNG, PENURUNAN SEGERA &amp; KONSOLIDASI - BH-02 (Wellpad A)</t>
        </is>
      </c>
    </row>
    <row r="2">
      <c r="A2" s="2" t="inlineStr">
        <is>
          <t>PSPE Bora Pulu - timbunan + beban merata (lihat sheet Input)</t>
        </is>
      </c>
    </row>
    <row r="4">
      <c r="A4" s="3" t="inlineStr">
        <is>
          <t>1. PARAMETER BOREHOLE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5" t="inlineStr">
        <is>
          <t>Muka air tanah (GWL)</t>
        </is>
      </c>
      <c r="G5" s="19" t="n">
        <v>7</v>
      </c>
      <c r="H5" s="5" t="inlineStr">
        <is>
          <t>m</t>
        </is>
      </c>
      <c r="I5" s="2" t="inlineStr">
        <is>
          <t>GWL analisis likuefaksi (Report BP-00-GEO-RPT-003)</t>
        </is>
      </c>
    </row>
    <row r="6">
      <c r="A6" s="5" t="inlineStr">
        <is>
          <t>Berat isi di atas GWL</t>
        </is>
      </c>
      <c r="G6" s="19" t="n">
        <v>18.5</v>
      </c>
      <c r="H6" s="5" t="inlineStr">
        <is>
          <t>kN/m³</t>
        </is>
      </c>
      <c r="I6" s="2" t="inlineStr">
        <is>
          <t>Report Tabel 5.1 (hasil lab)</t>
        </is>
      </c>
    </row>
    <row r="7">
      <c r="A7" s="5" t="inlineStr">
        <is>
          <t>Berat isi di bawah GWL</t>
        </is>
      </c>
      <c r="G7" s="19" t="n">
        <v>18.4</v>
      </c>
      <c r="H7" s="5" t="inlineStr">
        <is>
          <t>kN/m³</t>
        </is>
      </c>
      <c r="I7" s="2" t="inlineStr">
        <is>
          <t>Report Tabel 5.1 (hasil lab)</t>
        </is>
      </c>
    </row>
    <row r="8">
      <c r="A8" s="5" t="inlineStr">
        <is>
          <t>Kedalaman penggantian tanah (replacement) - kondisi desain</t>
        </is>
      </c>
      <c r="G8" s="19" t="n">
        <v>0</v>
      </c>
      <c r="H8" s="5" t="inlineStr">
        <is>
          <t>m</t>
        </is>
      </c>
      <c r="I8" s="2" t="inlineStr">
        <is>
          <t>0 = tanpa perbaikan; tanah 0 - Dr diganti material granular (sheet Input bagian D)</t>
        </is>
      </c>
    </row>
    <row r="10">
      <c r="A10" s="3" t="inlineStr">
        <is>
          <t>2. TABEL TANAH &amp; PERHITUNGAN PER LAPISAN (sublapisan = interval SPT 1,5 m)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</row>
    <row r="11" ht="26" customHeight="1">
      <c r="A11" s="9" t="inlineStr">
        <is>
          <t>No</t>
        </is>
      </c>
      <c r="B11" s="9" t="inlineStr">
        <is>
          <t>Atas</t>
        </is>
      </c>
      <c r="C11" s="9" t="inlineStr">
        <is>
          <t>Bawah</t>
        </is>
      </c>
      <c r="D11" s="9" t="inlineStr">
        <is>
          <t>Tebal h</t>
        </is>
      </c>
      <c r="E11" s="9" t="inlineStr">
        <is>
          <t>Tengah z</t>
        </is>
      </c>
      <c r="F11" s="9" t="inlineStr">
        <is>
          <t>Jenis</t>
        </is>
      </c>
      <c r="G11" s="9" t="inlineStr">
        <is>
          <t>N-SPT</t>
        </is>
      </c>
      <c r="H11" s="9" t="inlineStr">
        <is>
          <t>γ</t>
        </is>
      </c>
      <c r="I11" s="9" t="inlineStr">
        <is>
          <t>σv bawah</t>
        </is>
      </c>
      <c r="J11" s="9" t="inlineStr">
        <is>
          <t>σ'v0 tengah</t>
        </is>
      </c>
      <c r="K11" s="9" t="inlineStr">
        <is>
          <t>LL</t>
        </is>
      </c>
      <c r="L11" s="9" t="inlineStr">
        <is>
          <t>PL</t>
        </is>
      </c>
      <c r="M11" s="9" t="inlineStr">
        <is>
          <t>PI</t>
        </is>
      </c>
      <c r="N11" s="9" t="inlineStr">
        <is>
          <t>e0</t>
        </is>
      </c>
      <c r="O11" s="9" t="inlineStr">
        <is>
          <t>cu</t>
        </is>
      </c>
      <c r="P11" s="9" t="inlineStr">
        <is>
          <t>φ'</t>
        </is>
      </c>
      <c r="Q11" s="9" t="inlineStr">
        <is>
          <t>E</t>
        </is>
      </c>
      <c r="R11" s="9" t="inlineStr">
        <is>
          <t>ν</t>
        </is>
      </c>
      <c r="S11" s="9" t="inlineStr">
        <is>
          <t>m=B/2z</t>
        </is>
      </c>
      <c r="T11" s="9" t="inlineStr">
        <is>
          <t>n=L/2z</t>
        </is>
      </c>
      <c r="U11" s="9" t="inlineStr">
        <is>
          <t>I Bouss.</t>
        </is>
      </c>
      <c r="V11" s="9" t="inlineStr">
        <is>
          <t>Δσz pusat</t>
        </is>
      </c>
      <c r="W11" s="9" t="inlineStr">
        <is>
          <t>F1 (bawah)</t>
        </is>
      </c>
      <c r="X11" s="9" t="inlineStr">
        <is>
          <t>F2 (bawah)</t>
        </is>
      </c>
      <c r="Y11" s="9" t="inlineStr">
        <is>
          <t>faktor aktif</t>
        </is>
      </c>
      <c r="Z11" s="9" t="inlineStr">
        <is>
          <t>Si</t>
        </is>
      </c>
      <c r="AA11" s="9" t="inlineStr">
        <is>
          <t>Cc</t>
        </is>
      </c>
      <c r="AB11" s="9" t="inlineStr">
        <is>
          <t>Cr</t>
        </is>
      </c>
      <c r="AC11" s="9" t="inlineStr">
        <is>
          <t>σ'p</t>
        </is>
      </c>
      <c r="AD11" s="9" t="inlineStr">
        <is>
          <t>Sc</t>
        </is>
      </c>
      <c r="AE11" s="9" t="inlineStr">
        <is>
          <t>Cv</t>
        </is>
      </c>
      <c r="AF11" s="9" t="inlineStr">
        <is>
          <t>t90</t>
        </is>
      </c>
      <c r="AG11" s="9" t="inlineStr">
        <is>
          <t>Δ 0-Hb</t>
        </is>
      </c>
      <c r="AH11" s="9" t="inlineStr">
        <is>
          <t>Δ 0-Hb sisa</t>
        </is>
      </c>
      <c r="AI11" s="9" t="inlineStr">
        <is>
          <t>Δ 0-zI</t>
        </is>
      </c>
      <c r="AJ11" s="9" t="inlineStr">
        <is>
          <t>Ket.</t>
        </is>
      </c>
    </row>
    <row r="12">
      <c r="A12" s="9" t="inlineStr"/>
      <c r="B12" s="9" t="inlineStr">
        <is>
          <t>m</t>
        </is>
      </c>
      <c r="C12" s="9" t="inlineStr">
        <is>
          <t>m</t>
        </is>
      </c>
      <c r="D12" s="9" t="inlineStr">
        <is>
          <t>m</t>
        </is>
      </c>
      <c r="E12" s="9" t="inlineStr">
        <is>
          <t>m</t>
        </is>
      </c>
      <c r="F12" s="9" t="inlineStr"/>
      <c r="G12" s="9" t="inlineStr"/>
      <c r="H12" s="9" t="inlineStr">
        <is>
          <t>kN/m³</t>
        </is>
      </c>
      <c r="I12" s="9" t="inlineStr">
        <is>
          <t>kPa</t>
        </is>
      </c>
      <c r="J12" s="9" t="inlineStr">
        <is>
          <t>kPa</t>
        </is>
      </c>
      <c r="K12" s="9" t="inlineStr">
        <is>
          <t>%</t>
        </is>
      </c>
      <c r="L12" s="9" t="inlineStr">
        <is>
          <t>%</t>
        </is>
      </c>
      <c r="M12" s="9" t="inlineStr">
        <is>
          <t>%</t>
        </is>
      </c>
      <c r="N12" s="9" t="inlineStr">
        <is>
          <t>-</t>
        </is>
      </c>
      <c r="O12" s="9" t="inlineStr">
        <is>
          <t>kPa</t>
        </is>
      </c>
      <c r="P12" s="9" t="inlineStr">
        <is>
          <t>°</t>
        </is>
      </c>
      <c r="Q12" s="9" t="inlineStr">
        <is>
          <t>kPa</t>
        </is>
      </c>
      <c r="R12" s="9" t="inlineStr">
        <is>
          <t>-</t>
        </is>
      </c>
      <c r="S12" s="9" t="inlineStr">
        <is>
          <t>-</t>
        </is>
      </c>
      <c r="T12" s="9" t="inlineStr">
        <is>
          <t>-</t>
        </is>
      </c>
      <c r="U12" s="9" t="inlineStr">
        <is>
          <t>-</t>
        </is>
      </c>
      <c r="V12" s="9" t="inlineStr">
        <is>
          <t>kPa</t>
        </is>
      </c>
      <c r="W12" s="9" t="inlineStr">
        <is>
          <t>-</t>
        </is>
      </c>
      <c r="X12" s="9" t="inlineStr">
        <is>
          <t>-</t>
        </is>
      </c>
      <c r="Y12" s="9" t="inlineStr">
        <is>
          <t>-</t>
        </is>
      </c>
      <c r="Z12" s="9" t="inlineStr">
        <is>
          <t>mm</t>
        </is>
      </c>
      <c r="AA12" s="9" t="inlineStr">
        <is>
          <t>-</t>
        </is>
      </c>
      <c r="AB12" s="9" t="inlineStr">
        <is>
          <t>-</t>
        </is>
      </c>
      <c r="AC12" s="9" t="inlineStr">
        <is>
          <t>kPa</t>
        </is>
      </c>
      <c r="AD12" s="9" t="inlineStr">
        <is>
          <t>mm</t>
        </is>
      </c>
      <c r="AE12" s="9" t="inlineStr">
        <is>
          <t>cm²/s</t>
        </is>
      </c>
      <c r="AF12" s="9" t="inlineStr">
        <is>
          <t>tahun</t>
        </is>
      </c>
      <c r="AG12" s="9" t="inlineStr">
        <is>
          <t>m</t>
        </is>
      </c>
      <c r="AH12" s="9" t="inlineStr">
        <is>
          <t>m</t>
        </is>
      </c>
      <c r="AI12" s="9" t="inlineStr">
        <is>
          <t>m</t>
        </is>
      </c>
      <c r="AJ12" s="9" t="inlineStr"/>
    </row>
    <row r="13">
      <c r="A13" s="20" t="n">
        <v>1</v>
      </c>
      <c r="B13" s="21" t="n">
        <v>0</v>
      </c>
      <c r="C13" s="21" t="n">
        <v>1.5</v>
      </c>
      <c r="D13" s="13">
        <f>C13-B13</f>
        <v/>
      </c>
      <c r="E13" s="13">
        <f>(B13+C13)/2</f>
        <v/>
      </c>
      <c r="F13" s="22" t="inlineStr">
        <is>
          <t>Sand</t>
        </is>
      </c>
      <c r="G13" s="23" t="n">
        <v>50</v>
      </c>
      <c r="H13" s="12">
        <f>IF(E13&gt;$G$5,$G$7,$G$6)</f>
        <v/>
      </c>
      <c r="I13" s="12">
        <f>H13*D13</f>
        <v/>
      </c>
      <c r="J13" s="12">
        <f>I13-H13*D13/2-10*MAX(E13-$G$5,0)</f>
        <v/>
      </c>
      <c r="K13" s="24" t="n"/>
      <c r="L13" s="24" t="n"/>
      <c r="M13" s="12">
        <f>IF(K13="","",K13-L13)</f>
        <v/>
      </c>
      <c r="N13" s="25" t="n">
        <v>0.65</v>
      </c>
      <c r="O13" s="26">
        <f>IF(F13="Sand",0,Input!$G$19*G13)</f>
        <v/>
      </c>
      <c r="P13" s="12">
        <f>IF(F13="Sand",27.1+0.3*MIN(Input!$G$20*G13,60)-0.00054*MIN(Input!$G$20*G13,60)^2,MIN(MAX(DEGREES(ASIN(0.8-0.094*LN(MAX(IF(M13="",10,M13),5)))),20),30))</f>
        <v/>
      </c>
      <c r="Q13" s="27">
        <f>IF(F13="Sand",Input!$G$21*Input!$G$20*G13,Input!$G$22*O13)</f>
        <v/>
      </c>
      <c r="R13" s="13">
        <f>IF(F13="Sand",Input!$G$26,0.5)</f>
        <v/>
      </c>
      <c r="S13" s="13">
        <f>Input!$G$10/2/E13</f>
        <v/>
      </c>
      <c r="T13" s="13">
        <f>Input!$G$11/2/E13</f>
        <v/>
      </c>
      <c r="U13" s="28">
        <f>1/(4*PI())*(2*S13*T13*SQRT(S13^2+T13^2+1)/(S13^2+T13^2+1+S13^2*T13^2)*(S13^2+T13^2+2)/(S13^2+T13^2+1)+ATAN2(S13^2+T13^2+1-S13^2*T13^2,2*S13*T13*SQRT(S13^2+T13^2+1)))</f>
        <v/>
      </c>
      <c r="V13" s="12">
        <f>4*Input!$G$9*U13</f>
        <v/>
      </c>
      <c r="W13" s="29">
        <f>((Input!$G$11/Input!$G$10)*LN((1+SQRT((Input!$G$11/Input!$G$10)^2+1))*SQRT((Input!$G$11/Input!$G$10)^2+(C13/(Input!$G$10/2))^2)/((Input!$G$11/Input!$G$10)*(1+SQRT((Input!$G$11/Input!$G$10)^2+(C13/(Input!$G$10/2))^2+1))))+LN(((Input!$G$11/Input!$G$10)+SQRT((Input!$G$11/Input!$G$10)^2+1))*SQRT(1+(C13/(Input!$G$10/2))^2)/((Input!$G$11/Input!$G$10)+SQRT((Input!$G$11/Input!$G$10)^2+(C13/(Input!$G$10/2))^2+1))))/PI()</f>
        <v/>
      </c>
      <c r="X13" s="29">
        <f>(C13/(Input!$G$10/2))/(2*PI())*ATAN((Input!$G$11/Input!$G$10)/((C13/(Input!$G$10/2))*SQRT((Input!$G$11/Input!$G$10)^2+(C13/(Input!$G$10/2))^2+1)))</f>
        <v/>
      </c>
      <c r="Y13" s="13">
        <f>MAX(0,C13-MAX(B13,$G$8))/D13*IF(V13&gt;=Input!$G$27*J13,1,0)</f>
        <v/>
      </c>
      <c r="Z13" s="12">
        <f>4*Input!$G$9*(Input!$G$10/2)*(1-R13^2)/Q13*((W13-0)+(1-2*R13)/(1-R13)*(X13-0))*1000*Y13</f>
        <v/>
      </c>
      <c r="AA13" s="30">
        <f>IF(F13="Sand",0,0.009*(K13-10))</f>
        <v/>
      </c>
      <c r="AB13" s="30">
        <f>AA13*Input!$G$23</f>
        <v/>
      </c>
      <c r="AC13" s="26">
        <f>IF(F13="Sand",0,MAX(O13/Input!$G$24,J13))</f>
        <v/>
      </c>
      <c r="AD13" s="31">
        <f>IF(F13="Sand",0,1000*D13/(1+N13)*IF(J13+V13&lt;=AC13,AB13*LOG10((J13+V13)/J13),AB13*LOG10(AC13/J13)+AA13*LOG10((J13+V13)/AC13)))*Y13</f>
        <v/>
      </c>
      <c r="AE13" s="32">
        <f>IF(F13="Sand",0,10^(INDEX(Korelasi!$C$5:$C$11,MIN(MATCH(MIN(MAX(K13,30),120),Korelasi!$A$5:$A$11,1),6))+(MIN(MAX(K13,30),120)-INDEX(Korelasi!$A$5:$A$11,MIN(MATCH(MIN(MAX(K13,30),120),Korelasi!$A$5:$A$11,1),6)))/(INDEX(Korelasi!$A$5:$A$11,MIN(MATCH(MIN(MAX(K13,30),120),Korelasi!$A$5:$A$11,1),6)+1)-INDEX(Korelasi!$A$5:$A$11,MIN(MATCH(MIN(MAX(K13,30),120),Korelasi!$A$5:$A$11,1),6)))*(INDEX(Korelasi!$C$5:$C$11,MIN(MATCH(MIN(MAX(K13,30),120),Korelasi!$A$5:$A$11,1),6)+1)-INDEX(Korelasi!$C$5:$C$11,MIN(MATCH(MIN(MAX(K13,30),120),Korelasi!$A$5:$A$11,1),6)))))</f>
        <v/>
      </c>
      <c r="AF13" s="33">
        <f>IF(OR(F13="Sand",Y13=0),0,Input!$G$25*(D13/2)^2/(AE13*1E-4*31536000))</f>
        <v/>
      </c>
      <c r="AG13" s="13">
        <f>MAX(0,MIN(C13,Input!$G$15)-B13)</f>
        <v/>
      </c>
      <c r="AH13" s="13">
        <f>MAX(0,MIN(C13,Input!$G$15)-MAX(B13,$G$8))</f>
        <v/>
      </c>
      <c r="AI13" s="13">
        <f>MAX(0,MIN(C13,$G$106)-B13)</f>
        <v/>
      </c>
      <c r="AJ13" s="34" t="inlineStr">
        <is>
          <t>0-1,5 m tidak di-SPT: N lapisan berikut</t>
        </is>
      </c>
    </row>
    <row r="14">
      <c r="A14" s="20" t="n">
        <v>2</v>
      </c>
      <c r="B14" s="21" t="n">
        <v>1.5</v>
      </c>
      <c r="C14" s="21" t="n">
        <v>3</v>
      </c>
      <c r="D14" s="13">
        <f>C14-B14</f>
        <v/>
      </c>
      <c r="E14" s="13">
        <f>(B14+C14)/2</f>
        <v/>
      </c>
      <c r="F14" s="22" t="inlineStr">
        <is>
          <t>Sand</t>
        </is>
      </c>
      <c r="G14" s="23" t="n">
        <v>50</v>
      </c>
      <c r="H14" s="12">
        <f>IF(E14&gt;$G$5,$G$7,$G$6)</f>
        <v/>
      </c>
      <c r="I14" s="12">
        <f>I13+H14*D14</f>
        <v/>
      </c>
      <c r="J14" s="12">
        <f>I14-H14*D14/2-10*MAX(E14-$G$5,0)</f>
        <v/>
      </c>
      <c r="K14" s="24" t="n"/>
      <c r="L14" s="24" t="n"/>
      <c r="M14" s="12">
        <f>IF(K14="","",K14-L14)</f>
        <v/>
      </c>
      <c r="N14" s="25" t="n">
        <v>0.65</v>
      </c>
      <c r="O14" s="26">
        <f>IF(F14="Sand",0,Input!$G$19*G14)</f>
        <v/>
      </c>
      <c r="P14" s="12">
        <f>IF(F14="Sand",27.1+0.3*MIN(Input!$G$20*G14,60)-0.00054*MIN(Input!$G$20*G14,60)^2,MIN(MAX(DEGREES(ASIN(0.8-0.094*LN(MAX(IF(M14="",10,M14),5)))),20),30))</f>
        <v/>
      </c>
      <c r="Q14" s="27">
        <f>IF(F14="Sand",Input!$G$21*Input!$G$20*G14,Input!$G$22*O14)</f>
        <v/>
      </c>
      <c r="R14" s="13">
        <f>IF(F14="Sand",Input!$G$26,0.5)</f>
        <v/>
      </c>
      <c r="S14" s="13">
        <f>Input!$G$10/2/E14</f>
        <v/>
      </c>
      <c r="T14" s="13">
        <f>Input!$G$11/2/E14</f>
        <v/>
      </c>
      <c r="U14" s="28">
        <f>1/(4*PI())*(2*S14*T14*SQRT(S14^2+T14^2+1)/(S14^2+T14^2+1+S14^2*T14^2)*(S14^2+T14^2+2)/(S14^2+T14^2+1)+ATAN2(S14^2+T14^2+1-S14^2*T14^2,2*S14*T14*SQRT(S14^2+T14^2+1)))</f>
        <v/>
      </c>
      <c r="V14" s="12">
        <f>4*Input!$G$9*U14</f>
        <v/>
      </c>
      <c r="W14" s="29">
        <f>((Input!$G$11/Input!$G$10)*LN((1+SQRT((Input!$G$11/Input!$G$10)^2+1))*SQRT((Input!$G$11/Input!$G$10)^2+(C14/(Input!$G$10/2))^2)/((Input!$G$11/Input!$G$10)*(1+SQRT((Input!$G$11/Input!$G$10)^2+(C14/(Input!$G$10/2))^2+1))))+LN(((Input!$G$11/Input!$G$10)+SQRT((Input!$G$11/Input!$G$10)^2+1))*SQRT(1+(C14/(Input!$G$10/2))^2)/((Input!$G$11/Input!$G$10)+SQRT((Input!$G$11/Input!$G$10)^2+(C14/(Input!$G$10/2))^2+1))))/PI()</f>
        <v/>
      </c>
      <c r="X14" s="29">
        <f>(C14/(Input!$G$10/2))/(2*PI())*ATAN((Input!$G$11/Input!$G$10)/((C14/(Input!$G$10/2))*SQRT((Input!$G$11/Input!$G$10)^2+(C14/(Input!$G$10/2))^2+1)))</f>
        <v/>
      </c>
      <c r="Y14" s="13">
        <f>MAX(0,C14-MAX(B14,$G$8))/D14*IF(V14&gt;=Input!$G$27*J14,1,0)</f>
        <v/>
      </c>
      <c r="Z14" s="12">
        <f>4*Input!$G$9*(Input!$G$10/2)*(1-R14^2)/Q14*((W14-W13)+(1-2*R14)/(1-R14)*(X14-X13))*1000*Y14</f>
        <v/>
      </c>
      <c r="AA14" s="30">
        <f>IF(F14="Sand",0,0.009*(K14-10))</f>
        <v/>
      </c>
      <c r="AB14" s="30">
        <f>AA14*Input!$G$23</f>
        <v/>
      </c>
      <c r="AC14" s="26">
        <f>IF(F14="Sand",0,MAX(O14/Input!$G$24,J14))</f>
        <v/>
      </c>
      <c r="AD14" s="31">
        <f>IF(F14="Sand",0,1000*D14/(1+N14)*IF(J14+V14&lt;=AC14,AB14*LOG10((J14+V14)/J14),AB14*LOG10(AC14/J14)+AA14*LOG10((J14+V14)/AC14)))*Y14</f>
        <v/>
      </c>
      <c r="AE14" s="32">
        <f>IF(F14="Sand",0,10^(INDEX(Korelasi!$C$5:$C$11,MIN(MATCH(MIN(MAX(K14,30),120),Korelasi!$A$5:$A$11,1),6))+(MIN(MAX(K14,30),120)-INDEX(Korelasi!$A$5:$A$11,MIN(MATCH(MIN(MAX(K14,30),120),Korelasi!$A$5:$A$11,1),6)))/(INDEX(Korelasi!$A$5:$A$11,MIN(MATCH(MIN(MAX(K14,30),120),Korelasi!$A$5:$A$11,1),6)+1)-INDEX(Korelasi!$A$5:$A$11,MIN(MATCH(MIN(MAX(K14,30),120),Korelasi!$A$5:$A$11,1),6)))*(INDEX(Korelasi!$C$5:$C$11,MIN(MATCH(MIN(MAX(K14,30),120),Korelasi!$A$5:$A$11,1),6)+1)-INDEX(Korelasi!$C$5:$C$11,MIN(MATCH(MIN(MAX(K14,30),120),Korelasi!$A$5:$A$11,1),6)))))</f>
        <v/>
      </c>
      <c r="AF14" s="33">
        <f>IF(OR(F14="Sand",Y14=0),0,Input!$G$25*(D14/2)^2/(AE14*1E-4*31536000))</f>
        <v/>
      </c>
      <c r="AG14" s="13">
        <f>MAX(0,MIN(C14,Input!$G$15)-B14)</f>
        <v/>
      </c>
      <c r="AH14" s="13">
        <f>MAX(0,MIN(C14,Input!$G$15)-MAX(B14,$G$8))</f>
        <v/>
      </c>
      <c r="AI14" s="13">
        <f>MAX(0,MIN(C14,$G$106)-B14)</f>
        <v/>
      </c>
      <c r="AJ14" s="34" t="inlineStr"/>
    </row>
    <row r="15">
      <c r="A15" s="20" t="n">
        <v>3</v>
      </c>
      <c r="B15" s="21" t="n">
        <v>3</v>
      </c>
      <c r="C15" s="21" t="n">
        <v>4.5</v>
      </c>
      <c r="D15" s="13">
        <f>C15-B15</f>
        <v/>
      </c>
      <c r="E15" s="13">
        <f>(B15+C15)/2</f>
        <v/>
      </c>
      <c r="F15" s="22" t="inlineStr">
        <is>
          <t>Sand</t>
        </is>
      </c>
      <c r="G15" s="23" t="n">
        <v>50</v>
      </c>
      <c r="H15" s="12">
        <f>IF(E15&gt;$G$5,$G$7,$G$6)</f>
        <v/>
      </c>
      <c r="I15" s="12">
        <f>I14+H15*D15</f>
        <v/>
      </c>
      <c r="J15" s="12">
        <f>I15-H15*D15/2-10*MAX(E15-$G$5,0)</f>
        <v/>
      </c>
      <c r="K15" s="24" t="n"/>
      <c r="L15" s="24" t="n"/>
      <c r="M15" s="12">
        <f>IF(K15="","",K15-L15)</f>
        <v/>
      </c>
      <c r="N15" s="25" t="n">
        <v>0.65</v>
      </c>
      <c r="O15" s="26">
        <f>IF(F15="Sand",0,Input!$G$19*G15)</f>
        <v/>
      </c>
      <c r="P15" s="12">
        <f>IF(F15="Sand",27.1+0.3*MIN(Input!$G$20*G15,60)-0.00054*MIN(Input!$G$20*G15,60)^2,MIN(MAX(DEGREES(ASIN(0.8-0.094*LN(MAX(IF(M15="",10,M15),5)))),20),30))</f>
        <v/>
      </c>
      <c r="Q15" s="27">
        <f>IF(F15="Sand",Input!$G$21*Input!$G$20*G15,Input!$G$22*O15)</f>
        <v/>
      </c>
      <c r="R15" s="13">
        <f>IF(F15="Sand",Input!$G$26,0.5)</f>
        <v/>
      </c>
      <c r="S15" s="13">
        <f>Input!$G$10/2/E15</f>
        <v/>
      </c>
      <c r="T15" s="13">
        <f>Input!$G$11/2/E15</f>
        <v/>
      </c>
      <c r="U15" s="28">
        <f>1/(4*PI())*(2*S15*T15*SQRT(S15^2+T15^2+1)/(S15^2+T15^2+1+S15^2*T15^2)*(S15^2+T15^2+2)/(S15^2+T15^2+1)+ATAN2(S15^2+T15^2+1-S15^2*T15^2,2*S15*T15*SQRT(S15^2+T15^2+1)))</f>
        <v/>
      </c>
      <c r="V15" s="12">
        <f>4*Input!$G$9*U15</f>
        <v/>
      </c>
      <c r="W15" s="29">
        <f>((Input!$G$11/Input!$G$10)*LN((1+SQRT((Input!$G$11/Input!$G$10)^2+1))*SQRT((Input!$G$11/Input!$G$10)^2+(C15/(Input!$G$10/2))^2)/((Input!$G$11/Input!$G$10)*(1+SQRT((Input!$G$11/Input!$G$10)^2+(C15/(Input!$G$10/2))^2+1))))+LN(((Input!$G$11/Input!$G$10)+SQRT((Input!$G$11/Input!$G$10)^2+1))*SQRT(1+(C15/(Input!$G$10/2))^2)/((Input!$G$11/Input!$G$10)+SQRT((Input!$G$11/Input!$G$10)^2+(C15/(Input!$G$10/2))^2+1))))/PI()</f>
        <v/>
      </c>
      <c r="X15" s="29">
        <f>(C15/(Input!$G$10/2))/(2*PI())*ATAN((Input!$G$11/Input!$G$10)/((C15/(Input!$G$10/2))*SQRT((Input!$G$11/Input!$G$10)^2+(C15/(Input!$G$10/2))^2+1)))</f>
        <v/>
      </c>
      <c r="Y15" s="13">
        <f>MAX(0,C15-MAX(B15,$G$8))/D15*IF(V15&gt;=Input!$G$27*J15,1,0)</f>
        <v/>
      </c>
      <c r="Z15" s="12">
        <f>4*Input!$G$9*(Input!$G$10/2)*(1-R15^2)/Q15*((W15-W14)+(1-2*R15)/(1-R15)*(X15-X14))*1000*Y15</f>
        <v/>
      </c>
      <c r="AA15" s="30">
        <f>IF(F15="Sand",0,0.009*(K15-10))</f>
        <v/>
      </c>
      <c r="AB15" s="30">
        <f>AA15*Input!$G$23</f>
        <v/>
      </c>
      <c r="AC15" s="26">
        <f>IF(F15="Sand",0,MAX(O15/Input!$G$24,J15))</f>
        <v/>
      </c>
      <c r="AD15" s="31">
        <f>IF(F15="Sand",0,1000*D15/(1+N15)*IF(J15+V15&lt;=AC15,AB15*LOG10((J15+V15)/J15),AB15*LOG10(AC15/J15)+AA15*LOG10((J15+V15)/AC15)))*Y15</f>
        <v/>
      </c>
      <c r="AE15" s="32">
        <f>IF(F15="Sand",0,10^(INDEX(Korelasi!$C$5:$C$11,MIN(MATCH(MIN(MAX(K15,30),120),Korelasi!$A$5:$A$11,1),6))+(MIN(MAX(K15,30),120)-INDEX(Korelasi!$A$5:$A$11,MIN(MATCH(MIN(MAX(K15,30),120),Korelasi!$A$5:$A$11,1),6)))/(INDEX(Korelasi!$A$5:$A$11,MIN(MATCH(MIN(MAX(K15,30),120),Korelasi!$A$5:$A$11,1),6)+1)-INDEX(Korelasi!$A$5:$A$11,MIN(MATCH(MIN(MAX(K15,30),120),Korelasi!$A$5:$A$11,1),6)))*(INDEX(Korelasi!$C$5:$C$11,MIN(MATCH(MIN(MAX(K15,30),120),Korelasi!$A$5:$A$11,1),6)+1)-INDEX(Korelasi!$C$5:$C$11,MIN(MATCH(MIN(MAX(K15,30),120),Korelasi!$A$5:$A$11,1),6)))))</f>
        <v/>
      </c>
      <c r="AF15" s="33">
        <f>IF(OR(F15="Sand",Y15=0),0,Input!$G$25*(D15/2)^2/(AE15*1E-4*31536000))</f>
        <v/>
      </c>
      <c r="AG15" s="13">
        <f>MAX(0,MIN(C15,Input!$G$15)-B15)</f>
        <v/>
      </c>
      <c r="AH15" s="13">
        <f>MAX(0,MIN(C15,Input!$G$15)-MAX(B15,$G$8))</f>
        <v/>
      </c>
      <c r="AI15" s="13">
        <f>MAX(0,MIN(C15,$G$106)-B15)</f>
        <v/>
      </c>
      <c r="AJ15" s="34" t="inlineStr"/>
    </row>
    <row r="16">
      <c r="A16" s="20" t="n">
        <v>4</v>
      </c>
      <c r="B16" s="21" t="n">
        <v>4.5</v>
      </c>
      <c r="C16" s="21" t="n">
        <v>6</v>
      </c>
      <c r="D16" s="13">
        <f>C16-B16</f>
        <v/>
      </c>
      <c r="E16" s="13">
        <f>(B16+C16)/2</f>
        <v/>
      </c>
      <c r="F16" s="22" t="inlineStr">
        <is>
          <t>Sand</t>
        </is>
      </c>
      <c r="G16" s="23" t="n">
        <v>41</v>
      </c>
      <c r="H16" s="12">
        <f>IF(E16&gt;$G$5,$G$7,$G$6)</f>
        <v/>
      </c>
      <c r="I16" s="12">
        <f>I15+H16*D16</f>
        <v/>
      </c>
      <c r="J16" s="12">
        <f>I16-H16*D16/2-10*MAX(E16-$G$5,0)</f>
        <v/>
      </c>
      <c r="K16" s="24" t="n"/>
      <c r="L16" s="24" t="n"/>
      <c r="M16" s="12">
        <f>IF(K16="","",K16-L16)</f>
        <v/>
      </c>
      <c r="N16" s="25" t="n">
        <v>0.588</v>
      </c>
      <c r="O16" s="26">
        <f>IF(F16="Sand",0,Input!$G$19*G16)</f>
        <v/>
      </c>
      <c r="P16" s="12">
        <f>IF(F16="Sand",27.1+0.3*MIN(Input!$G$20*G16,60)-0.00054*MIN(Input!$G$20*G16,60)^2,MIN(MAX(DEGREES(ASIN(0.8-0.094*LN(MAX(IF(M16="",10,M16),5)))),20),30))</f>
        <v/>
      </c>
      <c r="Q16" s="27">
        <f>IF(F16="Sand",Input!$G$21*Input!$G$20*G16,Input!$G$22*O16)</f>
        <v/>
      </c>
      <c r="R16" s="13">
        <f>IF(F16="Sand",Input!$G$26,0.5)</f>
        <v/>
      </c>
      <c r="S16" s="13">
        <f>Input!$G$10/2/E16</f>
        <v/>
      </c>
      <c r="T16" s="13">
        <f>Input!$G$11/2/E16</f>
        <v/>
      </c>
      <c r="U16" s="28">
        <f>1/(4*PI())*(2*S16*T16*SQRT(S16^2+T16^2+1)/(S16^2+T16^2+1+S16^2*T16^2)*(S16^2+T16^2+2)/(S16^2+T16^2+1)+ATAN2(S16^2+T16^2+1-S16^2*T16^2,2*S16*T16*SQRT(S16^2+T16^2+1)))</f>
        <v/>
      </c>
      <c r="V16" s="12">
        <f>4*Input!$G$9*U16</f>
        <v/>
      </c>
      <c r="W16" s="29">
        <f>((Input!$G$11/Input!$G$10)*LN((1+SQRT((Input!$G$11/Input!$G$10)^2+1))*SQRT((Input!$G$11/Input!$G$10)^2+(C16/(Input!$G$10/2))^2)/((Input!$G$11/Input!$G$10)*(1+SQRT((Input!$G$11/Input!$G$10)^2+(C16/(Input!$G$10/2))^2+1))))+LN(((Input!$G$11/Input!$G$10)+SQRT((Input!$G$11/Input!$G$10)^2+1))*SQRT(1+(C16/(Input!$G$10/2))^2)/((Input!$G$11/Input!$G$10)+SQRT((Input!$G$11/Input!$G$10)^2+(C16/(Input!$G$10/2))^2+1))))/PI()</f>
        <v/>
      </c>
      <c r="X16" s="29">
        <f>(C16/(Input!$G$10/2))/(2*PI())*ATAN((Input!$G$11/Input!$G$10)/((C16/(Input!$G$10/2))*SQRT((Input!$G$11/Input!$G$10)^2+(C16/(Input!$G$10/2))^2+1)))</f>
        <v/>
      </c>
      <c r="Y16" s="13">
        <f>MAX(0,C16-MAX(B16,$G$8))/D16*IF(V16&gt;=Input!$G$27*J16,1,0)</f>
        <v/>
      </c>
      <c r="Z16" s="12">
        <f>4*Input!$G$9*(Input!$G$10/2)*(1-R16^2)/Q16*((W16-W15)+(1-2*R16)/(1-R16)*(X16-X15))*1000*Y16</f>
        <v/>
      </c>
      <c r="AA16" s="30">
        <f>IF(F16="Sand",0,0.009*(K16-10))</f>
        <v/>
      </c>
      <c r="AB16" s="30">
        <f>AA16*Input!$G$23</f>
        <v/>
      </c>
      <c r="AC16" s="26">
        <f>IF(F16="Sand",0,MAX(O16/Input!$G$24,J16))</f>
        <v/>
      </c>
      <c r="AD16" s="31">
        <f>IF(F16="Sand",0,1000*D16/(1+N16)*IF(J16+V16&lt;=AC16,AB16*LOG10((J16+V16)/J16),AB16*LOG10(AC16/J16)+AA16*LOG10((J16+V16)/AC16)))*Y16</f>
        <v/>
      </c>
      <c r="AE16" s="32">
        <f>IF(F16="Sand",0,10^(INDEX(Korelasi!$C$5:$C$11,MIN(MATCH(MIN(MAX(K16,30),120),Korelasi!$A$5:$A$11,1),6))+(MIN(MAX(K16,30),120)-INDEX(Korelasi!$A$5:$A$11,MIN(MATCH(MIN(MAX(K16,30),120),Korelasi!$A$5:$A$11,1),6)))/(INDEX(Korelasi!$A$5:$A$11,MIN(MATCH(MIN(MAX(K16,30),120),Korelasi!$A$5:$A$11,1),6)+1)-INDEX(Korelasi!$A$5:$A$11,MIN(MATCH(MIN(MAX(K16,30),120),Korelasi!$A$5:$A$11,1),6)))*(INDEX(Korelasi!$C$5:$C$11,MIN(MATCH(MIN(MAX(K16,30),120),Korelasi!$A$5:$A$11,1),6)+1)-INDEX(Korelasi!$C$5:$C$11,MIN(MATCH(MIN(MAX(K16,30),120),Korelasi!$A$5:$A$11,1),6)))))</f>
        <v/>
      </c>
      <c r="AF16" s="33">
        <f>IF(OR(F16="Sand",Y16=0),0,Input!$G$25*(D16/2)^2/(AE16*1E-4*31536000))</f>
        <v/>
      </c>
      <c r="AG16" s="13">
        <f>MAX(0,MIN(C16,Input!$G$15)-B16)</f>
        <v/>
      </c>
      <c r="AH16" s="13">
        <f>MAX(0,MIN(C16,Input!$G$15)-MAX(B16,$G$8))</f>
        <v/>
      </c>
      <c r="AI16" s="13">
        <f>MAX(0,MIN(C16,$G$106)-B16)</f>
        <v/>
      </c>
      <c r="AJ16" s="34" t="inlineStr"/>
    </row>
    <row r="17">
      <c r="A17" s="20" t="n">
        <v>5</v>
      </c>
      <c r="B17" s="21" t="n">
        <v>6</v>
      </c>
      <c r="C17" s="21" t="n">
        <v>7.5</v>
      </c>
      <c r="D17" s="13">
        <f>C17-B17</f>
        <v/>
      </c>
      <c r="E17" s="13">
        <f>(B17+C17)/2</f>
        <v/>
      </c>
      <c r="F17" s="22" t="inlineStr">
        <is>
          <t>Sand</t>
        </is>
      </c>
      <c r="G17" s="23" t="n">
        <v>50</v>
      </c>
      <c r="H17" s="12">
        <f>IF(E17&gt;$G$5,$G$7,$G$6)</f>
        <v/>
      </c>
      <c r="I17" s="12">
        <f>I16+H17*D17</f>
        <v/>
      </c>
      <c r="J17" s="12">
        <f>I17-H17*D17/2-10*MAX(E17-$G$5,0)</f>
        <v/>
      </c>
      <c r="K17" s="24" t="n"/>
      <c r="L17" s="24" t="n"/>
      <c r="M17" s="12">
        <f>IF(K17="","",K17-L17)</f>
        <v/>
      </c>
      <c r="N17" s="25" t="n">
        <v>0.503</v>
      </c>
      <c r="O17" s="26">
        <f>IF(F17="Sand",0,Input!$G$19*G17)</f>
        <v/>
      </c>
      <c r="P17" s="12">
        <f>IF(F17="Sand",27.1+0.3*MIN(Input!$G$20*G17,60)-0.00054*MIN(Input!$G$20*G17,60)^2,MIN(MAX(DEGREES(ASIN(0.8-0.094*LN(MAX(IF(M17="",10,M17),5)))),20),30))</f>
        <v/>
      </c>
      <c r="Q17" s="27">
        <f>IF(F17="Sand",Input!$G$21*Input!$G$20*G17,Input!$G$22*O17)</f>
        <v/>
      </c>
      <c r="R17" s="13">
        <f>IF(F17="Sand",Input!$G$26,0.5)</f>
        <v/>
      </c>
      <c r="S17" s="13">
        <f>Input!$G$10/2/E17</f>
        <v/>
      </c>
      <c r="T17" s="13">
        <f>Input!$G$11/2/E17</f>
        <v/>
      </c>
      <c r="U17" s="28">
        <f>1/(4*PI())*(2*S17*T17*SQRT(S17^2+T17^2+1)/(S17^2+T17^2+1+S17^2*T17^2)*(S17^2+T17^2+2)/(S17^2+T17^2+1)+ATAN2(S17^2+T17^2+1-S17^2*T17^2,2*S17*T17*SQRT(S17^2+T17^2+1)))</f>
        <v/>
      </c>
      <c r="V17" s="12">
        <f>4*Input!$G$9*U17</f>
        <v/>
      </c>
      <c r="W17" s="29">
        <f>((Input!$G$11/Input!$G$10)*LN((1+SQRT((Input!$G$11/Input!$G$10)^2+1))*SQRT((Input!$G$11/Input!$G$10)^2+(C17/(Input!$G$10/2))^2)/((Input!$G$11/Input!$G$10)*(1+SQRT((Input!$G$11/Input!$G$10)^2+(C17/(Input!$G$10/2))^2+1))))+LN(((Input!$G$11/Input!$G$10)+SQRT((Input!$G$11/Input!$G$10)^2+1))*SQRT(1+(C17/(Input!$G$10/2))^2)/((Input!$G$11/Input!$G$10)+SQRT((Input!$G$11/Input!$G$10)^2+(C17/(Input!$G$10/2))^2+1))))/PI()</f>
        <v/>
      </c>
      <c r="X17" s="29">
        <f>(C17/(Input!$G$10/2))/(2*PI())*ATAN((Input!$G$11/Input!$G$10)/((C17/(Input!$G$10/2))*SQRT((Input!$G$11/Input!$G$10)^2+(C17/(Input!$G$10/2))^2+1)))</f>
        <v/>
      </c>
      <c r="Y17" s="13">
        <f>MAX(0,C17-MAX(B17,$G$8))/D17*IF(V17&gt;=Input!$G$27*J17,1,0)</f>
        <v/>
      </c>
      <c r="Z17" s="12">
        <f>4*Input!$G$9*(Input!$G$10/2)*(1-R17^2)/Q17*((W17-W16)+(1-2*R17)/(1-R17)*(X17-X16))*1000*Y17</f>
        <v/>
      </c>
      <c r="AA17" s="30">
        <f>IF(F17="Sand",0,0.009*(K17-10))</f>
        <v/>
      </c>
      <c r="AB17" s="30">
        <f>AA17*Input!$G$23</f>
        <v/>
      </c>
      <c r="AC17" s="26">
        <f>IF(F17="Sand",0,MAX(O17/Input!$G$24,J17))</f>
        <v/>
      </c>
      <c r="AD17" s="31">
        <f>IF(F17="Sand",0,1000*D17/(1+N17)*IF(J17+V17&lt;=AC17,AB17*LOG10((J17+V17)/J17),AB17*LOG10(AC17/J17)+AA17*LOG10((J17+V17)/AC17)))*Y17</f>
        <v/>
      </c>
      <c r="AE17" s="32">
        <f>IF(F17="Sand",0,10^(INDEX(Korelasi!$C$5:$C$11,MIN(MATCH(MIN(MAX(K17,30),120),Korelasi!$A$5:$A$11,1),6))+(MIN(MAX(K17,30),120)-INDEX(Korelasi!$A$5:$A$11,MIN(MATCH(MIN(MAX(K17,30),120),Korelasi!$A$5:$A$11,1),6)))/(INDEX(Korelasi!$A$5:$A$11,MIN(MATCH(MIN(MAX(K17,30),120),Korelasi!$A$5:$A$11,1),6)+1)-INDEX(Korelasi!$A$5:$A$11,MIN(MATCH(MIN(MAX(K17,30),120),Korelasi!$A$5:$A$11,1),6)))*(INDEX(Korelasi!$C$5:$C$11,MIN(MATCH(MIN(MAX(K17,30),120),Korelasi!$A$5:$A$11,1),6)+1)-INDEX(Korelasi!$C$5:$C$11,MIN(MATCH(MIN(MAX(K17,30),120),Korelasi!$A$5:$A$11,1),6)))))</f>
        <v/>
      </c>
      <c r="AF17" s="33">
        <f>IF(OR(F17="Sand",Y17=0),0,Input!$G$25*(D17/2)^2/(AE17*1E-4*31536000))</f>
        <v/>
      </c>
      <c r="AG17" s="13">
        <f>MAX(0,MIN(C17,Input!$G$15)-B17)</f>
        <v/>
      </c>
      <c r="AH17" s="13">
        <f>MAX(0,MIN(C17,Input!$G$15)-MAX(B17,$G$8))</f>
        <v/>
      </c>
      <c r="AI17" s="13">
        <f>MAX(0,MIN(C17,$G$106)-B17)</f>
        <v/>
      </c>
      <c r="AJ17" s="34" t="inlineStr"/>
    </row>
    <row r="18">
      <c r="A18" s="20" t="n">
        <v>6</v>
      </c>
      <c r="B18" s="21" t="n">
        <v>7.5</v>
      </c>
      <c r="C18" s="21" t="n">
        <v>9</v>
      </c>
      <c r="D18" s="13">
        <f>C18-B18</f>
        <v/>
      </c>
      <c r="E18" s="13">
        <f>(B18+C18)/2</f>
        <v/>
      </c>
      <c r="F18" s="22" t="inlineStr">
        <is>
          <t>Sand</t>
        </is>
      </c>
      <c r="G18" s="23" t="n">
        <v>26</v>
      </c>
      <c r="H18" s="12">
        <f>IF(E18&gt;$G$5,$G$7,$G$6)</f>
        <v/>
      </c>
      <c r="I18" s="12">
        <f>I17+H18*D18</f>
        <v/>
      </c>
      <c r="J18" s="12">
        <f>I18-H18*D18/2-10*MAX(E18-$G$5,0)</f>
        <v/>
      </c>
      <c r="K18" s="24" t="n"/>
      <c r="L18" s="24" t="n"/>
      <c r="M18" s="12">
        <f>IF(K18="","",K18-L18)</f>
        <v/>
      </c>
      <c r="N18" s="25" t="n">
        <v>0.65</v>
      </c>
      <c r="O18" s="26">
        <f>IF(F18="Sand",0,Input!$G$19*G18)</f>
        <v/>
      </c>
      <c r="P18" s="12">
        <f>IF(F18="Sand",27.1+0.3*MIN(Input!$G$20*G18,60)-0.00054*MIN(Input!$G$20*G18,60)^2,MIN(MAX(DEGREES(ASIN(0.8-0.094*LN(MAX(IF(M18="",10,M18),5)))),20),30))</f>
        <v/>
      </c>
      <c r="Q18" s="27">
        <f>IF(F18="Sand",Input!$G$21*Input!$G$20*G18,Input!$G$22*O18)</f>
        <v/>
      </c>
      <c r="R18" s="13">
        <f>IF(F18="Sand",Input!$G$26,0.5)</f>
        <v/>
      </c>
      <c r="S18" s="13">
        <f>Input!$G$10/2/E18</f>
        <v/>
      </c>
      <c r="T18" s="13">
        <f>Input!$G$11/2/E18</f>
        <v/>
      </c>
      <c r="U18" s="28">
        <f>1/(4*PI())*(2*S18*T18*SQRT(S18^2+T18^2+1)/(S18^2+T18^2+1+S18^2*T18^2)*(S18^2+T18^2+2)/(S18^2+T18^2+1)+ATAN2(S18^2+T18^2+1-S18^2*T18^2,2*S18*T18*SQRT(S18^2+T18^2+1)))</f>
        <v/>
      </c>
      <c r="V18" s="12">
        <f>4*Input!$G$9*U18</f>
        <v/>
      </c>
      <c r="W18" s="29">
        <f>((Input!$G$11/Input!$G$10)*LN((1+SQRT((Input!$G$11/Input!$G$10)^2+1))*SQRT((Input!$G$11/Input!$G$10)^2+(C18/(Input!$G$10/2))^2)/((Input!$G$11/Input!$G$10)*(1+SQRT((Input!$G$11/Input!$G$10)^2+(C18/(Input!$G$10/2))^2+1))))+LN(((Input!$G$11/Input!$G$10)+SQRT((Input!$G$11/Input!$G$10)^2+1))*SQRT(1+(C18/(Input!$G$10/2))^2)/((Input!$G$11/Input!$G$10)+SQRT((Input!$G$11/Input!$G$10)^2+(C18/(Input!$G$10/2))^2+1))))/PI()</f>
        <v/>
      </c>
      <c r="X18" s="29">
        <f>(C18/(Input!$G$10/2))/(2*PI())*ATAN((Input!$G$11/Input!$G$10)/((C18/(Input!$G$10/2))*SQRT((Input!$G$11/Input!$G$10)^2+(C18/(Input!$G$10/2))^2+1)))</f>
        <v/>
      </c>
      <c r="Y18" s="13">
        <f>MAX(0,C18-MAX(B18,$G$8))/D18*IF(V18&gt;=Input!$G$27*J18,1,0)</f>
        <v/>
      </c>
      <c r="Z18" s="12">
        <f>4*Input!$G$9*(Input!$G$10/2)*(1-R18^2)/Q18*((W18-W17)+(1-2*R18)/(1-R18)*(X18-X17))*1000*Y18</f>
        <v/>
      </c>
      <c r="AA18" s="30">
        <f>IF(F18="Sand",0,0.009*(K18-10))</f>
        <v/>
      </c>
      <c r="AB18" s="30">
        <f>AA18*Input!$G$23</f>
        <v/>
      </c>
      <c r="AC18" s="26">
        <f>IF(F18="Sand",0,MAX(O18/Input!$G$24,J18))</f>
        <v/>
      </c>
      <c r="AD18" s="31">
        <f>IF(F18="Sand",0,1000*D18/(1+N18)*IF(J18+V18&lt;=AC18,AB18*LOG10((J18+V18)/J18),AB18*LOG10(AC18/J18)+AA18*LOG10((J18+V18)/AC18)))*Y18</f>
        <v/>
      </c>
      <c r="AE18" s="32">
        <f>IF(F18="Sand",0,10^(INDEX(Korelasi!$C$5:$C$11,MIN(MATCH(MIN(MAX(K18,30),120),Korelasi!$A$5:$A$11,1),6))+(MIN(MAX(K18,30),120)-INDEX(Korelasi!$A$5:$A$11,MIN(MATCH(MIN(MAX(K18,30),120),Korelasi!$A$5:$A$11,1),6)))/(INDEX(Korelasi!$A$5:$A$11,MIN(MATCH(MIN(MAX(K18,30),120),Korelasi!$A$5:$A$11,1),6)+1)-INDEX(Korelasi!$A$5:$A$11,MIN(MATCH(MIN(MAX(K18,30),120),Korelasi!$A$5:$A$11,1),6)))*(INDEX(Korelasi!$C$5:$C$11,MIN(MATCH(MIN(MAX(K18,30),120),Korelasi!$A$5:$A$11,1),6)+1)-INDEX(Korelasi!$C$5:$C$11,MIN(MATCH(MIN(MAX(K18,30),120),Korelasi!$A$5:$A$11,1),6)))))</f>
        <v/>
      </c>
      <c r="AF18" s="33">
        <f>IF(OR(F18="Sand",Y18=0),0,Input!$G$25*(D18/2)^2/(AE18*1E-4*31536000))</f>
        <v/>
      </c>
      <c r="AG18" s="13">
        <f>MAX(0,MIN(C18,Input!$G$15)-B18)</f>
        <v/>
      </c>
      <c r="AH18" s="13">
        <f>MAX(0,MIN(C18,Input!$G$15)-MAX(B18,$G$8))</f>
        <v/>
      </c>
      <c r="AI18" s="13">
        <f>MAX(0,MIN(C18,$G$106)-B18)</f>
        <v/>
      </c>
      <c r="AJ18" s="34" t="inlineStr"/>
    </row>
    <row r="19">
      <c r="A19" s="20" t="n">
        <v>7</v>
      </c>
      <c r="B19" s="21" t="n">
        <v>9</v>
      </c>
      <c r="C19" s="21" t="n">
        <v>10.5</v>
      </c>
      <c r="D19" s="13">
        <f>C19-B19</f>
        <v/>
      </c>
      <c r="E19" s="13">
        <f>(B19+C19)/2</f>
        <v/>
      </c>
      <c r="F19" s="22" t="inlineStr">
        <is>
          <t>Sand</t>
        </is>
      </c>
      <c r="G19" s="23" t="n">
        <v>15</v>
      </c>
      <c r="H19" s="12">
        <f>IF(E19&gt;$G$5,$G$7,$G$6)</f>
        <v/>
      </c>
      <c r="I19" s="12">
        <f>I18+H19*D19</f>
        <v/>
      </c>
      <c r="J19" s="12">
        <f>I19-H19*D19/2-10*MAX(E19-$G$5,0)</f>
        <v/>
      </c>
      <c r="K19" s="24" t="n"/>
      <c r="L19" s="24" t="n"/>
      <c r="M19" s="12">
        <f>IF(K19="","",K19-L19)</f>
        <v/>
      </c>
      <c r="N19" s="25" t="n">
        <v>0.787</v>
      </c>
      <c r="O19" s="26">
        <f>IF(F19="Sand",0,Input!$G$19*G19)</f>
        <v/>
      </c>
      <c r="P19" s="12">
        <f>IF(F19="Sand",27.1+0.3*MIN(Input!$G$20*G19,60)-0.00054*MIN(Input!$G$20*G19,60)^2,MIN(MAX(DEGREES(ASIN(0.8-0.094*LN(MAX(IF(M19="",10,M19),5)))),20),30))</f>
        <v/>
      </c>
      <c r="Q19" s="27">
        <f>IF(F19="Sand",Input!$G$21*Input!$G$20*G19,Input!$G$22*O19)</f>
        <v/>
      </c>
      <c r="R19" s="13">
        <f>IF(F19="Sand",Input!$G$26,0.5)</f>
        <v/>
      </c>
      <c r="S19" s="13">
        <f>Input!$G$10/2/E19</f>
        <v/>
      </c>
      <c r="T19" s="13">
        <f>Input!$G$11/2/E19</f>
        <v/>
      </c>
      <c r="U19" s="28">
        <f>1/(4*PI())*(2*S19*T19*SQRT(S19^2+T19^2+1)/(S19^2+T19^2+1+S19^2*T19^2)*(S19^2+T19^2+2)/(S19^2+T19^2+1)+ATAN2(S19^2+T19^2+1-S19^2*T19^2,2*S19*T19*SQRT(S19^2+T19^2+1)))</f>
        <v/>
      </c>
      <c r="V19" s="12">
        <f>4*Input!$G$9*U19</f>
        <v/>
      </c>
      <c r="W19" s="29">
        <f>((Input!$G$11/Input!$G$10)*LN((1+SQRT((Input!$G$11/Input!$G$10)^2+1))*SQRT((Input!$G$11/Input!$G$10)^2+(C19/(Input!$G$10/2))^2)/((Input!$G$11/Input!$G$10)*(1+SQRT((Input!$G$11/Input!$G$10)^2+(C19/(Input!$G$10/2))^2+1))))+LN(((Input!$G$11/Input!$G$10)+SQRT((Input!$G$11/Input!$G$10)^2+1))*SQRT(1+(C19/(Input!$G$10/2))^2)/((Input!$G$11/Input!$G$10)+SQRT((Input!$G$11/Input!$G$10)^2+(C19/(Input!$G$10/2))^2+1))))/PI()</f>
        <v/>
      </c>
      <c r="X19" s="29">
        <f>(C19/(Input!$G$10/2))/(2*PI())*ATAN((Input!$G$11/Input!$G$10)/((C19/(Input!$G$10/2))*SQRT((Input!$G$11/Input!$G$10)^2+(C19/(Input!$G$10/2))^2+1)))</f>
        <v/>
      </c>
      <c r="Y19" s="13">
        <f>MAX(0,C19-MAX(B19,$G$8))/D19*IF(V19&gt;=Input!$G$27*J19,1,0)</f>
        <v/>
      </c>
      <c r="Z19" s="12">
        <f>4*Input!$G$9*(Input!$G$10/2)*(1-R19^2)/Q19*((W19-W18)+(1-2*R19)/(1-R19)*(X19-X18))*1000*Y19</f>
        <v/>
      </c>
      <c r="AA19" s="30">
        <f>IF(F19="Sand",0,0.009*(K19-10))</f>
        <v/>
      </c>
      <c r="AB19" s="30">
        <f>AA19*Input!$G$23</f>
        <v/>
      </c>
      <c r="AC19" s="26">
        <f>IF(F19="Sand",0,MAX(O19/Input!$G$24,J19))</f>
        <v/>
      </c>
      <c r="AD19" s="31">
        <f>IF(F19="Sand",0,1000*D19/(1+N19)*IF(J19+V19&lt;=AC19,AB19*LOG10((J19+V19)/J19),AB19*LOG10(AC19/J19)+AA19*LOG10((J19+V19)/AC19)))*Y19</f>
        <v/>
      </c>
      <c r="AE19" s="32">
        <f>IF(F19="Sand",0,10^(INDEX(Korelasi!$C$5:$C$11,MIN(MATCH(MIN(MAX(K19,30),120),Korelasi!$A$5:$A$11,1),6))+(MIN(MAX(K19,30),120)-INDEX(Korelasi!$A$5:$A$11,MIN(MATCH(MIN(MAX(K19,30),120),Korelasi!$A$5:$A$11,1),6)))/(INDEX(Korelasi!$A$5:$A$11,MIN(MATCH(MIN(MAX(K19,30),120),Korelasi!$A$5:$A$11,1),6)+1)-INDEX(Korelasi!$A$5:$A$11,MIN(MATCH(MIN(MAX(K19,30),120),Korelasi!$A$5:$A$11,1),6)))*(INDEX(Korelasi!$C$5:$C$11,MIN(MATCH(MIN(MAX(K19,30),120),Korelasi!$A$5:$A$11,1),6)+1)-INDEX(Korelasi!$C$5:$C$11,MIN(MATCH(MIN(MAX(K19,30),120),Korelasi!$A$5:$A$11,1),6)))))</f>
        <v/>
      </c>
      <c r="AF19" s="33">
        <f>IF(OR(F19="Sand",Y19=0),0,Input!$G$25*(D19/2)^2/(AE19*1E-4*31536000))</f>
        <v/>
      </c>
      <c r="AG19" s="13">
        <f>MAX(0,MIN(C19,Input!$G$15)-B19)</f>
        <v/>
      </c>
      <c r="AH19" s="13">
        <f>MAX(0,MIN(C19,Input!$G$15)-MAX(B19,$G$8))</f>
        <v/>
      </c>
      <c r="AI19" s="13">
        <f>MAX(0,MIN(C19,$G$106)-B19)</f>
        <v/>
      </c>
      <c r="AJ19" s="34" t="inlineStr"/>
    </row>
    <row r="20">
      <c r="A20" s="20" t="n">
        <v>8</v>
      </c>
      <c r="B20" s="21" t="n">
        <v>10.5</v>
      </c>
      <c r="C20" s="21" t="n">
        <v>12</v>
      </c>
      <c r="D20" s="13">
        <f>C20-B20</f>
        <v/>
      </c>
      <c r="E20" s="13">
        <f>(B20+C20)/2</f>
        <v/>
      </c>
      <c r="F20" s="22" t="inlineStr">
        <is>
          <t>Sand</t>
        </is>
      </c>
      <c r="G20" s="23" t="n">
        <v>25</v>
      </c>
      <c r="H20" s="12">
        <f>IF(E20&gt;$G$5,$G$7,$G$6)</f>
        <v/>
      </c>
      <c r="I20" s="12">
        <f>I19+H20*D20</f>
        <v/>
      </c>
      <c r="J20" s="12">
        <f>I20-H20*D20/2-10*MAX(E20-$G$5,0)</f>
        <v/>
      </c>
      <c r="K20" s="24" t="n"/>
      <c r="L20" s="24" t="n"/>
      <c r="M20" s="12">
        <f>IF(K20="","",K20-L20)</f>
        <v/>
      </c>
      <c r="N20" s="25" t="n">
        <v>0.645</v>
      </c>
      <c r="O20" s="26">
        <f>IF(F20="Sand",0,Input!$G$19*G20)</f>
        <v/>
      </c>
      <c r="P20" s="12">
        <f>IF(F20="Sand",27.1+0.3*MIN(Input!$G$20*G20,60)-0.00054*MIN(Input!$G$20*G20,60)^2,MIN(MAX(DEGREES(ASIN(0.8-0.094*LN(MAX(IF(M20="",10,M20),5)))),20),30))</f>
        <v/>
      </c>
      <c r="Q20" s="27">
        <f>IF(F20="Sand",Input!$G$21*Input!$G$20*G20,Input!$G$22*O20)</f>
        <v/>
      </c>
      <c r="R20" s="13">
        <f>IF(F20="Sand",Input!$G$26,0.5)</f>
        <v/>
      </c>
      <c r="S20" s="13">
        <f>Input!$G$10/2/E20</f>
        <v/>
      </c>
      <c r="T20" s="13">
        <f>Input!$G$11/2/E20</f>
        <v/>
      </c>
      <c r="U20" s="28">
        <f>1/(4*PI())*(2*S20*T20*SQRT(S20^2+T20^2+1)/(S20^2+T20^2+1+S20^2*T20^2)*(S20^2+T20^2+2)/(S20^2+T20^2+1)+ATAN2(S20^2+T20^2+1-S20^2*T20^2,2*S20*T20*SQRT(S20^2+T20^2+1)))</f>
        <v/>
      </c>
      <c r="V20" s="12">
        <f>4*Input!$G$9*U20</f>
        <v/>
      </c>
      <c r="W20" s="29">
        <f>((Input!$G$11/Input!$G$10)*LN((1+SQRT((Input!$G$11/Input!$G$10)^2+1))*SQRT((Input!$G$11/Input!$G$10)^2+(C20/(Input!$G$10/2))^2)/((Input!$G$11/Input!$G$10)*(1+SQRT((Input!$G$11/Input!$G$10)^2+(C20/(Input!$G$10/2))^2+1))))+LN(((Input!$G$11/Input!$G$10)+SQRT((Input!$G$11/Input!$G$10)^2+1))*SQRT(1+(C20/(Input!$G$10/2))^2)/((Input!$G$11/Input!$G$10)+SQRT((Input!$G$11/Input!$G$10)^2+(C20/(Input!$G$10/2))^2+1))))/PI()</f>
        <v/>
      </c>
      <c r="X20" s="29">
        <f>(C20/(Input!$G$10/2))/(2*PI())*ATAN((Input!$G$11/Input!$G$10)/((C20/(Input!$G$10/2))*SQRT((Input!$G$11/Input!$G$10)^2+(C20/(Input!$G$10/2))^2+1)))</f>
        <v/>
      </c>
      <c r="Y20" s="13">
        <f>MAX(0,C20-MAX(B20,$G$8))/D20*IF(V20&gt;=Input!$G$27*J20,1,0)</f>
        <v/>
      </c>
      <c r="Z20" s="12">
        <f>4*Input!$G$9*(Input!$G$10/2)*(1-R20^2)/Q20*((W20-W19)+(1-2*R20)/(1-R20)*(X20-X19))*1000*Y20</f>
        <v/>
      </c>
      <c r="AA20" s="30">
        <f>IF(F20="Sand",0,0.009*(K20-10))</f>
        <v/>
      </c>
      <c r="AB20" s="30">
        <f>AA20*Input!$G$23</f>
        <v/>
      </c>
      <c r="AC20" s="26">
        <f>IF(F20="Sand",0,MAX(O20/Input!$G$24,J20))</f>
        <v/>
      </c>
      <c r="AD20" s="31">
        <f>IF(F20="Sand",0,1000*D20/(1+N20)*IF(J20+V20&lt;=AC20,AB20*LOG10((J20+V20)/J20),AB20*LOG10(AC20/J20)+AA20*LOG10((J20+V20)/AC20)))*Y20</f>
        <v/>
      </c>
      <c r="AE20" s="32">
        <f>IF(F20="Sand",0,10^(INDEX(Korelasi!$C$5:$C$11,MIN(MATCH(MIN(MAX(K20,30),120),Korelasi!$A$5:$A$11,1),6))+(MIN(MAX(K20,30),120)-INDEX(Korelasi!$A$5:$A$11,MIN(MATCH(MIN(MAX(K20,30),120),Korelasi!$A$5:$A$11,1),6)))/(INDEX(Korelasi!$A$5:$A$11,MIN(MATCH(MIN(MAX(K20,30),120),Korelasi!$A$5:$A$11,1),6)+1)-INDEX(Korelasi!$A$5:$A$11,MIN(MATCH(MIN(MAX(K20,30),120),Korelasi!$A$5:$A$11,1),6)))*(INDEX(Korelasi!$C$5:$C$11,MIN(MATCH(MIN(MAX(K20,30),120),Korelasi!$A$5:$A$11,1),6)+1)-INDEX(Korelasi!$C$5:$C$11,MIN(MATCH(MIN(MAX(K20,30),120),Korelasi!$A$5:$A$11,1),6)))))</f>
        <v/>
      </c>
      <c r="AF20" s="33">
        <f>IF(OR(F20="Sand",Y20=0),0,Input!$G$25*(D20/2)^2/(AE20*1E-4*31536000))</f>
        <v/>
      </c>
      <c r="AG20" s="13">
        <f>MAX(0,MIN(C20,Input!$G$15)-B20)</f>
        <v/>
      </c>
      <c r="AH20" s="13">
        <f>MAX(0,MIN(C20,Input!$G$15)-MAX(B20,$G$8))</f>
        <v/>
      </c>
      <c r="AI20" s="13">
        <f>MAX(0,MIN(C20,$G$106)-B20)</f>
        <v/>
      </c>
      <c r="AJ20" s="34" t="inlineStr"/>
    </row>
    <row r="21">
      <c r="A21" s="20" t="n">
        <v>9</v>
      </c>
      <c r="B21" s="21" t="n">
        <v>12</v>
      </c>
      <c r="C21" s="21" t="n">
        <v>13.5</v>
      </c>
      <c r="D21" s="13">
        <f>C21-B21</f>
        <v/>
      </c>
      <c r="E21" s="13">
        <f>(B21+C21)/2</f>
        <v/>
      </c>
      <c r="F21" s="22" t="inlineStr">
        <is>
          <t>Sand</t>
        </is>
      </c>
      <c r="G21" s="23" t="n">
        <v>20</v>
      </c>
      <c r="H21" s="12">
        <f>IF(E21&gt;$G$5,$G$7,$G$6)</f>
        <v/>
      </c>
      <c r="I21" s="12">
        <f>I20+H21*D21</f>
        <v/>
      </c>
      <c r="J21" s="12">
        <f>I21-H21*D21/2-10*MAX(E21-$G$5,0)</f>
        <v/>
      </c>
      <c r="K21" s="24" t="n"/>
      <c r="L21" s="24" t="n"/>
      <c r="M21" s="12">
        <f>IF(K21="","",K21-L21)</f>
        <v/>
      </c>
      <c r="N21" s="25" t="n">
        <v>0.628</v>
      </c>
      <c r="O21" s="26">
        <f>IF(F21="Sand",0,Input!$G$19*G21)</f>
        <v/>
      </c>
      <c r="P21" s="12">
        <f>IF(F21="Sand",27.1+0.3*MIN(Input!$G$20*G21,60)-0.00054*MIN(Input!$G$20*G21,60)^2,MIN(MAX(DEGREES(ASIN(0.8-0.094*LN(MAX(IF(M21="",10,M21),5)))),20),30))</f>
        <v/>
      </c>
      <c r="Q21" s="27">
        <f>IF(F21="Sand",Input!$G$21*Input!$G$20*G21,Input!$G$22*O21)</f>
        <v/>
      </c>
      <c r="R21" s="13">
        <f>IF(F21="Sand",Input!$G$26,0.5)</f>
        <v/>
      </c>
      <c r="S21" s="13">
        <f>Input!$G$10/2/E21</f>
        <v/>
      </c>
      <c r="T21" s="13">
        <f>Input!$G$11/2/E21</f>
        <v/>
      </c>
      <c r="U21" s="28">
        <f>1/(4*PI())*(2*S21*T21*SQRT(S21^2+T21^2+1)/(S21^2+T21^2+1+S21^2*T21^2)*(S21^2+T21^2+2)/(S21^2+T21^2+1)+ATAN2(S21^2+T21^2+1-S21^2*T21^2,2*S21*T21*SQRT(S21^2+T21^2+1)))</f>
        <v/>
      </c>
      <c r="V21" s="12">
        <f>4*Input!$G$9*U21</f>
        <v/>
      </c>
      <c r="W21" s="29">
        <f>((Input!$G$11/Input!$G$10)*LN((1+SQRT((Input!$G$11/Input!$G$10)^2+1))*SQRT((Input!$G$11/Input!$G$10)^2+(C21/(Input!$G$10/2))^2)/((Input!$G$11/Input!$G$10)*(1+SQRT((Input!$G$11/Input!$G$10)^2+(C21/(Input!$G$10/2))^2+1))))+LN(((Input!$G$11/Input!$G$10)+SQRT((Input!$G$11/Input!$G$10)^2+1))*SQRT(1+(C21/(Input!$G$10/2))^2)/((Input!$G$11/Input!$G$10)+SQRT((Input!$G$11/Input!$G$10)^2+(C21/(Input!$G$10/2))^2+1))))/PI()</f>
        <v/>
      </c>
      <c r="X21" s="29">
        <f>(C21/(Input!$G$10/2))/(2*PI())*ATAN((Input!$G$11/Input!$G$10)/((C21/(Input!$G$10/2))*SQRT((Input!$G$11/Input!$G$10)^2+(C21/(Input!$G$10/2))^2+1)))</f>
        <v/>
      </c>
      <c r="Y21" s="13">
        <f>MAX(0,C21-MAX(B21,$G$8))/D21*IF(V21&gt;=Input!$G$27*J21,1,0)</f>
        <v/>
      </c>
      <c r="Z21" s="12">
        <f>4*Input!$G$9*(Input!$G$10/2)*(1-R21^2)/Q21*((W21-W20)+(1-2*R21)/(1-R21)*(X21-X20))*1000*Y21</f>
        <v/>
      </c>
      <c r="AA21" s="30">
        <f>IF(F21="Sand",0,0.009*(K21-10))</f>
        <v/>
      </c>
      <c r="AB21" s="30">
        <f>AA21*Input!$G$23</f>
        <v/>
      </c>
      <c r="AC21" s="26">
        <f>IF(F21="Sand",0,MAX(O21/Input!$G$24,J21))</f>
        <v/>
      </c>
      <c r="AD21" s="31">
        <f>IF(F21="Sand",0,1000*D21/(1+N21)*IF(J21+V21&lt;=AC21,AB21*LOG10((J21+V21)/J21),AB21*LOG10(AC21/J21)+AA21*LOG10((J21+V21)/AC21)))*Y21</f>
        <v/>
      </c>
      <c r="AE21" s="32">
        <f>IF(F21="Sand",0,10^(INDEX(Korelasi!$C$5:$C$11,MIN(MATCH(MIN(MAX(K21,30),120),Korelasi!$A$5:$A$11,1),6))+(MIN(MAX(K21,30),120)-INDEX(Korelasi!$A$5:$A$11,MIN(MATCH(MIN(MAX(K21,30),120),Korelasi!$A$5:$A$11,1),6)))/(INDEX(Korelasi!$A$5:$A$11,MIN(MATCH(MIN(MAX(K21,30),120),Korelasi!$A$5:$A$11,1),6)+1)-INDEX(Korelasi!$A$5:$A$11,MIN(MATCH(MIN(MAX(K21,30),120),Korelasi!$A$5:$A$11,1),6)))*(INDEX(Korelasi!$C$5:$C$11,MIN(MATCH(MIN(MAX(K21,30),120),Korelasi!$A$5:$A$11,1),6)+1)-INDEX(Korelasi!$C$5:$C$11,MIN(MATCH(MIN(MAX(K21,30),120),Korelasi!$A$5:$A$11,1),6)))))</f>
        <v/>
      </c>
      <c r="AF21" s="33">
        <f>IF(OR(F21="Sand",Y21=0),0,Input!$G$25*(D21/2)^2/(AE21*1E-4*31536000))</f>
        <v/>
      </c>
      <c r="AG21" s="13">
        <f>MAX(0,MIN(C21,Input!$G$15)-B21)</f>
        <v/>
      </c>
      <c r="AH21" s="13">
        <f>MAX(0,MIN(C21,Input!$G$15)-MAX(B21,$G$8))</f>
        <v/>
      </c>
      <c r="AI21" s="13">
        <f>MAX(0,MIN(C21,$G$106)-B21)</f>
        <v/>
      </c>
      <c r="AJ21" s="34" t="inlineStr"/>
    </row>
    <row r="22">
      <c r="A22" s="20" t="n">
        <v>10</v>
      </c>
      <c r="B22" s="21" t="n">
        <v>13.5</v>
      </c>
      <c r="C22" s="21" t="n">
        <v>15</v>
      </c>
      <c r="D22" s="13">
        <f>C22-B22</f>
        <v/>
      </c>
      <c r="E22" s="13">
        <f>(B22+C22)/2</f>
        <v/>
      </c>
      <c r="F22" s="22" t="inlineStr">
        <is>
          <t>Sand</t>
        </is>
      </c>
      <c r="G22" s="23" t="n">
        <v>47</v>
      </c>
      <c r="H22" s="12">
        <f>IF(E22&gt;$G$5,$G$7,$G$6)</f>
        <v/>
      </c>
      <c r="I22" s="12">
        <f>I21+H22*D22</f>
        <v/>
      </c>
      <c r="J22" s="12">
        <f>I22-H22*D22/2-10*MAX(E22-$G$5,0)</f>
        <v/>
      </c>
      <c r="K22" s="24" t="n"/>
      <c r="L22" s="24" t="n"/>
      <c r="M22" s="12">
        <f>IF(K22="","",K22-L22)</f>
        <v/>
      </c>
      <c r="N22" s="25" t="n">
        <v>0.5649999999999999</v>
      </c>
      <c r="O22" s="26">
        <f>IF(F22="Sand",0,Input!$G$19*G22)</f>
        <v/>
      </c>
      <c r="P22" s="12">
        <f>IF(F22="Sand",27.1+0.3*MIN(Input!$G$20*G22,60)-0.00054*MIN(Input!$G$20*G22,60)^2,MIN(MAX(DEGREES(ASIN(0.8-0.094*LN(MAX(IF(M22="",10,M22),5)))),20),30))</f>
        <v/>
      </c>
      <c r="Q22" s="27">
        <f>IF(F22="Sand",Input!$G$21*Input!$G$20*G22,Input!$G$22*O22)</f>
        <v/>
      </c>
      <c r="R22" s="13">
        <f>IF(F22="Sand",Input!$G$26,0.5)</f>
        <v/>
      </c>
      <c r="S22" s="13">
        <f>Input!$G$10/2/E22</f>
        <v/>
      </c>
      <c r="T22" s="13">
        <f>Input!$G$11/2/E22</f>
        <v/>
      </c>
      <c r="U22" s="28">
        <f>1/(4*PI())*(2*S22*T22*SQRT(S22^2+T22^2+1)/(S22^2+T22^2+1+S22^2*T22^2)*(S22^2+T22^2+2)/(S22^2+T22^2+1)+ATAN2(S22^2+T22^2+1-S22^2*T22^2,2*S22*T22*SQRT(S22^2+T22^2+1)))</f>
        <v/>
      </c>
      <c r="V22" s="12">
        <f>4*Input!$G$9*U22</f>
        <v/>
      </c>
      <c r="W22" s="29">
        <f>((Input!$G$11/Input!$G$10)*LN((1+SQRT((Input!$G$11/Input!$G$10)^2+1))*SQRT((Input!$G$11/Input!$G$10)^2+(C22/(Input!$G$10/2))^2)/((Input!$G$11/Input!$G$10)*(1+SQRT((Input!$G$11/Input!$G$10)^2+(C22/(Input!$G$10/2))^2+1))))+LN(((Input!$G$11/Input!$G$10)+SQRT((Input!$G$11/Input!$G$10)^2+1))*SQRT(1+(C22/(Input!$G$10/2))^2)/((Input!$G$11/Input!$G$10)+SQRT((Input!$G$11/Input!$G$10)^2+(C22/(Input!$G$10/2))^2+1))))/PI()</f>
        <v/>
      </c>
      <c r="X22" s="29">
        <f>(C22/(Input!$G$10/2))/(2*PI())*ATAN((Input!$G$11/Input!$G$10)/((C22/(Input!$G$10/2))*SQRT((Input!$G$11/Input!$G$10)^2+(C22/(Input!$G$10/2))^2+1)))</f>
        <v/>
      </c>
      <c r="Y22" s="13">
        <f>MAX(0,C22-MAX(B22,$G$8))/D22*IF(V22&gt;=Input!$G$27*J22,1,0)</f>
        <v/>
      </c>
      <c r="Z22" s="12">
        <f>4*Input!$G$9*(Input!$G$10/2)*(1-R22^2)/Q22*((W22-W21)+(1-2*R22)/(1-R22)*(X22-X21))*1000*Y22</f>
        <v/>
      </c>
      <c r="AA22" s="30">
        <f>IF(F22="Sand",0,0.009*(K22-10))</f>
        <v/>
      </c>
      <c r="AB22" s="30">
        <f>AA22*Input!$G$23</f>
        <v/>
      </c>
      <c r="AC22" s="26">
        <f>IF(F22="Sand",0,MAX(O22/Input!$G$24,J22))</f>
        <v/>
      </c>
      <c r="AD22" s="31">
        <f>IF(F22="Sand",0,1000*D22/(1+N22)*IF(J22+V22&lt;=AC22,AB22*LOG10((J22+V22)/J22),AB22*LOG10(AC22/J22)+AA22*LOG10((J22+V22)/AC22)))*Y22</f>
        <v/>
      </c>
      <c r="AE22" s="32">
        <f>IF(F22="Sand",0,10^(INDEX(Korelasi!$C$5:$C$11,MIN(MATCH(MIN(MAX(K22,30),120),Korelasi!$A$5:$A$11,1),6))+(MIN(MAX(K22,30),120)-INDEX(Korelasi!$A$5:$A$11,MIN(MATCH(MIN(MAX(K22,30),120),Korelasi!$A$5:$A$11,1),6)))/(INDEX(Korelasi!$A$5:$A$11,MIN(MATCH(MIN(MAX(K22,30),120),Korelasi!$A$5:$A$11,1),6)+1)-INDEX(Korelasi!$A$5:$A$11,MIN(MATCH(MIN(MAX(K22,30),120),Korelasi!$A$5:$A$11,1),6)))*(INDEX(Korelasi!$C$5:$C$11,MIN(MATCH(MIN(MAX(K22,30),120),Korelasi!$A$5:$A$11,1),6)+1)-INDEX(Korelasi!$C$5:$C$11,MIN(MATCH(MIN(MAX(K22,30),120),Korelasi!$A$5:$A$11,1),6)))))</f>
        <v/>
      </c>
      <c r="AF22" s="33">
        <f>IF(OR(F22="Sand",Y22=0),0,Input!$G$25*(D22/2)^2/(AE22*1E-4*31536000))</f>
        <v/>
      </c>
      <c r="AG22" s="13">
        <f>MAX(0,MIN(C22,Input!$G$15)-B22)</f>
        <v/>
      </c>
      <c r="AH22" s="13">
        <f>MAX(0,MIN(C22,Input!$G$15)-MAX(B22,$G$8))</f>
        <v/>
      </c>
      <c r="AI22" s="13">
        <f>MAX(0,MIN(C22,$G$106)-B22)</f>
        <v/>
      </c>
      <c r="AJ22" s="34" t="inlineStr"/>
    </row>
    <row r="23">
      <c r="A23" s="20" t="n">
        <v>11</v>
      </c>
      <c r="B23" s="21" t="n">
        <v>15</v>
      </c>
      <c r="C23" s="21" t="n">
        <v>16.5</v>
      </c>
      <c r="D23" s="13">
        <f>C23-B23</f>
        <v/>
      </c>
      <c r="E23" s="13">
        <f>(B23+C23)/2</f>
        <v/>
      </c>
      <c r="F23" s="22" t="inlineStr">
        <is>
          <t>Sand</t>
        </is>
      </c>
      <c r="G23" s="23" t="n">
        <v>12</v>
      </c>
      <c r="H23" s="12">
        <f>IF(E23&gt;$G$5,$G$7,$G$6)</f>
        <v/>
      </c>
      <c r="I23" s="12">
        <f>I22+H23*D23</f>
        <v/>
      </c>
      <c r="J23" s="12">
        <f>I23-H23*D23/2-10*MAX(E23-$G$5,0)</f>
        <v/>
      </c>
      <c r="K23" s="24" t="n"/>
      <c r="L23" s="24" t="n"/>
      <c r="M23" s="12">
        <f>IF(K23="","",K23-L23)</f>
        <v/>
      </c>
      <c r="N23" s="25" t="n">
        <v>0.464</v>
      </c>
      <c r="O23" s="26">
        <f>IF(F23="Sand",0,Input!$G$19*G23)</f>
        <v/>
      </c>
      <c r="P23" s="12">
        <f>IF(F23="Sand",27.1+0.3*MIN(Input!$G$20*G23,60)-0.00054*MIN(Input!$G$20*G23,60)^2,MIN(MAX(DEGREES(ASIN(0.8-0.094*LN(MAX(IF(M23="",10,M23),5)))),20),30))</f>
        <v/>
      </c>
      <c r="Q23" s="27">
        <f>IF(F23="Sand",Input!$G$21*Input!$G$20*G23,Input!$G$22*O23)</f>
        <v/>
      </c>
      <c r="R23" s="13">
        <f>IF(F23="Sand",Input!$G$26,0.5)</f>
        <v/>
      </c>
      <c r="S23" s="13">
        <f>Input!$G$10/2/E23</f>
        <v/>
      </c>
      <c r="T23" s="13">
        <f>Input!$G$11/2/E23</f>
        <v/>
      </c>
      <c r="U23" s="28">
        <f>1/(4*PI())*(2*S23*T23*SQRT(S23^2+T23^2+1)/(S23^2+T23^2+1+S23^2*T23^2)*(S23^2+T23^2+2)/(S23^2+T23^2+1)+ATAN2(S23^2+T23^2+1-S23^2*T23^2,2*S23*T23*SQRT(S23^2+T23^2+1)))</f>
        <v/>
      </c>
      <c r="V23" s="12">
        <f>4*Input!$G$9*U23</f>
        <v/>
      </c>
      <c r="W23" s="29">
        <f>((Input!$G$11/Input!$G$10)*LN((1+SQRT((Input!$G$11/Input!$G$10)^2+1))*SQRT((Input!$G$11/Input!$G$10)^2+(C23/(Input!$G$10/2))^2)/((Input!$G$11/Input!$G$10)*(1+SQRT((Input!$G$11/Input!$G$10)^2+(C23/(Input!$G$10/2))^2+1))))+LN(((Input!$G$11/Input!$G$10)+SQRT((Input!$G$11/Input!$G$10)^2+1))*SQRT(1+(C23/(Input!$G$10/2))^2)/((Input!$G$11/Input!$G$10)+SQRT((Input!$G$11/Input!$G$10)^2+(C23/(Input!$G$10/2))^2+1))))/PI()</f>
        <v/>
      </c>
      <c r="X23" s="29">
        <f>(C23/(Input!$G$10/2))/(2*PI())*ATAN((Input!$G$11/Input!$G$10)/((C23/(Input!$G$10/2))*SQRT((Input!$G$11/Input!$G$10)^2+(C23/(Input!$G$10/2))^2+1)))</f>
        <v/>
      </c>
      <c r="Y23" s="13">
        <f>MAX(0,C23-MAX(B23,$G$8))/D23*IF(V23&gt;=Input!$G$27*J23,1,0)</f>
        <v/>
      </c>
      <c r="Z23" s="12">
        <f>4*Input!$G$9*(Input!$G$10/2)*(1-R23^2)/Q23*((W23-W22)+(1-2*R23)/(1-R23)*(X23-X22))*1000*Y23</f>
        <v/>
      </c>
      <c r="AA23" s="30">
        <f>IF(F23="Sand",0,0.009*(K23-10))</f>
        <v/>
      </c>
      <c r="AB23" s="30">
        <f>AA23*Input!$G$23</f>
        <v/>
      </c>
      <c r="AC23" s="26">
        <f>IF(F23="Sand",0,MAX(O23/Input!$G$24,J23))</f>
        <v/>
      </c>
      <c r="AD23" s="31">
        <f>IF(F23="Sand",0,1000*D23/(1+N23)*IF(J23+V23&lt;=AC23,AB23*LOG10((J23+V23)/J23),AB23*LOG10(AC23/J23)+AA23*LOG10((J23+V23)/AC23)))*Y23</f>
        <v/>
      </c>
      <c r="AE23" s="32">
        <f>IF(F23="Sand",0,10^(INDEX(Korelasi!$C$5:$C$11,MIN(MATCH(MIN(MAX(K23,30),120),Korelasi!$A$5:$A$11,1),6))+(MIN(MAX(K23,30),120)-INDEX(Korelasi!$A$5:$A$11,MIN(MATCH(MIN(MAX(K23,30),120),Korelasi!$A$5:$A$11,1),6)))/(INDEX(Korelasi!$A$5:$A$11,MIN(MATCH(MIN(MAX(K23,30),120),Korelasi!$A$5:$A$11,1),6)+1)-INDEX(Korelasi!$A$5:$A$11,MIN(MATCH(MIN(MAX(K23,30),120),Korelasi!$A$5:$A$11,1),6)))*(INDEX(Korelasi!$C$5:$C$11,MIN(MATCH(MIN(MAX(K23,30),120),Korelasi!$A$5:$A$11,1),6)+1)-INDEX(Korelasi!$C$5:$C$11,MIN(MATCH(MIN(MAX(K23,30),120),Korelasi!$A$5:$A$11,1),6)))))</f>
        <v/>
      </c>
      <c r="AF23" s="33">
        <f>IF(OR(F23="Sand",Y23=0),0,Input!$G$25*(D23/2)^2/(AE23*1E-4*31536000))</f>
        <v/>
      </c>
      <c r="AG23" s="13">
        <f>MAX(0,MIN(C23,Input!$G$15)-B23)</f>
        <v/>
      </c>
      <c r="AH23" s="13">
        <f>MAX(0,MIN(C23,Input!$G$15)-MAX(B23,$G$8))</f>
        <v/>
      </c>
      <c r="AI23" s="13">
        <f>MAX(0,MIN(C23,$G$106)-B23)</f>
        <v/>
      </c>
      <c r="AJ23" s="34" t="inlineStr"/>
    </row>
    <row r="24">
      <c r="A24" s="20" t="n">
        <v>12</v>
      </c>
      <c r="B24" s="21" t="n">
        <v>16.5</v>
      </c>
      <c r="C24" s="21" t="n">
        <v>18</v>
      </c>
      <c r="D24" s="13">
        <f>C24-B24</f>
        <v/>
      </c>
      <c r="E24" s="13">
        <f>(B24+C24)/2</f>
        <v/>
      </c>
      <c r="F24" s="22" t="inlineStr">
        <is>
          <t>Sand</t>
        </is>
      </c>
      <c r="G24" s="23" t="n">
        <v>23</v>
      </c>
      <c r="H24" s="12">
        <f>IF(E24&gt;$G$5,$G$7,$G$6)</f>
        <v/>
      </c>
      <c r="I24" s="12">
        <f>I23+H24*D24</f>
        <v/>
      </c>
      <c r="J24" s="12">
        <f>I24-H24*D24/2-10*MAX(E24-$G$5,0)</f>
        <v/>
      </c>
      <c r="K24" s="24" t="n"/>
      <c r="L24" s="24" t="n"/>
      <c r="M24" s="12">
        <f>IF(K24="","",K24-L24)</f>
        <v/>
      </c>
      <c r="N24" s="25" t="n">
        <v>0.65</v>
      </c>
      <c r="O24" s="26">
        <f>IF(F24="Sand",0,Input!$G$19*G24)</f>
        <v/>
      </c>
      <c r="P24" s="12">
        <f>IF(F24="Sand",27.1+0.3*MIN(Input!$G$20*G24,60)-0.00054*MIN(Input!$G$20*G24,60)^2,MIN(MAX(DEGREES(ASIN(0.8-0.094*LN(MAX(IF(M24="",10,M24),5)))),20),30))</f>
        <v/>
      </c>
      <c r="Q24" s="27">
        <f>IF(F24="Sand",Input!$G$21*Input!$G$20*G24,Input!$G$22*O24)</f>
        <v/>
      </c>
      <c r="R24" s="13">
        <f>IF(F24="Sand",Input!$G$26,0.5)</f>
        <v/>
      </c>
      <c r="S24" s="13">
        <f>Input!$G$10/2/E24</f>
        <v/>
      </c>
      <c r="T24" s="13">
        <f>Input!$G$11/2/E24</f>
        <v/>
      </c>
      <c r="U24" s="28">
        <f>1/(4*PI())*(2*S24*T24*SQRT(S24^2+T24^2+1)/(S24^2+T24^2+1+S24^2*T24^2)*(S24^2+T24^2+2)/(S24^2+T24^2+1)+ATAN2(S24^2+T24^2+1-S24^2*T24^2,2*S24*T24*SQRT(S24^2+T24^2+1)))</f>
        <v/>
      </c>
      <c r="V24" s="12">
        <f>4*Input!$G$9*U24</f>
        <v/>
      </c>
      <c r="W24" s="29">
        <f>((Input!$G$11/Input!$G$10)*LN((1+SQRT((Input!$G$11/Input!$G$10)^2+1))*SQRT((Input!$G$11/Input!$G$10)^2+(C24/(Input!$G$10/2))^2)/((Input!$G$11/Input!$G$10)*(1+SQRT((Input!$G$11/Input!$G$10)^2+(C24/(Input!$G$10/2))^2+1))))+LN(((Input!$G$11/Input!$G$10)+SQRT((Input!$G$11/Input!$G$10)^2+1))*SQRT(1+(C24/(Input!$G$10/2))^2)/((Input!$G$11/Input!$G$10)+SQRT((Input!$G$11/Input!$G$10)^2+(C24/(Input!$G$10/2))^2+1))))/PI()</f>
        <v/>
      </c>
      <c r="X24" s="29">
        <f>(C24/(Input!$G$10/2))/(2*PI())*ATAN((Input!$G$11/Input!$G$10)/((C24/(Input!$G$10/2))*SQRT((Input!$G$11/Input!$G$10)^2+(C24/(Input!$G$10/2))^2+1)))</f>
        <v/>
      </c>
      <c r="Y24" s="13">
        <f>MAX(0,C24-MAX(B24,$G$8))/D24*IF(V24&gt;=Input!$G$27*J24,1,0)</f>
        <v/>
      </c>
      <c r="Z24" s="12">
        <f>4*Input!$G$9*(Input!$G$10/2)*(1-R24^2)/Q24*((W24-W23)+(1-2*R24)/(1-R24)*(X24-X23))*1000*Y24</f>
        <v/>
      </c>
      <c r="AA24" s="30">
        <f>IF(F24="Sand",0,0.009*(K24-10))</f>
        <v/>
      </c>
      <c r="AB24" s="30">
        <f>AA24*Input!$G$23</f>
        <v/>
      </c>
      <c r="AC24" s="26">
        <f>IF(F24="Sand",0,MAX(O24/Input!$G$24,J24))</f>
        <v/>
      </c>
      <c r="AD24" s="31">
        <f>IF(F24="Sand",0,1000*D24/(1+N24)*IF(J24+V24&lt;=AC24,AB24*LOG10((J24+V24)/J24),AB24*LOG10(AC24/J24)+AA24*LOG10((J24+V24)/AC24)))*Y24</f>
        <v/>
      </c>
      <c r="AE24" s="32">
        <f>IF(F24="Sand",0,10^(INDEX(Korelasi!$C$5:$C$11,MIN(MATCH(MIN(MAX(K24,30),120),Korelasi!$A$5:$A$11,1),6))+(MIN(MAX(K24,30),120)-INDEX(Korelasi!$A$5:$A$11,MIN(MATCH(MIN(MAX(K24,30),120),Korelasi!$A$5:$A$11,1),6)))/(INDEX(Korelasi!$A$5:$A$11,MIN(MATCH(MIN(MAX(K24,30),120),Korelasi!$A$5:$A$11,1),6)+1)-INDEX(Korelasi!$A$5:$A$11,MIN(MATCH(MIN(MAX(K24,30),120),Korelasi!$A$5:$A$11,1),6)))*(INDEX(Korelasi!$C$5:$C$11,MIN(MATCH(MIN(MAX(K24,30),120),Korelasi!$A$5:$A$11,1),6)+1)-INDEX(Korelasi!$C$5:$C$11,MIN(MATCH(MIN(MAX(K24,30),120),Korelasi!$A$5:$A$11,1),6)))))</f>
        <v/>
      </c>
      <c r="AF24" s="33">
        <f>IF(OR(F24="Sand",Y24=0),0,Input!$G$25*(D24/2)^2/(AE24*1E-4*31536000))</f>
        <v/>
      </c>
      <c r="AG24" s="13">
        <f>MAX(0,MIN(C24,Input!$G$15)-B24)</f>
        <v/>
      </c>
      <c r="AH24" s="13">
        <f>MAX(0,MIN(C24,Input!$G$15)-MAX(B24,$G$8))</f>
        <v/>
      </c>
      <c r="AI24" s="13">
        <f>MAX(0,MIN(C24,$G$106)-B24)</f>
        <v/>
      </c>
      <c r="AJ24" s="34" t="inlineStr"/>
    </row>
    <row r="25">
      <c r="A25" s="20" t="n">
        <v>13</v>
      </c>
      <c r="B25" s="21" t="n">
        <v>18</v>
      </c>
      <c r="C25" s="21" t="n">
        <v>19.5</v>
      </c>
      <c r="D25" s="13">
        <f>C25-B25</f>
        <v/>
      </c>
      <c r="E25" s="13">
        <f>(B25+C25)/2</f>
        <v/>
      </c>
      <c r="F25" s="22" t="inlineStr">
        <is>
          <t>Sand</t>
        </is>
      </c>
      <c r="G25" s="23" t="n">
        <v>30</v>
      </c>
      <c r="H25" s="12">
        <f>IF(E25&gt;$G$5,$G$7,$G$6)</f>
        <v/>
      </c>
      <c r="I25" s="12">
        <f>I24+H25*D25</f>
        <v/>
      </c>
      <c r="J25" s="12">
        <f>I25-H25*D25/2-10*MAX(E25-$G$5,0)</f>
        <v/>
      </c>
      <c r="K25" s="24" t="n"/>
      <c r="L25" s="24" t="n"/>
      <c r="M25" s="12">
        <f>IF(K25="","",K25-L25)</f>
        <v/>
      </c>
      <c r="N25" s="25" t="n">
        <v>0.65</v>
      </c>
      <c r="O25" s="26">
        <f>IF(F25="Sand",0,Input!$G$19*G25)</f>
        <v/>
      </c>
      <c r="P25" s="12">
        <f>IF(F25="Sand",27.1+0.3*MIN(Input!$G$20*G25,60)-0.00054*MIN(Input!$G$20*G25,60)^2,MIN(MAX(DEGREES(ASIN(0.8-0.094*LN(MAX(IF(M25="",10,M25),5)))),20),30))</f>
        <v/>
      </c>
      <c r="Q25" s="27">
        <f>IF(F25="Sand",Input!$G$21*Input!$G$20*G25,Input!$G$22*O25)</f>
        <v/>
      </c>
      <c r="R25" s="13">
        <f>IF(F25="Sand",Input!$G$26,0.5)</f>
        <v/>
      </c>
      <c r="S25" s="13">
        <f>Input!$G$10/2/E25</f>
        <v/>
      </c>
      <c r="T25" s="13">
        <f>Input!$G$11/2/E25</f>
        <v/>
      </c>
      <c r="U25" s="28">
        <f>1/(4*PI())*(2*S25*T25*SQRT(S25^2+T25^2+1)/(S25^2+T25^2+1+S25^2*T25^2)*(S25^2+T25^2+2)/(S25^2+T25^2+1)+ATAN2(S25^2+T25^2+1-S25^2*T25^2,2*S25*T25*SQRT(S25^2+T25^2+1)))</f>
        <v/>
      </c>
      <c r="V25" s="12">
        <f>4*Input!$G$9*U25</f>
        <v/>
      </c>
      <c r="W25" s="29">
        <f>((Input!$G$11/Input!$G$10)*LN((1+SQRT((Input!$G$11/Input!$G$10)^2+1))*SQRT((Input!$G$11/Input!$G$10)^2+(C25/(Input!$G$10/2))^2)/((Input!$G$11/Input!$G$10)*(1+SQRT((Input!$G$11/Input!$G$10)^2+(C25/(Input!$G$10/2))^2+1))))+LN(((Input!$G$11/Input!$G$10)+SQRT((Input!$G$11/Input!$G$10)^2+1))*SQRT(1+(C25/(Input!$G$10/2))^2)/((Input!$G$11/Input!$G$10)+SQRT((Input!$G$11/Input!$G$10)^2+(C25/(Input!$G$10/2))^2+1))))/PI()</f>
        <v/>
      </c>
      <c r="X25" s="29">
        <f>(C25/(Input!$G$10/2))/(2*PI())*ATAN((Input!$G$11/Input!$G$10)/((C25/(Input!$G$10/2))*SQRT((Input!$G$11/Input!$G$10)^2+(C25/(Input!$G$10/2))^2+1)))</f>
        <v/>
      </c>
      <c r="Y25" s="13">
        <f>MAX(0,C25-MAX(B25,$G$8))/D25*IF(V25&gt;=Input!$G$27*J25,1,0)</f>
        <v/>
      </c>
      <c r="Z25" s="12">
        <f>4*Input!$G$9*(Input!$G$10/2)*(1-R25^2)/Q25*((W25-W24)+(1-2*R25)/(1-R25)*(X25-X24))*1000*Y25</f>
        <v/>
      </c>
      <c r="AA25" s="30">
        <f>IF(F25="Sand",0,0.009*(K25-10))</f>
        <v/>
      </c>
      <c r="AB25" s="30">
        <f>AA25*Input!$G$23</f>
        <v/>
      </c>
      <c r="AC25" s="26">
        <f>IF(F25="Sand",0,MAX(O25/Input!$G$24,J25))</f>
        <v/>
      </c>
      <c r="AD25" s="31">
        <f>IF(F25="Sand",0,1000*D25/(1+N25)*IF(J25+V25&lt;=AC25,AB25*LOG10((J25+V25)/J25),AB25*LOG10(AC25/J25)+AA25*LOG10((J25+V25)/AC25)))*Y25</f>
        <v/>
      </c>
      <c r="AE25" s="32">
        <f>IF(F25="Sand",0,10^(INDEX(Korelasi!$C$5:$C$11,MIN(MATCH(MIN(MAX(K25,30),120),Korelasi!$A$5:$A$11,1),6))+(MIN(MAX(K25,30),120)-INDEX(Korelasi!$A$5:$A$11,MIN(MATCH(MIN(MAX(K25,30),120),Korelasi!$A$5:$A$11,1),6)))/(INDEX(Korelasi!$A$5:$A$11,MIN(MATCH(MIN(MAX(K25,30),120),Korelasi!$A$5:$A$11,1),6)+1)-INDEX(Korelasi!$A$5:$A$11,MIN(MATCH(MIN(MAX(K25,30),120),Korelasi!$A$5:$A$11,1),6)))*(INDEX(Korelasi!$C$5:$C$11,MIN(MATCH(MIN(MAX(K25,30),120),Korelasi!$A$5:$A$11,1),6)+1)-INDEX(Korelasi!$C$5:$C$11,MIN(MATCH(MIN(MAX(K25,30),120),Korelasi!$A$5:$A$11,1),6)))))</f>
        <v/>
      </c>
      <c r="AF25" s="33">
        <f>IF(OR(F25="Sand",Y25=0),0,Input!$G$25*(D25/2)^2/(AE25*1E-4*31536000))</f>
        <v/>
      </c>
      <c r="AG25" s="13">
        <f>MAX(0,MIN(C25,Input!$G$15)-B25)</f>
        <v/>
      </c>
      <c r="AH25" s="13">
        <f>MAX(0,MIN(C25,Input!$G$15)-MAX(B25,$G$8))</f>
        <v/>
      </c>
      <c r="AI25" s="13">
        <f>MAX(0,MIN(C25,$G$106)-B25)</f>
        <v/>
      </c>
      <c r="AJ25" s="34" t="inlineStr"/>
    </row>
    <row r="26">
      <c r="A26" s="20" t="n">
        <v>14</v>
      </c>
      <c r="B26" s="21" t="n">
        <v>19.5</v>
      </c>
      <c r="C26" s="21" t="n">
        <v>21</v>
      </c>
      <c r="D26" s="13">
        <f>C26-B26</f>
        <v/>
      </c>
      <c r="E26" s="13">
        <f>(B26+C26)/2</f>
        <v/>
      </c>
      <c r="F26" s="22" t="inlineStr">
        <is>
          <t>Sand</t>
        </is>
      </c>
      <c r="G26" s="23" t="n">
        <v>27</v>
      </c>
      <c r="H26" s="12">
        <f>IF(E26&gt;$G$5,$G$7,$G$6)</f>
        <v/>
      </c>
      <c r="I26" s="12">
        <f>I25+H26*D26</f>
        <v/>
      </c>
      <c r="J26" s="12">
        <f>I26-H26*D26/2-10*MAX(E26-$G$5,0)</f>
        <v/>
      </c>
      <c r="K26" s="24" t="n"/>
      <c r="L26" s="24" t="n"/>
      <c r="M26" s="12">
        <f>IF(K26="","",K26-L26)</f>
        <v/>
      </c>
      <c r="N26" s="25" t="n">
        <v>0.73</v>
      </c>
      <c r="O26" s="26">
        <f>IF(F26="Sand",0,Input!$G$19*G26)</f>
        <v/>
      </c>
      <c r="P26" s="12">
        <f>IF(F26="Sand",27.1+0.3*MIN(Input!$G$20*G26,60)-0.00054*MIN(Input!$G$20*G26,60)^2,MIN(MAX(DEGREES(ASIN(0.8-0.094*LN(MAX(IF(M26="",10,M26),5)))),20),30))</f>
        <v/>
      </c>
      <c r="Q26" s="27">
        <f>IF(F26="Sand",Input!$G$21*Input!$G$20*G26,Input!$G$22*O26)</f>
        <v/>
      </c>
      <c r="R26" s="13">
        <f>IF(F26="Sand",Input!$G$26,0.5)</f>
        <v/>
      </c>
      <c r="S26" s="13">
        <f>Input!$G$10/2/E26</f>
        <v/>
      </c>
      <c r="T26" s="13">
        <f>Input!$G$11/2/E26</f>
        <v/>
      </c>
      <c r="U26" s="28">
        <f>1/(4*PI())*(2*S26*T26*SQRT(S26^2+T26^2+1)/(S26^2+T26^2+1+S26^2*T26^2)*(S26^2+T26^2+2)/(S26^2+T26^2+1)+ATAN2(S26^2+T26^2+1-S26^2*T26^2,2*S26*T26*SQRT(S26^2+T26^2+1)))</f>
        <v/>
      </c>
      <c r="V26" s="12">
        <f>4*Input!$G$9*U26</f>
        <v/>
      </c>
      <c r="W26" s="29">
        <f>((Input!$G$11/Input!$G$10)*LN((1+SQRT((Input!$G$11/Input!$G$10)^2+1))*SQRT((Input!$G$11/Input!$G$10)^2+(C26/(Input!$G$10/2))^2)/((Input!$G$11/Input!$G$10)*(1+SQRT((Input!$G$11/Input!$G$10)^2+(C26/(Input!$G$10/2))^2+1))))+LN(((Input!$G$11/Input!$G$10)+SQRT((Input!$G$11/Input!$G$10)^2+1))*SQRT(1+(C26/(Input!$G$10/2))^2)/((Input!$G$11/Input!$G$10)+SQRT((Input!$G$11/Input!$G$10)^2+(C26/(Input!$G$10/2))^2+1))))/PI()</f>
        <v/>
      </c>
      <c r="X26" s="29">
        <f>(C26/(Input!$G$10/2))/(2*PI())*ATAN((Input!$G$11/Input!$G$10)/((C26/(Input!$G$10/2))*SQRT((Input!$G$11/Input!$G$10)^2+(C26/(Input!$G$10/2))^2+1)))</f>
        <v/>
      </c>
      <c r="Y26" s="13">
        <f>MAX(0,C26-MAX(B26,$G$8))/D26*IF(V26&gt;=Input!$G$27*J26,1,0)</f>
        <v/>
      </c>
      <c r="Z26" s="12">
        <f>4*Input!$G$9*(Input!$G$10/2)*(1-R26^2)/Q26*((W26-W25)+(1-2*R26)/(1-R26)*(X26-X25))*1000*Y26</f>
        <v/>
      </c>
      <c r="AA26" s="30">
        <f>IF(F26="Sand",0,0.009*(K26-10))</f>
        <v/>
      </c>
      <c r="AB26" s="30">
        <f>AA26*Input!$G$23</f>
        <v/>
      </c>
      <c r="AC26" s="26">
        <f>IF(F26="Sand",0,MAX(O26/Input!$G$24,J26))</f>
        <v/>
      </c>
      <c r="AD26" s="31">
        <f>IF(F26="Sand",0,1000*D26/(1+N26)*IF(J26+V26&lt;=AC26,AB26*LOG10((J26+V26)/J26),AB26*LOG10(AC26/J26)+AA26*LOG10((J26+V26)/AC26)))*Y26</f>
        <v/>
      </c>
      <c r="AE26" s="32">
        <f>IF(F26="Sand",0,10^(INDEX(Korelasi!$C$5:$C$11,MIN(MATCH(MIN(MAX(K26,30),120),Korelasi!$A$5:$A$11,1),6))+(MIN(MAX(K26,30),120)-INDEX(Korelasi!$A$5:$A$11,MIN(MATCH(MIN(MAX(K26,30),120),Korelasi!$A$5:$A$11,1),6)))/(INDEX(Korelasi!$A$5:$A$11,MIN(MATCH(MIN(MAX(K26,30),120),Korelasi!$A$5:$A$11,1),6)+1)-INDEX(Korelasi!$A$5:$A$11,MIN(MATCH(MIN(MAX(K26,30),120),Korelasi!$A$5:$A$11,1),6)))*(INDEX(Korelasi!$C$5:$C$11,MIN(MATCH(MIN(MAX(K26,30),120),Korelasi!$A$5:$A$11,1),6)+1)-INDEX(Korelasi!$C$5:$C$11,MIN(MATCH(MIN(MAX(K26,30),120),Korelasi!$A$5:$A$11,1),6)))))</f>
        <v/>
      </c>
      <c r="AF26" s="33">
        <f>IF(OR(F26="Sand",Y26=0),0,Input!$G$25*(D26/2)^2/(AE26*1E-4*31536000))</f>
        <v/>
      </c>
      <c r="AG26" s="13">
        <f>MAX(0,MIN(C26,Input!$G$15)-B26)</f>
        <v/>
      </c>
      <c r="AH26" s="13">
        <f>MAX(0,MIN(C26,Input!$G$15)-MAX(B26,$G$8))</f>
        <v/>
      </c>
      <c r="AI26" s="13">
        <f>MAX(0,MIN(C26,$G$106)-B26)</f>
        <v/>
      </c>
      <c r="AJ26" s="34" t="inlineStr"/>
    </row>
    <row r="27">
      <c r="A27" s="20" t="n">
        <v>15</v>
      </c>
      <c r="B27" s="21" t="n">
        <v>21</v>
      </c>
      <c r="C27" s="21" t="n">
        <v>22.5</v>
      </c>
      <c r="D27" s="13">
        <f>C27-B27</f>
        <v/>
      </c>
      <c r="E27" s="13">
        <f>(B27+C27)/2</f>
        <v/>
      </c>
      <c r="F27" s="22" t="inlineStr">
        <is>
          <t>Sand</t>
        </is>
      </c>
      <c r="G27" s="23" t="n">
        <v>28</v>
      </c>
      <c r="H27" s="12">
        <f>IF(E27&gt;$G$5,$G$7,$G$6)</f>
        <v/>
      </c>
      <c r="I27" s="12">
        <f>I26+H27*D27</f>
        <v/>
      </c>
      <c r="J27" s="12">
        <f>I27-H27*D27/2-10*MAX(E27-$G$5,0)</f>
        <v/>
      </c>
      <c r="K27" s="24" t="n"/>
      <c r="L27" s="24" t="n"/>
      <c r="M27" s="12">
        <f>IF(K27="","",K27-L27)</f>
        <v/>
      </c>
      <c r="N27" s="25" t="n">
        <v>0.65</v>
      </c>
      <c r="O27" s="26">
        <f>IF(F27="Sand",0,Input!$G$19*G27)</f>
        <v/>
      </c>
      <c r="P27" s="12">
        <f>IF(F27="Sand",27.1+0.3*MIN(Input!$G$20*G27,60)-0.00054*MIN(Input!$G$20*G27,60)^2,MIN(MAX(DEGREES(ASIN(0.8-0.094*LN(MAX(IF(M27="",10,M27),5)))),20),30))</f>
        <v/>
      </c>
      <c r="Q27" s="27">
        <f>IF(F27="Sand",Input!$G$21*Input!$G$20*G27,Input!$G$22*O27)</f>
        <v/>
      </c>
      <c r="R27" s="13">
        <f>IF(F27="Sand",Input!$G$26,0.5)</f>
        <v/>
      </c>
      <c r="S27" s="13">
        <f>Input!$G$10/2/E27</f>
        <v/>
      </c>
      <c r="T27" s="13">
        <f>Input!$G$11/2/E27</f>
        <v/>
      </c>
      <c r="U27" s="28">
        <f>1/(4*PI())*(2*S27*T27*SQRT(S27^2+T27^2+1)/(S27^2+T27^2+1+S27^2*T27^2)*(S27^2+T27^2+2)/(S27^2+T27^2+1)+ATAN2(S27^2+T27^2+1-S27^2*T27^2,2*S27*T27*SQRT(S27^2+T27^2+1)))</f>
        <v/>
      </c>
      <c r="V27" s="12">
        <f>4*Input!$G$9*U27</f>
        <v/>
      </c>
      <c r="W27" s="29">
        <f>((Input!$G$11/Input!$G$10)*LN((1+SQRT((Input!$G$11/Input!$G$10)^2+1))*SQRT((Input!$G$11/Input!$G$10)^2+(C27/(Input!$G$10/2))^2)/((Input!$G$11/Input!$G$10)*(1+SQRT((Input!$G$11/Input!$G$10)^2+(C27/(Input!$G$10/2))^2+1))))+LN(((Input!$G$11/Input!$G$10)+SQRT((Input!$G$11/Input!$G$10)^2+1))*SQRT(1+(C27/(Input!$G$10/2))^2)/((Input!$G$11/Input!$G$10)+SQRT((Input!$G$11/Input!$G$10)^2+(C27/(Input!$G$10/2))^2+1))))/PI()</f>
        <v/>
      </c>
      <c r="X27" s="29">
        <f>(C27/(Input!$G$10/2))/(2*PI())*ATAN((Input!$G$11/Input!$G$10)/((C27/(Input!$G$10/2))*SQRT((Input!$G$11/Input!$G$10)^2+(C27/(Input!$G$10/2))^2+1)))</f>
        <v/>
      </c>
      <c r="Y27" s="13">
        <f>MAX(0,C27-MAX(B27,$G$8))/D27*IF(V27&gt;=Input!$G$27*J27,1,0)</f>
        <v/>
      </c>
      <c r="Z27" s="12">
        <f>4*Input!$G$9*(Input!$G$10/2)*(1-R27^2)/Q27*((W27-W26)+(1-2*R27)/(1-R27)*(X27-X26))*1000*Y27</f>
        <v/>
      </c>
      <c r="AA27" s="30">
        <f>IF(F27="Sand",0,0.009*(K27-10))</f>
        <v/>
      </c>
      <c r="AB27" s="30">
        <f>AA27*Input!$G$23</f>
        <v/>
      </c>
      <c r="AC27" s="26">
        <f>IF(F27="Sand",0,MAX(O27/Input!$G$24,J27))</f>
        <v/>
      </c>
      <c r="AD27" s="31">
        <f>IF(F27="Sand",0,1000*D27/(1+N27)*IF(J27+V27&lt;=AC27,AB27*LOG10((J27+V27)/J27),AB27*LOG10(AC27/J27)+AA27*LOG10((J27+V27)/AC27)))*Y27</f>
        <v/>
      </c>
      <c r="AE27" s="32">
        <f>IF(F27="Sand",0,10^(INDEX(Korelasi!$C$5:$C$11,MIN(MATCH(MIN(MAX(K27,30),120),Korelasi!$A$5:$A$11,1),6))+(MIN(MAX(K27,30),120)-INDEX(Korelasi!$A$5:$A$11,MIN(MATCH(MIN(MAX(K27,30),120),Korelasi!$A$5:$A$11,1),6)))/(INDEX(Korelasi!$A$5:$A$11,MIN(MATCH(MIN(MAX(K27,30),120),Korelasi!$A$5:$A$11,1),6)+1)-INDEX(Korelasi!$A$5:$A$11,MIN(MATCH(MIN(MAX(K27,30),120),Korelasi!$A$5:$A$11,1),6)))*(INDEX(Korelasi!$C$5:$C$11,MIN(MATCH(MIN(MAX(K27,30),120),Korelasi!$A$5:$A$11,1),6)+1)-INDEX(Korelasi!$C$5:$C$11,MIN(MATCH(MIN(MAX(K27,30),120),Korelasi!$A$5:$A$11,1),6)))))</f>
        <v/>
      </c>
      <c r="AF27" s="33">
        <f>IF(OR(F27="Sand",Y27=0),0,Input!$G$25*(D27/2)^2/(AE27*1E-4*31536000))</f>
        <v/>
      </c>
      <c r="AG27" s="13">
        <f>MAX(0,MIN(C27,Input!$G$15)-B27)</f>
        <v/>
      </c>
      <c r="AH27" s="13">
        <f>MAX(0,MIN(C27,Input!$G$15)-MAX(B27,$G$8))</f>
        <v/>
      </c>
      <c r="AI27" s="13">
        <f>MAX(0,MIN(C27,$G$106)-B27)</f>
        <v/>
      </c>
      <c r="AJ27" s="34" t="inlineStr"/>
    </row>
    <row r="28">
      <c r="A28" s="20" t="n">
        <v>16</v>
      </c>
      <c r="B28" s="21" t="n">
        <v>22.5</v>
      </c>
      <c r="C28" s="21" t="n">
        <v>24</v>
      </c>
      <c r="D28" s="13">
        <f>C28-B28</f>
        <v/>
      </c>
      <c r="E28" s="13">
        <f>(B28+C28)/2</f>
        <v/>
      </c>
      <c r="F28" s="22" t="inlineStr">
        <is>
          <t>Sand</t>
        </is>
      </c>
      <c r="G28" s="23" t="n">
        <v>24</v>
      </c>
      <c r="H28" s="12">
        <f>IF(E28&gt;$G$5,$G$7,$G$6)</f>
        <v/>
      </c>
      <c r="I28" s="12">
        <f>I27+H28*D28</f>
        <v/>
      </c>
      <c r="J28" s="12">
        <f>I28-H28*D28/2-10*MAX(E28-$G$5,0)</f>
        <v/>
      </c>
      <c r="K28" s="24" t="n"/>
      <c r="L28" s="24" t="n"/>
      <c r="M28" s="12">
        <f>IF(K28="","",K28-L28)</f>
        <v/>
      </c>
      <c r="N28" s="25" t="n">
        <v>0.747</v>
      </c>
      <c r="O28" s="26">
        <f>IF(F28="Sand",0,Input!$G$19*G28)</f>
        <v/>
      </c>
      <c r="P28" s="12">
        <f>IF(F28="Sand",27.1+0.3*MIN(Input!$G$20*G28,60)-0.00054*MIN(Input!$G$20*G28,60)^2,MIN(MAX(DEGREES(ASIN(0.8-0.094*LN(MAX(IF(M28="",10,M28),5)))),20),30))</f>
        <v/>
      </c>
      <c r="Q28" s="27">
        <f>IF(F28="Sand",Input!$G$21*Input!$G$20*G28,Input!$G$22*O28)</f>
        <v/>
      </c>
      <c r="R28" s="13">
        <f>IF(F28="Sand",Input!$G$26,0.5)</f>
        <v/>
      </c>
      <c r="S28" s="13">
        <f>Input!$G$10/2/E28</f>
        <v/>
      </c>
      <c r="T28" s="13">
        <f>Input!$G$11/2/E28</f>
        <v/>
      </c>
      <c r="U28" s="28">
        <f>1/(4*PI())*(2*S28*T28*SQRT(S28^2+T28^2+1)/(S28^2+T28^2+1+S28^2*T28^2)*(S28^2+T28^2+2)/(S28^2+T28^2+1)+ATAN2(S28^2+T28^2+1-S28^2*T28^2,2*S28*T28*SQRT(S28^2+T28^2+1)))</f>
        <v/>
      </c>
      <c r="V28" s="12">
        <f>4*Input!$G$9*U28</f>
        <v/>
      </c>
      <c r="W28" s="29">
        <f>((Input!$G$11/Input!$G$10)*LN((1+SQRT((Input!$G$11/Input!$G$10)^2+1))*SQRT((Input!$G$11/Input!$G$10)^2+(C28/(Input!$G$10/2))^2)/((Input!$G$11/Input!$G$10)*(1+SQRT((Input!$G$11/Input!$G$10)^2+(C28/(Input!$G$10/2))^2+1))))+LN(((Input!$G$11/Input!$G$10)+SQRT((Input!$G$11/Input!$G$10)^2+1))*SQRT(1+(C28/(Input!$G$10/2))^2)/((Input!$G$11/Input!$G$10)+SQRT((Input!$G$11/Input!$G$10)^2+(C28/(Input!$G$10/2))^2+1))))/PI()</f>
        <v/>
      </c>
      <c r="X28" s="29">
        <f>(C28/(Input!$G$10/2))/(2*PI())*ATAN((Input!$G$11/Input!$G$10)/((C28/(Input!$G$10/2))*SQRT((Input!$G$11/Input!$G$10)^2+(C28/(Input!$G$10/2))^2+1)))</f>
        <v/>
      </c>
      <c r="Y28" s="13">
        <f>MAX(0,C28-MAX(B28,$G$8))/D28*IF(V28&gt;=Input!$G$27*J28,1,0)</f>
        <v/>
      </c>
      <c r="Z28" s="12">
        <f>4*Input!$G$9*(Input!$G$10/2)*(1-R28^2)/Q28*((W28-W27)+(1-2*R28)/(1-R28)*(X28-X27))*1000*Y28</f>
        <v/>
      </c>
      <c r="AA28" s="30">
        <f>IF(F28="Sand",0,0.009*(K28-10))</f>
        <v/>
      </c>
      <c r="AB28" s="30">
        <f>AA28*Input!$G$23</f>
        <v/>
      </c>
      <c r="AC28" s="26">
        <f>IF(F28="Sand",0,MAX(O28/Input!$G$24,J28))</f>
        <v/>
      </c>
      <c r="AD28" s="31">
        <f>IF(F28="Sand",0,1000*D28/(1+N28)*IF(J28+V28&lt;=AC28,AB28*LOG10((J28+V28)/J28),AB28*LOG10(AC28/J28)+AA28*LOG10((J28+V28)/AC28)))*Y28</f>
        <v/>
      </c>
      <c r="AE28" s="32">
        <f>IF(F28="Sand",0,10^(INDEX(Korelasi!$C$5:$C$11,MIN(MATCH(MIN(MAX(K28,30),120),Korelasi!$A$5:$A$11,1),6))+(MIN(MAX(K28,30),120)-INDEX(Korelasi!$A$5:$A$11,MIN(MATCH(MIN(MAX(K28,30),120),Korelasi!$A$5:$A$11,1),6)))/(INDEX(Korelasi!$A$5:$A$11,MIN(MATCH(MIN(MAX(K28,30),120),Korelasi!$A$5:$A$11,1),6)+1)-INDEX(Korelasi!$A$5:$A$11,MIN(MATCH(MIN(MAX(K28,30),120),Korelasi!$A$5:$A$11,1),6)))*(INDEX(Korelasi!$C$5:$C$11,MIN(MATCH(MIN(MAX(K28,30),120),Korelasi!$A$5:$A$11,1),6)+1)-INDEX(Korelasi!$C$5:$C$11,MIN(MATCH(MIN(MAX(K28,30),120),Korelasi!$A$5:$A$11,1),6)))))</f>
        <v/>
      </c>
      <c r="AF28" s="33">
        <f>IF(OR(F28="Sand",Y28=0),0,Input!$G$25*(D28/2)^2/(AE28*1E-4*31536000))</f>
        <v/>
      </c>
      <c r="AG28" s="13">
        <f>MAX(0,MIN(C28,Input!$G$15)-B28)</f>
        <v/>
      </c>
      <c r="AH28" s="13">
        <f>MAX(0,MIN(C28,Input!$G$15)-MAX(B28,$G$8))</f>
        <v/>
      </c>
      <c r="AI28" s="13">
        <f>MAX(0,MIN(C28,$G$106)-B28)</f>
        <v/>
      </c>
      <c r="AJ28" s="34" t="inlineStr"/>
    </row>
    <row r="29">
      <c r="A29" s="20" t="n">
        <v>17</v>
      </c>
      <c r="B29" s="21" t="n">
        <v>24</v>
      </c>
      <c r="C29" s="21" t="n">
        <v>25.5</v>
      </c>
      <c r="D29" s="13">
        <f>C29-B29</f>
        <v/>
      </c>
      <c r="E29" s="13">
        <f>(B29+C29)/2</f>
        <v/>
      </c>
      <c r="F29" s="22" t="inlineStr">
        <is>
          <t>Sand</t>
        </is>
      </c>
      <c r="G29" s="23" t="n">
        <v>44</v>
      </c>
      <c r="H29" s="12">
        <f>IF(E29&gt;$G$5,$G$7,$G$6)</f>
        <v/>
      </c>
      <c r="I29" s="12">
        <f>I28+H29*D29</f>
        <v/>
      </c>
      <c r="J29" s="12">
        <f>I29-H29*D29/2-10*MAX(E29-$G$5,0)</f>
        <v/>
      </c>
      <c r="K29" s="24" t="n"/>
      <c r="L29" s="24" t="n"/>
      <c r="M29" s="12">
        <f>IF(K29="","",K29-L29)</f>
        <v/>
      </c>
      <c r="N29" s="25" t="n">
        <v>0.65</v>
      </c>
      <c r="O29" s="26">
        <f>IF(F29="Sand",0,Input!$G$19*G29)</f>
        <v/>
      </c>
      <c r="P29" s="12">
        <f>IF(F29="Sand",27.1+0.3*MIN(Input!$G$20*G29,60)-0.00054*MIN(Input!$G$20*G29,60)^2,MIN(MAX(DEGREES(ASIN(0.8-0.094*LN(MAX(IF(M29="",10,M29),5)))),20),30))</f>
        <v/>
      </c>
      <c r="Q29" s="27">
        <f>IF(F29="Sand",Input!$G$21*Input!$G$20*G29,Input!$G$22*O29)</f>
        <v/>
      </c>
      <c r="R29" s="13">
        <f>IF(F29="Sand",Input!$G$26,0.5)</f>
        <v/>
      </c>
      <c r="S29" s="13">
        <f>Input!$G$10/2/E29</f>
        <v/>
      </c>
      <c r="T29" s="13">
        <f>Input!$G$11/2/E29</f>
        <v/>
      </c>
      <c r="U29" s="28">
        <f>1/(4*PI())*(2*S29*T29*SQRT(S29^2+T29^2+1)/(S29^2+T29^2+1+S29^2*T29^2)*(S29^2+T29^2+2)/(S29^2+T29^2+1)+ATAN2(S29^2+T29^2+1-S29^2*T29^2,2*S29*T29*SQRT(S29^2+T29^2+1)))</f>
        <v/>
      </c>
      <c r="V29" s="12">
        <f>4*Input!$G$9*U29</f>
        <v/>
      </c>
      <c r="W29" s="29">
        <f>((Input!$G$11/Input!$G$10)*LN((1+SQRT((Input!$G$11/Input!$G$10)^2+1))*SQRT((Input!$G$11/Input!$G$10)^2+(C29/(Input!$G$10/2))^2)/((Input!$G$11/Input!$G$10)*(1+SQRT((Input!$G$11/Input!$G$10)^2+(C29/(Input!$G$10/2))^2+1))))+LN(((Input!$G$11/Input!$G$10)+SQRT((Input!$G$11/Input!$G$10)^2+1))*SQRT(1+(C29/(Input!$G$10/2))^2)/((Input!$G$11/Input!$G$10)+SQRT((Input!$G$11/Input!$G$10)^2+(C29/(Input!$G$10/2))^2+1))))/PI()</f>
        <v/>
      </c>
      <c r="X29" s="29">
        <f>(C29/(Input!$G$10/2))/(2*PI())*ATAN((Input!$G$11/Input!$G$10)/((C29/(Input!$G$10/2))*SQRT((Input!$G$11/Input!$G$10)^2+(C29/(Input!$G$10/2))^2+1)))</f>
        <v/>
      </c>
      <c r="Y29" s="13">
        <f>MAX(0,C29-MAX(B29,$G$8))/D29*IF(V29&gt;=Input!$G$27*J29,1,0)</f>
        <v/>
      </c>
      <c r="Z29" s="12">
        <f>4*Input!$G$9*(Input!$G$10/2)*(1-R29^2)/Q29*((W29-W28)+(1-2*R29)/(1-R29)*(X29-X28))*1000*Y29</f>
        <v/>
      </c>
      <c r="AA29" s="30">
        <f>IF(F29="Sand",0,0.009*(K29-10))</f>
        <v/>
      </c>
      <c r="AB29" s="30">
        <f>AA29*Input!$G$23</f>
        <v/>
      </c>
      <c r="AC29" s="26">
        <f>IF(F29="Sand",0,MAX(O29/Input!$G$24,J29))</f>
        <v/>
      </c>
      <c r="AD29" s="31">
        <f>IF(F29="Sand",0,1000*D29/(1+N29)*IF(J29+V29&lt;=AC29,AB29*LOG10((J29+V29)/J29),AB29*LOG10(AC29/J29)+AA29*LOG10((J29+V29)/AC29)))*Y29</f>
        <v/>
      </c>
      <c r="AE29" s="32">
        <f>IF(F29="Sand",0,10^(INDEX(Korelasi!$C$5:$C$11,MIN(MATCH(MIN(MAX(K29,30),120),Korelasi!$A$5:$A$11,1),6))+(MIN(MAX(K29,30),120)-INDEX(Korelasi!$A$5:$A$11,MIN(MATCH(MIN(MAX(K29,30),120),Korelasi!$A$5:$A$11,1),6)))/(INDEX(Korelasi!$A$5:$A$11,MIN(MATCH(MIN(MAX(K29,30),120),Korelasi!$A$5:$A$11,1),6)+1)-INDEX(Korelasi!$A$5:$A$11,MIN(MATCH(MIN(MAX(K29,30),120),Korelasi!$A$5:$A$11,1),6)))*(INDEX(Korelasi!$C$5:$C$11,MIN(MATCH(MIN(MAX(K29,30),120),Korelasi!$A$5:$A$11,1),6)+1)-INDEX(Korelasi!$C$5:$C$11,MIN(MATCH(MIN(MAX(K29,30),120),Korelasi!$A$5:$A$11,1),6)))))</f>
        <v/>
      </c>
      <c r="AF29" s="33">
        <f>IF(OR(F29="Sand",Y29=0),0,Input!$G$25*(D29/2)^2/(AE29*1E-4*31536000))</f>
        <v/>
      </c>
      <c r="AG29" s="13">
        <f>MAX(0,MIN(C29,Input!$G$15)-B29)</f>
        <v/>
      </c>
      <c r="AH29" s="13">
        <f>MAX(0,MIN(C29,Input!$G$15)-MAX(B29,$G$8))</f>
        <v/>
      </c>
      <c r="AI29" s="13">
        <f>MAX(0,MIN(C29,$G$106)-B29)</f>
        <v/>
      </c>
      <c r="AJ29" s="34" t="inlineStr"/>
    </row>
    <row r="30">
      <c r="A30" s="20" t="n">
        <v>18</v>
      </c>
      <c r="B30" s="21" t="n">
        <v>25.5</v>
      </c>
      <c r="C30" s="21" t="n">
        <v>27</v>
      </c>
      <c r="D30" s="13">
        <f>C30-B30</f>
        <v/>
      </c>
      <c r="E30" s="13">
        <f>(B30+C30)/2</f>
        <v/>
      </c>
      <c r="F30" s="22" t="inlineStr">
        <is>
          <t>Sand</t>
        </is>
      </c>
      <c r="G30" s="23" t="n">
        <v>21</v>
      </c>
      <c r="H30" s="12">
        <f>IF(E30&gt;$G$5,$G$7,$G$6)</f>
        <v/>
      </c>
      <c r="I30" s="12">
        <f>I29+H30*D30</f>
        <v/>
      </c>
      <c r="J30" s="12">
        <f>I30-H30*D30/2-10*MAX(E30-$G$5,0)</f>
        <v/>
      </c>
      <c r="K30" s="24" t="n"/>
      <c r="L30" s="24" t="n"/>
      <c r="M30" s="12">
        <f>IF(K30="","",K30-L30)</f>
        <v/>
      </c>
      <c r="N30" s="25" t="n">
        <v>0.73</v>
      </c>
      <c r="O30" s="26">
        <f>IF(F30="Sand",0,Input!$G$19*G30)</f>
        <v/>
      </c>
      <c r="P30" s="12">
        <f>IF(F30="Sand",27.1+0.3*MIN(Input!$G$20*G30,60)-0.00054*MIN(Input!$G$20*G30,60)^2,MIN(MAX(DEGREES(ASIN(0.8-0.094*LN(MAX(IF(M30="",10,M30),5)))),20),30))</f>
        <v/>
      </c>
      <c r="Q30" s="27">
        <f>IF(F30="Sand",Input!$G$21*Input!$G$20*G30,Input!$G$22*O30)</f>
        <v/>
      </c>
      <c r="R30" s="13">
        <f>IF(F30="Sand",Input!$G$26,0.5)</f>
        <v/>
      </c>
      <c r="S30" s="13">
        <f>Input!$G$10/2/E30</f>
        <v/>
      </c>
      <c r="T30" s="13">
        <f>Input!$G$11/2/E30</f>
        <v/>
      </c>
      <c r="U30" s="28">
        <f>1/(4*PI())*(2*S30*T30*SQRT(S30^2+T30^2+1)/(S30^2+T30^2+1+S30^2*T30^2)*(S30^2+T30^2+2)/(S30^2+T30^2+1)+ATAN2(S30^2+T30^2+1-S30^2*T30^2,2*S30*T30*SQRT(S30^2+T30^2+1)))</f>
        <v/>
      </c>
      <c r="V30" s="12">
        <f>4*Input!$G$9*U30</f>
        <v/>
      </c>
      <c r="W30" s="29">
        <f>((Input!$G$11/Input!$G$10)*LN((1+SQRT((Input!$G$11/Input!$G$10)^2+1))*SQRT((Input!$G$11/Input!$G$10)^2+(C30/(Input!$G$10/2))^2)/((Input!$G$11/Input!$G$10)*(1+SQRT((Input!$G$11/Input!$G$10)^2+(C30/(Input!$G$10/2))^2+1))))+LN(((Input!$G$11/Input!$G$10)+SQRT((Input!$G$11/Input!$G$10)^2+1))*SQRT(1+(C30/(Input!$G$10/2))^2)/((Input!$G$11/Input!$G$10)+SQRT((Input!$G$11/Input!$G$10)^2+(C30/(Input!$G$10/2))^2+1))))/PI()</f>
        <v/>
      </c>
      <c r="X30" s="29">
        <f>(C30/(Input!$G$10/2))/(2*PI())*ATAN((Input!$G$11/Input!$G$10)/((C30/(Input!$G$10/2))*SQRT((Input!$G$11/Input!$G$10)^2+(C30/(Input!$G$10/2))^2+1)))</f>
        <v/>
      </c>
      <c r="Y30" s="13">
        <f>MAX(0,C30-MAX(B30,$G$8))/D30*IF(V30&gt;=Input!$G$27*J30,1,0)</f>
        <v/>
      </c>
      <c r="Z30" s="12">
        <f>4*Input!$G$9*(Input!$G$10/2)*(1-R30^2)/Q30*((W30-W29)+(1-2*R30)/(1-R30)*(X30-X29))*1000*Y30</f>
        <v/>
      </c>
      <c r="AA30" s="30">
        <f>IF(F30="Sand",0,0.009*(K30-10))</f>
        <v/>
      </c>
      <c r="AB30" s="30">
        <f>AA30*Input!$G$23</f>
        <v/>
      </c>
      <c r="AC30" s="26">
        <f>IF(F30="Sand",0,MAX(O30/Input!$G$24,J30))</f>
        <v/>
      </c>
      <c r="AD30" s="31">
        <f>IF(F30="Sand",0,1000*D30/(1+N30)*IF(J30+V30&lt;=AC30,AB30*LOG10((J30+V30)/J30),AB30*LOG10(AC30/J30)+AA30*LOG10((J30+V30)/AC30)))*Y30</f>
        <v/>
      </c>
      <c r="AE30" s="32">
        <f>IF(F30="Sand",0,10^(INDEX(Korelasi!$C$5:$C$11,MIN(MATCH(MIN(MAX(K30,30),120),Korelasi!$A$5:$A$11,1),6))+(MIN(MAX(K30,30),120)-INDEX(Korelasi!$A$5:$A$11,MIN(MATCH(MIN(MAX(K30,30),120),Korelasi!$A$5:$A$11,1),6)))/(INDEX(Korelasi!$A$5:$A$11,MIN(MATCH(MIN(MAX(K30,30),120),Korelasi!$A$5:$A$11,1),6)+1)-INDEX(Korelasi!$A$5:$A$11,MIN(MATCH(MIN(MAX(K30,30),120),Korelasi!$A$5:$A$11,1),6)))*(INDEX(Korelasi!$C$5:$C$11,MIN(MATCH(MIN(MAX(K30,30),120),Korelasi!$A$5:$A$11,1),6)+1)-INDEX(Korelasi!$C$5:$C$11,MIN(MATCH(MIN(MAX(K30,30),120),Korelasi!$A$5:$A$11,1),6)))))</f>
        <v/>
      </c>
      <c r="AF30" s="33">
        <f>IF(OR(F30="Sand",Y30=0),0,Input!$G$25*(D30/2)^2/(AE30*1E-4*31536000))</f>
        <v/>
      </c>
      <c r="AG30" s="13">
        <f>MAX(0,MIN(C30,Input!$G$15)-B30)</f>
        <v/>
      </c>
      <c r="AH30" s="13">
        <f>MAX(0,MIN(C30,Input!$G$15)-MAX(B30,$G$8))</f>
        <v/>
      </c>
      <c r="AI30" s="13">
        <f>MAX(0,MIN(C30,$G$106)-B30)</f>
        <v/>
      </c>
      <c r="AJ30" s="34" t="inlineStr"/>
    </row>
    <row r="31">
      <c r="A31" s="20" t="n">
        <v>19</v>
      </c>
      <c r="B31" s="21" t="n">
        <v>27</v>
      </c>
      <c r="C31" s="21" t="n">
        <v>28.5</v>
      </c>
      <c r="D31" s="13">
        <f>C31-B31</f>
        <v/>
      </c>
      <c r="E31" s="13">
        <f>(B31+C31)/2</f>
        <v/>
      </c>
      <c r="F31" s="22" t="inlineStr">
        <is>
          <t>Sand</t>
        </is>
      </c>
      <c r="G31" s="23" t="n">
        <v>31</v>
      </c>
      <c r="H31" s="12">
        <f>IF(E31&gt;$G$5,$G$7,$G$6)</f>
        <v/>
      </c>
      <c r="I31" s="12">
        <f>I30+H31*D31</f>
        <v/>
      </c>
      <c r="J31" s="12">
        <f>I31-H31*D31/2-10*MAX(E31-$G$5,0)</f>
        <v/>
      </c>
      <c r="K31" s="24" t="n"/>
      <c r="L31" s="24" t="n"/>
      <c r="M31" s="12">
        <f>IF(K31="","",K31-L31)</f>
        <v/>
      </c>
      <c r="N31" s="25" t="n">
        <v>0.65</v>
      </c>
      <c r="O31" s="26">
        <f>IF(F31="Sand",0,Input!$G$19*G31)</f>
        <v/>
      </c>
      <c r="P31" s="12">
        <f>IF(F31="Sand",27.1+0.3*MIN(Input!$G$20*G31,60)-0.00054*MIN(Input!$G$20*G31,60)^2,MIN(MAX(DEGREES(ASIN(0.8-0.094*LN(MAX(IF(M31="",10,M31),5)))),20),30))</f>
        <v/>
      </c>
      <c r="Q31" s="27">
        <f>IF(F31="Sand",Input!$G$21*Input!$G$20*G31,Input!$G$22*O31)</f>
        <v/>
      </c>
      <c r="R31" s="13">
        <f>IF(F31="Sand",Input!$G$26,0.5)</f>
        <v/>
      </c>
      <c r="S31" s="13">
        <f>Input!$G$10/2/E31</f>
        <v/>
      </c>
      <c r="T31" s="13">
        <f>Input!$G$11/2/E31</f>
        <v/>
      </c>
      <c r="U31" s="28">
        <f>1/(4*PI())*(2*S31*T31*SQRT(S31^2+T31^2+1)/(S31^2+T31^2+1+S31^2*T31^2)*(S31^2+T31^2+2)/(S31^2+T31^2+1)+ATAN2(S31^2+T31^2+1-S31^2*T31^2,2*S31*T31*SQRT(S31^2+T31^2+1)))</f>
        <v/>
      </c>
      <c r="V31" s="12">
        <f>4*Input!$G$9*U31</f>
        <v/>
      </c>
      <c r="W31" s="29">
        <f>((Input!$G$11/Input!$G$10)*LN((1+SQRT((Input!$G$11/Input!$G$10)^2+1))*SQRT((Input!$G$11/Input!$G$10)^2+(C31/(Input!$G$10/2))^2)/((Input!$G$11/Input!$G$10)*(1+SQRT((Input!$G$11/Input!$G$10)^2+(C31/(Input!$G$10/2))^2+1))))+LN(((Input!$G$11/Input!$G$10)+SQRT((Input!$G$11/Input!$G$10)^2+1))*SQRT(1+(C31/(Input!$G$10/2))^2)/((Input!$G$11/Input!$G$10)+SQRT((Input!$G$11/Input!$G$10)^2+(C31/(Input!$G$10/2))^2+1))))/PI()</f>
        <v/>
      </c>
      <c r="X31" s="29">
        <f>(C31/(Input!$G$10/2))/(2*PI())*ATAN((Input!$G$11/Input!$G$10)/((C31/(Input!$G$10/2))*SQRT((Input!$G$11/Input!$G$10)^2+(C31/(Input!$G$10/2))^2+1)))</f>
        <v/>
      </c>
      <c r="Y31" s="13">
        <f>MAX(0,C31-MAX(B31,$G$8))/D31*IF(V31&gt;=Input!$G$27*J31,1,0)</f>
        <v/>
      </c>
      <c r="Z31" s="12">
        <f>4*Input!$G$9*(Input!$G$10/2)*(1-R31^2)/Q31*((W31-W30)+(1-2*R31)/(1-R31)*(X31-X30))*1000*Y31</f>
        <v/>
      </c>
      <c r="AA31" s="30">
        <f>IF(F31="Sand",0,0.009*(K31-10))</f>
        <v/>
      </c>
      <c r="AB31" s="30">
        <f>AA31*Input!$G$23</f>
        <v/>
      </c>
      <c r="AC31" s="26">
        <f>IF(F31="Sand",0,MAX(O31/Input!$G$24,J31))</f>
        <v/>
      </c>
      <c r="AD31" s="31">
        <f>IF(F31="Sand",0,1000*D31/(1+N31)*IF(J31+V31&lt;=AC31,AB31*LOG10((J31+V31)/J31),AB31*LOG10(AC31/J31)+AA31*LOG10((J31+V31)/AC31)))*Y31</f>
        <v/>
      </c>
      <c r="AE31" s="32">
        <f>IF(F31="Sand",0,10^(INDEX(Korelasi!$C$5:$C$11,MIN(MATCH(MIN(MAX(K31,30),120),Korelasi!$A$5:$A$11,1),6))+(MIN(MAX(K31,30),120)-INDEX(Korelasi!$A$5:$A$11,MIN(MATCH(MIN(MAX(K31,30),120),Korelasi!$A$5:$A$11,1),6)))/(INDEX(Korelasi!$A$5:$A$11,MIN(MATCH(MIN(MAX(K31,30),120),Korelasi!$A$5:$A$11,1),6)+1)-INDEX(Korelasi!$A$5:$A$11,MIN(MATCH(MIN(MAX(K31,30),120),Korelasi!$A$5:$A$11,1),6)))*(INDEX(Korelasi!$C$5:$C$11,MIN(MATCH(MIN(MAX(K31,30),120),Korelasi!$A$5:$A$11,1),6)+1)-INDEX(Korelasi!$C$5:$C$11,MIN(MATCH(MIN(MAX(K31,30),120),Korelasi!$A$5:$A$11,1),6)))))</f>
        <v/>
      </c>
      <c r="AF31" s="33">
        <f>IF(OR(F31="Sand",Y31=0),0,Input!$G$25*(D31/2)^2/(AE31*1E-4*31536000))</f>
        <v/>
      </c>
      <c r="AG31" s="13">
        <f>MAX(0,MIN(C31,Input!$G$15)-B31)</f>
        <v/>
      </c>
      <c r="AH31" s="13">
        <f>MAX(0,MIN(C31,Input!$G$15)-MAX(B31,$G$8))</f>
        <v/>
      </c>
      <c r="AI31" s="13">
        <f>MAX(0,MIN(C31,$G$106)-B31)</f>
        <v/>
      </c>
      <c r="AJ31" s="34" t="inlineStr"/>
    </row>
    <row r="32">
      <c r="A32" s="20" t="n">
        <v>20</v>
      </c>
      <c r="B32" s="21" t="n">
        <v>28.5</v>
      </c>
      <c r="C32" s="21" t="n">
        <v>30</v>
      </c>
      <c r="D32" s="13">
        <f>C32-B32</f>
        <v/>
      </c>
      <c r="E32" s="13">
        <f>(B32+C32)/2</f>
        <v/>
      </c>
      <c r="F32" s="22" t="inlineStr">
        <is>
          <t>Sand</t>
        </is>
      </c>
      <c r="G32" s="23" t="n">
        <v>50</v>
      </c>
      <c r="H32" s="12">
        <f>IF(E32&gt;$G$5,$G$7,$G$6)</f>
        <v/>
      </c>
      <c r="I32" s="12">
        <f>I31+H32*D32</f>
        <v/>
      </c>
      <c r="J32" s="12">
        <f>I32-H32*D32/2-10*MAX(E32-$G$5,0)</f>
        <v/>
      </c>
      <c r="K32" s="24" t="n"/>
      <c r="L32" s="24" t="n"/>
      <c r="M32" s="12">
        <f>IF(K32="","",K32-L32)</f>
        <v/>
      </c>
      <c r="N32" s="25" t="n">
        <v>0.65</v>
      </c>
      <c r="O32" s="26">
        <f>IF(F32="Sand",0,Input!$G$19*G32)</f>
        <v/>
      </c>
      <c r="P32" s="12">
        <f>IF(F32="Sand",27.1+0.3*MIN(Input!$G$20*G32,60)-0.00054*MIN(Input!$G$20*G32,60)^2,MIN(MAX(DEGREES(ASIN(0.8-0.094*LN(MAX(IF(M32="",10,M32),5)))),20),30))</f>
        <v/>
      </c>
      <c r="Q32" s="27">
        <f>IF(F32="Sand",Input!$G$21*Input!$G$20*G32,Input!$G$22*O32)</f>
        <v/>
      </c>
      <c r="R32" s="13">
        <f>IF(F32="Sand",Input!$G$26,0.5)</f>
        <v/>
      </c>
      <c r="S32" s="13">
        <f>Input!$G$10/2/E32</f>
        <v/>
      </c>
      <c r="T32" s="13">
        <f>Input!$G$11/2/E32</f>
        <v/>
      </c>
      <c r="U32" s="28">
        <f>1/(4*PI())*(2*S32*T32*SQRT(S32^2+T32^2+1)/(S32^2+T32^2+1+S32^2*T32^2)*(S32^2+T32^2+2)/(S32^2+T32^2+1)+ATAN2(S32^2+T32^2+1-S32^2*T32^2,2*S32*T32*SQRT(S32^2+T32^2+1)))</f>
        <v/>
      </c>
      <c r="V32" s="12">
        <f>4*Input!$G$9*U32</f>
        <v/>
      </c>
      <c r="W32" s="29">
        <f>((Input!$G$11/Input!$G$10)*LN((1+SQRT((Input!$G$11/Input!$G$10)^2+1))*SQRT((Input!$G$11/Input!$G$10)^2+(C32/(Input!$G$10/2))^2)/((Input!$G$11/Input!$G$10)*(1+SQRT((Input!$G$11/Input!$G$10)^2+(C32/(Input!$G$10/2))^2+1))))+LN(((Input!$G$11/Input!$G$10)+SQRT((Input!$G$11/Input!$G$10)^2+1))*SQRT(1+(C32/(Input!$G$10/2))^2)/((Input!$G$11/Input!$G$10)+SQRT((Input!$G$11/Input!$G$10)^2+(C32/(Input!$G$10/2))^2+1))))/PI()</f>
        <v/>
      </c>
      <c r="X32" s="29">
        <f>(C32/(Input!$G$10/2))/(2*PI())*ATAN((Input!$G$11/Input!$G$10)/((C32/(Input!$G$10/2))*SQRT((Input!$G$11/Input!$G$10)^2+(C32/(Input!$G$10/2))^2+1)))</f>
        <v/>
      </c>
      <c r="Y32" s="13">
        <f>MAX(0,C32-MAX(B32,$G$8))/D32*IF(V32&gt;=Input!$G$27*J32,1,0)</f>
        <v/>
      </c>
      <c r="Z32" s="12">
        <f>4*Input!$G$9*(Input!$G$10/2)*(1-R32^2)/Q32*((W32-W31)+(1-2*R32)/(1-R32)*(X32-X31))*1000*Y32</f>
        <v/>
      </c>
      <c r="AA32" s="30">
        <f>IF(F32="Sand",0,0.009*(K32-10))</f>
        <v/>
      </c>
      <c r="AB32" s="30">
        <f>AA32*Input!$G$23</f>
        <v/>
      </c>
      <c r="AC32" s="26">
        <f>IF(F32="Sand",0,MAX(O32/Input!$G$24,J32))</f>
        <v/>
      </c>
      <c r="AD32" s="31">
        <f>IF(F32="Sand",0,1000*D32/(1+N32)*IF(J32+V32&lt;=AC32,AB32*LOG10((J32+V32)/J32),AB32*LOG10(AC32/J32)+AA32*LOG10((J32+V32)/AC32)))*Y32</f>
        <v/>
      </c>
      <c r="AE32" s="32">
        <f>IF(F32="Sand",0,10^(INDEX(Korelasi!$C$5:$C$11,MIN(MATCH(MIN(MAX(K32,30),120),Korelasi!$A$5:$A$11,1),6))+(MIN(MAX(K32,30),120)-INDEX(Korelasi!$A$5:$A$11,MIN(MATCH(MIN(MAX(K32,30),120),Korelasi!$A$5:$A$11,1),6)))/(INDEX(Korelasi!$A$5:$A$11,MIN(MATCH(MIN(MAX(K32,30),120),Korelasi!$A$5:$A$11,1),6)+1)-INDEX(Korelasi!$A$5:$A$11,MIN(MATCH(MIN(MAX(K32,30),120),Korelasi!$A$5:$A$11,1),6)))*(INDEX(Korelasi!$C$5:$C$11,MIN(MATCH(MIN(MAX(K32,30),120),Korelasi!$A$5:$A$11,1),6)+1)-INDEX(Korelasi!$C$5:$C$11,MIN(MATCH(MIN(MAX(K32,30),120),Korelasi!$A$5:$A$11,1),6)))))</f>
        <v/>
      </c>
      <c r="AF32" s="33">
        <f>IF(OR(F32="Sand",Y32=0),0,Input!$G$25*(D32/2)^2/(AE32*1E-4*31536000))</f>
        <v/>
      </c>
      <c r="AG32" s="13">
        <f>MAX(0,MIN(C32,Input!$G$15)-B32)</f>
        <v/>
      </c>
      <c r="AH32" s="13">
        <f>MAX(0,MIN(C32,Input!$G$15)-MAX(B32,$G$8))</f>
        <v/>
      </c>
      <c r="AI32" s="13">
        <f>MAX(0,MIN(C32,$G$106)-B32)</f>
        <v/>
      </c>
      <c r="AJ32" s="34" t="inlineStr"/>
    </row>
    <row r="33">
      <c r="A33" s="20" t="n">
        <v>21</v>
      </c>
      <c r="B33" s="21" t="n">
        <v>30</v>
      </c>
      <c r="C33" s="21" t="n">
        <v>31.5</v>
      </c>
      <c r="D33" s="13">
        <f>C33-B33</f>
        <v/>
      </c>
      <c r="E33" s="13">
        <f>(B33+C33)/2</f>
        <v/>
      </c>
      <c r="F33" s="22" t="inlineStr">
        <is>
          <t>Sand</t>
        </is>
      </c>
      <c r="G33" s="23" t="n">
        <v>40</v>
      </c>
      <c r="H33" s="12">
        <f>IF(E33&gt;$G$5,$G$7,$G$6)</f>
        <v/>
      </c>
      <c r="I33" s="12">
        <f>I32+H33*D33</f>
        <v/>
      </c>
      <c r="J33" s="12">
        <f>I33-H33*D33/2-10*MAX(E33-$G$5,0)</f>
        <v/>
      </c>
      <c r="K33" s="24" t="n"/>
      <c r="L33" s="24" t="n"/>
      <c r="M33" s="12">
        <f>IF(K33="","",K33-L33)</f>
        <v/>
      </c>
      <c r="N33" s="25" t="n">
        <v>0.65</v>
      </c>
      <c r="O33" s="26">
        <f>IF(F33="Sand",0,Input!$G$19*G33)</f>
        <v/>
      </c>
      <c r="P33" s="12">
        <f>IF(F33="Sand",27.1+0.3*MIN(Input!$G$20*G33,60)-0.00054*MIN(Input!$G$20*G33,60)^2,MIN(MAX(DEGREES(ASIN(0.8-0.094*LN(MAX(IF(M33="",10,M33),5)))),20),30))</f>
        <v/>
      </c>
      <c r="Q33" s="27">
        <f>IF(F33="Sand",Input!$G$21*Input!$G$20*G33,Input!$G$22*O33)</f>
        <v/>
      </c>
      <c r="R33" s="13">
        <f>IF(F33="Sand",Input!$G$26,0.5)</f>
        <v/>
      </c>
      <c r="S33" s="13">
        <f>Input!$G$10/2/E33</f>
        <v/>
      </c>
      <c r="T33" s="13">
        <f>Input!$G$11/2/E33</f>
        <v/>
      </c>
      <c r="U33" s="28">
        <f>1/(4*PI())*(2*S33*T33*SQRT(S33^2+T33^2+1)/(S33^2+T33^2+1+S33^2*T33^2)*(S33^2+T33^2+2)/(S33^2+T33^2+1)+ATAN2(S33^2+T33^2+1-S33^2*T33^2,2*S33*T33*SQRT(S33^2+T33^2+1)))</f>
        <v/>
      </c>
      <c r="V33" s="12">
        <f>4*Input!$G$9*U33</f>
        <v/>
      </c>
      <c r="W33" s="29">
        <f>((Input!$G$11/Input!$G$10)*LN((1+SQRT((Input!$G$11/Input!$G$10)^2+1))*SQRT((Input!$G$11/Input!$G$10)^2+(C33/(Input!$G$10/2))^2)/((Input!$G$11/Input!$G$10)*(1+SQRT((Input!$G$11/Input!$G$10)^2+(C33/(Input!$G$10/2))^2+1))))+LN(((Input!$G$11/Input!$G$10)+SQRT((Input!$G$11/Input!$G$10)^2+1))*SQRT(1+(C33/(Input!$G$10/2))^2)/((Input!$G$11/Input!$G$10)+SQRT((Input!$G$11/Input!$G$10)^2+(C33/(Input!$G$10/2))^2+1))))/PI()</f>
        <v/>
      </c>
      <c r="X33" s="29">
        <f>(C33/(Input!$G$10/2))/(2*PI())*ATAN((Input!$G$11/Input!$G$10)/((C33/(Input!$G$10/2))*SQRT((Input!$G$11/Input!$G$10)^2+(C33/(Input!$G$10/2))^2+1)))</f>
        <v/>
      </c>
      <c r="Y33" s="13">
        <f>MAX(0,C33-MAX(B33,$G$8))/D33*IF(V33&gt;=Input!$G$27*J33,1,0)</f>
        <v/>
      </c>
      <c r="Z33" s="12">
        <f>4*Input!$G$9*(Input!$G$10/2)*(1-R33^2)/Q33*((W33-W32)+(1-2*R33)/(1-R33)*(X33-X32))*1000*Y33</f>
        <v/>
      </c>
      <c r="AA33" s="30">
        <f>IF(F33="Sand",0,0.009*(K33-10))</f>
        <v/>
      </c>
      <c r="AB33" s="30">
        <f>AA33*Input!$G$23</f>
        <v/>
      </c>
      <c r="AC33" s="26">
        <f>IF(F33="Sand",0,MAX(O33/Input!$G$24,J33))</f>
        <v/>
      </c>
      <c r="AD33" s="31">
        <f>IF(F33="Sand",0,1000*D33/(1+N33)*IF(J33+V33&lt;=AC33,AB33*LOG10((J33+V33)/J33),AB33*LOG10(AC33/J33)+AA33*LOG10((J33+V33)/AC33)))*Y33</f>
        <v/>
      </c>
      <c r="AE33" s="32">
        <f>IF(F33="Sand",0,10^(INDEX(Korelasi!$C$5:$C$11,MIN(MATCH(MIN(MAX(K33,30),120),Korelasi!$A$5:$A$11,1),6))+(MIN(MAX(K33,30),120)-INDEX(Korelasi!$A$5:$A$11,MIN(MATCH(MIN(MAX(K33,30),120),Korelasi!$A$5:$A$11,1),6)))/(INDEX(Korelasi!$A$5:$A$11,MIN(MATCH(MIN(MAX(K33,30),120),Korelasi!$A$5:$A$11,1),6)+1)-INDEX(Korelasi!$A$5:$A$11,MIN(MATCH(MIN(MAX(K33,30),120),Korelasi!$A$5:$A$11,1),6)))*(INDEX(Korelasi!$C$5:$C$11,MIN(MATCH(MIN(MAX(K33,30),120),Korelasi!$A$5:$A$11,1),6)+1)-INDEX(Korelasi!$C$5:$C$11,MIN(MATCH(MIN(MAX(K33,30),120),Korelasi!$A$5:$A$11,1),6)))))</f>
        <v/>
      </c>
      <c r="AF33" s="33">
        <f>IF(OR(F33="Sand",Y33=0),0,Input!$G$25*(D33/2)^2/(AE33*1E-4*31536000))</f>
        <v/>
      </c>
      <c r="AG33" s="13">
        <f>MAX(0,MIN(C33,Input!$G$15)-B33)</f>
        <v/>
      </c>
      <c r="AH33" s="13">
        <f>MAX(0,MIN(C33,Input!$G$15)-MAX(B33,$G$8))</f>
        <v/>
      </c>
      <c r="AI33" s="13">
        <f>MAX(0,MIN(C33,$G$106)-B33)</f>
        <v/>
      </c>
      <c r="AJ33" s="34" t="inlineStr"/>
    </row>
    <row r="34">
      <c r="A34" s="20" t="n">
        <v>22</v>
      </c>
      <c r="B34" s="21" t="n">
        <v>31.5</v>
      </c>
      <c r="C34" s="21" t="n">
        <v>33</v>
      </c>
      <c r="D34" s="13">
        <f>C34-B34</f>
        <v/>
      </c>
      <c r="E34" s="13">
        <f>(B34+C34)/2</f>
        <v/>
      </c>
      <c r="F34" s="22" t="inlineStr">
        <is>
          <t>Sand</t>
        </is>
      </c>
      <c r="G34" s="23" t="n">
        <v>43</v>
      </c>
      <c r="H34" s="12">
        <f>IF(E34&gt;$G$5,$G$7,$G$6)</f>
        <v/>
      </c>
      <c r="I34" s="12">
        <f>I33+H34*D34</f>
        <v/>
      </c>
      <c r="J34" s="12">
        <f>I34-H34*D34/2-10*MAX(E34-$G$5,0)</f>
        <v/>
      </c>
      <c r="K34" s="24" t="n"/>
      <c r="L34" s="24" t="n"/>
      <c r="M34" s="12">
        <f>IF(K34="","",K34-L34)</f>
        <v/>
      </c>
      <c r="N34" s="25" t="n">
        <v>0.65</v>
      </c>
      <c r="O34" s="26">
        <f>IF(F34="Sand",0,Input!$G$19*G34)</f>
        <v/>
      </c>
      <c r="P34" s="12">
        <f>IF(F34="Sand",27.1+0.3*MIN(Input!$G$20*G34,60)-0.00054*MIN(Input!$G$20*G34,60)^2,MIN(MAX(DEGREES(ASIN(0.8-0.094*LN(MAX(IF(M34="",10,M34),5)))),20),30))</f>
        <v/>
      </c>
      <c r="Q34" s="27">
        <f>IF(F34="Sand",Input!$G$21*Input!$G$20*G34,Input!$G$22*O34)</f>
        <v/>
      </c>
      <c r="R34" s="13">
        <f>IF(F34="Sand",Input!$G$26,0.5)</f>
        <v/>
      </c>
      <c r="S34" s="13">
        <f>Input!$G$10/2/E34</f>
        <v/>
      </c>
      <c r="T34" s="13">
        <f>Input!$G$11/2/E34</f>
        <v/>
      </c>
      <c r="U34" s="28">
        <f>1/(4*PI())*(2*S34*T34*SQRT(S34^2+T34^2+1)/(S34^2+T34^2+1+S34^2*T34^2)*(S34^2+T34^2+2)/(S34^2+T34^2+1)+ATAN2(S34^2+T34^2+1-S34^2*T34^2,2*S34*T34*SQRT(S34^2+T34^2+1)))</f>
        <v/>
      </c>
      <c r="V34" s="12">
        <f>4*Input!$G$9*U34</f>
        <v/>
      </c>
      <c r="W34" s="29">
        <f>((Input!$G$11/Input!$G$10)*LN((1+SQRT((Input!$G$11/Input!$G$10)^2+1))*SQRT((Input!$G$11/Input!$G$10)^2+(C34/(Input!$G$10/2))^2)/((Input!$G$11/Input!$G$10)*(1+SQRT((Input!$G$11/Input!$G$10)^2+(C34/(Input!$G$10/2))^2+1))))+LN(((Input!$G$11/Input!$G$10)+SQRT((Input!$G$11/Input!$G$10)^2+1))*SQRT(1+(C34/(Input!$G$10/2))^2)/((Input!$G$11/Input!$G$10)+SQRT((Input!$G$11/Input!$G$10)^2+(C34/(Input!$G$10/2))^2+1))))/PI()</f>
        <v/>
      </c>
      <c r="X34" s="29">
        <f>(C34/(Input!$G$10/2))/(2*PI())*ATAN((Input!$G$11/Input!$G$10)/((C34/(Input!$G$10/2))*SQRT((Input!$G$11/Input!$G$10)^2+(C34/(Input!$G$10/2))^2+1)))</f>
        <v/>
      </c>
      <c r="Y34" s="13">
        <f>MAX(0,C34-MAX(B34,$G$8))/D34*IF(V34&gt;=Input!$G$27*J34,1,0)</f>
        <v/>
      </c>
      <c r="Z34" s="12">
        <f>4*Input!$G$9*(Input!$G$10/2)*(1-R34^2)/Q34*((W34-W33)+(1-2*R34)/(1-R34)*(X34-X33))*1000*Y34</f>
        <v/>
      </c>
      <c r="AA34" s="30">
        <f>IF(F34="Sand",0,0.009*(K34-10))</f>
        <v/>
      </c>
      <c r="AB34" s="30">
        <f>AA34*Input!$G$23</f>
        <v/>
      </c>
      <c r="AC34" s="26">
        <f>IF(F34="Sand",0,MAX(O34/Input!$G$24,J34))</f>
        <v/>
      </c>
      <c r="AD34" s="31">
        <f>IF(F34="Sand",0,1000*D34/(1+N34)*IF(J34+V34&lt;=AC34,AB34*LOG10((J34+V34)/J34),AB34*LOG10(AC34/J34)+AA34*LOG10((J34+V34)/AC34)))*Y34</f>
        <v/>
      </c>
      <c r="AE34" s="32">
        <f>IF(F34="Sand",0,10^(INDEX(Korelasi!$C$5:$C$11,MIN(MATCH(MIN(MAX(K34,30),120),Korelasi!$A$5:$A$11,1),6))+(MIN(MAX(K34,30),120)-INDEX(Korelasi!$A$5:$A$11,MIN(MATCH(MIN(MAX(K34,30),120),Korelasi!$A$5:$A$11,1),6)))/(INDEX(Korelasi!$A$5:$A$11,MIN(MATCH(MIN(MAX(K34,30),120),Korelasi!$A$5:$A$11,1),6)+1)-INDEX(Korelasi!$A$5:$A$11,MIN(MATCH(MIN(MAX(K34,30),120),Korelasi!$A$5:$A$11,1),6)))*(INDEX(Korelasi!$C$5:$C$11,MIN(MATCH(MIN(MAX(K34,30),120),Korelasi!$A$5:$A$11,1),6)+1)-INDEX(Korelasi!$C$5:$C$11,MIN(MATCH(MIN(MAX(K34,30),120),Korelasi!$A$5:$A$11,1),6)))))</f>
        <v/>
      </c>
      <c r="AF34" s="33">
        <f>IF(OR(F34="Sand",Y34=0),0,Input!$G$25*(D34/2)^2/(AE34*1E-4*31536000))</f>
        <v/>
      </c>
      <c r="AG34" s="13">
        <f>MAX(0,MIN(C34,Input!$G$15)-B34)</f>
        <v/>
      </c>
      <c r="AH34" s="13">
        <f>MAX(0,MIN(C34,Input!$G$15)-MAX(B34,$G$8))</f>
        <v/>
      </c>
      <c r="AI34" s="13">
        <f>MAX(0,MIN(C34,$G$106)-B34)</f>
        <v/>
      </c>
      <c r="AJ34" s="34" t="inlineStr"/>
    </row>
    <row r="35">
      <c r="A35" s="20" t="n">
        <v>23</v>
      </c>
      <c r="B35" s="21" t="n">
        <v>33</v>
      </c>
      <c r="C35" s="21" t="n">
        <v>34.5</v>
      </c>
      <c r="D35" s="13">
        <f>C35-B35</f>
        <v/>
      </c>
      <c r="E35" s="13">
        <f>(B35+C35)/2</f>
        <v/>
      </c>
      <c r="F35" s="22" t="inlineStr">
        <is>
          <t>Sand</t>
        </is>
      </c>
      <c r="G35" s="23" t="n">
        <v>26</v>
      </c>
      <c r="H35" s="12">
        <f>IF(E35&gt;$G$5,$G$7,$G$6)</f>
        <v/>
      </c>
      <c r="I35" s="12">
        <f>I34+H35*D35</f>
        <v/>
      </c>
      <c r="J35" s="12">
        <f>I35-H35*D35/2-10*MAX(E35-$G$5,0)</f>
        <v/>
      </c>
      <c r="K35" s="24" t="n"/>
      <c r="L35" s="24" t="n"/>
      <c r="M35" s="12">
        <f>IF(K35="","",K35-L35)</f>
        <v/>
      </c>
      <c r="N35" s="25" t="n">
        <v>0.65</v>
      </c>
      <c r="O35" s="26">
        <f>IF(F35="Sand",0,Input!$G$19*G35)</f>
        <v/>
      </c>
      <c r="P35" s="12">
        <f>IF(F35="Sand",27.1+0.3*MIN(Input!$G$20*G35,60)-0.00054*MIN(Input!$G$20*G35,60)^2,MIN(MAX(DEGREES(ASIN(0.8-0.094*LN(MAX(IF(M35="",10,M35),5)))),20),30))</f>
        <v/>
      </c>
      <c r="Q35" s="27">
        <f>IF(F35="Sand",Input!$G$21*Input!$G$20*G35,Input!$G$22*O35)</f>
        <v/>
      </c>
      <c r="R35" s="13">
        <f>IF(F35="Sand",Input!$G$26,0.5)</f>
        <v/>
      </c>
      <c r="S35" s="13">
        <f>Input!$G$10/2/E35</f>
        <v/>
      </c>
      <c r="T35" s="13">
        <f>Input!$G$11/2/E35</f>
        <v/>
      </c>
      <c r="U35" s="28">
        <f>1/(4*PI())*(2*S35*T35*SQRT(S35^2+T35^2+1)/(S35^2+T35^2+1+S35^2*T35^2)*(S35^2+T35^2+2)/(S35^2+T35^2+1)+ATAN2(S35^2+T35^2+1-S35^2*T35^2,2*S35*T35*SQRT(S35^2+T35^2+1)))</f>
        <v/>
      </c>
      <c r="V35" s="12">
        <f>4*Input!$G$9*U35</f>
        <v/>
      </c>
      <c r="W35" s="29">
        <f>((Input!$G$11/Input!$G$10)*LN((1+SQRT((Input!$G$11/Input!$G$10)^2+1))*SQRT((Input!$G$11/Input!$G$10)^2+(C35/(Input!$G$10/2))^2)/((Input!$G$11/Input!$G$10)*(1+SQRT((Input!$G$11/Input!$G$10)^2+(C35/(Input!$G$10/2))^2+1))))+LN(((Input!$G$11/Input!$G$10)+SQRT((Input!$G$11/Input!$G$10)^2+1))*SQRT(1+(C35/(Input!$G$10/2))^2)/((Input!$G$11/Input!$G$10)+SQRT((Input!$G$11/Input!$G$10)^2+(C35/(Input!$G$10/2))^2+1))))/PI()</f>
        <v/>
      </c>
      <c r="X35" s="29">
        <f>(C35/(Input!$G$10/2))/(2*PI())*ATAN((Input!$G$11/Input!$G$10)/((C35/(Input!$G$10/2))*SQRT((Input!$G$11/Input!$G$10)^2+(C35/(Input!$G$10/2))^2+1)))</f>
        <v/>
      </c>
      <c r="Y35" s="13">
        <f>MAX(0,C35-MAX(B35,$G$8))/D35*IF(V35&gt;=Input!$G$27*J35,1,0)</f>
        <v/>
      </c>
      <c r="Z35" s="12">
        <f>4*Input!$G$9*(Input!$G$10/2)*(1-R35^2)/Q35*((W35-W34)+(1-2*R35)/(1-R35)*(X35-X34))*1000*Y35</f>
        <v/>
      </c>
      <c r="AA35" s="30">
        <f>IF(F35="Sand",0,0.009*(K35-10))</f>
        <v/>
      </c>
      <c r="AB35" s="30">
        <f>AA35*Input!$G$23</f>
        <v/>
      </c>
      <c r="AC35" s="26">
        <f>IF(F35="Sand",0,MAX(O35/Input!$G$24,J35))</f>
        <v/>
      </c>
      <c r="AD35" s="31">
        <f>IF(F35="Sand",0,1000*D35/(1+N35)*IF(J35+V35&lt;=AC35,AB35*LOG10((J35+V35)/J35),AB35*LOG10(AC35/J35)+AA35*LOG10((J35+V35)/AC35)))*Y35</f>
        <v/>
      </c>
      <c r="AE35" s="32">
        <f>IF(F35="Sand",0,10^(INDEX(Korelasi!$C$5:$C$11,MIN(MATCH(MIN(MAX(K35,30),120),Korelasi!$A$5:$A$11,1),6))+(MIN(MAX(K35,30),120)-INDEX(Korelasi!$A$5:$A$11,MIN(MATCH(MIN(MAX(K35,30),120),Korelasi!$A$5:$A$11,1),6)))/(INDEX(Korelasi!$A$5:$A$11,MIN(MATCH(MIN(MAX(K35,30),120),Korelasi!$A$5:$A$11,1),6)+1)-INDEX(Korelasi!$A$5:$A$11,MIN(MATCH(MIN(MAX(K35,30),120),Korelasi!$A$5:$A$11,1),6)))*(INDEX(Korelasi!$C$5:$C$11,MIN(MATCH(MIN(MAX(K35,30),120),Korelasi!$A$5:$A$11,1),6)+1)-INDEX(Korelasi!$C$5:$C$11,MIN(MATCH(MIN(MAX(K35,30),120),Korelasi!$A$5:$A$11,1),6)))))</f>
        <v/>
      </c>
      <c r="AF35" s="33">
        <f>IF(OR(F35="Sand",Y35=0),0,Input!$G$25*(D35/2)^2/(AE35*1E-4*31536000))</f>
        <v/>
      </c>
      <c r="AG35" s="13">
        <f>MAX(0,MIN(C35,Input!$G$15)-B35)</f>
        <v/>
      </c>
      <c r="AH35" s="13">
        <f>MAX(0,MIN(C35,Input!$G$15)-MAX(B35,$G$8))</f>
        <v/>
      </c>
      <c r="AI35" s="13">
        <f>MAX(0,MIN(C35,$G$106)-B35)</f>
        <v/>
      </c>
      <c r="AJ35" s="34" t="inlineStr"/>
    </row>
    <row r="36">
      <c r="A36" s="20" t="n">
        <v>24</v>
      </c>
      <c r="B36" s="21" t="n">
        <v>34.5</v>
      </c>
      <c r="C36" s="21" t="n">
        <v>36</v>
      </c>
      <c r="D36" s="13">
        <f>C36-B36</f>
        <v/>
      </c>
      <c r="E36" s="13">
        <f>(B36+C36)/2</f>
        <v/>
      </c>
      <c r="F36" s="22" t="inlineStr">
        <is>
          <t>Sand</t>
        </is>
      </c>
      <c r="G36" s="23" t="n">
        <v>53</v>
      </c>
      <c r="H36" s="12">
        <f>IF(E36&gt;$G$5,$G$7,$G$6)</f>
        <v/>
      </c>
      <c r="I36" s="12">
        <f>I35+H36*D36</f>
        <v/>
      </c>
      <c r="J36" s="12">
        <f>I36-H36*D36/2-10*MAX(E36-$G$5,0)</f>
        <v/>
      </c>
      <c r="K36" s="24" t="n"/>
      <c r="L36" s="24" t="n"/>
      <c r="M36" s="12">
        <f>IF(K36="","",K36-L36)</f>
        <v/>
      </c>
      <c r="N36" s="25" t="n">
        <v>0.65</v>
      </c>
      <c r="O36" s="26">
        <f>IF(F36="Sand",0,Input!$G$19*G36)</f>
        <v/>
      </c>
      <c r="P36" s="12">
        <f>IF(F36="Sand",27.1+0.3*MIN(Input!$G$20*G36,60)-0.00054*MIN(Input!$G$20*G36,60)^2,MIN(MAX(DEGREES(ASIN(0.8-0.094*LN(MAX(IF(M36="",10,M36),5)))),20),30))</f>
        <v/>
      </c>
      <c r="Q36" s="27">
        <f>IF(F36="Sand",Input!$G$21*Input!$G$20*G36,Input!$G$22*O36)</f>
        <v/>
      </c>
      <c r="R36" s="13">
        <f>IF(F36="Sand",Input!$G$26,0.5)</f>
        <v/>
      </c>
      <c r="S36" s="13">
        <f>Input!$G$10/2/E36</f>
        <v/>
      </c>
      <c r="T36" s="13">
        <f>Input!$G$11/2/E36</f>
        <v/>
      </c>
      <c r="U36" s="28">
        <f>1/(4*PI())*(2*S36*T36*SQRT(S36^2+T36^2+1)/(S36^2+T36^2+1+S36^2*T36^2)*(S36^2+T36^2+2)/(S36^2+T36^2+1)+ATAN2(S36^2+T36^2+1-S36^2*T36^2,2*S36*T36*SQRT(S36^2+T36^2+1)))</f>
        <v/>
      </c>
      <c r="V36" s="12">
        <f>4*Input!$G$9*U36</f>
        <v/>
      </c>
      <c r="W36" s="29">
        <f>((Input!$G$11/Input!$G$10)*LN((1+SQRT((Input!$G$11/Input!$G$10)^2+1))*SQRT((Input!$G$11/Input!$G$10)^2+(C36/(Input!$G$10/2))^2)/((Input!$G$11/Input!$G$10)*(1+SQRT((Input!$G$11/Input!$G$10)^2+(C36/(Input!$G$10/2))^2+1))))+LN(((Input!$G$11/Input!$G$10)+SQRT((Input!$G$11/Input!$G$10)^2+1))*SQRT(1+(C36/(Input!$G$10/2))^2)/((Input!$G$11/Input!$G$10)+SQRT((Input!$G$11/Input!$G$10)^2+(C36/(Input!$G$10/2))^2+1))))/PI()</f>
        <v/>
      </c>
      <c r="X36" s="29">
        <f>(C36/(Input!$G$10/2))/(2*PI())*ATAN((Input!$G$11/Input!$G$10)/((C36/(Input!$G$10/2))*SQRT((Input!$G$11/Input!$G$10)^2+(C36/(Input!$G$10/2))^2+1)))</f>
        <v/>
      </c>
      <c r="Y36" s="13">
        <f>MAX(0,C36-MAX(B36,$G$8))/D36*IF(V36&gt;=Input!$G$27*J36,1,0)</f>
        <v/>
      </c>
      <c r="Z36" s="12">
        <f>4*Input!$G$9*(Input!$G$10/2)*(1-R36^2)/Q36*((W36-W35)+(1-2*R36)/(1-R36)*(X36-X35))*1000*Y36</f>
        <v/>
      </c>
      <c r="AA36" s="30">
        <f>IF(F36="Sand",0,0.009*(K36-10))</f>
        <v/>
      </c>
      <c r="AB36" s="30">
        <f>AA36*Input!$G$23</f>
        <v/>
      </c>
      <c r="AC36" s="26">
        <f>IF(F36="Sand",0,MAX(O36/Input!$G$24,J36))</f>
        <v/>
      </c>
      <c r="AD36" s="31">
        <f>IF(F36="Sand",0,1000*D36/(1+N36)*IF(J36+V36&lt;=AC36,AB36*LOG10((J36+V36)/J36),AB36*LOG10(AC36/J36)+AA36*LOG10((J36+V36)/AC36)))*Y36</f>
        <v/>
      </c>
      <c r="AE36" s="32">
        <f>IF(F36="Sand",0,10^(INDEX(Korelasi!$C$5:$C$11,MIN(MATCH(MIN(MAX(K36,30),120),Korelasi!$A$5:$A$11,1),6))+(MIN(MAX(K36,30),120)-INDEX(Korelasi!$A$5:$A$11,MIN(MATCH(MIN(MAX(K36,30),120),Korelasi!$A$5:$A$11,1),6)))/(INDEX(Korelasi!$A$5:$A$11,MIN(MATCH(MIN(MAX(K36,30),120),Korelasi!$A$5:$A$11,1),6)+1)-INDEX(Korelasi!$A$5:$A$11,MIN(MATCH(MIN(MAX(K36,30),120),Korelasi!$A$5:$A$11,1),6)))*(INDEX(Korelasi!$C$5:$C$11,MIN(MATCH(MIN(MAX(K36,30),120),Korelasi!$A$5:$A$11,1),6)+1)-INDEX(Korelasi!$C$5:$C$11,MIN(MATCH(MIN(MAX(K36,30),120),Korelasi!$A$5:$A$11,1),6)))))</f>
        <v/>
      </c>
      <c r="AF36" s="33">
        <f>IF(OR(F36="Sand",Y36=0),0,Input!$G$25*(D36/2)^2/(AE36*1E-4*31536000))</f>
        <v/>
      </c>
      <c r="AG36" s="13">
        <f>MAX(0,MIN(C36,Input!$G$15)-B36)</f>
        <v/>
      </c>
      <c r="AH36" s="13">
        <f>MAX(0,MIN(C36,Input!$G$15)-MAX(B36,$G$8))</f>
        <v/>
      </c>
      <c r="AI36" s="13">
        <f>MAX(0,MIN(C36,$G$106)-B36)</f>
        <v/>
      </c>
      <c r="AJ36" s="34" t="inlineStr"/>
    </row>
    <row r="37">
      <c r="A37" s="20" t="n">
        <v>25</v>
      </c>
      <c r="B37" s="21" t="n">
        <v>36</v>
      </c>
      <c r="C37" s="21" t="n">
        <v>37.5</v>
      </c>
      <c r="D37" s="13">
        <f>C37-B37</f>
        <v/>
      </c>
      <c r="E37" s="13">
        <f>(B37+C37)/2</f>
        <v/>
      </c>
      <c r="F37" s="22" t="inlineStr">
        <is>
          <t>Sand</t>
        </is>
      </c>
      <c r="G37" s="23" t="n">
        <v>54</v>
      </c>
      <c r="H37" s="12">
        <f>IF(E37&gt;$G$5,$G$7,$G$6)</f>
        <v/>
      </c>
      <c r="I37" s="12">
        <f>I36+H37*D37</f>
        <v/>
      </c>
      <c r="J37" s="12">
        <f>I37-H37*D37/2-10*MAX(E37-$G$5,0)</f>
        <v/>
      </c>
      <c r="K37" s="24" t="n"/>
      <c r="L37" s="24" t="n"/>
      <c r="M37" s="12">
        <f>IF(K37="","",K37-L37)</f>
        <v/>
      </c>
      <c r="N37" s="25" t="n">
        <v>0.65</v>
      </c>
      <c r="O37" s="26">
        <f>IF(F37="Sand",0,Input!$G$19*G37)</f>
        <v/>
      </c>
      <c r="P37" s="12">
        <f>IF(F37="Sand",27.1+0.3*MIN(Input!$G$20*G37,60)-0.00054*MIN(Input!$G$20*G37,60)^2,MIN(MAX(DEGREES(ASIN(0.8-0.094*LN(MAX(IF(M37="",10,M37),5)))),20),30))</f>
        <v/>
      </c>
      <c r="Q37" s="27">
        <f>IF(F37="Sand",Input!$G$21*Input!$G$20*G37,Input!$G$22*O37)</f>
        <v/>
      </c>
      <c r="R37" s="13">
        <f>IF(F37="Sand",Input!$G$26,0.5)</f>
        <v/>
      </c>
      <c r="S37" s="13">
        <f>Input!$G$10/2/E37</f>
        <v/>
      </c>
      <c r="T37" s="13">
        <f>Input!$G$11/2/E37</f>
        <v/>
      </c>
      <c r="U37" s="28">
        <f>1/(4*PI())*(2*S37*T37*SQRT(S37^2+T37^2+1)/(S37^2+T37^2+1+S37^2*T37^2)*(S37^2+T37^2+2)/(S37^2+T37^2+1)+ATAN2(S37^2+T37^2+1-S37^2*T37^2,2*S37*T37*SQRT(S37^2+T37^2+1)))</f>
        <v/>
      </c>
      <c r="V37" s="12">
        <f>4*Input!$G$9*U37</f>
        <v/>
      </c>
      <c r="W37" s="29">
        <f>((Input!$G$11/Input!$G$10)*LN((1+SQRT((Input!$G$11/Input!$G$10)^2+1))*SQRT((Input!$G$11/Input!$G$10)^2+(C37/(Input!$G$10/2))^2)/((Input!$G$11/Input!$G$10)*(1+SQRT((Input!$G$11/Input!$G$10)^2+(C37/(Input!$G$10/2))^2+1))))+LN(((Input!$G$11/Input!$G$10)+SQRT((Input!$G$11/Input!$G$10)^2+1))*SQRT(1+(C37/(Input!$G$10/2))^2)/((Input!$G$11/Input!$G$10)+SQRT((Input!$G$11/Input!$G$10)^2+(C37/(Input!$G$10/2))^2+1))))/PI()</f>
        <v/>
      </c>
      <c r="X37" s="29">
        <f>(C37/(Input!$G$10/2))/(2*PI())*ATAN((Input!$G$11/Input!$G$10)/((C37/(Input!$G$10/2))*SQRT((Input!$G$11/Input!$G$10)^2+(C37/(Input!$G$10/2))^2+1)))</f>
        <v/>
      </c>
      <c r="Y37" s="13">
        <f>MAX(0,C37-MAX(B37,$G$8))/D37*IF(V37&gt;=Input!$G$27*J37,1,0)</f>
        <v/>
      </c>
      <c r="Z37" s="12">
        <f>4*Input!$G$9*(Input!$G$10/2)*(1-R37^2)/Q37*((W37-W36)+(1-2*R37)/(1-R37)*(X37-X36))*1000*Y37</f>
        <v/>
      </c>
      <c r="AA37" s="30">
        <f>IF(F37="Sand",0,0.009*(K37-10))</f>
        <v/>
      </c>
      <c r="AB37" s="30">
        <f>AA37*Input!$G$23</f>
        <v/>
      </c>
      <c r="AC37" s="26">
        <f>IF(F37="Sand",0,MAX(O37/Input!$G$24,J37))</f>
        <v/>
      </c>
      <c r="AD37" s="31">
        <f>IF(F37="Sand",0,1000*D37/(1+N37)*IF(J37+V37&lt;=AC37,AB37*LOG10((J37+V37)/J37),AB37*LOG10(AC37/J37)+AA37*LOG10((J37+V37)/AC37)))*Y37</f>
        <v/>
      </c>
      <c r="AE37" s="32">
        <f>IF(F37="Sand",0,10^(INDEX(Korelasi!$C$5:$C$11,MIN(MATCH(MIN(MAX(K37,30),120),Korelasi!$A$5:$A$11,1),6))+(MIN(MAX(K37,30),120)-INDEX(Korelasi!$A$5:$A$11,MIN(MATCH(MIN(MAX(K37,30),120),Korelasi!$A$5:$A$11,1),6)))/(INDEX(Korelasi!$A$5:$A$11,MIN(MATCH(MIN(MAX(K37,30),120),Korelasi!$A$5:$A$11,1),6)+1)-INDEX(Korelasi!$A$5:$A$11,MIN(MATCH(MIN(MAX(K37,30),120),Korelasi!$A$5:$A$11,1),6)))*(INDEX(Korelasi!$C$5:$C$11,MIN(MATCH(MIN(MAX(K37,30),120),Korelasi!$A$5:$A$11,1),6)+1)-INDEX(Korelasi!$C$5:$C$11,MIN(MATCH(MIN(MAX(K37,30),120),Korelasi!$A$5:$A$11,1),6)))))</f>
        <v/>
      </c>
      <c r="AF37" s="33">
        <f>IF(OR(F37="Sand",Y37=0),0,Input!$G$25*(D37/2)^2/(AE37*1E-4*31536000))</f>
        <v/>
      </c>
      <c r="AG37" s="13">
        <f>MAX(0,MIN(C37,Input!$G$15)-B37)</f>
        <v/>
      </c>
      <c r="AH37" s="13">
        <f>MAX(0,MIN(C37,Input!$G$15)-MAX(B37,$G$8))</f>
        <v/>
      </c>
      <c r="AI37" s="13">
        <f>MAX(0,MIN(C37,$G$106)-B37)</f>
        <v/>
      </c>
      <c r="AJ37" s="34" t="inlineStr"/>
    </row>
    <row r="38">
      <c r="A38" s="20" t="n">
        <v>26</v>
      </c>
      <c r="B38" s="21" t="n">
        <v>37.5</v>
      </c>
      <c r="C38" s="21" t="n">
        <v>39</v>
      </c>
      <c r="D38" s="13">
        <f>C38-B38</f>
        <v/>
      </c>
      <c r="E38" s="13">
        <f>(B38+C38)/2</f>
        <v/>
      </c>
      <c r="F38" s="22" t="inlineStr">
        <is>
          <t>Sand</t>
        </is>
      </c>
      <c r="G38" s="23" t="n">
        <v>50</v>
      </c>
      <c r="H38" s="12">
        <f>IF(E38&gt;$G$5,$G$7,$G$6)</f>
        <v/>
      </c>
      <c r="I38" s="12">
        <f>I37+H38*D38</f>
        <v/>
      </c>
      <c r="J38" s="12">
        <f>I38-H38*D38/2-10*MAX(E38-$G$5,0)</f>
        <v/>
      </c>
      <c r="K38" s="24" t="n"/>
      <c r="L38" s="24" t="n"/>
      <c r="M38" s="12">
        <f>IF(K38="","",K38-L38)</f>
        <v/>
      </c>
      <c r="N38" s="25" t="n">
        <v>0.65</v>
      </c>
      <c r="O38" s="26">
        <f>IF(F38="Sand",0,Input!$G$19*G38)</f>
        <v/>
      </c>
      <c r="P38" s="12">
        <f>IF(F38="Sand",27.1+0.3*MIN(Input!$G$20*G38,60)-0.00054*MIN(Input!$G$20*G38,60)^2,MIN(MAX(DEGREES(ASIN(0.8-0.094*LN(MAX(IF(M38="",10,M38),5)))),20),30))</f>
        <v/>
      </c>
      <c r="Q38" s="27">
        <f>IF(F38="Sand",Input!$G$21*Input!$G$20*G38,Input!$G$22*O38)</f>
        <v/>
      </c>
      <c r="R38" s="13">
        <f>IF(F38="Sand",Input!$G$26,0.5)</f>
        <v/>
      </c>
      <c r="S38" s="13">
        <f>Input!$G$10/2/E38</f>
        <v/>
      </c>
      <c r="T38" s="13">
        <f>Input!$G$11/2/E38</f>
        <v/>
      </c>
      <c r="U38" s="28">
        <f>1/(4*PI())*(2*S38*T38*SQRT(S38^2+T38^2+1)/(S38^2+T38^2+1+S38^2*T38^2)*(S38^2+T38^2+2)/(S38^2+T38^2+1)+ATAN2(S38^2+T38^2+1-S38^2*T38^2,2*S38*T38*SQRT(S38^2+T38^2+1)))</f>
        <v/>
      </c>
      <c r="V38" s="12">
        <f>4*Input!$G$9*U38</f>
        <v/>
      </c>
      <c r="W38" s="29">
        <f>((Input!$G$11/Input!$G$10)*LN((1+SQRT((Input!$G$11/Input!$G$10)^2+1))*SQRT((Input!$G$11/Input!$G$10)^2+(C38/(Input!$G$10/2))^2)/((Input!$G$11/Input!$G$10)*(1+SQRT((Input!$G$11/Input!$G$10)^2+(C38/(Input!$G$10/2))^2+1))))+LN(((Input!$G$11/Input!$G$10)+SQRT((Input!$G$11/Input!$G$10)^2+1))*SQRT(1+(C38/(Input!$G$10/2))^2)/((Input!$G$11/Input!$G$10)+SQRT((Input!$G$11/Input!$G$10)^2+(C38/(Input!$G$10/2))^2+1))))/PI()</f>
        <v/>
      </c>
      <c r="X38" s="29">
        <f>(C38/(Input!$G$10/2))/(2*PI())*ATAN((Input!$G$11/Input!$G$10)/((C38/(Input!$G$10/2))*SQRT((Input!$G$11/Input!$G$10)^2+(C38/(Input!$G$10/2))^2+1)))</f>
        <v/>
      </c>
      <c r="Y38" s="13">
        <f>MAX(0,C38-MAX(B38,$G$8))/D38*IF(V38&gt;=Input!$G$27*J38,1,0)</f>
        <v/>
      </c>
      <c r="Z38" s="12">
        <f>4*Input!$G$9*(Input!$G$10/2)*(1-R38^2)/Q38*((W38-W37)+(1-2*R38)/(1-R38)*(X38-X37))*1000*Y38</f>
        <v/>
      </c>
      <c r="AA38" s="30">
        <f>IF(F38="Sand",0,0.009*(K38-10))</f>
        <v/>
      </c>
      <c r="AB38" s="30">
        <f>AA38*Input!$G$23</f>
        <v/>
      </c>
      <c r="AC38" s="26">
        <f>IF(F38="Sand",0,MAX(O38/Input!$G$24,J38))</f>
        <v/>
      </c>
      <c r="AD38" s="31">
        <f>IF(F38="Sand",0,1000*D38/(1+N38)*IF(J38+V38&lt;=AC38,AB38*LOG10((J38+V38)/J38),AB38*LOG10(AC38/J38)+AA38*LOG10((J38+V38)/AC38)))*Y38</f>
        <v/>
      </c>
      <c r="AE38" s="32">
        <f>IF(F38="Sand",0,10^(INDEX(Korelasi!$C$5:$C$11,MIN(MATCH(MIN(MAX(K38,30),120),Korelasi!$A$5:$A$11,1),6))+(MIN(MAX(K38,30),120)-INDEX(Korelasi!$A$5:$A$11,MIN(MATCH(MIN(MAX(K38,30),120),Korelasi!$A$5:$A$11,1),6)))/(INDEX(Korelasi!$A$5:$A$11,MIN(MATCH(MIN(MAX(K38,30),120),Korelasi!$A$5:$A$11,1),6)+1)-INDEX(Korelasi!$A$5:$A$11,MIN(MATCH(MIN(MAX(K38,30),120),Korelasi!$A$5:$A$11,1),6)))*(INDEX(Korelasi!$C$5:$C$11,MIN(MATCH(MIN(MAX(K38,30),120),Korelasi!$A$5:$A$11,1),6)+1)-INDEX(Korelasi!$C$5:$C$11,MIN(MATCH(MIN(MAX(K38,30),120),Korelasi!$A$5:$A$11,1),6)))))</f>
        <v/>
      </c>
      <c r="AF38" s="33">
        <f>IF(OR(F38="Sand",Y38=0),0,Input!$G$25*(D38/2)^2/(AE38*1E-4*31536000))</f>
        <v/>
      </c>
      <c r="AG38" s="13">
        <f>MAX(0,MIN(C38,Input!$G$15)-B38)</f>
        <v/>
      </c>
      <c r="AH38" s="13">
        <f>MAX(0,MIN(C38,Input!$G$15)-MAX(B38,$G$8))</f>
        <v/>
      </c>
      <c r="AI38" s="13">
        <f>MAX(0,MIN(C38,$G$106)-B38)</f>
        <v/>
      </c>
      <c r="AJ38" s="34" t="inlineStr"/>
    </row>
    <row r="39">
      <c r="A39" s="20" t="n">
        <v>27</v>
      </c>
      <c r="B39" s="21" t="n">
        <v>39</v>
      </c>
      <c r="C39" s="21" t="n">
        <v>40.5</v>
      </c>
      <c r="D39" s="13">
        <f>C39-B39</f>
        <v/>
      </c>
      <c r="E39" s="13">
        <f>(B39+C39)/2</f>
        <v/>
      </c>
      <c r="F39" s="22" t="inlineStr">
        <is>
          <t>Sand</t>
        </is>
      </c>
      <c r="G39" s="23" t="n">
        <v>50</v>
      </c>
      <c r="H39" s="12">
        <f>IF(E39&gt;$G$5,$G$7,$G$6)</f>
        <v/>
      </c>
      <c r="I39" s="12">
        <f>I38+H39*D39</f>
        <v/>
      </c>
      <c r="J39" s="12">
        <f>I39-H39*D39/2-10*MAX(E39-$G$5,0)</f>
        <v/>
      </c>
      <c r="K39" s="24" t="n"/>
      <c r="L39" s="24" t="n"/>
      <c r="M39" s="12">
        <f>IF(K39="","",K39-L39)</f>
        <v/>
      </c>
      <c r="N39" s="25" t="n">
        <v>0.65</v>
      </c>
      <c r="O39" s="26">
        <f>IF(F39="Sand",0,Input!$G$19*G39)</f>
        <v/>
      </c>
      <c r="P39" s="12">
        <f>IF(F39="Sand",27.1+0.3*MIN(Input!$G$20*G39,60)-0.00054*MIN(Input!$G$20*G39,60)^2,MIN(MAX(DEGREES(ASIN(0.8-0.094*LN(MAX(IF(M39="",10,M39),5)))),20),30))</f>
        <v/>
      </c>
      <c r="Q39" s="27">
        <f>IF(F39="Sand",Input!$G$21*Input!$G$20*G39,Input!$G$22*O39)</f>
        <v/>
      </c>
      <c r="R39" s="13">
        <f>IF(F39="Sand",Input!$G$26,0.5)</f>
        <v/>
      </c>
      <c r="S39" s="13">
        <f>Input!$G$10/2/E39</f>
        <v/>
      </c>
      <c r="T39" s="13">
        <f>Input!$G$11/2/E39</f>
        <v/>
      </c>
      <c r="U39" s="28">
        <f>1/(4*PI())*(2*S39*T39*SQRT(S39^2+T39^2+1)/(S39^2+T39^2+1+S39^2*T39^2)*(S39^2+T39^2+2)/(S39^2+T39^2+1)+ATAN2(S39^2+T39^2+1-S39^2*T39^2,2*S39*T39*SQRT(S39^2+T39^2+1)))</f>
        <v/>
      </c>
      <c r="V39" s="12">
        <f>4*Input!$G$9*U39</f>
        <v/>
      </c>
      <c r="W39" s="29">
        <f>((Input!$G$11/Input!$G$10)*LN((1+SQRT((Input!$G$11/Input!$G$10)^2+1))*SQRT((Input!$G$11/Input!$G$10)^2+(C39/(Input!$G$10/2))^2)/((Input!$G$11/Input!$G$10)*(1+SQRT((Input!$G$11/Input!$G$10)^2+(C39/(Input!$G$10/2))^2+1))))+LN(((Input!$G$11/Input!$G$10)+SQRT((Input!$G$11/Input!$G$10)^2+1))*SQRT(1+(C39/(Input!$G$10/2))^2)/((Input!$G$11/Input!$G$10)+SQRT((Input!$G$11/Input!$G$10)^2+(C39/(Input!$G$10/2))^2+1))))/PI()</f>
        <v/>
      </c>
      <c r="X39" s="29">
        <f>(C39/(Input!$G$10/2))/(2*PI())*ATAN((Input!$G$11/Input!$G$10)/((C39/(Input!$G$10/2))*SQRT((Input!$G$11/Input!$G$10)^2+(C39/(Input!$G$10/2))^2+1)))</f>
        <v/>
      </c>
      <c r="Y39" s="13">
        <f>MAX(0,C39-MAX(B39,$G$8))/D39*IF(V39&gt;=Input!$G$27*J39,1,0)</f>
        <v/>
      </c>
      <c r="Z39" s="12">
        <f>4*Input!$G$9*(Input!$G$10/2)*(1-R39^2)/Q39*((W39-W38)+(1-2*R39)/(1-R39)*(X39-X38))*1000*Y39</f>
        <v/>
      </c>
      <c r="AA39" s="30">
        <f>IF(F39="Sand",0,0.009*(K39-10))</f>
        <v/>
      </c>
      <c r="AB39" s="30">
        <f>AA39*Input!$G$23</f>
        <v/>
      </c>
      <c r="AC39" s="26">
        <f>IF(F39="Sand",0,MAX(O39/Input!$G$24,J39))</f>
        <v/>
      </c>
      <c r="AD39" s="31">
        <f>IF(F39="Sand",0,1000*D39/(1+N39)*IF(J39+V39&lt;=AC39,AB39*LOG10((J39+V39)/J39),AB39*LOG10(AC39/J39)+AA39*LOG10((J39+V39)/AC39)))*Y39</f>
        <v/>
      </c>
      <c r="AE39" s="32">
        <f>IF(F39="Sand",0,10^(INDEX(Korelasi!$C$5:$C$11,MIN(MATCH(MIN(MAX(K39,30),120),Korelasi!$A$5:$A$11,1),6))+(MIN(MAX(K39,30),120)-INDEX(Korelasi!$A$5:$A$11,MIN(MATCH(MIN(MAX(K39,30),120),Korelasi!$A$5:$A$11,1),6)))/(INDEX(Korelasi!$A$5:$A$11,MIN(MATCH(MIN(MAX(K39,30),120),Korelasi!$A$5:$A$11,1),6)+1)-INDEX(Korelasi!$A$5:$A$11,MIN(MATCH(MIN(MAX(K39,30),120),Korelasi!$A$5:$A$11,1),6)))*(INDEX(Korelasi!$C$5:$C$11,MIN(MATCH(MIN(MAX(K39,30),120),Korelasi!$A$5:$A$11,1),6)+1)-INDEX(Korelasi!$C$5:$C$11,MIN(MATCH(MIN(MAX(K39,30),120),Korelasi!$A$5:$A$11,1),6)))))</f>
        <v/>
      </c>
      <c r="AF39" s="33">
        <f>IF(OR(F39="Sand",Y39=0),0,Input!$G$25*(D39/2)^2/(AE39*1E-4*31536000))</f>
        <v/>
      </c>
      <c r="AG39" s="13">
        <f>MAX(0,MIN(C39,Input!$G$15)-B39)</f>
        <v/>
      </c>
      <c r="AH39" s="13">
        <f>MAX(0,MIN(C39,Input!$G$15)-MAX(B39,$G$8))</f>
        <v/>
      </c>
      <c r="AI39" s="13">
        <f>MAX(0,MIN(C39,$G$106)-B39)</f>
        <v/>
      </c>
      <c r="AJ39" s="34" t="inlineStr"/>
    </row>
    <row r="40">
      <c r="A40" s="20" t="n">
        <v>28</v>
      </c>
      <c r="B40" s="21" t="n">
        <v>40.5</v>
      </c>
      <c r="C40" s="21" t="n">
        <v>42</v>
      </c>
      <c r="D40" s="13">
        <f>C40-B40</f>
        <v/>
      </c>
      <c r="E40" s="13">
        <f>(B40+C40)/2</f>
        <v/>
      </c>
      <c r="F40" s="22" t="inlineStr">
        <is>
          <t>Sand</t>
        </is>
      </c>
      <c r="G40" s="23" t="n">
        <v>37</v>
      </c>
      <c r="H40" s="12">
        <f>IF(E40&gt;$G$5,$G$7,$G$6)</f>
        <v/>
      </c>
      <c r="I40" s="12">
        <f>I39+H40*D40</f>
        <v/>
      </c>
      <c r="J40" s="12">
        <f>I40-H40*D40/2-10*MAX(E40-$G$5,0)</f>
        <v/>
      </c>
      <c r="K40" s="24" t="n"/>
      <c r="L40" s="24" t="n"/>
      <c r="M40" s="12">
        <f>IF(K40="","",K40-L40)</f>
        <v/>
      </c>
      <c r="N40" s="25" t="n">
        <v>0.65</v>
      </c>
      <c r="O40" s="26">
        <f>IF(F40="Sand",0,Input!$G$19*G40)</f>
        <v/>
      </c>
      <c r="P40" s="12">
        <f>IF(F40="Sand",27.1+0.3*MIN(Input!$G$20*G40,60)-0.00054*MIN(Input!$G$20*G40,60)^2,MIN(MAX(DEGREES(ASIN(0.8-0.094*LN(MAX(IF(M40="",10,M40),5)))),20),30))</f>
        <v/>
      </c>
      <c r="Q40" s="27">
        <f>IF(F40="Sand",Input!$G$21*Input!$G$20*G40,Input!$G$22*O40)</f>
        <v/>
      </c>
      <c r="R40" s="13">
        <f>IF(F40="Sand",Input!$G$26,0.5)</f>
        <v/>
      </c>
      <c r="S40" s="13">
        <f>Input!$G$10/2/E40</f>
        <v/>
      </c>
      <c r="T40" s="13">
        <f>Input!$G$11/2/E40</f>
        <v/>
      </c>
      <c r="U40" s="28">
        <f>1/(4*PI())*(2*S40*T40*SQRT(S40^2+T40^2+1)/(S40^2+T40^2+1+S40^2*T40^2)*(S40^2+T40^2+2)/(S40^2+T40^2+1)+ATAN2(S40^2+T40^2+1-S40^2*T40^2,2*S40*T40*SQRT(S40^2+T40^2+1)))</f>
        <v/>
      </c>
      <c r="V40" s="12">
        <f>4*Input!$G$9*U40</f>
        <v/>
      </c>
      <c r="W40" s="29">
        <f>((Input!$G$11/Input!$G$10)*LN((1+SQRT((Input!$G$11/Input!$G$10)^2+1))*SQRT((Input!$G$11/Input!$G$10)^2+(C40/(Input!$G$10/2))^2)/((Input!$G$11/Input!$G$10)*(1+SQRT((Input!$G$11/Input!$G$10)^2+(C40/(Input!$G$10/2))^2+1))))+LN(((Input!$G$11/Input!$G$10)+SQRT((Input!$G$11/Input!$G$10)^2+1))*SQRT(1+(C40/(Input!$G$10/2))^2)/((Input!$G$11/Input!$G$10)+SQRT((Input!$G$11/Input!$G$10)^2+(C40/(Input!$G$10/2))^2+1))))/PI()</f>
        <v/>
      </c>
      <c r="X40" s="29">
        <f>(C40/(Input!$G$10/2))/(2*PI())*ATAN((Input!$G$11/Input!$G$10)/((C40/(Input!$G$10/2))*SQRT((Input!$G$11/Input!$G$10)^2+(C40/(Input!$G$10/2))^2+1)))</f>
        <v/>
      </c>
      <c r="Y40" s="13">
        <f>MAX(0,C40-MAX(B40,$G$8))/D40*IF(V40&gt;=Input!$G$27*J40,1,0)</f>
        <v/>
      </c>
      <c r="Z40" s="12">
        <f>4*Input!$G$9*(Input!$G$10/2)*(1-R40^2)/Q40*((W40-W39)+(1-2*R40)/(1-R40)*(X40-X39))*1000*Y40</f>
        <v/>
      </c>
      <c r="AA40" s="30">
        <f>IF(F40="Sand",0,0.009*(K40-10))</f>
        <v/>
      </c>
      <c r="AB40" s="30">
        <f>AA40*Input!$G$23</f>
        <v/>
      </c>
      <c r="AC40" s="26">
        <f>IF(F40="Sand",0,MAX(O40/Input!$G$24,J40))</f>
        <v/>
      </c>
      <c r="AD40" s="31">
        <f>IF(F40="Sand",0,1000*D40/(1+N40)*IF(J40+V40&lt;=AC40,AB40*LOG10((J40+V40)/J40),AB40*LOG10(AC40/J40)+AA40*LOG10((J40+V40)/AC40)))*Y40</f>
        <v/>
      </c>
      <c r="AE40" s="32">
        <f>IF(F40="Sand",0,10^(INDEX(Korelasi!$C$5:$C$11,MIN(MATCH(MIN(MAX(K40,30),120),Korelasi!$A$5:$A$11,1),6))+(MIN(MAX(K40,30),120)-INDEX(Korelasi!$A$5:$A$11,MIN(MATCH(MIN(MAX(K40,30),120),Korelasi!$A$5:$A$11,1),6)))/(INDEX(Korelasi!$A$5:$A$11,MIN(MATCH(MIN(MAX(K40,30),120),Korelasi!$A$5:$A$11,1),6)+1)-INDEX(Korelasi!$A$5:$A$11,MIN(MATCH(MIN(MAX(K40,30),120),Korelasi!$A$5:$A$11,1),6)))*(INDEX(Korelasi!$C$5:$C$11,MIN(MATCH(MIN(MAX(K40,30),120),Korelasi!$A$5:$A$11,1),6)+1)-INDEX(Korelasi!$C$5:$C$11,MIN(MATCH(MIN(MAX(K40,30),120),Korelasi!$A$5:$A$11,1),6)))))</f>
        <v/>
      </c>
      <c r="AF40" s="33">
        <f>IF(OR(F40="Sand",Y40=0),0,Input!$G$25*(D40/2)^2/(AE40*1E-4*31536000))</f>
        <v/>
      </c>
      <c r="AG40" s="13">
        <f>MAX(0,MIN(C40,Input!$G$15)-B40)</f>
        <v/>
      </c>
      <c r="AH40" s="13">
        <f>MAX(0,MIN(C40,Input!$G$15)-MAX(B40,$G$8))</f>
        <v/>
      </c>
      <c r="AI40" s="13">
        <f>MAX(0,MIN(C40,$G$106)-B40)</f>
        <v/>
      </c>
      <c r="AJ40" s="34" t="inlineStr"/>
    </row>
    <row r="41">
      <c r="A41" s="20" t="n">
        <v>29</v>
      </c>
      <c r="B41" s="21" t="n">
        <v>42</v>
      </c>
      <c r="C41" s="21" t="n">
        <v>43.5</v>
      </c>
      <c r="D41" s="13">
        <f>C41-B41</f>
        <v/>
      </c>
      <c r="E41" s="13">
        <f>(B41+C41)/2</f>
        <v/>
      </c>
      <c r="F41" s="22" t="inlineStr">
        <is>
          <t>Sand</t>
        </is>
      </c>
      <c r="G41" s="23" t="n">
        <v>50</v>
      </c>
      <c r="H41" s="12">
        <f>IF(E41&gt;$G$5,$G$7,$G$6)</f>
        <v/>
      </c>
      <c r="I41" s="12">
        <f>I40+H41*D41</f>
        <v/>
      </c>
      <c r="J41" s="12">
        <f>I41-H41*D41/2-10*MAX(E41-$G$5,0)</f>
        <v/>
      </c>
      <c r="K41" s="24" t="n"/>
      <c r="L41" s="24" t="n"/>
      <c r="M41" s="12">
        <f>IF(K41="","",K41-L41)</f>
        <v/>
      </c>
      <c r="N41" s="25" t="n">
        <v>0.65</v>
      </c>
      <c r="O41" s="26">
        <f>IF(F41="Sand",0,Input!$G$19*G41)</f>
        <v/>
      </c>
      <c r="P41" s="12">
        <f>IF(F41="Sand",27.1+0.3*MIN(Input!$G$20*G41,60)-0.00054*MIN(Input!$G$20*G41,60)^2,MIN(MAX(DEGREES(ASIN(0.8-0.094*LN(MAX(IF(M41="",10,M41),5)))),20),30))</f>
        <v/>
      </c>
      <c r="Q41" s="27">
        <f>IF(F41="Sand",Input!$G$21*Input!$G$20*G41,Input!$G$22*O41)</f>
        <v/>
      </c>
      <c r="R41" s="13">
        <f>IF(F41="Sand",Input!$G$26,0.5)</f>
        <v/>
      </c>
      <c r="S41" s="13">
        <f>Input!$G$10/2/E41</f>
        <v/>
      </c>
      <c r="T41" s="13">
        <f>Input!$G$11/2/E41</f>
        <v/>
      </c>
      <c r="U41" s="28">
        <f>1/(4*PI())*(2*S41*T41*SQRT(S41^2+T41^2+1)/(S41^2+T41^2+1+S41^2*T41^2)*(S41^2+T41^2+2)/(S41^2+T41^2+1)+ATAN2(S41^2+T41^2+1-S41^2*T41^2,2*S41*T41*SQRT(S41^2+T41^2+1)))</f>
        <v/>
      </c>
      <c r="V41" s="12">
        <f>4*Input!$G$9*U41</f>
        <v/>
      </c>
      <c r="W41" s="29">
        <f>((Input!$G$11/Input!$G$10)*LN((1+SQRT((Input!$G$11/Input!$G$10)^2+1))*SQRT((Input!$G$11/Input!$G$10)^2+(C41/(Input!$G$10/2))^2)/((Input!$G$11/Input!$G$10)*(1+SQRT((Input!$G$11/Input!$G$10)^2+(C41/(Input!$G$10/2))^2+1))))+LN(((Input!$G$11/Input!$G$10)+SQRT((Input!$G$11/Input!$G$10)^2+1))*SQRT(1+(C41/(Input!$G$10/2))^2)/((Input!$G$11/Input!$G$10)+SQRT((Input!$G$11/Input!$G$10)^2+(C41/(Input!$G$10/2))^2+1))))/PI()</f>
        <v/>
      </c>
      <c r="X41" s="29">
        <f>(C41/(Input!$G$10/2))/(2*PI())*ATAN((Input!$G$11/Input!$G$10)/((C41/(Input!$G$10/2))*SQRT((Input!$G$11/Input!$G$10)^2+(C41/(Input!$G$10/2))^2+1)))</f>
        <v/>
      </c>
      <c r="Y41" s="13">
        <f>MAX(0,C41-MAX(B41,$G$8))/D41*IF(V41&gt;=Input!$G$27*J41,1,0)</f>
        <v/>
      </c>
      <c r="Z41" s="12">
        <f>4*Input!$G$9*(Input!$G$10/2)*(1-R41^2)/Q41*((W41-W40)+(1-2*R41)/(1-R41)*(X41-X40))*1000*Y41</f>
        <v/>
      </c>
      <c r="AA41" s="30">
        <f>IF(F41="Sand",0,0.009*(K41-10))</f>
        <v/>
      </c>
      <c r="AB41" s="30">
        <f>AA41*Input!$G$23</f>
        <v/>
      </c>
      <c r="AC41" s="26">
        <f>IF(F41="Sand",0,MAX(O41/Input!$G$24,J41))</f>
        <v/>
      </c>
      <c r="AD41" s="31">
        <f>IF(F41="Sand",0,1000*D41/(1+N41)*IF(J41+V41&lt;=AC41,AB41*LOG10((J41+V41)/J41),AB41*LOG10(AC41/J41)+AA41*LOG10((J41+V41)/AC41)))*Y41</f>
        <v/>
      </c>
      <c r="AE41" s="32">
        <f>IF(F41="Sand",0,10^(INDEX(Korelasi!$C$5:$C$11,MIN(MATCH(MIN(MAX(K41,30),120),Korelasi!$A$5:$A$11,1),6))+(MIN(MAX(K41,30),120)-INDEX(Korelasi!$A$5:$A$11,MIN(MATCH(MIN(MAX(K41,30),120),Korelasi!$A$5:$A$11,1),6)))/(INDEX(Korelasi!$A$5:$A$11,MIN(MATCH(MIN(MAX(K41,30),120),Korelasi!$A$5:$A$11,1),6)+1)-INDEX(Korelasi!$A$5:$A$11,MIN(MATCH(MIN(MAX(K41,30),120),Korelasi!$A$5:$A$11,1),6)))*(INDEX(Korelasi!$C$5:$C$11,MIN(MATCH(MIN(MAX(K41,30),120),Korelasi!$A$5:$A$11,1),6)+1)-INDEX(Korelasi!$C$5:$C$11,MIN(MATCH(MIN(MAX(K41,30),120),Korelasi!$A$5:$A$11,1),6)))))</f>
        <v/>
      </c>
      <c r="AF41" s="33">
        <f>IF(OR(F41="Sand",Y41=0),0,Input!$G$25*(D41/2)^2/(AE41*1E-4*31536000))</f>
        <v/>
      </c>
      <c r="AG41" s="13">
        <f>MAX(0,MIN(C41,Input!$G$15)-B41)</f>
        <v/>
      </c>
      <c r="AH41" s="13">
        <f>MAX(0,MIN(C41,Input!$G$15)-MAX(B41,$G$8))</f>
        <v/>
      </c>
      <c r="AI41" s="13">
        <f>MAX(0,MIN(C41,$G$106)-B41)</f>
        <v/>
      </c>
      <c r="AJ41" s="34" t="inlineStr"/>
    </row>
    <row r="42">
      <c r="A42" s="20" t="n">
        <v>30</v>
      </c>
      <c r="B42" s="21" t="n">
        <v>43.5</v>
      </c>
      <c r="C42" s="21" t="n">
        <v>45</v>
      </c>
      <c r="D42" s="13">
        <f>C42-B42</f>
        <v/>
      </c>
      <c r="E42" s="13">
        <f>(B42+C42)/2</f>
        <v/>
      </c>
      <c r="F42" s="22" t="inlineStr">
        <is>
          <t>Sand</t>
        </is>
      </c>
      <c r="G42" s="23" t="n">
        <v>50</v>
      </c>
      <c r="H42" s="12">
        <f>IF(E42&gt;$G$5,$G$7,$G$6)</f>
        <v/>
      </c>
      <c r="I42" s="12">
        <f>I41+H42*D42</f>
        <v/>
      </c>
      <c r="J42" s="12">
        <f>I42-H42*D42/2-10*MAX(E42-$G$5,0)</f>
        <v/>
      </c>
      <c r="K42" s="24" t="n"/>
      <c r="L42" s="24" t="n"/>
      <c r="M42" s="12">
        <f>IF(K42="","",K42-L42)</f>
        <v/>
      </c>
      <c r="N42" s="25" t="n">
        <v>0.65</v>
      </c>
      <c r="O42" s="26">
        <f>IF(F42="Sand",0,Input!$G$19*G42)</f>
        <v/>
      </c>
      <c r="P42" s="12">
        <f>IF(F42="Sand",27.1+0.3*MIN(Input!$G$20*G42,60)-0.00054*MIN(Input!$G$20*G42,60)^2,MIN(MAX(DEGREES(ASIN(0.8-0.094*LN(MAX(IF(M42="",10,M42),5)))),20),30))</f>
        <v/>
      </c>
      <c r="Q42" s="27">
        <f>IF(F42="Sand",Input!$G$21*Input!$G$20*G42,Input!$G$22*O42)</f>
        <v/>
      </c>
      <c r="R42" s="13">
        <f>IF(F42="Sand",Input!$G$26,0.5)</f>
        <v/>
      </c>
      <c r="S42" s="13">
        <f>Input!$G$10/2/E42</f>
        <v/>
      </c>
      <c r="T42" s="13">
        <f>Input!$G$11/2/E42</f>
        <v/>
      </c>
      <c r="U42" s="28">
        <f>1/(4*PI())*(2*S42*T42*SQRT(S42^2+T42^2+1)/(S42^2+T42^2+1+S42^2*T42^2)*(S42^2+T42^2+2)/(S42^2+T42^2+1)+ATAN2(S42^2+T42^2+1-S42^2*T42^2,2*S42*T42*SQRT(S42^2+T42^2+1)))</f>
        <v/>
      </c>
      <c r="V42" s="12">
        <f>4*Input!$G$9*U42</f>
        <v/>
      </c>
      <c r="W42" s="29">
        <f>((Input!$G$11/Input!$G$10)*LN((1+SQRT((Input!$G$11/Input!$G$10)^2+1))*SQRT((Input!$G$11/Input!$G$10)^2+(C42/(Input!$G$10/2))^2)/((Input!$G$11/Input!$G$10)*(1+SQRT((Input!$G$11/Input!$G$10)^2+(C42/(Input!$G$10/2))^2+1))))+LN(((Input!$G$11/Input!$G$10)+SQRT((Input!$G$11/Input!$G$10)^2+1))*SQRT(1+(C42/(Input!$G$10/2))^2)/((Input!$G$11/Input!$G$10)+SQRT((Input!$G$11/Input!$G$10)^2+(C42/(Input!$G$10/2))^2+1))))/PI()</f>
        <v/>
      </c>
      <c r="X42" s="29">
        <f>(C42/(Input!$G$10/2))/(2*PI())*ATAN((Input!$G$11/Input!$G$10)/((C42/(Input!$G$10/2))*SQRT((Input!$G$11/Input!$G$10)^2+(C42/(Input!$G$10/2))^2+1)))</f>
        <v/>
      </c>
      <c r="Y42" s="13">
        <f>MAX(0,C42-MAX(B42,$G$8))/D42*IF(V42&gt;=Input!$G$27*J42,1,0)</f>
        <v/>
      </c>
      <c r="Z42" s="12">
        <f>4*Input!$G$9*(Input!$G$10/2)*(1-R42^2)/Q42*((W42-W41)+(1-2*R42)/(1-R42)*(X42-X41))*1000*Y42</f>
        <v/>
      </c>
      <c r="AA42" s="30">
        <f>IF(F42="Sand",0,0.009*(K42-10))</f>
        <v/>
      </c>
      <c r="AB42" s="30">
        <f>AA42*Input!$G$23</f>
        <v/>
      </c>
      <c r="AC42" s="26">
        <f>IF(F42="Sand",0,MAX(O42/Input!$G$24,J42))</f>
        <v/>
      </c>
      <c r="AD42" s="31">
        <f>IF(F42="Sand",0,1000*D42/(1+N42)*IF(J42+V42&lt;=AC42,AB42*LOG10((J42+V42)/J42),AB42*LOG10(AC42/J42)+AA42*LOG10((J42+V42)/AC42)))*Y42</f>
        <v/>
      </c>
      <c r="AE42" s="32">
        <f>IF(F42="Sand",0,10^(INDEX(Korelasi!$C$5:$C$11,MIN(MATCH(MIN(MAX(K42,30),120),Korelasi!$A$5:$A$11,1),6))+(MIN(MAX(K42,30),120)-INDEX(Korelasi!$A$5:$A$11,MIN(MATCH(MIN(MAX(K42,30),120),Korelasi!$A$5:$A$11,1),6)))/(INDEX(Korelasi!$A$5:$A$11,MIN(MATCH(MIN(MAX(K42,30),120),Korelasi!$A$5:$A$11,1),6)+1)-INDEX(Korelasi!$A$5:$A$11,MIN(MATCH(MIN(MAX(K42,30),120),Korelasi!$A$5:$A$11,1),6)))*(INDEX(Korelasi!$C$5:$C$11,MIN(MATCH(MIN(MAX(K42,30),120),Korelasi!$A$5:$A$11,1),6)+1)-INDEX(Korelasi!$C$5:$C$11,MIN(MATCH(MIN(MAX(K42,30),120),Korelasi!$A$5:$A$11,1),6)))))</f>
        <v/>
      </c>
      <c r="AF42" s="33">
        <f>IF(OR(F42="Sand",Y42=0),0,Input!$G$25*(D42/2)^2/(AE42*1E-4*31536000))</f>
        <v/>
      </c>
      <c r="AG42" s="13">
        <f>MAX(0,MIN(C42,Input!$G$15)-B42)</f>
        <v/>
      </c>
      <c r="AH42" s="13">
        <f>MAX(0,MIN(C42,Input!$G$15)-MAX(B42,$G$8))</f>
        <v/>
      </c>
      <c r="AI42" s="13">
        <f>MAX(0,MIN(C42,$G$106)-B42)</f>
        <v/>
      </c>
      <c r="AJ42" s="34" t="inlineStr"/>
    </row>
    <row r="43">
      <c r="A43" s="20" t="n">
        <v>31</v>
      </c>
      <c r="B43" s="21" t="n">
        <v>45</v>
      </c>
      <c r="C43" s="21" t="n">
        <v>46.5</v>
      </c>
      <c r="D43" s="13">
        <f>C43-B43</f>
        <v/>
      </c>
      <c r="E43" s="13">
        <f>(B43+C43)/2</f>
        <v/>
      </c>
      <c r="F43" s="22" t="inlineStr">
        <is>
          <t>Sand</t>
        </is>
      </c>
      <c r="G43" s="23" t="n">
        <v>50</v>
      </c>
      <c r="H43" s="12">
        <f>IF(E43&gt;$G$5,$G$7,$G$6)</f>
        <v/>
      </c>
      <c r="I43" s="12">
        <f>I42+H43*D43</f>
        <v/>
      </c>
      <c r="J43" s="12">
        <f>I43-H43*D43/2-10*MAX(E43-$G$5,0)</f>
        <v/>
      </c>
      <c r="K43" s="24" t="n"/>
      <c r="L43" s="24" t="n"/>
      <c r="M43" s="12">
        <f>IF(K43="","",K43-L43)</f>
        <v/>
      </c>
      <c r="N43" s="25" t="n">
        <v>0.65</v>
      </c>
      <c r="O43" s="26">
        <f>IF(F43="Sand",0,Input!$G$19*G43)</f>
        <v/>
      </c>
      <c r="P43" s="12">
        <f>IF(F43="Sand",27.1+0.3*MIN(Input!$G$20*G43,60)-0.00054*MIN(Input!$G$20*G43,60)^2,MIN(MAX(DEGREES(ASIN(0.8-0.094*LN(MAX(IF(M43="",10,M43),5)))),20),30))</f>
        <v/>
      </c>
      <c r="Q43" s="27">
        <f>IF(F43="Sand",Input!$G$21*Input!$G$20*G43,Input!$G$22*O43)</f>
        <v/>
      </c>
      <c r="R43" s="13">
        <f>IF(F43="Sand",Input!$G$26,0.5)</f>
        <v/>
      </c>
      <c r="S43" s="13">
        <f>Input!$G$10/2/E43</f>
        <v/>
      </c>
      <c r="T43" s="13">
        <f>Input!$G$11/2/E43</f>
        <v/>
      </c>
      <c r="U43" s="28">
        <f>1/(4*PI())*(2*S43*T43*SQRT(S43^2+T43^2+1)/(S43^2+T43^2+1+S43^2*T43^2)*(S43^2+T43^2+2)/(S43^2+T43^2+1)+ATAN2(S43^2+T43^2+1-S43^2*T43^2,2*S43*T43*SQRT(S43^2+T43^2+1)))</f>
        <v/>
      </c>
      <c r="V43" s="12">
        <f>4*Input!$G$9*U43</f>
        <v/>
      </c>
      <c r="W43" s="29">
        <f>((Input!$G$11/Input!$G$10)*LN((1+SQRT((Input!$G$11/Input!$G$10)^2+1))*SQRT((Input!$G$11/Input!$G$10)^2+(C43/(Input!$G$10/2))^2)/((Input!$G$11/Input!$G$10)*(1+SQRT((Input!$G$11/Input!$G$10)^2+(C43/(Input!$G$10/2))^2+1))))+LN(((Input!$G$11/Input!$G$10)+SQRT((Input!$G$11/Input!$G$10)^2+1))*SQRT(1+(C43/(Input!$G$10/2))^2)/((Input!$G$11/Input!$G$10)+SQRT((Input!$G$11/Input!$G$10)^2+(C43/(Input!$G$10/2))^2+1))))/PI()</f>
        <v/>
      </c>
      <c r="X43" s="29">
        <f>(C43/(Input!$G$10/2))/(2*PI())*ATAN((Input!$G$11/Input!$G$10)/((C43/(Input!$G$10/2))*SQRT((Input!$G$11/Input!$G$10)^2+(C43/(Input!$G$10/2))^2+1)))</f>
        <v/>
      </c>
      <c r="Y43" s="13">
        <f>MAX(0,C43-MAX(B43,$G$8))/D43*IF(V43&gt;=Input!$G$27*J43,1,0)</f>
        <v/>
      </c>
      <c r="Z43" s="12">
        <f>4*Input!$G$9*(Input!$G$10/2)*(1-R43^2)/Q43*((W43-W42)+(1-2*R43)/(1-R43)*(X43-X42))*1000*Y43</f>
        <v/>
      </c>
      <c r="AA43" s="30">
        <f>IF(F43="Sand",0,0.009*(K43-10))</f>
        <v/>
      </c>
      <c r="AB43" s="30">
        <f>AA43*Input!$G$23</f>
        <v/>
      </c>
      <c r="AC43" s="26">
        <f>IF(F43="Sand",0,MAX(O43/Input!$G$24,J43))</f>
        <v/>
      </c>
      <c r="AD43" s="31">
        <f>IF(F43="Sand",0,1000*D43/(1+N43)*IF(J43+V43&lt;=AC43,AB43*LOG10((J43+V43)/J43),AB43*LOG10(AC43/J43)+AA43*LOG10((J43+V43)/AC43)))*Y43</f>
        <v/>
      </c>
      <c r="AE43" s="32">
        <f>IF(F43="Sand",0,10^(INDEX(Korelasi!$C$5:$C$11,MIN(MATCH(MIN(MAX(K43,30),120),Korelasi!$A$5:$A$11,1),6))+(MIN(MAX(K43,30),120)-INDEX(Korelasi!$A$5:$A$11,MIN(MATCH(MIN(MAX(K43,30),120),Korelasi!$A$5:$A$11,1),6)))/(INDEX(Korelasi!$A$5:$A$11,MIN(MATCH(MIN(MAX(K43,30),120),Korelasi!$A$5:$A$11,1),6)+1)-INDEX(Korelasi!$A$5:$A$11,MIN(MATCH(MIN(MAX(K43,30),120),Korelasi!$A$5:$A$11,1),6)))*(INDEX(Korelasi!$C$5:$C$11,MIN(MATCH(MIN(MAX(K43,30),120),Korelasi!$A$5:$A$11,1),6)+1)-INDEX(Korelasi!$C$5:$C$11,MIN(MATCH(MIN(MAX(K43,30),120),Korelasi!$A$5:$A$11,1),6)))))</f>
        <v/>
      </c>
      <c r="AF43" s="33">
        <f>IF(OR(F43="Sand",Y43=0),0,Input!$G$25*(D43/2)^2/(AE43*1E-4*31536000))</f>
        <v/>
      </c>
      <c r="AG43" s="13">
        <f>MAX(0,MIN(C43,Input!$G$15)-B43)</f>
        <v/>
      </c>
      <c r="AH43" s="13">
        <f>MAX(0,MIN(C43,Input!$G$15)-MAX(B43,$G$8))</f>
        <v/>
      </c>
      <c r="AI43" s="13">
        <f>MAX(0,MIN(C43,$G$106)-B43)</f>
        <v/>
      </c>
      <c r="AJ43" s="34" t="inlineStr"/>
    </row>
    <row r="44">
      <c r="A44" s="20" t="n">
        <v>32</v>
      </c>
      <c r="B44" s="21" t="n">
        <v>46.5</v>
      </c>
      <c r="C44" s="21" t="n">
        <v>48</v>
      </c>
      <c r="D44" s="13">
        <f>C44-B44</f>
        <v/>
      </c>
      <c r="E44" s="13">
        <f>(B44+C44)/2</f>
        <v/>
      </c>
      <c r="F44" s="22" t="inlineStr">
        <is>
          <t>Sand</t>
        </is>
      </c>
      <c r="G44" s="23" t="n">
        <v>50</v>
      </c>
      <c r="H44" s="12">
        <f>IF(E44&gt;$G$5,$G$7,$G$6)</f>
        <v/>
      </c>
      <c r="I44" s="12">
        <f>I43+H44*D44</f>
        <v/>
      </c>
      <c r="J44" s="12">
        <f>I44-H44*D44/2-10*MAX(E44-$G$5,0)</f>
        <v/>
      </c>
      <c r="K44" s="24" t="n"/>
      <c r="L44" s="24" t="n"/>
      <c r="M44" s="12">
        <f>IF(K44="","",K44-L44)</f>
        <v/>
      </c>
      <c r="N44" s="25" t="n">
        <v>0.65</v>
      </c>
      <c r="O44" s="26">
        <f>IF(F44="Sand",0,Input!$G$19*G44)</f>
        <v/>
      </c>
      <c r="P44" s="12">
        <f>IF(F44="Sand",27.1+0.3*MIN(Input!$G$20*G44,60)-0.00054*MIN(Input!$G$20*G44,60)^2,MIN(MAX(DEGREES(ASIN(0.8-0.094*LN(MAX(IF(M44="",10,M44),5)))),20),30))</f>
        <v/>
      </c>
      <c r="Q44" s="27">
        <f>IF(F44="Sand",Input!$G$21*Input!$G$20*G44,Input!$G$22*O44)</f>
        <v/>
      </c>
      <c r="R44" s="13">
        <f>IF(F44="Sand",Input!$G$26,0.5)</f>
        <v/>
      </c>
      <c r="S44" s="13">
        <f>Input!$G$10/2/E44</f>
        <v/>
      </c>
      <c r="T44" s="13">
        <f>Input!$G$11/2/E44</f>
        <v/>
      </c>
      <c r="U44" s="28">
        <f>1/(4*PI())*(2*S44*T44*SQRT(S44^2+T44^2+1)/(S44^2+T44^2+1+S44^2*T44^2)*(S44^2+T44^2+2)/(S44^2+T44^2+1)+ATAN2(S44^2+T44^2+1-S44^2*T44^2,2*S44*T44*SQRT(S44^2+T44^2+1)))</f>
        <v/>
      </c>
      <c r="V44" s="12">
        <f>4*Input!$G$9*U44</f>
        <v/>
      </c>
      <c r="W44" s="29">
        <f>((Input!$G$11/Input!$G$10)*LN((1+SQRT((Input!$G$11/Input!$G$10)^2+1))*SQRT((Input!$G$11/Input!$G$10)^2+(C44/(Input!$G$10/2))^2)/((Input!$G$11/Input!$G$10)*(1+SQRT((Input!$G$11/Input!$G$10)^2+(C44/(Input!$G$10/2))^2+1))))+LN(((Input!$G$11/Input!$G$10)+SQRT((Input!$G$11/Input!$G$10)^2+1))*SQRT(1+(C44/(Input!$G$10/2))^2)/((Input!$G$11/Input!$G$10)+SQRT((Input!$G$11/Input!$G$10)^2+(C44/(Input!$G$10/2))^2+1))))/PI()</f>
        <v/>
      </c>
      <c r="X44" s="29">
        <f>(C44/(Input!$G$10/2))/(2*PI())*ATAN((Input!$G$11/Input!$G$10)/((C44/(Input!$G$10/2))*SQRT((Input!$G$11/Input!$G$10)^2+(C44/(Input!$G$10/2))^2+1)))</f>
        <v/>
      </c>
      <c r="Y44" s="13">
        <f>MAX(0,C44-MAX(B44,$G$8))/D44*IF(V44&gt;=Input!$G$27*J44,1,0)</f>
        <v/>
      </c>
      <c r="Z44" s="12">
        <f>4*Input!$G$9*(Input!$G$10/2)*(1-R44^2)/Q44*((W44-W43)+(1-2*R44)/(1-R44)*(X44-X43))*1000*Y44</f>
        <v/>
      </c>
      <c r="AA44" s="30">
        <f>IF(F44="Sand",0,0.009*(K44-10))</f>
        <v/>
      </c>
      <c r="AB44" s="30">
        <f>AA44*Input!$G$23</f>
        <v/>
      </c>
      <c r="AC44" s="26">
        <f>IF(F44="Sand",0,MAX(O44/Input!$G$24,J44))</f>
        <v/>
      </c>
      <c r="AD44" s="31">
        <f>IF(F44="Sand",0,1000*D44/(1+N44)*IF(J44+V44&lt;=AC44,AB44*LOG10((J44+V44)/J44),AB44*LOG10(AC44/J44)+AA44*LOG10((J44+V44)/AC44)))*Y44</f>
        <v/>
      </c>
      <c r="AE44" s="32">
        <f>IF(F44="Sand",0,10^(INDEX(Korelasi!$C$5:$C$11,MIN(MATCH(MIN(MAX(K44,30),120),Korelasi!$A$5:$A$11,1),6))+(MIN(MAX(K44,30),120)-INDEX(Korelasi!$A$5:$A$11,MIN(MATCH(MIN(MAX(K44,30),120),Korelasi!$A$5:$A$11,1),6)))/(INDEX(Korelasi!$A$5:$A$11,MIN(MATCH(MIN(MAX(K44,30),120),Korelasi!$A$5:$A$11,1),6)+1)-INDEX(Korelasi!$A$5:$A$11,MIN(MATCH(MIN(MAX(K44,30),120),Korelasi!$A$5:$A$11,1),6)))*(INDEX(Korelasi!$C$5:$C$11,MIN(MATCH(MIN(MAX(K44,30),120),Korelasi!$A$5:$A$11,1),6)+1)-INDEX(Korelasi!$C$5:$C$11,MIN(MATCH(MIN(MAX(K44,30),120),Korelasi!$A$5:$A$11,1),6)))))</f>
        <v/>
      </c>
      <c r="AF44" s="33">
        <f>IF(OR(F44="Sand",Y44=0),0,Input!$G$25*(D44/2)^2/(AE44*1E-4*31536000))</f>
        <v/>
      </c>
      <c r="AG44" s="13">
        <f>MAX(0,MIN(C44,Input!$G$15)-B44)</f>
        <v/>
      </c>
      <c r="AH44" s="13">
        <f>MAX(0,MIN(C44,Input!$G$15)-MAX(B44,$G$8))</f>
        <v/>
      </c>
      <c r="AI44" s="13">
        <f>MAX(0,MIN(C44,$G$106)-B44)</f>
        <v/>
      </c>
      <c r="AJ44" s="34" t="inlineStr"/>
    </row>
    <row r="45">
      <c r="A45" s="20" t="n">
        <v>33</v>
      </c>
      <c r="B45" s="21" t="n">
        <v>48</v>
      </c>
      <c r="C45" s="21" t="n">
        <v>49.5</v>
      </c>
      <c r="D45" s="13">
        <f>C45-B45</f>
        <v/>
      </c>
      <c r="E45" s="13">
        <f>(B45+C45)/2</f>
        <v/>
      </c>
      <c r="F45" s="22" t="inlineStr">
        <is>
          <t>Sand</t>
        </is>
      </c>
      <c r="G45" s="23" t="n">
        <v>27</v>
      </c>
      <c r="H45" s="12">
        <f>IF(E45&gt;$G$5,$G$7,$G$6)</f>
        <v/>
      </c>
      <c r="I45" s="12">
        <f>I44+H45*D45</f>
        <v/>
      </c>
      <c r="J45" s="12">
        <f>I45-H45*D45/2-10*MAX(E45-$G$5,0)</f>
        <v/>
      </c>
      <c r="K45" s="24" t="n"/>
      <c r="L45" s="24" t="n"/>
      <c r="M45" s="12">
        <f>IF(K45="","",K45-L45)</f>
        <v/>
      </c>
      <c r="N45" s="25" t="n">
        <v>0.65</v>
      </c>
      <c r="O45" s="26">
        <f>IF(F45="Sand",0,Input!$G$19*G45)</f>
        <v/>
      </c>
      <c r="P45" s="12">
        <f>IF(F45="Sand",27.1+0.3*MIN(Input!$G$20*G45,60)-0.00054*MIN(Input!$G$20*G45,60)^2,MIN(MAX(DEGREES(ASIN(0.8-0.094*LN(MAX(IF(M45="",10,M45),5)))),20),30))</f>
        <v/>
      </c>
      <c r="Q45" s="27">
        <f>IF(F45="Sand",Input!$G$21*Input!$G$20*G45,Input!$G$22*O45)</f>
        <v/>
      </c>
      <c r="R45" s="13">
        <f>IF(F45="Sand",Input!$G$26,0.5)</f>
        <v/>
      </c>
      <c r="S45" s="13">
        <f>Input!$G$10/2/E45</f>
        <v/>
      </c>
      <c r="T45" s="13">
        <f>Input!$G$11/2/E45</f>
        <v/>
      </c>
      <c r="U45" s="28">
        <f>1/(4*PI())*(2*S45*T45*SQRT(S45^2+T45^2+1)/(S45^2+T45^2+1+S45^2*T45^2)*(S45^2+T45^2+2)/(S45^2+T45^2+1)+ATAN2(S45^2+T45^2+1-S45^2*T45^2,2*S45*T45*SQRT(S45^2+T45^2+1)))</f>
        <v/>
      </c>
      <c r="V45" s="12">
        <f>4*Input!$G$9*U45</f>
        <v/>
      </c>
      <c r="W45" s="29">
        <f>((Input!$G$11/Input!$G$10)*LN((1+SQRT((Input!$G$11/Input!$G$10)^2+1))*SQRT((Input!$G$11/Input!$G$10)^2+(C45/(Input!$G$10/2))^2)/((Input!$G$11/Input!$G$10)*(1+SQRT((Input!$G$11/Input!$G$10)^2+(C45/(Input!$G$10/2))^2+1))))+LN(((Input!$G$11/Input!$G$10)+SQRT((Input!$G$11/Input!$G$10)^2+1))*SQRT(1+(C45/(Input!$G$10/2))^2)/((Input!$G$11/Input!$G$10)+SQRT((Input!$G$11/Input!$G$10)^2+(C45/(Input!$G$10/2))^2+1))))/PI()</f>
        <v/>
      </c>
      <c r="X45" s="29">
        <f>(C45/(Input!$G$10/2))/(2*PI())*ATAN((Input!$G$11/Input!$G$10)/((C45/(Input!$G$10/2))*SQRT((Input!$G$11/Input!$G$10)^2+(C45/(Input!$G$10/2))^2+1)))</f>
        <v/>
      </c>
      <c r="Y45" s="13">
        <f>MAX(0,C45-MAX(B45,$G$8))/D45*IF(V45&gt;=Input!$G$27*J45,1,0)</f>
        <v/>
      </c>
      <c r="Z45" s="12">
        <f>4*Input!$G$9*(Input!$G$10/2)*(1-R45^2)/Q45*((W45-W44)+(1-2*R45)/(1-R45)*(X45-X44))*1000*Y45</f>
        <v/>
      </c>
      <c r="AA45" s="30">
        <f>IF(F45="Sand",0,0.009*(K45-10))</f>
        <v/>
      </c>
      <c r="AB45" s="30">
        <f>AA45*Input!$G$23</f>
        <v/>
      </c>
      <c r="AC45" s="26">
        <f>IF(F45="Sand",0,MAX(O45/Input!$G$24,J45))</f>
        <v/>
      </c>
      <c r="AD45" s="31">
        <f>IF(F45="Sand",0,1000*D45/(1+N45)*IF(J45+V45&lt;=AC45,AB45*LOG10((J45+V45)/J45),AB45*LOG10(AC45/J45)+AA45*LOG10((J45+V45)/AC45)))*Y45</f>
        <v/>
      </c>
      <c r="AE45" s="32">
        <f>IF(F45="Sand",0,10^(INDEX(Korelasi!$C$5:$C$11,MIN(MATCH(MIN(MAX(K45,30),120),Korelasi!$A$5:$A$11,1),6))+(MIN(MAX(K45,30),120)-INDEX(Korelasi!$A$5:$A$11,MIN(MATCH(MIN(MAX(K45,30),120),Korelasi!$A$5:$A$11,1),6)))/(INDEX(Korelasi!$A$5:$A$11,MIN(MATCH(MIN(MAX(K45,30),120),Korelasi!$A$5:$A$11,1),6)+1)-INDEX(Korelasi!$A$5:$A$11,MIN(MATCH(MIN(MAX(K45,30),120),Korelasi!$A$5:$A$11,1),6)))*(INDEX(Korelasi!$C$5:$C$11,MIN(MATCH(MIN(MAX(K45,30),120),Korelasi!$A$5:$A$11,1),6)+1)-INDEX(Korelasi!$C$5:$C$11,MIN(MATCH(MIN(MAX(K45,30),120),Korelasi!$A$5:$A$11,1),6)))))</f>
        <v/>
      </c>
      <c r="AF45" s="33">
        <f>IF(OR(F45="Sand",Y45=0),0,Input!$G$25*(D45/2)^2/(AE45*1E-4*31536000))</f>
        <v/>
      </c>
      <c r="AG45" s="13">
        <f>MAX(0,MIN(C45,Input!$G$15)-B45)</f>
        <v/>
      </c>
      <c r="AH45" s="13">
        <f>MAX(0,MIN(C45,Input!$G$15)-MAX(B45,$G$8))</f>
        <v/>
      </c>
      <c r="AI45" s="13">
        <f>MAX(0,MIN(C45,$G$106)-B45)</f>
        <v/>
      </c>
      <c r="AJ45" s="34" t="inlineStr"/>
    </row>
    <row r="46">
      <c r="A46" s="20" t="n">
        <v>34</v>
      </c>
      <c r="B46" s="21" t="n">
        <v>49.5</v>
      </c>
      <c r="C46" s="21" t="n">
        <v>51</v>
      </c>
      <c r="D46" s="13">
        <f>C46-B46</f>
        <v/>
      </c>
      <c r="E46" s="13">
        <f>(B46+C46)/2</f>
        <v/>
      </c>
      <c r="F46" s="22" t="inlineStr">
        <is>
          <t>Sand</t>
        </is>
      </c>
      <c r="G46" s="23" t="n">
        <v>25</v>
      </c>
      <c r="H46" s="12">
        <f>IF(E46&gt;$G$5,$G$7,$G$6)</f>
        <v/>
      </c>
      <c r="I46" s="12">
        <f>I45+H46*D46</f>
        <v/>
      </c>
      <c r="J46" s="12">
        <f>I46-H46*D46/2-10*MAX(E46-$G$5,0)</f>
        <v/>
      </c>
      <c r="K46" s="24" t="n"/>
      <c r="L46" s="24" t="n"/>
      <c r="M46" s="12">
        <f>IF(K46="","",K46-L46)</f>
        <v/>
      </c>
      <c r="N46" s="25" t="n">
        <v>0.65</v>
      </c>
      <c r="O46" s="26">
        <f>IF(F46="Sand",0,Input!$G$19*G46)</f>
        <v/>
      </c>
      <c r="P46" s="12">
        <f>IF(F46="Sand",27.1+0.3*MIN(Input!$G$20*G46,60)-0.00054*MIN(Input!$G$20*G46,60)^2,MIN(MAX(DEGREES(ASIN(0.8-0.094*LN(MAX(IF(M46="",10,M46),5)))),20),30))</f>
        <v/>
      </c>
      <c r="Q46" s="27">
        <f>IF(F46="Sand",Input!$G$21*Input!$G$20*G46,Input!$G$22*O46)</f>
        <v/>
      </c>
      <c r="R46" s="13">
        <f>IF(F46="Sand",Input!$G$26,0.5)</f>
        <v/>
      </c>
      <c r="S46" s="13">
        <f>Input!$G$10/2/E46</f>
        <v/>
      </c>
      <c r="T46" s="13">
        <f>Input!$G$11/2/E46</f>
        <v/>
      </c>
      <c r="U46" s="28">
        <f>1/(4*PI())*(2*S46*T46*SQRT(S46^2+T46^2+1)/(S46^2+T46^2+1+S46^2*T46^2)*(S46^2+T46^2+2)/(S46^2+T46^2+1)+ATAN2(S46^2+T46^2+1-S46^2*T46^2,2*S46*T46*SQRT(S46^2+T46^2+1)))</f>
        <v/>
      </c>
      <c r="V46" s="12">
        <f>4*Input!$G$9*U46</f>
        <v/>
      </c>
      <c r="W46" s="29">
        <f>((Input!$G$11/Input!$G$10)*LN((1+SQRT((Input!$G$11/Input!$G$10)^2+1))*SQRT((Input!$G$11/Input!$G$10)^2+(C46/(Input!$G$10/2))^2)/((Input!$G$11/Input!$G$10)*(1+SQRT((Input!$G$11/Input!$G$10)^2+(C46/(Input!$G$10/2))^2+1))))+LN(((Input!$G$11/Input!$G$10)+SQRT((Input!$G$11/Input!$G$10)^2+1))*SQRT(1+(C46/(Input!$G$10/2))^2)/((Input!$G$11/Input!$G$10)+SQRT((Input!$G$11/Input!$G$10)^2+(C46/(Input!$G$10/2))^2+1))))/PI()</f>
        <v/>
      </c>
      <c r="X46" s="29">
        <f>(C46/(Input!$G$10/2))/(2*PI())*ATAN((Input!$G$11/Input!$G$10)/((C46/(Input!$G$10/2))*SQRT((Input!$G$11/Input!$G$10)^2+(C46/(Input!$G$10/2))^2+1)))</f>
        <v/>
      </c>
      <c r="Y46" s="13">
        <f>MAX(0,C46-MAX(B46,$G$8))/D46*IF(V46&gt;=Input!$G$27*J46,1,0)</f>
        <v/>
      </c>
      <c r="Z46" s="12">
        <f>4*Input!$G$9*(Input!$G$10/2)*(1-R46^2)/Q46*((W46-W45)+(1-2*R46)/(1-R46)*(X46-X45))*1000*Y46</f>
        <v/>
      </c>
      <c r="AA46" s="30">
        <f>IF(F46="Sand",0,0.009*(K46-10))</f>
        <v/>
      </c>
      <c r="AB46" s="30">
        <f>AA46*Input!$G$23</f>
        <v/>
      </c>
      <c r="AC46" s="26">
        <f>IF(F46="Sand",0,MAX(O46/Input!$G$24,J46))</f>
        <v/>
      </c>
      <c r="AD46" s="31">
        <f>IF(F46="Sand",0,1000*D46/(1+N46)*IF(J46+V46&lt;=AC46,AB46*LOG10((J46+V46)/J46),AB46*LOG10(AC46/J46)+AA46*LOG10((J46+V46)/AC46)))*Y46</f>
        <v/>
      </c>
      <c r="AE46" s="32">
        <f>IF(F46="Sand",0,10^(INDEX(Korelasi!$C$5:$C$11,MIN(MATCH(MIN(MAX(K46,30),120),Korelasi!$A$5:$A$11,1),6))+(MIN(MAX(K46,30),120)-INDEX(Korelasi!$A$5:$A$11,MIN(MATCH(MIN(MAX(K46,30),120),Korelasi!$A$5:$A$11,1),6)))/(INDEX(Korelasi!$A$5:$A$11,MIN(MATCH(MIN(MAX(K46,30),120),Korelasi!$A$5:$A$11,1),6)+1)-INDEX(Korelasi!$A$5:$A$11,MIN(MATCH(MIN(MAX(K46,30),120),Korelasi!$A$5:$A$11,1),6)))*(INDEX(Korelasi!$C$5:$C$11,MIN(MATCH(MIN(MAX(K46,30),120),Korelasi!$A$5:$A$11,1),6)+1)-INDEX(Korelasi!$C$5:$C$11,MIN(MATCH(MIN(MAX(K46,30),120),Korelasi!$A$5:$A$11,1),6)))))</f>
        <v/>
      </c>
      <c r="AF46" s="33">
        <f>IF(OR(F46="Sand",Y46=0),0,Input!$G$25*(D46/2)^2/(AE46*1E-4*31536000))</f>
        <v/>
      </c>
      <c r="AG46" s="13">
        <f>MAX(0,MIN(C46,Input!$G$15)-B46)</f>
        <v/>
      </c>
      <c r="AH46" s="13">
        <f>MAX(0,MIN(C46,Input!$G$15)-MAX(B46,$G$8))</f>
        <v/>
      </c>
      <c r="AI46" s="13">
        <f>MAX(0,MIN(C46,$G$106)-B46)</f>
        <v/>
      </c>
      <c r="AJ46" s="34" t="inlineStr"/>
    </row>
    <row r="47">
      <c r="A47" s="20" t="n">
        <v>35</v>
      </c>
      <c r="B47" s="21" t="n">
        <v>51</v>
      </c>
      <c r="C47" s="21" t="n">
        <v>52.5</v>
      </c>
      <c r="D47" s="13">
        <f>C47-B47</f>
        <v/>
      </c>
      <c r="E47" s="13">
        <f>(B47+C47)/2</f>
        <v/>
      </c>
      <c r="F47" s="22" t="inlineStr">
        <is>
          <t>Sand</t>
        </is>
      </c>
      <c r="G47" s="23" t="n">
        <v>29</v>
      </c>
      <c r="H47" s="12">
        <f>IF(E47&gt;$G$5,$G$7,$G$6)</f>
        <v/>
      </c>
      <c r="I47" s="12">
        <f>I46+H47*D47</f>
        <v/>
      </c>
      <c r="J47" s="12">
        <f>I47-H47*D47/2-10*MAX(E47-$G$5,0)</f>
        <v/>
      </c>
      <c r="K47" s="24" t="n"/>
      <c r="L47" s="24" t="n"/>
      <c r="M47" s="12">
        <f>IF(K47="","",K47-L47)</f>
        <v/>
      </c>
      <c r="N47" s="25" t="n">
        <v>0.65</v>
      </c>
      <c r="O47" s="26">
        <f>IF(F47="Sand",0,Input!$G$19*G47)</f>
        <v/>
      </c>
      <c r="P47" s="12">
        <f>IF(F47="Sand",27.1+0.3*MIN(Input!$G$20*G47,60)-0.00054*MIN(Input!$G$20*G47,60)^2,MIN(MAX(DEGREES(ASIN(0.8-0.094*LN(MAX(IF(M47="",10,M47),5)))),20),30))</f>
        <v/>
      </c>
      <c r="Q47" s="27">
        <f>IF(F47="Sand",Input!$G$21*Input!$G$20*G47,Input!$G$22*O47)</f>
        <v/>
      </c>
      <c r="R47" s="13">
        <f>IF(F47="Sand",Input!$G$26,0.5)</f>
        <v/>
      </c>
      <c r="S47" s="13">
        <f>Input!$G$10/2/E47</f>
        <v/>
      </c>
      <c r="T47" s="13">
        <f>Input!$G$11/2/E47</f>
        <v/>
      </c>
      <c r="U47" s="28">
        <f>1/(4*PI())*(2*S47*T47*SQRT(S47^2+T47^2+1)/(S47^2+T47^2+1+S47^2*T47^2)*(S47^2+T47^2+2)/(S47^2+T47^2+1)+ATAN2(S47^2+T47^2+1-S47^2*T47^2,2*S47*T47*SQRT(S47^2+T47^2+1)))</f>
        <v/>
      </c>
      <c r="V47" s="12">
        <f>4*Input!$G$9*U47</f>
        <v/>
      </c>
      <c r="W47" s="29">
        <f>((Input!$G$11/Input!$G$10)*LN((1+SQRT((Input!$G$11/Input!$G$10)^2+1))*SQRT((Input!$G$11/Input!$G$10)^2+(C47/(Input!$G$10/2))^2)/((Input!$G$11/Input!$G$10)*(1+SQRT((Input!$G$11/Input!$G$10)^2+(C47/(Input!$G$10/2))^2+1))))+LN(((Input!$G$11/Input!$G$10)+SQRT((Input!$G$11/Input!$G$10)^2+1))*SQRT(1+(C47/(Input!$G$10/2))^2)/((Input!$G$11/Input!$G$10)+SQRT((Input!$G$11/Input!$G$10)^2+(C47/(Input!$G$10/2))^2+1))))/PI()</f>
        <v/>
      </c>
      <c r="X47" s="29">
        <f>(C47/(Input!$G$10/2))/(2*PI())*ATAN((Input!$G$11/Input!$G$10)/((C47/(Input!$G$10/2))*SQRT((Input!$G$11/Input!$G$10)^2+(C47/(Input!$G$10/2))^2+1)))</f>
        <v/>
      </c>
      <c r="Y47" s="13">
        <f>MAX(0,C47-MAX(B47,$G$8))/D47*IF(V47&gt;=Input!$G$27*J47,1,0)</f>
        <v/>
      </c>
      <c r="Z47" s="12">
        <f>4*Input!$G$9*(Input!$G$10/2)*(1-R47^2)/Q47*((W47-W46)+(1-2*R47)/(1-R47)*(X47-X46))*1000*Y47</f>
        <v/>
      </c>
      <c r="AA47" s="30">
        <f>IF(F47="Sand",0,0.009*(K47-10))</f>
        <v/>
      </c>
      <c r="AB47" s="30">
        <f>AA47*Input!$G$23</f>
        <v/>
      </c>
      <c r="AC47" s="26">
        <f>IF(F47="Sand",0,MAX(O47/Input!$G$24,J47))</f>
        <v/>
      </c>
      <c r="AD47" s="31">
        <f>IF(F47="Sand",0,1000*D47/(1+N47)*IF(J47+V47&lt;=AC47,AB47*LOG10((J47+V47)/J47),AB47*LOG10(AC47/J47)+AA47*LOG10((J47+V47)/AC47)))*Y47</f>
        <v/>
      </c>
      <c r="AE47" s="32">
        <f>IF(F47="Sand",0,10^(INDEX(Korelasi!$C$5:$C$11,MIN(MATCH(MIN(MAX(K47,30),120),Korelasi!$A$5:$A$11,1),6))+(MIN(MAX(K47,30),120)-INDEX(Korelasi!$A$5:$A$11,MIN(MATCH(MIN(MAX(K47,30),120),Korelasi!$A$5:$A$11,1),6)))/(INDEX(Korelasi!$A$5:$A$11,MIN(MATCH(MIN(MAX(K47,30),120),Korelasi!$A$5:$A$11,1),6)+1)-INDEX(Korelasi!$A$5:$A$11,MIN(MATCH(MIN(MAX(K47,30),120),Korelasi!$A$5:$A$11,1),6)))*(INDEX(Korelasi!$C$5:$C$11,MIN(MATCH(MIN(MAX(K47,30),120),Korelasi!$A$5:$A$11,1),6)+1)-INDEX(Korelasi!$C$5:$C$11,MIN(MATCH(MIN(MAX(K47,30),120),Korelasi!$A$5:$A$11,1),6)))))</f>
        <v/>
      </c>
      <c r="AF47" s="33">
        <f>IF(OR(F47="Sand",Y47=0),0,Input!$G$25*(D47/2)^2/(AE47*1E-4*31536000))</f>
        <v/>
      </c>
      <c r="AG47" s="13">
        <f>MAX(0,MIN(C47,Input!$G$15)-B47)</f>
        <v/>
      </c>
      <c r="AH47" s="13">
        <f>MAX(0,MIN(C47,Input!$G$15)-MAX(B47,$G$8))</f>
        <v/>
      </c>
      <c r="AI47" s="13">
        <f>MAX(0,MIN(C47,$G$106)-B47)</f>
        <v/>
      </c>
      <c r="AJ47" s="34" t="inlineStr"/>
    </row>
    <row r="48">
      <c r="A48" s="20" t="n">
        <v>36</v>
      </c>
      <c r="B48" s="21" t="n">
        <v>52.5</v>
      </c>
      <c r="C48" s="21" t="n">
        <v>54</v>
      </c>
      <c r="D48" s="13">
        <f>C48-B48</f>
        <v/>
      </c>
      <c r="E48" s="13">
        <f>(B48+C48)/2</f>
        <v/>
      </c>
      <c r="F48" s="22" t="inlineStr">
        <is>
          <t>Sand</t>
        </is>
      </c>
      <c r="G48" s="23" t="n">
        <v>35</v>
      </c>
      <c r="H48" s="12">
        <f>IF(E48&gt;$G$5,$G$7,$G$6)</f>
        <v/>
      </c>
      <c r="I48" s="12">
        <f>I47+H48*D48</f>
        <v/>
      </c>
      <c r="J48" s="12">
        <f>I48-H48*D48/2-10*MAX(E48-$G$5,0)</f>
        <v/>
      </c>
      <c r="K48" s="24" t="n"/>
      <c r="L48" s="24" t="n"/>
      <c r="M48" s="12">
        <f>IF(K48="","",K48-L48)</f>
        <v/>
      </c>
      <c r="N48" s="25" t="n">
        <v>0.65</v>
      </c>
      <c r="O48" s="26">
        <f>IF(F48="Sand",0,Input!$G$19*G48)</f>
        <v/>
      </c>
      <c r="P48" s="12">
        <f>IF(F48="Sand",27.1+0.3*MIN(Input!$G$20*G48,60)-0.00054*MIN(Input!$G$20*G48,60)^2,MIN(MAX(DEGREES(ASIN(0.8-0.094*LN(MAX(IF(M48="",10,M48),5)))),20),30))</f>
        <v/>
      </c>
      <c r="Q48" s="27">
        <f>IF(F48="Sand",Input!$G$21*Input!$G$20*G48,Input!$G$22*O48)</f>
        <v/>
      </c>
      <c r="R48" s="13">
        <f>IF(F48="Sand",Input!$G$26,0.5)</f>
        <v/>
      </c>
      <c r="S48" s="13">
        <f>Input!$G$10/2/E48</f>
        <v/>
      </c>
      <c r="T48" s="13">
        <f>Input!$G$11/2/E48</f>
        <v/>
      </c>
      <c r="U48" s="28">
        <f>1/(4*PI())*(2*S48*T48*SQRT(S48^2+T48^2+1)/(S48^2+T48^2+1+S48^2*T48^2)*(S48^2+T48^2+2)/(S48^2+T48^2+1)+ATAN2(S48^2+T48^2+1-S48^2*T48^2,2*S48*T48*SQRT(S48^2+T48^2+1)))</f>
        <v/>
      </c>
      <c r="V48" s="12">
        <f>4*Input!$G$9*U48</f>
        <v/>
      </c>
      <c r="W48" s="29">
        <f>((Input!$G$11/Input!$G$10)*LN((1+SQRT((Input!$G$11/Input!$G$10)^2+1))*SQRT((Input!$G$11/Input!$G$10)^2+(C48/(Input!$G$10/2))^2)/((Input!$G$11/Input!$G$10)*(1+SQRT((Input!$G$11/Input!$G$10)^2+(C48/(Input!$G$10/2))^2+1))))+LN(((Input!$G$11/Input!$G$10)+SQRT((Input!$G$11/Input!$G$10)^2+1))*SQRT(1+(C48/(Input!$G$10/2))^2)/((Input!$G$11/Input!$G$10)+SQRT((Input!$G$11/Input!$G$10)^2+(C48/(Input!$G$10/2))^2+1))))/PI()</f>
        <v/>
      </c>
      <c r="X48" s="29">
        <f>(C48/(Input!$G$10/2))/(2*PI())*ATAN((Input!$G$11/Input!$G$10)/((C48/(Input!$G$10/2))*SQRT((Input!$G$11/Input!$G$10)^2+(C48/(Input!$G$10/2))^2+1)))</f>
        <v/>
      </c>
      <c r="Y48" s="13">
        <f>MAX(0,C48-MAX(B48,$G$8))/D48*IF(V48&gt;=Input!$G$27*J48,1,0)</f>
        <v/>
      </c>
      <c r="Z48" s="12">
        <f>4*Input!$G$9*(Input!$G$10/2)*(1-R48^2)/Q48*((W48-W47)+(1-2*R48)/(1-R48)*(X48-X47))*1000*Y48</f>
        <v/>
      </c>
      <c r="AA48" s="30">
        <f>IF(F48="Sand",0,0.009*(K48-10))</f>
        <v/>
      </c>
      <c r="AB48" s="30">
        <f>AA48*Input!$G$23</f>
        <v/>
      </c>
      <c r="AC48" s="26">
        <f>IF(F48="Sand",0,MAX(O48/Input!$G$24,J48))</f>
        <v/>
      </c>
      <c r="AD48" s="31">
        <f>IF(F48="Sand",0,1000*D48/(1+N48)*IF(J48+V48&lt;=AC48,AB48*LOG10((J48+V48)/J48),AB48*LOG10(AC48/J48)+AA48*LOG10((J48+V48)/AC48)))*Y48</f>
        <v/>
      </c>
      <c r="AE48" s="32">
        <f>IF(F48="Sand",0,10^(INDEX(Korelasi!$C$5:$C$11,MIN(MATCH(MIN(MAX(K48,30),120),Korelasi!$A$5:$A$11,1),6))+(MIN(MAX(K48,30),120)-INDEX(Korelasi!$A$5:$A$11,MIN(MATCH(MIN(MAX(K48,30),120),Korelasi!$A$5:$A$11,1),6)))/(INDEX(Korelasi!$A$5:$A$11,MIN(MATCH(MIN(MAX(K48,30),120),Korelasi!$A$5:$A$11,1),6)+1)-INDEX(Korelasi!$A$5:$A$11,MIN(MATCH(MIN(MAX(K48,30),120),Korelasi!$A$5:$A$11,1),6)))*(INDEX(Korelasi!$C$5:$C$11,MIN(MATCH(MIN(MAX(K48,30),120),Korelasi!$A$5:$A$11,1),6)+1)-INDEX(Korelasi!$C$5:$C$11,MIN(MATCH(MIN(MAX(K48,30),120),Korelasi!$A$5:$A$11,1),6)))))</f>
        <v/>
      </c>
      <c r="AF48" s="33">
        <f>IF(OR(F48="Sand",Y48=0),0,Input!$G$25*(D48/2)^2/(AE48*1E-4*31536000))</f>
        <v/>
      </c>
      <c r="AG48" s="13">
        <f>MAX(0,MIN(C48,Input!$G$15)-B48)</f>
        <v/>
      </c>
      <c r="AH48" s="13">
        <f>MAX(0,MIN(C48,Input!$G$15)-MAX(B48,$G$8))</f>
        <v/>
      </c>
      <c r="AI48" s="13">
        <f>MAX(0,MIN(C48,$G$106)-B48)</f>
        <v/>
      </c>
      <c r="AJ48" s="34" t="inlineStr"/>
    </row>
    <row r="49">
      <c r="A49" s="20" t="n">
        <v>37</v>
      </c>
      <c r="B49" s="21" t="n">
        <v>54</v>
      </c>
      <c r="C49" s="21" t="n">
        <v>55.5</v>
      </c>
      <c r="D49" s="13">
        <f>C49-B49</f>
        <v/>
      </c>
      <c r="E49" s="13">
        <f>(B49+C49)/2</f>
        <v/>
      </c>
      <c r="F49" s="22" t="inlineStr">
        <is>
          <t>Sand</t>
        </is>
      </c>
      <c r="G49" s="23" t="n">
        <v>50</v>
      </c>
      <c r="H49" s="12">
        <f>IF(E49&gt;$G$5,$G$7,$G$6)</f>
        <v/>
      </c>
      <c r="I49" s="12">
        <f>I48+H49*D49</f>
        <v/>
      </c>
      <c r="J49" s="12">
        <f>I49-H49*D49/2-10*MAX(E49-$G$5,0)</f>
        <v/>
      </c>
      <c r="K49" s="24" t="n"/>
      <c r="L49" s="24" t="n"/>
      <c r="M49" s="12">
        <f>IF(K49="","",K49-L49)</f>
        <v/>
      </c>
      <c r="N49" s="25" t="n">
        <v>0.65</v>
      </c>
      <c r="O49" s="26">
        <f>IF(F49="Sand",0,Input!$G$19*G49)</f>
        <v/>
      </c>
      <c r="P49" s="12">
        <f>IF(F49="Sand",27.1+0.3*MIN(Input!$G$20*G49,60)-0.00054*MIN(Input!$G$20*G49,60)^2,MIN(MAX(DEGREES(ASIN(0.8-0.094*LN(MAX(IF(M49="",10,M49),5)))),20),30))</f>
        <v/>
      </c>
      <c r="Q49" s="27">
        <f>IF(F49="Sand",Input!$G$21*Input!$G$20*G49,Input!$G$22*O49)</f>
        <v/>
      </c>
      <c r="R49" s="13">
        <f>IF(F49="Sand",Input!$G$26,0.5)</f>
        <v/>
      </c>
      <c r="S49" s="13">
        <f>Input!$G$10/2/E49</f>
        <v/>
      </c>
      <c r="T49" s="13">
        <f>Input!$G$11/2/E49</f>
        <v/>
      </c>
      <c r="U49" s="28">
        <f>1/(4*PI())*(2*S49*T49*SQRT(S49^2+T49^2+1)/(S49^2+T49^2+1+S49^2*T49^2)*(S49^2+T49^2+2)/(S49^2+T49^2+1)+ATAN2(S49^2+T49^2+1-S49^2*T49^2,2*S49*T49*SQRT(S49^2+T49^2+1)))</f>
        <v/>
      </c>
      <c r="V49" s="12">
        <f>4*Input!$G$9*U49</f>
        <v/>
      </c>
      <c r="W49" s="29">
        <f>((Input!$G$11/Input!$G$10)*LN((1+SQRT((Input!$G$11/Input!$G$10)^2+1))*SQRT((Input!$G$11/Input!$G$10)^2+(C49/(Input!$G$10/2))^2)/((Input!$G$11/Input!$G$10)*(1+SQRT((Input!$G$11/Input!$G$10)^2+(C49/(Input!$G$10/2))^2+1))))+LN(((Input!$G$11/Input!$G$10)+SQRT((Input!$G$11/Input!$G$10)^2+1))*SQRT(1+(C49/(Input!$G$10/2))^2)/((Input!$G$11/Input!$G$10)+SQRT((Input!$G$11/Input!$G$10)^2+(C49/(Input!$G$10/2))^2+1))))/PI()</f>
        <v/>
      </c>
      <c r="X49" s="29">
        <f>(C49/(Input!$G$10/2))/(2*PI())*ATAN((Input!$G$11/Input!$G$10)/((C49/(Input!$G$10/2))*SQRT((Input!$G$11/Input!$G$10)^2+(C49/(Input!$G$10/2))^2+1)))</f>
        <v/>
      </c>
      <c r="Y49" s="13">
        <f>MAX(0,C49-MAX(B49,$G$8))/D49*IF(V49&gt;=Input!$G$27*J49,1,0)</f>
        <v/>
      </c>
      <c r="Z49" s="12">
        <f>4*Input!$G$9*(Input!$G$10/2)*(1-R49^2)/Q49*((W49-W48)+(1-2*R49)/(1-R49)*(X49-X48))*1000*Y49</f>
        <v/>
      </c>
      <c r="AA49" s="30">
        <f>IF(F49="Sand",0,0.009*(K49-10))</f>
        <v/>
      </c>
      <c r="AB49" s="30">
        <f>AA49*Input!$G$23</f>
        <v/>
      </c>
      <c r="AC49" s="26">
        <f>IF(F49="Sand",0,MAX(O49/Input!$G$24,J49))</f>
        <v/>
      </c>
      <c r="AD49" s="31">
        <f>IF(F49="Sand",0,1000*D49/(1+N49)*IF(J49+V49&lt;=AC49,AB49*LOG10((J49+V49)/J49),AB49*LOG10(AC49/J49)+AA49*LOG10((J49+V49)/AC49)))*Y49</f>
        <v/>
      </c>
      <c r="AE49" s="32">
        <f>IF(F49="Sand",0,10^(INDEX(Korelasi!$C$5:$C$11,MIN(MATCH(MIN(MAX(K49,30),120),Korelasi!$A$5:$A$11,1),6))+(MIN(MAX(K49,30),120)-INDEX(Korelasi!$A$5:$A$11,MIN(MATCH(MIN(MAX(K49,30),120),Korelasi!$A$5:$A$11,1),6)))/(INDEX(Korelasi!$A$5:$A$11,MIN(MATCH(MIN(MAX(K49,30),120),Korelasi!$A$5:$A$11,1),6)+1)-INDEX(Korelasi!$A$5:$A$11,MIN(MATCH(MIN(MAX(K49,30),120),Korelasi!$A$5:$A$11,1),6)))*(INDEX(Korelasi!$C$5:$C$11,MIN(MATCH(MIN(MAX(K49,30),120),Korelasi!$A$5:$A$11,1),6)+1)-INDEX(Korelasi!$C$5:$C$11,MIN(MATCH(MIN(MAX(K49,30),120),Korelasi!$A$5:$A$11,1),6)))))</f>
        <v/>
      </c>
      <c r="AF49" s="33">
        <f>IF(OR(F49="Sand",Y49=0),0,Input!$G$25*(D49/2)^2/(AE49*1E-4*31536000))</f>
        <v/>
      </c>
      <c r="AG49" s="13">
        <f>MAX(0,MIN(C49,Input!$G$15)-B49)</f>
        <v/>
      </c>
      <c r="AH49" s="13">
        <f>MAX(0,MIN(C49,Input!$G$15)-MAX(B49,$G$8))</f>
        <v/>
      </c>
      <c r="AI49" s="13">
        <f>MAX(0,MIN(C49,$G$106)-B49)</f>
        <v/>
      </c>
      <c r="AJ49" s="34" t="inlineStr"/>
    </row>
    <row r="50">
      <c r="A50" s="20" t="n">
        <v>38</v>
      </c>
      <c r="B50" s="21" t="n">
        <v>55.5</v>
      </c>
      <c r="C50" s="21" t="n">
        <v>57</v>
      </c>
      <c r="D50" s="13">
        <f>C50-B50</f>
        <v/>
      </c>
      <c r="E50" s="13">
        <f>(B50+C50)/2</f>
        <v/>
      </c>
      <c r="F50" s="22" t="inlineStr">
        <is>
          <t>Sand</t>
        </is>
      </c>
      <c r="G50" s="23" t="n">
        <v>50</v>
      </c>
      <c r="H50" s="12">
        <f>IF(E50&gt;$G$5,$G$7,$G$6)</f>
        <v/>
      </c>
      <c r="I50" s="12">
        <f>I49+H50*D50</f>
        <v/>
      </c>
      <c r="J50" s="12">
        <f>I50-H50*D50/2-10*MAX(E50-$G$5,0)</f>
        <v/>
      </c>
      <c r="K50" s="24" t="n"/>
      <c r="L50" s="24" t="n"/>
      <c r="M50" s="12">
        <f>IF(K50="","",K50-L50)</f>
        <v/>
      </c>
      <c r="N50" s="25" t="n">
        <v>0.65</v>
      </c>
      <c r="O50" s="26">
        <f>IF(F50="Sand",0,Input!$G$19*G50)</f>
        <v/>
      </c>
      <c r="P50" s="12">
        <f>IF(F50="Sand",27.1+0.3*MIN(Input!$G$20*G50,60)-0.00054*MIN(Input!$G$20*G50,60)^2,MIN(MAX(DEGREES(ASIN(0.8-0.094*LN(MAX(IF(M50="",10,M50),5)))),20),30))</f>
        <v/>
      </c>
      <c r="Q50" s="27">
        <f>IF(F50="Sand",Input!$G$21*Input!$G$20*G50,Input!$G$22*O50)</f>
        <v/>
      </c>
      <c r="R50" s="13">
        <f>IF(F50="Sand",Input!$G$26,0.5)</f>
        <v/>
      </c>
      <c r="S50" s="13">
        <f>Input!$G$10/2/E50</f>
        <v/>
      </c>
      <c r="T50" s="13">
        <f>Input!$G$11/2/E50</f>
        <v/>
      </c>
      <c r="U50" s="28">
        <f>1/(4*PI())*(2*S50*T50*SQRT(S50^2+T50^2+1)/(S50^2+T50^2+1+S50^2*T50^2)*(S50^2+T50^2+2)/(S50^2+T50^2+1)+ATAN2(S50^2+T50^2+1-S50^2*T50^2,2*S50*T50*SQRT(S50^2+T50^2+1)))</f>
        <v/>
      </c>
      <c r="V50" s="12">
        <f>4*Input!$G$9*U50</f>
        <v/>
      </c>
      <c r="W50" s="29">
        <f>((Input!$G$11/Input!$G$10)*LN((1+SQRT((Input!$G$11/Input!$G$10)^2+1))*SQRT((Input!$G$11/Input!$G$10)^2+(C50/(Input!$G$10/2))^2)/((Input!$G$11/Input!$G$10)*(1+SQRT((Input!$G$11/Input!$G$10)^2+(C50/(Input!$G$10/2))^2+1))))+LN(((Input!$G$11/Input!$G$10)+SQRT((Input!$G$11/Input!$G$10)^2+1))*SQRT(1+(C50/(Input!$G$10/2))^2)/((Input!$G$11/Input!$G$10)+SQRT((Input!$G$11/Input!$G$10)^2+(C50/(Input!$G$10/2))^2+1))))/PI()</f>
        <v/>
      </c>
      <c r="X50" s="29">
        <f>(C50/(Input!$G$10/2))/(2*PI())*ATAN((Input!$G$11/Input!$G$10)/((C50/(Input!$G$10/2))*SQRT((Input!$G$11/Input!$G$10)^2+(C50/(Input!$G$10/2))^2+1)))</f>
        <v/>
      </c>
      <c r="Y50" s="13">
        <f>MAX(0,C50-MAX(B50,$G$8))/D50*IF(V50&gt;=Input!$G$27*J50,1,0)</f>
        <v/>
      </c>
      <c r="Z50" s="12">
        <f>4*Input!$G$9*(Input!$G$10/2)*(1-R50^2)/Q50*((W50-W49)+(1-2*R50)/(1-R50)*(X50-X49))*1000*Y50</f>
        <v/>
      </c>
      <c r="AA50" s="30">
        <f>IF(F50="Sand",0,0.009*(K50-10))</f>
        <v/>
      </c>
      <c r="AB50" s="30">
        <f>AA50*Input!$G$23</f>
        <v/>
      </c>
      <c r="AC50" s="26">
        <f>IF(F50="Sand",0,MAX(O50/Input!$G$24,J50))</f>
        <v/>
      </c>
      <c r="AD50" s="31">
        <f>IF(F50="Sand",0,1000*D50/(1+N50)*IF(J50+V50&lt;=AC50,AB50*LOG10((J50+V50)/J50),AB50*LOG10(AC50/J50)+AA50*LOG10((J50+V50)/AC50)))*Y50</f>
        <v/>
      </c>
      <c r="AE50" s="32">
        <f>IF(F50="Sand",0,10^(INDEX(Korelasi!$C$5:$C$11,MIN(MATCH(MIN(MAX(K50,30),120),Korelasi!$A$5:$A$11,1),6))+(MIN(MAX(K50,30),120)-INDEX(Korelasi!$A$5:$A$11,MIN(MATCH(MIN(MAX(K50,30),120),Korelasi!$A$5:$A$11,1),6)))/(INDEX(Korelasi!$A$5:$A$11,MIN(MATCH(MIN(MAX(K50,30),120),Korelasi!$A$5:$A$11,1),6)+1)-INDEX(Korelasi!$A$5:$A$11,MIN(MATCH(MIN(MAX(K50,30),120),Korelasi!$A$5:$A$11,1),6)))*(INDEX(Korelasi!$C$5:$C$11,MIN(MATCH(MIN(MAX(K50,30),120),Korelasi!$A$5:$A$11,1),6)+1)-INDEX(Korelasi!$C$5:$C$11,MIN(MATCH(MIN(MAX(K50,30),120),Korelasi!$A$5:$A$11,1),6)))))</f>
        <v/>
      </c>
      <c r="AF50" s="33">
        <f>IF(OR(F50="Sand",Y50=0),0,Input!$G$25*(D50/2)^2/(AE50*1E-4*31536000))</f>
        <v/>
      </c>
      <c r="AG50" s="13">
        <f>MAX(0,MIN(C50,Input!$G$15)-B50)</f>
        <v/>
      </c>
      <c r="AH50" s="13">
        <f>MAX(0,MIN(C50,Input!$G$15)-MAX(B50,$G$8))</f>
        <v/>
      </c>
      <c r="AI50" s="13">
        <f>MAX(0,MIN(C50,$G$106)-B50)</f>
        <v/>
      </c>
      <c r="AJ50" s="34" t="inlineStr"/>
    </row>
    <row r="51">
      <c r="A51" s="20" t="n">
        <v>39</v>
      </c>
      <c r="B51" s="21" t="n">
        <v>57</v>
      </c>
      <c r="C51" s="21" t="n">
        <v>58.5</v>
      </c>
      <c r="D51" s="13">
        <f>C51-B51</f>
        <v/>
      </c>
      <c r="E51" s="13">
        <f>(B51+C51)/2</f>
        <v/>
      </c>
      <c r="F51" s="22" t="inlineStr">
        <is>
          <t>Sand</t>
        </is>
      </c>
      <c r="G51" s="23" t="n">
        <v>50</v>
      </c>
      <c r="H51" s="12">
        <f>IF(E51&gt;$G$5,$G$7,$G$6)</f>
        <v/>
      </c>
      <c r="I51" s="12">
        <f>I50+H51*D51</f>
        <v/>
      </c>
      <c r="J51" s="12">
        <f>I51-H51*D51/2-10*MAX(E51-$G$5,0)</f>
        <v/>
      </c>
      <c r="K51" s="24" t="n"/>
      <c r="L51" s="24" t="n"/>
      <c r="M51" s="12">
        <f>IF(K51="","",K51-L51)</f>
        <v/>
      </c>
      <c r="N51" s="25" t="n">
        <v>0.65</v>
      </c>
      <c r="O51" s="26">
        <f>IF(F51="Sand",0,Input!$G$19*G51)</f>
        <v/>
      </c>
      <c r="P51" s="12">
        <f>IF(F51="Sand",27.1+0.3*MIN(Input!$G$20*G51,60)-0.00054*MIN(Input!$G$20*G51,60)^2,MIN(MAX(DEGREES(ASIN(0.8-0.094*LN(MAX(IF(M51="",10,M51),5)))),20),30))</f>
        <v/>
      </c>
      <c r="Q51" s="27">
        <f>IF(F51="Sand",Input!$G$21*Input!$G$20*G51,Input!$G$22*O51)</f>
        <v/>
      </c>
      <c r="R51" s="13">
        <f>IF(F51="Sand",Input!$G$26,0.5)</f>
        <v/>
      </c>
      <c r="S51" s="13">
        <f>Input!$G$10/2/E51</f>
        <v/>
      </c>
      <c r="T51" s="13">
        <f>Input!$G$11/2/E51</f>
        <v/>
      </c>
      <c r="U51" s="28">
        <f>1/(4*PI())*(2*S51*T51*SQRT(S51^2+T51^2+1)/(S51^2+T51^2+1+S51^2*T51^2)*(S51^2+T51^2+2)/(S51^2+T51^2+1)+ATAN2(S51^2+T51^2+1-S51^2*T51^2,2*S51*T51*SQRT(S51^2+T51^2+1)))</f>
        <v/>
      </c>
      <c r="V51" s="12">
        <f>4*Input!$G$9*U51</f>
        <v/>
      </c>
      <c r="W51" s="29">
        <f>((Input!$G$11/Input!$G$10)*LN((1+SQRT((Input!$G$11/Input!$G$10)^2+1))*SQRT((Input!$G$11/Input!$G$10)^2+(C51/(Input!$G$10/2))^2)/((Input!$G$11/Input!$G$10)*(1+SQRT((Input!$G$11/Input!$G$10)^2+(C51/(Input!$G$10/2))^2+1))))+LN(((Input!$G$11/Input!$G$10)+SQRT((Input!$G$11/Input!$G$10)^2+1))*SQRT(1+(C51/(Input!$G$10/2))^2)/((Input!$G$11/Input!$G$10)+SQRT((Input!$G$11/Input!$G$10)^2+(C51/(Input!$G$10/2))^2+1))))/PI()</f>
        <v/>
      </c>
      <c r="X51" s="29">
        <f>(C51/(Input!$G$10/2))/(2*PI())*ATAN((Input!$G$11/Input!$G$10)/((C51/(Input!$G$10/2))*SQRT((Input!$G$11/Input!$G$10)^2+(C51/(Input!$G$10/2))^2+1)))</f>
        <v/>
      </c>
      <c r="Y51" s="13">
        <f>MAX(0,C51-MAX(B51,$G$8))/D51*IF(V51&gt;=Input!$G$27*J51,1,0)</f>
        <v/>
      </c>
      <c r="Z51" s="12">
        <f>4*Input!$G$9*(Input!$G$10/2)*(1-R51^2)/Q51*((W51-W50)+(1-2*R51)/(1-R51)*(X51-X50))*1000*Y51</f>
        <v/>
      </c>
      <c r="AA51" s="30">
        <f>IF(F51="Sand",0,0.009*(K51-10))</f>
        <v/>
      </c>
      <c r="AB51" s="30">
        <f>AA51*Input!$G$23</f>
        <v/>
      </c>
      <c r="AC51" s="26">
        <f>IF(F51="Sand",0,MAX(O51/Input!$G$24,J51))</f>
        <v/>
      </c>
      <c r="AD51" s="31">
        <f>IF(F51="Sand",0,1000*D51/(1+N51)*IF(J51+V51&lt;=AC51,AB51*LOG10((J51+V51)/J51),AB51*LOG10(AC51/J51)+AA51*LOG10((J51+V51)/AC51)))*Y51</f>
        <v/>
      </c>
      <c r="AE51" s="32">
        <f>IF(F51="Sand",0,10^(INDEX(Korelasi!$C$5:$C$11,MIN(MATCH(MIN(MAX(K51,30),120),Korelasi!$A$5:$A$11,1),6))+(MIN(MAX(K51,30),120)-INDEX(Korelasi!$A$5:$A$11,MIN(MATCH(MIN(MAX(K51,30),120),Korelasi!$A$5:$A$11,1),6)))/(INDEX(Korelasi!$A$5:$A$11,MIN(MATCH(MIN(MAX(K51,30),120),Korelasi!$A$5:$A$11,1),6)+1)-INDEX(Korelasi!$A$5:$A$11,MIN(MATCH(MIN(MAX(K51,30),120),Korelasi!$A$5:$A$11,1),6)))*(INDEX(Korelasi!$C$5:$C$11,MIN(MATCH(MIN(MAX(K51,30),120),Korelasi!$A$5:$A$11,1),6)+1)-INDEX(Korelasi!$C$5:$C$11,MIN(MATCH(MIN(MAX(K51,30),120),Korelasi!$A$5:$A$11,1),6)))))</f>
        <v/>
      </c>
      <c r="AF51" s="33">
        <f>IF(OR(F51="Sand",Y51=0),0,Input!$G$25*(D51/2)^2/(AE51*1E-4*31536000))</f>
        <v/>
      </c>
      <c r="AG51" s="13">
        <f>MAX(0,MIN(C51,Input!$G$15)-B51)</f>
        <v/>
      </c>
      <c r="AH51" s="13">
        <f>MAX(0,MIN(C51,Input!$G$15)-MAX(B51,$G$8))</f>
        <v/>
      </c>
      <c r="AI51" s="13">
        <f>MAX(0,MIN(C51,$G$106)-B51)</f>
        <v/>
      </c>
      <c r="AJ51" s="34" t="inlineStr"/>
    </row>
    <row r="52">
      <c r="A52" s="20" t="n">
        <v>40</v>
      </c>
      <c r="B52" s="21" t="n">
        <v>58.5</v>
      </c>
      <c r="C52" s="21" t="n">
        <v>59.5</v>
      </c>
      <c r="D52" s="13">
        <f>C52-B52</f>
        <v/>
      </c>
      <c r="E52" s="13">
        <f>(B52+C52)/2</f>
        <v/>
      </c>
      <c r="F52" s="22" t="inlineStr">
        <is>
          <t>Sand</t>
        </is>
      </c>
      <c r="G52" s="23" t="n">
        <v>29</v>
      </c>
      <c r="H52" s="12">
        <f>IF(E52&gt;$G$5,$G$7,$G$6)</f>
        <v/>
      </c>
      <c r="I52" s="12">
        <f>I51+H52*D52</f>
        <v/>
      </c>
      <c r="J52" s="12">
        <f>I52-H52*D52/2-10*MAX(E52-$G$5,0)</f>
        <v/>
      </c>
      <c r="K52" s="24" t="n"/>
      <c r="L52" s="24" t="n"/>
      <c r="M52" s="12">
        <f>IF(K52="","",K52-L52)</f>
        <v/>
      </c>
      <c r="N52" s="25" t="n">
        <v>0.65</v>
      </c>
      <c r="O52" s="26">
        <f>IF(F52="Sand",0,Input!$G$19*G52)</f>
        <v/>
      </c>
      <c r="P52" s="12">
        <f>IF(F52="Sand",27.1+0.3*MIN(Input!$G$20*G52,60)-0.00054*MIN(Input!$G$20*G52,60)^2,MIN(MAX(DEGREES(ASIN(0.8-0.094*LN(MAX(IF(M52="",10,M52),5)))),20),30))</f>
        <v/>
      </c>
      <c r="Q52" s="27">
        <f>IF(F52="Sand",Input!$G$21*Input!$G$20*G52,Input!$G$22*O52)</f>
        <v/>
      </c>
      <c r="R52" s="13">
        <f>IF(F52="Sand",Input!$G$26,0.5)</f>
        <v/>
      </c>
      <c r="S52" s="13">
        <f>Input!$G$10/2/E52</f>
        <v/>
      </c>
      <c r="T52" s="13">
        <f>Input!$G$11/2/E52</f>
        <v/>
      </c>
      <c r="U52" s="28">
        <f>1/(4*PI())*(2*S52*T52*SQRT(S52^2+T52^2+1)/(S52^2+T52^2+1+S52^2*T52^2)*(S52^2+T52^2+2)/(S52^2+T52^2+1)+ATAN2(S52^2+T52^2+1-S52^2*T52^2,2*S52*T52*SQRT(S52^2+T52^2+1)))</f>
        <v/>
      </c>
      <c r="V52" s="12">
        <f>4*Input!$G$9*U52</f>
        <v/>
      </c>
      <c r="W52" s="29">
        <f>((Input!$G$11/Input!$G$10)*LN((1+SQRT((Input!$G$11/Input!$G$10)^2+1))*SQRT((Input!$G$11/Input!$G$10)^2+(C52/(Input!$G$10/2))^2)/((Input!$G$11/Input!$G$10)*(1+SQRT((Input!$G$11/Input!$G$10)^2+(C52/(Input!$G$10/2))^2+1))))+LN(((Input!$G$11/Input!$G$10)+SQRT((Input!$G$11/Input!$G$10)^2+1))*SQRT(1+(C52/(Input!$G$10/2))^2)/((Input!$G$11/Input!$G$10)+SQRT((Input!$G$11/Input!$G$10)^2+(C52/(Input!$G$10/2))^2+1))))/PI()</f>
        <v/>
      </c>
      <c r="X52" s="29">
        <f>(C52/(Input!$G$10/2))/(2*PI())*ATAN((Input!$G$11/Input!$G$10)/((C52/(Input!$G$10/2))*SQRT((Input!$G$11/Input!$G$10)^2+(C52/(Input!$G$10/2))^2+1)))</f>
        <v/>
      </c>
      <c r="Y52" s="13">
        <f>MAX(0,C52-MAX(B52,$G$8))/D52*IF(V52&gt;=Input!$G$27*J52,1,0)</f>
        <v/>
      </c>
      <c r="Z52" s="12">
        <f>4*Input!$G$9*(Input!$G$10/2)*(1-R52^2)/Q52*((W52-W51)+(1-2*R52)/(1-R52)*(X52-X51))*1000*Y52</f>
        <v/>
      </c>
      <c r="AA52" s="30">
        <f>IF(F52="Sand",0,0.009*(K52-10))</f>
        <v/>
      </c>
      <c r="AB52" s="30">
        <f>AA52*Input!$G$23</f>
        <v/>
      </c>
      <c r="AC52" s="26">
        <f>IF(F52="Sand",0,MAX(O52/Input!$G$24,J52))</f>
        <v/>
      </c>
      <c r="AD52" s="31">
        <f>IF(F52="Sand",0,1000*D52/(1+N52)*IF(J52+V52&lt;=AC52,AB52*LOG10((J52+V52)/J52),AB52*LOG10(AC52/J52)+AA52*LOG10((J52+V52)/AC52)))*Y52</f>
        <v/>
      </c>
      <c r="AE52" s="32">
        <f>IF(F52="Sand",0,10^(INDEX(Korelasi!$C$5:$C$11,MIN(MATCH(MIN(MAX(K52,30),120),Korelasi!$A$5:$A$11,1),6))+(MIN(MAX(K52,30),120)-INDEX(Korelasi!$A$5:$A$11,MIN(MATCH(MIN(MAX(K52,30),120),Korelasi!$A$5:$A$11,1),6)))/(INDEX(Korelasi!$A$5:$A$11,MIN(MATCH(MIN(MAX(K52,30),120),Korelasi!$A$5:$A$11,1),6)+1)-INDEX(Korelasi!$A$5:$A$11,MIN(MATCH(MIN(MAX(K52,30),120),Korelasi!$A$5:$A$11,1),6)))*(INDEX(Korelasi!$C$5:$C$11,MIN(MATCH(MIN(MAX(K52,30),120),Korelasi!$A$5:$A$11,1),6)+1)-INDEX(Korelasi!$C$5:$C$11,MIN(MATCH(MIN(MAX(K52,30),120),Korelasi!$A$5:$A$11,1),6)))))</f>
        <v/>
      </c>
      <c r="AF52" s="33">
        <f>IF(OR(F52="Sand",Y52=0),0,Input!$G$25*(D52/2)^2/(AE52*1E-4*31536000))</f>
        <v/>
      </c>
      <c r="AG52" s="13">
        <f>MAX(0,MIN(C52,Input!$G$15)-B52)</f>
        <v/>
      </c>
      <c r="AH52" s="13">
        <f>MAX(0,MIN(C52,Input!$G$15)-MAX(B52,$G$8))</f>
        <v/>
      </c>
      <c r="AI52" s="13">
        <f>MAX(0,MIN(C52,$G$106)-B52)</f>
        <v/>
      </c>
      <c r="AJ52" s="34" t="inlineStr"/>
    </row>
    <row r="53">
      <c r="A53" s="20" t="n">
        <v>41</v>
      </c>
      <c r="B53" s="21" t="n">
        <v>59.5</v>
      </c>
      <c r="C53" s="21" t="n">
        <v>60</v>
      </c>
      <c r="D53" s="13">
        <f>C53-B53</f>
        <v/>
      </c>
      <c r="E53" s="13">
        <f>(B53+C53)/2</f>
        <v/>
      </c>
      <c r="F53" s="22" t="inlineStr">
        <is>
          <t>Sand</t>
        </is>
      </c>
      <c r="G53" s="23" t="n">
        <v>44</v>
      </c>
      <c r="H53" s="12">
        <f>IF(E53&gt;$G$5,$G$7,$G$6)</f>
        <v/>
      </c>
      <c r="I53" s="12">
        <f>I52+H53*D53</f>
        <v/>
      </c>
      <c r="J53" s="12">
        <f>I53-H53*D53/2-10*MAX(E53-$G$5,0)</f>
        <v/>
      </c>
      <c r="K53" s="24" t="n"/>
      <c r="L53" s="24" t="n"/>
      <c r="M53" s="12">
        <f>IF(K53="","",K53-L53)</f>
        <v/>
      </c>
      <c r="N53" s="25" t="n">
        <v>0.65</v>
      </c>
      <c r="O53" s="26">
        <f>IF(F53="Sand",0,Input!$G$19*G53)</f>
        <v/>
      </c>
      <c r="P53" s="12">
        <f>IF(F53="Sand",27.1+0.3*MIN(Input!$G$20*G53,60)-0.00054*MIN(Input!$G$20*G53,60)^2,MIN(MAX(DEGREES(ASIN(0.8-0.094*LN(MAX(IF(M53="",10,M53),5)))),20),30))</f>
        <v/>
      </c>
      <c r="Q53" s="27">
        <f>IF(F53="Sand",Input!$G$21*Input!$G$20*G53,Input!$G$22*O53)</f>
        <v/>
      </c>
      <c r="R53" s="13">
        <f>IF(F53="Sand",Input!$G$26,0.5)</f>
        <v/>
      </c>
      <c r="S53" s="13">
        <f>Input!$G$10/2/E53</f>
        <v/>
      </c>
      <c r="T53" s="13">
        <f>Input!$G$11/2/E53</f>
        <v/>
      </c>
      <c r="U53" s="28">
        <f>1/(4*PI())*(2*S53*T53*SQRT(S53^2+T53^2+1)/(S53^2+T53^2+1+S53^2*T53^2)*(S53^2+T53^2+2)/(S53^2+T53^2+1)+ATAN2(S53^2+T53^2+1-S53^2*T53^2,2*S53*T53*SQRT(S53^2+T53^2+1)))</f>
        <v/>
      </c>
      <c r="V53" s="12">
        <f>4*Input!$G$9*U53</f>
        <v/>
      </c>
      <c r="W53" s="29">
        <f>((Input!$G$11/Input!$G$10)*LN((1+SQRT((Input!$G$11/Input!$G$10)^2+1))*SQRT((Input!$G$11/Input!$G$10)^2+(C53/(Input!$G$10/2))^2)/((Input!$G$11/Input!$G$10)*(1+SQRT((Input!$G$11/Input!$G$10)^2+(C53/(Input!$G$10/2))^2+1))))+LN(((Input!$G$11/Input!$G$10)+SQRT((Input!$G$11/Input!$G$10)^2+1))*SQRT(1+(C53/(Input!$G$10/2))^2)/((Input!$G$11/Input!$G$10)+SQRT((Input!$G$11/Input!$G$10)^2+(C53/(Input!$G$10/2))^2+1))))/PI()</f>
        <v/>
      </c>
      <c r="X53" s="29">
        <f>(C53/(Input!$G$10/2))/(2*PI())*ATAN((Input!$G$11/Input!$G$10)/((C53/(Input!$G$10/2))*SQRT((Input!$G$11/Input!$G$10)^2+(C53/(Input!$G$10/2))^2+1)))</f>
        <v/>
      </c>
      <c r="Y53" s="13">
        <f>MAX(0,C53-MAX(B53,$G$8))/D53*IF(V53&gt;=Input!$G$27*J53,1,0)</f>
        <v/>
      </c>
      <c r="Z53" s="12">
        <f>4*Input!$G$9*(Input!$G$10/2)*(1-R53^2)/Q53*((W53-W52)+(1-2*R53)/(1-R53)*(X53-X52))*1000*Y53</f>
        <v/>
      </c>
      <c r="AA53" s="30">
        <f>IF(F53="Sand",0,0.009*(K53-10))</f>
        <v/>
      </c>
      <c r="AB53" s="30">
        <f>AA53*Input!$G$23</f>
        <v/>
      </c>
      <c r="AC53" s="26">
        <f>IF(F53="Sand",0,MAX(O53/Input!$G$24,J53))</f>
        <v/>
      </c>
      <c r="AD53" s="31">
        <f>IF(F53="Sand",0,1000*D53/(1+N53)*IF(J53+V53&lt;=AC53,AB53*LOG10((J53+V53)/J53),AB53*LOG10(AC53/J53)+AA53*LOG10((J53+V53)/AC53)))*Y53</f>
        <v/>
      </c>
      <c r="AE53" s="32">
        <f>IF(F53="Sand",0,10^(INDEX(Korelasi!$C$5:$C$11,MIN(MATCH(MIN(MAX(K53,30),120),Korelasi!$A$5:$A$11,1),6))+(MIN(MAX(K53,30),120)-INDEX(Korelasi!$A$5:$A$11,MIN(MATCH(MIN(MAX(K53,30),120),Korelasi!$A$5:$A$11,1),6)))/(INDEX(Korelasi!$A$5:$A$11,MIN(MATCH(MIN(MAX(K53,30),120),Korelasi!$A$5:$A$11,1),6)+1)-INDEX(Korelasi!$A$5:$A$11,MIN(MATCH(MIN(MAX(K53,30),120),Korelasi!$A$5:$A$11,1),6)))*(INDEX(Korelasi!$C$5:$C$11,MIN(MATCH(MIN(MAX(K53,30),120),Korelasi!$A$5:$A$11,1),6)+1)-INDEX(Korelasi!$C$5:$C$11,MIN(MATCH(MIN(MAX(K53,30),120),Korelasi!$A$5:$A$11,1),6)))))</f>
        <v/>
      </c>
      <c r="AF53" s="33">
        <f>IF(OR(F53="Sand",Y53=0),0,Input!$G$25*(D53/2)^2/(AE53*1E-4*31536000))</f>
        <v/>
      </c>
      <c r="AG53" s="13">
        <f>MAX(0,MIN(C53,Input!$G$15)-B53)</f>
        <v/>
      </c>
      <c r="AH53" s="13">
        <f>MAX(0,MIN(C53,Input!$G$15)-MAX(B53,$G$8))</f>
        <v/>
      </c>
      <c r="AI53" s="13">
        <f>MAX(0,MIN(C53,$G$106)-B53)</f>
        <v/>
      </c>
      <c r="AJ53" s="34" t="inlineStr"/>
    </row>
    <row r="54">
      <c r="A54" s="2" t="inlineStr">
        <is>
          <t>Sel kuning = data (SPT, lab, laporan). Jenis: Sand / Silt / Clay. Sublapisan di bawah kedalaman bor memakai data borehole terdekat (lihat Ket.).</t>
        </is>
      </c>
    </row>
    <row r="56">
      <c r="A56" s="3" t="inlineStr">
        <is>
          <t>3. DAYA DUKUNG TANAH DASAR (Terzaghi/Vesic, SNI 8460:2017)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</row>
    <row r="57">
      <c r="A57" s="2" t="inlineStr">
        <is>
          <t>Kondisi undrained (jangka pendek) dihitung bila ada lanau/lempung dalam 0 - Hb; kondisi drained (jangka panjang) selalu dihitung; daya dukung = nilai terkecil. Tanah 0 - Dr yang diganti dianggap material granular (Input bagian D).</t>
        </is>
      </c>
    </row>
    <row r="58">
      <c r="A58" s="15" t="inlineStr">
        <is>
          <t>a) TANPA PERBAIKAN</t>
        </is>
      </c>
    </row>
    <row r="59">
      <c r="A59" s="5" t="inlineStr">
        <is>
          <t>Tebal lanau/lempung asli dalam 0 - Hb</t>
        </is>
      </c>
      <c r="F59" s="6" t="inlineStr">
        <is>
          <t>Σh</t>
        </is>
      </c>
      <c r="G59" s="35">
        <f>SUMPRODUCT(--(F13:F53&lt;&gt;"Sand"),AG13:AG53)</f>
        <v/>
      </c>
      <c r="H59" s="5" t="inlineStr">
        <is>
          <t>m</t>
        </is>
      </c>
      <c r="I59" s="2" t="inlineStr"/>
    </row>
    <row r="60">
      <c r="A60" s="5" t="inlineStr">
        <is>
          <t>cu rata-rata lanau/lempung (0 - Hb)</t>
        </is>
      </c>
      <c r="F60" s="6" t="inlineStr">
        <is>
          <t>cu</t>
        </is>
      </c>
      <c r="G60" s="35">
        <f>IF($G$59=0,0,SUMPRODUCT(--(F13:F53&lt;&gt;"Sand"),AG13:AG53,O13:O53)/$G$59)</f>
        <v/>
      </c>
      <c r="H60" s="5" t="inlineStr">
        <is>
          <t>kPa</t>
        </is>
      </c>
      <c r="I60" s="2" t="inlineStr">
        <is>
          <t>cu = k·N</t>
        </is>
      </c>
    </row>
    <row r="61">
      <c r="A61" s="5" t="inlineStr">
        <is>
          <t>φ' rata-rata (0 - Hb)</t>
        </is>
      </c>
      <c r="F61" s="6" t="inlineStr">
        <is>
          <t>φ'</t>
        </is>
      </c>
      <c r="G61" s="35">
        <f>(SUMPRODUCT(AG13:AG53,P13:P53)+MIN(0,Input!$G$15)*Input!$G$31)/Input!$G$15</f>
        <v/>
      </c>
      <c r="H61" s="5" t="inlineStr">
        <is>
          <t>°</t>
        </is>
      </c>
      <c r="I61" s="2" t="inlineStr">
        <is>
          <t>lapisan diganti memakai φ' material pengganti</t>
        </is>
      </c>
    </row>
    <row r="62">
      <c r="A62" s="5" t="inlineStr">
        <is>
          <t>Berat isi efektif rata-rata (0 - Hb)</t>
        </is>
      </c>
      <c r="F62" s="6" t="inlineStr">
        <is>
          <t>γ'</t>
        </is>
      </c>
      <c r="G62" s="35">
        <f>(SUMPRODUCT(AG13:AG53,H13:H53)+MIN(0,Input!$G$15)*Input!$G$30)/Input!$G$15-10*MAX(0,Input!$G$15-$G$5)/Input!$G$15</f>
        <v/>
      </c>
      <c r="H62" s="5" t="inlineStr">
        <is>
          <t>kN/m³</t>
        </is>
      </c>
      <c r="I62" s="2" t="inlineStr"/>
    </row>
    <row r="63">
      <c r="A63" s="5" t="inlineStr">
        <is>
          <t>Undrained: faktor bentuk (Nc = 5,14)</t>
        </is>
      </c>
      <c r="F63" s="6" t="inlineStr">
        <is>
          <t>sc</t>
        </is>
      </c>
      <c r="G63" s="35">
        <f>1+0.2*Input!$G$10/Input!$G$11</f>
        <v/>
      </c>
      <c r="H63" s="5" t="inlineStr">
        <is>
          <t>-</t>
        </is>
      </c>
      <c r="I63" s="2" t="inlineStr"/>
    </row>
    <row r="64">
      <c r="A64" s="5" t="inlineStr">
        <is>
          <t>qu undrained = cu·Nc·sc</t>
        </is>
      </c>
      <c r="F64" s="6" t="inlineStr">
        <is>
          <t>qu,u</t>
        </is>
      </c>
      <c r="G64" s="36">
        <f>IF($G$59=0,"-",$G$60*5.14*$G$63)</f>
        <v/>
      </c>
      <c r="H64" s="5" t="inlineStr">
        <is>
          <t>kPa</t>
        </is>
      </c>
      <c r="I64" s="2" t="inlineStr">
        <is>
          <t>tidak berlaku bila tidak ada lanau/lempung</t>
        </is>
      </c>
    </row>
    <row r="65">
      <c r="A65" s="5" t="inlineStr">
        <is>
          <t>Drained: Nq = e^(π tanφ)·tan²(45+φ/2)</t>
        </is>
      </c>
      <c r="F65" s="6" t="inlineStr">
        <is>
          <t>Nq</t>
        </is>
      </c>
      <c r="G65" s="35">
        <f>EXP(PI()*TAN(RADIANS($G$61)))*TAN(RADIANS(45+$G$61/2))^2</f>
        <v/>
      </c>
      <c r="H65" s="5" t="inlineStr">
        <is>
          <t>-</t>
        </is>
      </c>
      <c r="I65" s="2" t="inlineStr"/>
    </row>
    <row r="66">
      <c r="A66" s="5" t="inlineStr">
        <is>
          <t>Nγ = 2(Nq+1)tanφ (Vesic 1975)</t>
        </is>
      </c>
      <c r="F66" s="6" t="inlineStr">
        <is>
          <t>Nγ</t>
        </is>
      </c>
      <c r="G66" s="35">
        <f>2*($G$65+1)*TAN(RADIANS($G$61))</f>
        <v/>
      </c>
      <c r="H66" s="5" t="inlineStr">
        <is>
          <t>-</t>
        </is>
      </c>
      <c r="I66" s="2" t="inlineStr"/>
    </row>
    <row r="67">
      <c r="A67" s="5" t="inlineStr">
        <is>
          <t>sγ = 1 - 0,4B/L ;  rγ = 1 - 0,25log(B/2) (Bowles 1996)</t>
        </is>
      </c>
      <c r="F67" s="6" t="inlineStr">
        <is>
          <t>sγ·rγ</t>
        </is>
      </c>
      <c r="G67" s="35">
        <f>(1-0.4*Input!$G$10/Input!$G$11)*IF(Input!$G$10&gt;2,1-0.25*LOG10(Input!$G$10/2),1)</f>
        <v/>
      </c>
      <c r="H67" s="5" t="inlineStr">
        <is>
          <t>-</t>
        </is>
      </c>
      <c r="I67" s="2" t="inlineStr"/>
    </row>
    <row r="68">
      <c r="A68" s="5" t="inlineStr">
        <is>
          <t>qu drained = 0,5·γ'·B·Nγ·sγ·rγ   (c' = 0, q = 0)</t>
        </is>
      </c>
      <c r="F68" s="6" t="inlineStr">
        <is>
          <t>qu,d</t>
        </is>
      </c>
      <c r="G68" s="36">
        <f>0.5*$G$62*Input!$G$10*$G$66*$G$67</f>
        <v/>
      </c>
      <c r="H68" s="5" t="inlineStr">
        <is>
          <t>kPa</t>
        </is>
      </c>
      <c r="I68" s="2" t="inlineStr"/>
    </row>
    <row r="69">
      <c r="A69" s="5" t="inlineStr">
        <is>
          <t>Daya dukung ultimit menentukan</t>
        </is>
      </c>
      <c r="F69" s="6" t="inlineStr">
        <is>
          <t>qu</t>
        </is>
      </c>
      <c r="G69" s="37">
        <f>IF($G$59=0,$G$68,MIN($G$64,$G$68))</f>
        <v/>
      </c>
      <c r="H69" s="5" t="inlineStr">
        <is>
          <t>kPa</t>
        </is>
      </c>
      <c r="I69" s="2" t="inlineStr"/>
    </row>
    <row r="70">
      <c r="A70" s="5" t="inlineStr">
        <is>
          <t>Daya dukung izin = qu / SF</t>
        </is>
      </c>
      <c r="F70" s="6" t="inlineStr">
        <is>
          <t>qall</t>
        </is>
      </c>
      <c r="G70" s="37">
        <f>$G$69/Input!$G$14</f>
        <v/>
      </c>
      <c r="H70" s="5" t="inlineStr">
        <is>
          <t>kPa</t>
        </is>
      </c>
      <c r="I70" s="2" t="inlineStr"/>
    </row>
    <row r="71">
      <c r="A71" s="5" t="inlineStr">
        <is>
          <t>Tekanan kerja (timbunan + beban merata)</t>
        </is>
      </c>
      <c r="F71" s="6" t="inlineStr">
        <is>
          <t>q</t>
        </is>
      </c>
      <c r="G71" s="36">
        <f>Input!$G$9</f>
        <v/>
      </c>
      <c r="H71" s="5" t="inlineStr">
        <is>
          <t>kPa</t>
        </is>
      </c>
      <c r="I71" s="2" t="inlineStr"/>
    </row>
    <row r="72">
      <c r="A72" s="5" t="inlineStr">
        <is>
          <t>Kontrol daya dukung</t>
        </is>
      </c>
      <c r="F72" s="6" t="inlineStr"/>
      <c r="G72" s="38">
        <f>IF($G$70&gt;=Input!$G$9,"qall ≥ q … OK","qall &lt; q … NG")</f>
        <v/>
      </c>
      <c r="H72" s="5" t="inlineStr"/>
      <c r="I72" s="2" t="inlineStr"/>
    </row>
    <row r="73">
      <c r="A73" s="5" t="inlineStr">
        <is>
          <t>Faktor keamanan aktual = qu / q</t>
        </is>
      </c>
      <c r="F73" s="6" t="inlineStr">
        <is>
          <t>FS</t>
        </is>
      </c>
      <c r="G73" s="35">
        <f>$G$69/Input!$G$9</f>
        <v/>
      </c>
      <c r="H73" s="5" t="inlineStr">
        <is>
          <t>-</t>
        </is>
      </c>
      <c r="I73" s="2" t="inlineStr"/>
    </row>
    <row r="74">
      <c r="A74" s="5" t="inlineStr">
        <is>
          <t>Tinggi timbunan izin (dengan beban merata)</t>
        </is>
      </c>
      <c r="F74" s="6" t="inlineStr">
        <is>
          <t>H izin</t>
        </is>
      </c>
      <c r="G74" s="35">
        <f>MAX(0,($G$70-Input!$G$8)/Input!$G$7)</f>
        <v/>
      </c>
      <c r="H74" s="5" t="inlineStr">
        <is>
          <t>m</t>
        </is>
      </c>
      <c r="I74" s="2" t="inlineStr">
        <is>
          <t>H izin = (qall - qs)/γf</t>
        </is>
      </c>
    </row>
    <row r="76">
      <c r="A76" s="15" t="inlineStr">
        <is>
          <t>b) DENGAN PENGGANTIAN TANAH 0 - Dr (kondisi desain)</t>
        </is>
      </c>
    </row>
    <row r="77">
      <c r="A77" s="5" t="inlineStr">
        <is>
          <t>Tebal lanau/lempung asli dalam 0 - Hb</t>
        </is>
      </c>
      <c r="F77" s="6" t="inlineStr">
        <is>
          <t>Σh</t>
        </is>
      </c>
      <c r="G77" s="35">
        <f>SUMPRODUCT(--(F13:F53&lt;&gt;"Sand"),AH13:AH53)</f>
        <v/>
      </c>
      <c r="H77" s="5" t="inlineStr">
        <is>
          <t>m</t>
        </is>
      </c>
      <c r="I77" s="2" t="inlineStr"/>
    </row>
    <row r="78">
      <c r="A78" s="5" t="inlineStr">
        <is>
          <t>cu rata-rata lanau/lempung (0 - Hb)</t>
        </is>
      </c>
      <c r="F78" s="6" t="inlineStr">
        <is>
          <t>cu</t>
        </is>
      </c>
      <c r="G78" s="35">
        <f>IF($G$77=0,0,SUMPRODUCT(--(F13:F53&lt;&gt;"Sand"),AH13:AH53,O13:O53)/$G$77)</f>
        <v/>
      </c>
      <c r="H78" s="5" t="inlineStr">
        <is>
          <t>kPa</t>
        </is>
      </c>
      <c r="I78" s="2" t="inlineStr">
        <is>
          <t>cu = k·N</t>
        </is>
      </c>
    </row>
    <row r="79">
      <c r="A79" s="5" t="inlineStr">
        <is>
          <t>φ' rata-rata (0 - Hb)</t>
        </is>
      </c>
      <c r="F79" s="6" t="inlineStr">
        <is>
          <t>φ'</t>
        </is>
      </c>
      <c r="G79" s="35">
        <f>(SUMPRODUCT(AH13:AH53,P13:P53)+MIN($G$8,Input!$G$15)*Input!$G$31)/Input!$G$15</f>
        <v/>
      </c>
      <c r="H79" s="5" t="inlineStr">
        <is>
          <t>°</t>
        </is>
      </c>
      <c r="I79" s="2" t="inlineStr">
        <is>
          <t>lapisan diganti memakai φ' material pengganti</t>
        </is>
      </c>
    </row>
    <row r="80">
      <c r="A80" s="5" t="inlineStr">
        <is>
          <t>Berat isi efektif rata-rata (0 - Hb)</t>
        </is>
      </c>
      <c r="F80" s="6" t="inlineStr">
        <is>
          <t>γ'</t>
        </is>
      </c>
      <c r="G80" s="35">
        <f>(SUMPRODUCT(AH13:AH53,H13:H53)+MIN($G$8,Input!$G$15)*Input!$G$30)/Input!$G$15-10*MAX(0,Input!$G$15-$G$5)/Input!$G$15</f>
        <v/>
      </c>
      <c r="H80" s="5" t="inlineStr">
        <is>
          <t>kN/m³</t>
        </is>
      </c>
      <c r="I80" s="2" t="inlineStr"/>
    </row>
    <row r="81">
      <c r="A81" s="5" t="inlineStr">
        <is>
          <t>Undrained: faktor bentuk (Nc = 5,14)</t>
        </is>
      </c>
      <c r="F81" s="6" t="inlineStr">
        <is>
          <t>sc</t>
        </is>
      </c>
      <c r="G81" s="35">
        <f>1+0.2*Input!$G$10/Input!$G$11</f>
        <v/>
      </c>
      <c r="H81" s="5" t="inlineStr">
        <is>
          <t>-</t>
        </is>
      </c>
      <c r="I81" s="2" t="inlineStr"/>
    </row>
    <row r="82">
      <c r="A82" s="5" t="inlineStr">
        <is>
          <t>qu undrained = cu·Nc·sc</t>
        </is>
      </c>
      <c r="F82" s="6" t="inlineStr">
        <is>
          <t>qu,u</t>
        </is>
      </c>
      <c r="G82" s="36">
        <f>IF($G$77=0,"-",$G$78*5.14*$G$81)</f>
        <v/>
      </c>
      <c r="H82" s="5" t="inlineStr">
        <is>
          <t>kPa</t>
        </is>
      </c>
      <c r="I82" s="2" t="inlineStr">
        <is>
          <t>tidak berlaku bila tidak ada lanau/lempung</t>
        </is>
      </c>
    </row>
    <row r="83">
      <c r="A83" s="5" t="inlineStr">
        <is>
          <t>Drained: Nq = e^(π tanφ)·tan²(45+φ/2)</t>
        </is>
      </c>
      <c r="F83" s="6" t="inlineStr">
        <is>
          <t>Nq</t>
        </is>
      </c>
      <c r="G83" s="35">
        <f>EXP(PI()*TAN(RADIANS($G$79)))*TAN(RADIANS(45+$G$79/2))^2</f>
        <v/>
      </c>
      <c r="H83" s="5" t="inlineStr">
        <is>
          <t>-</t>
        </is>
      </c>
      <c r="I83" s="2" t="inlineStr"/>
    </row>
    <row r="84">
      <c r="A84" s="5" t="inlineStr">
        <is>
          <t>Nγ = 2(Nq+1)tanφ (Vesic 1975)</t>
        </is>
      </c>
      <c r="F84" s="6" t="inlineStr">
        <is>
          <t>Nγ</t>
        </is>
      </c>
      <c r="G84" s="35">
        <f>2*($G$83+1)*TAN(RADIANS($G$79))</f>
        <v/>
      </c>
      <c r="H84" s="5" t="inlineStr">
        <is>
          <t>-</t>
        </is>
      </c>
      <c r="I84" s="2" t="inlineStr"/>
    </row>
    <row r="85">
      <c r="A85" s="5" t="inlineStr">
        <is>
          <t>sγ = 1 - 0,4B/L ;  rγ = 1 - 0,25log(B/2) (Bowles 1996)</t>
        </is>
      </c>
      <c r="F85" s="6" t="inlineStr">
        <is>
          <t>sγ·rγ</t>
        </is>
      </c>
      <c r="G85" s="35">
        <f>(1-0.4*Input!$G$10/Input!$G$11)*IF(Input!$G$10&gt;2,1-0.25*LOG10(Input!$G$10/2),1)</f>
        <v/>
      </c>
      <c r="H85" s="5" t="inlineStr">
        <is>
          <t>-</t>
        </is>
      </c>
      <c r="I85" s="2" t="inlineStr"/>
    </row>
    <row r="86">
      <c r="A86" s="5" t="inlineStr">
        <is>
          <t>qu drained = 0,5·γ'·B·Nγ·sγ·rγ   (c' = 0, q = 0)</t>
        </is>
      </c>
      <c r="F86" s="6" t="inlineStr">
        <is>
          <t>qu,d</t>
        </is>
      </c>
      <c r="G86" s="36">
        <f>0.5*$G$80*Input!$G$10*$G$84*$G$85</f>
        <v/>
      </c>
      <c r="H86" s="5" t="inlineStr">
        <is>
          <t>kPa</t>
        </is>
      </c>
      <c r="I86" s="2" t="inlineStr"/>
    </row>
    <row r="87">
      <c r="A87" s="5" t="inlineStr">
        <is>
          <t>Daya dukung ultimit menentukan</t>
        </is>
      </c>
      <c r="F87" s="6" t="inlineStr">
        <is>
          <t>qu</t>
        </is>
      </c>
      <c r="G87" s="37">
        <f>IF($G$77=0,$G$86,MIN($G$82,$G$86))</f>
        <v/>
      </c>
      <c r="H87" s="5" t="inlineStr">
        <is>
          <t>kPa</t>
        </is>
      </c>
      <c r="I87" s="2" t="inlineStr"/>
    </row>
    <row r="88">
      <c r="A88" s="5" t="inlineStr">
        <is>
          <t>Daya dukung izin = qu / SF</t>
        </is>
      </c>
      <c r="F88" s="6" t="inlineStr">
        <is>
          <t>qall</t>
        </is>
      </c>
      <c r="G88" s="37">
        <f>$G$87/Input!$G$14</f>
        <v/>
      </c>
      <c r="H88" s="5" t="inlineStr">
        <is>
          <t>kPa</t>
        </is>
      </c>
      <c r="I88" s="2" t="inlineStr"/>
    </row>
    <row r="89">
      <c r="A89" s="5" t="inlineStr">
        <is>
          <t>Tekanan kerja (timbunan + beban merata)</t>
        </is>
      </c>
      <c r="F89" s="6" t="inlineStr">
        <is>
          <t>q</t>
        </is>
      </c>
      <c r="G89" s="36">
        <f>Input!$G$9</f>
        <v/>
      </c>
      <c r="H89" s="5" t="inlineStr">
        <is>
          <t>kPa</t>
        </is>
      </c>
      <c r="I89" s="2" t="inlineStr"/>
    </row>
    <row r="90">
      <c r="A90" s="5" t="inlineStr">
        <is>
          <t>Kontrol daya dukung</t>
        </is>
      </c>
      <c r="F90" s="6" t="inlineStr"/>
      <c r="G90" s="38">
        <f>IF($G$88&gt;=Input!$G$9,"qall ≥ q … OK","qall &lt; q … NG")</f>
        <v/>
      </c>
      <c r="H90" s="5" t="inlineStr"/>
      <c r="I90" s="2" t="inlineStr"/>
    </row>
    <row r="91">
      <c r="A91" s="5" t="inlineStr">
        <is>
          <t>Faktor keamanan aktual = qu / q</t>
        </is>
      </c>
      <c r="F91" s="6" t="inlineStr">
        <is>
          <t>FS</t>
        </is>
      </c>
      <c r="G91" s="35">
        <f>$G$87/Input!$G$9</f>
        <v/>
      </c>
      <c r="H91" s="5" t="inlineStr">
        <is>
          <t>-</t>
        </is>
      </c>
      <c r="I91" s="2" t="inlineStr"/>
    </row>
    <row r="92">
      <c r="A92" s="5" t="inlineStr">
        <is>
          <t>Tinggi timbunan izin (dengan beban merata)</t>
        </is>
      </c>
      <c r="F92" s="6" t="inlineStr">
        <is>
          <t>H izin</t>
        </is>
      </c>
      <c r="G92" s="35">
        <f>MAX(0,($G$88-Input!$G$8)/Input!$G$7)</f>
        <v/>
      </c>
      <c r="H92" s="5" t="inlineStr">
        <is>
          <t>m</t>
        </is>
      </c>
      <c r="I92" s="2" t="inlineStr">
        <is>
          <t>H izin = (qall - qs)/γf</t>
        </is>
      </c>
    </row>
    <row r="94">
      <c r="A94" s="15" t="inlineStr">
        <is>
          <t>c) Tanah pasiran - daya dukung izin berbasis penurunan 25 mm (Meyerhof 1965, Bowles 1996)</t>
        </is>
      </c>
    </row>
    <row r="95">
      <c r="A95" s="5" t="inlineStr">
        <is>
          <t>N60 rata-rata lapisan pasir (0 - Hb)</t>
        </is>
      </c>
      <c r="F95" s="6" t="inlineStr">
        <is>
          <t>N60</t>
        </is>
      </c>
      <c r="G95" s="36">
        <f>IFERROR(SUMPRODUCT(--(F13:F53="Sand"),AG13:AG53,G13:G53)/SUMPRODUCT(--(F13:F53="Sand"),AG13:AG53)*Input!$G$20,"-")</f>
        <v/>
      </c>
      <c r="H95" s="5" t="inlineStr">
        <is>
          <t>-</t>
        </is>
      </c>
      <c r="I95" s="2" t="inlineStr"/>
    </row>
    <row r="96">
      <c r="A96" s="5" t="inlineStr">
        <is>
          <t>qa (S = 25 mm) = (N55/0,08)·((B+0,3)/B)²·Kd</t>
        </is>
      </c>
      <c r="F96" s="6" t="inlineStr">
        <is>
          <t>qa</t>
        </is>
      </c>
      <c r="G96" s="36">
        <f>IFERROR(($G$95*60/55)/0.08*((Input!$G$10+0.3)/Input!$G$10)^2,"-")</f>
        <v/>
      </c>
      <c r="H96" s="5" t="inlineStr">
        <is>
          <t>kPa</t>
        </is>
      </c>
      <c r="I96" s="2" t="inlineStr">
        <is>
          <t>Kd = 1 (beban di permukaan)</t>
        </is>
      </c>
    </row>
    <row r="97">
      <c r="A97" s="2" t="inlineStr">
        <is>
          <t>Pada tanah pasiran daya dukung geser hampir selalu jauh di atas beban; penentu desain adalah penurunan (bagian 4).</t>
        </is>
      </c>
    </row>
    <row r="99">
      <c r="A99" s="3" t="inlineStr">
        <is>
          <t>4. PENURUNAN SEGERA (IMMEDIATE SETTLEMENT) - kondisi desain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</row>
    <row r="100">
      <c r="A100" s="2" t="inlineStr">
        <is>
          <t>d) Teori elastis berlapis (Steinbrenner 1934; Bowles 1996): pusat area fleksibel B×L, tiap lapisan Si = 4q(B/2)(1-ν²)/E·[ΔF1 + (1-2ν)/(1-ν)·ΔF2]. Pasir: E drained, ν pasir; lanau/lempung: Eu undrained, ν = 0,5.</t>
        </is>
      </c>
    </row>
    <row r="101">
      <c r="A101" s="5" t="inlineStr">
        <is>
          <t>Penurunan segera total (dalam kedalaman pengaruh)</t>
        </is>
      </c>
      <c r="F101" s="6" t="inlineStr">
        <is>
          <t>Si</t>
        </is>
      </c>
      <c r="G101" s="37">
        <f>SUM(Z13:Z53)</f>
        <v/>
      </c>
      <c r="H101" s="5" t="inlineStr">
        <is>
          <t>mm</t>
        </is>
      </c>
      <c r="I101" s="2" t="inlineStr"/>
    </row>
    <row r="102">
      <c r="A102" s="5" t="inlineStr">
        <is>
          <t xml:space="preserve">   - dari lapisan pasir</t>
        </is>
      </c>
      <c r="F102" s="6" t="inlineStr"/>
      <c r="G102" s="36">
        <f>SUMPRODUCT(--(F13:F53="Sand"),Z13:Z53)</f>
        <v/>
      </c>
      <c r="H102" s="5" t="inlineStr">
        <is>
          <t>mm</t>
        </is>
      </c>
      <c r="I102" s="2" t="inlineStr"/>
    </row>
    <row r="103">
      <c r="A103" s="5" t="inlineStr">
        <is>
          <t xml:space="preserve">   - dari lapisan lanau/lempung (undrained)</t>
        </is>
      </c>
      <c r="F103" s="6" t="inlineStr"/>
      <c r="G103" s="36">
        <f>$G$101-$G$102</f>
        <v/>
      </c>
      <c r="H103" s="5" t="inlineStr">
        <is>
          <t>mm</t>
        </is>
      </c>
      <c r="I103" s="2" t="inlineStr"/>
    </row>
    <row r="105">
      <c r="A105" s="15" t="inlineStr">
        <is>
          <t>e) Pemeriksaan tanah pasiran - Burland &amp; Burbidge (1985), pasir NC:  S = fs·fl·q·B^0,7·Ic,   Ic = 1,71/N̄^1,4</t>
        </is>
      </c>
    </row>
    <row r="106">
      <c r="A106" s="5" t="inlineStr">
        <is>
          <t>Kedalaman pengaruh zI = B^0,763</t>
        </is>
      </c>
      <c r="F106" s="6" t="inlineStr">
        <is>
          <t>zI</t>
        </is>
      </c>
      <c r="G106" s="35">
        <f>MIN(Input!$G$10^0.763,C53)</f>
        <v/>
      </c>
      <c r="H106" s="5" t="inlineStr">
        <is>
          <t>m</t>
        </is>
      </c>
      <c r="I106" s="2" t="inlineStr"/>
    </row>
    <row r="107">
      <c r="A107" s="5" t="inlineStr">
        <is>
          <t>N rata-rata dalam zI (N terukur)</t>
        </is>
      </c>
      <c r="F107" s="6" t="inlineStr">
        <is>
          <t>N̄</t>
        </is>
      </c>
      <c r="G107" s="36">
        <f>SUMPRODUCT(AI13:AI53,G13:G53)/$G$106</f>
        <v/>
      </c>
      <c r="H107" s="5" t="inlineStr">
        <is>
          <t>-</t>
        </is>
      </c>
      <c r="I107" s="2" t="inlineStr"/>
    </row>
    <row r="108">
      <c r="A108" s="5" t="inlineStr">
        <is>
          <t>Indeks kompresibilitas</t>
        </is>
      </c>
      <c r="F108" s="6" t="inlineStr">
        <is>
          <t>Ic</t>
        </is>
      </c>
      <c r="G108" s="39">
        <f>1.71/$G$107^1.4</f>
        <v/>
      </c>
      <c r="H108" s="5" t="inlineStr">
        <is>
          <t>-</t>
        </is>
      </c>
      <c r="I108" s="2" t="inlineStr"/>
    </row>
    <row r="109">
      <c r="A109" s="5" t="inlineStr">
        <is>
          <t>Faktor bentuk fs = [1,25(L/B)/(L/B+0,25)]²</t>
        </is>
      </c>
      <c r="F109" s="6" t="inlineStr">
        <is>
          <t>fs</t>
        </is>
      </c>
      <c r="G109" s="35">
        <f>(1.25*Input!$G$11/Input!$G$10/(Input!$G$11/Input!$G$10+0.25))^2</f>
        <v/>
      </c>
      <c r="H109" s="5" t="inlineStr">
        <is>
          <t>-</t>
        </is>
      </c>
      <c r="I109" s="2" t="inlineStr"/>
    </row>
    <row r="110">
      <c r="A110" s="5" t="inlineStr">
        <is>
          <t>Penurunan (B&amp;B), fl = 1</t>
        </is>
      </c>
      <c r="F110" s="6" t="inlineStr">
        <is>
          <t>S</t>
        </is>
      </c>
      <c r="G110" s="37">
        <f>$G$109*Input!$G$9*Input!$G$10^0.7*$G$108</f>
        <v/>
      </c>
      <c r="H110" s="5" t="inlineStr">
        <is>
          <t>mm</t>
        </is>
      </c>
      <c r="I110" s="2" t="inlineStr"/>
    </row>
    <row r="111">
      <c r="A111" s="2" t="inlineStr">
        <is>
          <t>B&amp;B menganggap seluruh zona pengaruh berupa pasir; bila ada lanau/lempung, pakai butir d) sebagai nilai desain.</t>
        </is>
      </c>
    </row>
    <row r="113">
      <c r="A113" s="3" t="inlineStr">
        <is>
          <t>5. PENURUNAN KONSOLIDASI PRIMER &amp; WAKTU KONSOLIDASI (lapisan lanau/lempung) - kondisi desain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</row>
    <row r="114">
      <c r="A114" s="2" t="inlineStr">
        <is>
          <t>Sc = h/(1+e0)·[Cr·log(σ'p/σ'0) + Cc·log((σ'0+Δσ)/σ'p)] (Das 2019); Δσ Boussinesq di pusat area; σ'p = max(cu/0,22 ; σ'0); t90 = Tv·Hdr²/Cv, drainase ganda (Hdr = h/2) karena diapit pasir.</t>
        </is>
      </c>
    </row>
    <row r="115">
      <c r="A115" s="5" t="inlineStr">
        <is>
          <t>Penurunan konsolidasi total</t>
        </is>
      </c>
      <c r="F115" s="6" t="inlineStr">
        <is>
          <t>Sc</t>
        </is>
      </c>
      <c r="G115" s="37">
        <f>SUM(AD13:AD53)</f>
        <v/>
      </c>
      <c r="H115" s="5" t="inlineStr">
        <is>
          <t>mm</t>
        </is>
      </c>
      <c r="I115" s="2" t="inlineStr"/>
    </row>
    <row r="116">
      <c r="A116" s="5" t="inlineStr">
        <is>
          <t>Waktu konsolidasi 90% (lapisan terlama)</t>
        </is>
      </c>
      <c r="F116" s="6" t="inlineStr">
        <is>
          <t>t90</t>
        </is>
      </c>
      <c r="G116" s="35">
        <f>MAX(AF13:AF53)</f>
        <v/>
      </c>
      <c r="H116" s="5" t="inlineStr">
        <is>
          <t>tahun</t>
        </is>
      </c>
      <c r="I116" s="2" t="inlineStr"/>
    </row>
    <row r="118">
      <c r="A118" s="3" t="inlineStr">
        <is>
          <t>6. RINGKASAN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</row>
    <row r="119">
      <c r="A119" s="5" t="inlineStr">
        <is>
          <t>Penurunan total jangka panjang = Si + Sc</t>
        </is>
      </c>
      <c r="F119" s="6" t="inlineStr">
        <is>
          <t>S</t>
        </is>
      </c>
      <c r="G119" s="37">
        <f>$G$101+$G$115</f>
        <v/>
      </c>
      <c r="H119" s="5" t="inlineStr">
        <is>
          <t>mm</t>
        </is>
      </c>
      <c r="I119" s="2" t="inlineStr"/>
    </row>
    <row r="120">
      <c r="A120" s="5" t="inlineStr">
        <is>
          <t>Kontrol terhadap batas penurunan</t>
        </is>
      </c>
      <c r="F120" s="6" t="inlineStr"/>
      <c r="G120" s="38">
        <f>IF($G$119&lt;=Input!$G$16,"S ≤ S izin … OK","S &gt; S izin … NG")</f>
        <v/>
      </c>
      <c r="H120" s="5" t="inlineStr"/>
      <c r="I120" s="2" t="inlineStr"/>
    </row>
    <row r="121">
      <c r="A121" s="2" t="inlineStr">
        <is>
          <t>Penurunan pasca-likuefaksi saat gempa (laporan likuefaksi, Tabel 5.4: 100 - 383 mm) TIDAK termasuk; ditinjau terpisah.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J121"/>
  <sheetViews>
    <sheetView showGridLines="0" zoomScale="85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8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6" customWidth="1" min="16" max="16"/>
    <col width="9" customWidth="1" min="17" max="17"/>
    <col width="5" customWidth="1" min="18" max="18"/>
    <col width="6" customWidth="1" min="19" max="19"/>
    <col width="6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6" customWidth="1" min="27" max="27"/>
    <col width="6" customWidth="1" min="28" max="28"/>
    <col width="8" customWidth="1" min="29" max="29"/>
    <col width="7" customWidth="1" min="30" max="30"/>
    <col width="9" customWidth="1" min="31" max="31"/>
    <col width="7" customWidth="1" min="32" max="32"/>
    <col width="6" customWidth="1" min="33" max="33"/>
    <col width="6" customWidth="1" min="34" max="34"/>
    <col width="6" customWidth="1" min="35" max="35"/>
    <col width="34" customWidth="1" min="36" max="36"/>
  </cols>
  <sheetData>
    <row r="1">
      <c r="A1" s="1" t="inlineStr">
        <is>
          <t>ANALISIS DAYA DUKUNG, PENURUNAN SEGERA &amp; KONSOLIDASI - BH-03 (Log Yard)</t>
        </is>
      </c>
    </row>
    <row r="2">
      <c r="A2" s="2" t="inlineStr">
        <is>
          <t>PSPE Bora Pulu - timbunan + beban merata (lihat sheet Input)</t>
        </is>
      </c>
    </row>
    <row r="4">
      <c r="A4" s="3" t="inlineStr">
        <is>
          <t>1. PARAMETER BOREHOLE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5" t="inlineStr">
        <is>
          <t>Muka air tanah (GWL)</t>
        </is>
      </c>
      <c r="G5" s="19" t="n">
        <v>8</v>
      </c>
      <c r="H5" s="5" t="inlineStr">
        <is>
          <t>m</t>
        </is>
      </c>
      <c r="I5" s="2" t="inlineStr">
        <is>
          <t>GWL analisis likuefaksi (Report BP-00-GEO-RPT-003)</t>
        </is>
      </c>
    </row>
    <row r="6">
      <c r="A6" s="5" t="inlineStr">
        <is>
          <t>Berat isi di atas GWL</t>
        </is>
      </c>
      <c r="G6" s="19" t="n">
        <v>16.5</v>
      </c>
      <c r="H6" s="5" t="inlineStr">
        <is>
          <t>kN/m³</t>
        </is>
      </c>
      <c r="I6" s="2" t="inlineStr">
        <is>
          <t>Report Tabel 5.1 (hasil lab)</t>
        </is>
      </c>
    </row>
    <row r="7">
      <c r="A7" s="5" t="inlineStr">
        <is>
          <t>Berat isi di bawah GWL</t>
        </is>
      </c>
      <c r="G7" s="19" t="n">
        <v>19</v>
      </c>
      <c r="H7" s="5" t="inlineStr">
        <is>
          <t>kN/m³</t>
        </is>
      </c>
      <c r="I7" s="2" t="inlineStr">
        <is>
          <t>Report Tabel 5.1 (hasil lab)</t>
        </is>
      </c>
    </row>
    <row r="8">
      <c r="A8" s="5" t="inlineStr">
        <is>
          <t>Kedalaman penggantian tanah (replacement) - kondisi desain</t>
        </is>
      </c>
      <c r="G8" s="19" t="n">
        <v>0</v>
      </c>
      <c r="H8" s="5" t="inlineStr">
        <is>
          <t>m</t>
        </is>
      </c>
      <c r="I8" s="2" t="inlineStr">
        <is>
          <t>0 = tanpa perbaikan; tanah 0 - Dr diganti material granular (sheet Input bagian D)</t>
        </is>
      </c>
    </row>
    <row r="10">
      <c r="A10" s="3" t="inlineStr">
        <is>
          <t>2. TABEL TANAH &amp; PERHITUNGAN PER LAPISAN (sublapisan = interval SPT 1,5 m)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</row>
    <row r="11" ht="26" customHeight="1">
      <c r="A11" s="9" t="inlineStr">
        <is>
          <t>No</t>
        </is>
      </c>
      <c r="B11" s="9" t="inlineStr">
        <is>
          <t>Atas</t>
        </is>
      </c>
      <c r="C11" s="9" t="inlineStr">
        <is>
          <t>Bawah</t>
        </is>
      </c>
      <c r="D11" s="9" t="inlineStr">
        <is>
          <t>Tebal h</t>
        </is>
      </c>
      <c r="E11" s="9" t="inlineStr">
        <is>
          <t>Tengah z</t>
        </is>
      </c>
      <c r="F11" s="9" t="inlineStr">
        <is>
          <t>Jenis</t>
        </is>
      </c>
      <c r="G11" s="9" t="inlineStr">
        <is>
          <t>N-SPT</t>
        </is>
      </c>
      <c r="H11" s="9" t="inlineStr">
        <is>
          <t>γ</t>
        </is>
      </c>
      <c r="I11" s="9" t="inlineStr">
        <is>
          <t>σv bawah</t>
        </is>
      </c>
      <c r="J11" s="9" t="inlineStr">
        <is>
          <t>σ'v0 tengah</t>
        </is>
      </c>
      <c r="K11" s="9" t="inlineStr">
        <is>
          <t>LL</t>
        </is>
      </c>
      <c r="L11" s="9" t="inlineStr">
        <is>
          <t>PL</t>
        </is>
      </c>
      <c r="M11" s="9" t="inlineStr">
        <is>
          <t>PI</t>
        </is>
      </c>
      <c r="N11" s="9" t="inlineStr">
        <is>
          <t>e0</t>
        </is>
      </c>
      <c r="O11" s="9" t="inlineStr">
        <is>
          <t>cu</t>
        </is>
      </c>
      <c r="P11" s="9" t="inlineStr">
        <is>
          <t>φ'</t>
        </is>
      </c>
      <c r="Q11" s="9" t="inlineStr">
        <is>
          <t>E</t>
        </is>
      </c>
      <c r="R11" s="9" t="inlineStr">
        <is>
          <t>ν</t>
        </is>
      </c>
      <c r="S11" s="9" t="inlineStr">
        <is>
          <t>m=B/2z</t>
        </is>
      </c>
      <c r="T11" s="9" t="inlineStr">
        <is>
          <t>n=L/2z</t>
        </is>
      </c>
      <c r="U11" s="9" t="inlineStr">
        <is>
          <t>I Bouss.</t>
        </is>
      </c>
      <c r="V11" s="9" t="inlineStr">
        <is>
          <t>Δσz pusat</t>
        </is>
      </c>
      <c r="W11" s="9" t="inlineStr">
        <is>
          <t>F1 (bawah)</t>
        </is>
      </c>
      <c r="X11" s="9" t="inlineStr">
        <is>
          <t>F2 (bawah)</t>
        </is>
      </c>
      <c r="Y11" s="9" t="inlineStr">
        <is>
          <t>faktor aktif</t>
        </is>
      </c>
      <c r="Z11" s="9" t="inlineStr">
        <is>
          <t>Si</t>
        </is>
      </c>
      <c r="AA11" s="9" t="inlineStr">
        <is>
          <t>Cc</t>
        </is>
      </c>
      <c r="AB11" s="9" t="inlineStr">
        <is>
          <t>Cr</t>
        </is>
      </c>
      <c r="AC11" s="9" t="inlineStr">
        <is>
          <t>σ'p</t>
        </is>
      </c>
      <c r="AD11" s="9" t="inlineStr">
        <is>
          <t>Sc</t>
        </is>
      </c>
      <c r="AE11" s="9" t="inlineStr">
        <is>
          <t>Cv</t>
        </is>
      </c>
      <c r="AF11" s="9" t="inlineStr">
        <is>
          <t>t90</t>
        </is>
      </c>
      <c r="AG11" s="9" t="inlineStr">
        <is>
          <t>Δ 0-Hb</t>
        </is>
      </c>
      <c r="AH11" s="9" t="inlineStr">
        <is>
          <t>Δ 0-Hb sisa</t>
        </is>
      </c>
      <c r="AI11" s="9" t="inlineStr">
        <is>
          <t>Δ 0-zI</t>
        </is>
      </c>
      <c r="AJ11" s="9" t="inlineStr">
        <is>
          <t>Ket.</t>
        </is>
      </c>
    </row>
    <row r="12">
      <c r="A12" s="9" t="inlineStr"/>
      <c r="B12" s="9" t="inlineStr">
        <is>
          <t>m</t>
        </is>
      </c>
      <c r="C12" s="9" t="inlineStr">
        <is>
          <t>m</t>
        </is>
      </c>
      <c r="D12" s="9" t="inlineStr">
        <is>
          <t>m</t>
        </is>
      </c>
      <c r="E12" s="9" t="inlineStr">
        <is>
          <t>m</t>
        </is>
      </c>
      <c r="F12" s="9" t="inlineStr"/>
      <c r="G12" s="9" t="inlineStr"/>
      <c r="H12" s="9" t="inlineStr">
        <is>
          <t>kN/m³</t>
        </is>
      </c>
      <c r="I12" s="9" t="inlineStr">
        <is>
          <t>kPa</t>
        </is>
      </c>
      <c r="J12" s="9" t="inlineStr">
        <is>
          <t>kPa</t>
        </is>
      </c>
      <c r="K12" s="9" t="inlineStr">
        <is>
          <t>%</t>
        </is>
      </c>
      <c r="L12" s="9" t="inlineStr">
        <is>
          <t>%</t>
        </is>
      </c>
      <c r="M12" s="9" t="inlineStr">
        <is>
          <t>%</t>
        </is>
      </c>
      <c r="N12" s="9" t="inlineStr">
        <is>
          <t>-</t>
        </is>
      </c>
      <c r="O12" s="9" t="inlineStr">
        <is>
          <t>kPa</t>
        </is>
      </c>
      <c r="P12" s="9" t="inlineStr">
        <is>
          <t>°</t>
        </is>
      </c>
      <c r="Q12" s="9" t="inlineStr">
        <is>
          <t>kPa</t>
        </is>
      </c>
      <c r="R12" s="9" t="inlineStr">
        <is>
          <t>-</t>
        </is>
      </c>
      <c r="S12" s="9" t="inlineStr">
        <is>
          <t>-</t>
        </is>
      </c>
      <c r="T12" s="9" t="inlineStr">
        <is>
          <t>-</t>
        </is>
      </c>
      <c r="U12" s="9" t="inlineStr">
        <is>
          <t>-</t>
        </is>
      </c>
      <c r="V12" s="9" t="inlineStr">
        <is>
          <t>kPa</t>
        </is>
      </c>
      <c r="W12" s="9" t="inlineStr">
        <is>
          <t>-</t>
        </is>
      </c>
      <c r="X12" s="9" t="inlineStr">
        <is>
          <t>-</t>
        </is>
      </c>
      <c r="Y12" s="9" t="inlineStr">
        <is>
          <t>-</t>
        </is>
      </c>
      <c r="Z12" s="9" t="inlineStr">
        <is>
          <t>mm</t>
        </is>
      </c>
      <c r="AA12" s="9" t="inlineStr">
        <is>
          <t>-</t>
        </is>
      </c>
      <c r="AB12" s="9" t="inlineStr">
        <is>
          <t>-</t>
        </is>
      </c>
      <c r="AC12" s="9" t="inlineStr">
        <is>
          <t>kPa</t>
        </is>
      </c>
      <c r="AD12" s="9" t="inlineStr">
        <is>
          <t>mm</t>
        </is>
      </c>
      <c r="AE12" s="9" t="inlineStr">
        <is>
          <t>cm²/s</t>
        </is>
      </c>
      <c r="AF12" s="9" t="inlineStr">
        <is>
          <t>tahun</t>
        </is>
      </c>
      <c r="AG12" s="9" t="inlineStr">
        <is>
          <t>m</t>
        </is>
      </c>
      <c r="AH12" s="9" t="inlineStr">
        <is>
          <t>m</t>
        </is>
      </c>
      <c r="AI12" s="9" t="inlineStr">
        <is>
          <t>m</t>
        </is>
      </c>
      <c r="AJ12" s="9" t="inlineStr"/>
    </row>
    <row r="13">
      <c r="A13" s="20" t="n">
        <v>1</v>
      </c>
      <c r="B13" s="21" t="n">
        <v>0</v>
      </c>
      <c r="C13" s="21" t="n">
        <v>1.5</v>
      </c>
      <c r="D13" s="13">
        <f>C13-B13</f>
        <v/>
      </c>
      <c r="E13" s="13">
        <f>(B13+C13)/2</f>
        <v/>
      </c>
      <c r="F13" s="22" t="inlineStr">
        <is>
          <t>Sand</t>
        </is>
      </c>
      <c r="G13" s="23" t="n">
        <v>10</v>
      </c>
      <c r="H13" s="12">
        <f>IF(E13&gt;$G$5,$G$7,$G$6)</f>
        <v/>
      </c>
      <c r="I13" s="12">
        <f>H13*D13</f>
        <v/>
      </c>
      <c r="J13" s="12">
        <f>I13-H13*D13/2-10*MAX(E13-$G$5,0)</f>
        <v/>
      </c>
      <c r="K13" s="24" t="n"/>
      <c r="L13" s="24" t="n"/>
      <c r="M13" s="12">
        <f>IF(K13="","",K13-L13)</f>
        <v/>
      </c>
      <c r="N13" s="25" t="n">
        <v>0.65</v>
      </c>
      <c r="O13" s="26">
        <f>IF(F13="Sand",0,Input!$G$19*G13)</f>
        <v/>
      </c>
      <c r="P13" s="12">
        <f>IF(F13="Sand",27.1+0.3*MIN(Input!$G$20*G13,60)-0.00054*MIN(Input!$G$20*G13,60)^2,MIN(MAX(DEGREES(ASIN(0.8-0.094*LN(MAX(IF(M13="",10,M13),5)))),20),30))</f>
        <v/>
      </c>
      <c r="Q13" s="27">
        <f>IF(F13="Sand",Input!$G$21*Input!$G$20*G13,Input!$G$22*O13)</f>
        <v/>
      </c>
      <c r="R13" s="13">
        <f>IF(F13="Sand",Input!$G$26,0.5)</f>
        <v/>
      </c>
      <c r="S13" s="13">
        <f>Input!$G$10/2/E13</f>
        <v/>
      </c>
      <c r="T13" s="13">
        <f>Input!$G$11/2/E13</f>
        <v/>
      </c>
      <c r="U13" s="28">
        <f>1/(4*PI())*(2*S13*T13*SQRT(S13^2+T13^2+1)/(S13^2+T13^2+1+S13^2*T13^2)*(S13^2+T13^2+2)/(S13^2+T13^2+1)+ATAN2(S13^2+T13^2+1-S13^2*T13^2,2*S13*T13*SQRT(S13^2+T13^2+1)))</f>
        <v/>
      </c>
      <c r="V13" s="12">
        <f>4*Input!$G$9*U13</f>
        <v/>
      </c>
      <c r="W13" s="29">
        <f>((Input!$G$11/Input!$G$10)*LN((1+SQRT((Input!$G$11/Input!$G$10)^2+1))*SQRT((Input!$G$11/Input!$G$10)^2+(C13/(Input!$G$10/2))^2)/((Input!$G$11/Input!$G$10)*(1+SQRT((Input!$G$11/Input!$G$10)^2+(C13/(Input!$G$10/2))^2+1))))+LN(((Input!$G$11/Input!$G$10)+SQRT((Input!$G$11/Input!$G$10)^2+1))*SQRT(1+(C13/(Input!$G$10/2))^2)/((Input!$G$11/Input!$G$10)+SQRT((Input!$G$11/Input!$G$10)^2+(C13/(Input!$G$10/2))^2+1))))/PI()</f>
        <v/>
      </c>
      <c r="X13" s="29">
        <f>(C13/(Input!$G$10/2))/(2*PI())*ATAN((Input!$G$11/Input!$G$10)/((C13/(Input!$G$10/2))*SQRT((Input!$G$11/Input!$G$10)^2+(C13/(Input!$G$10/2))^2+1)))</f>
        <v/>
      </c>
      <c r="Y13" s="13">
        <f>MAX(0,C13-MAX(B13,$G$8))/D13*IF(V13&gt;=Input!$G$27*J13,1,0)</f>
        <v/>
      </c>
      <c r="Z13" s="12">
        <f>4*Input!$G$9*(Input!$G$10/2)*(1-R13^2)/Q13*((W13-0)+(1-2*R13)/(1-R13)*(X13-0))*1000*Y13</f>
        <v/>
      </c>
      <c r="AA13" s="30">
        <f>IF(F13="Sand",0,0.009*(K13-10))</f>
        <v/>
      </c>
      <c r="AB13" s="30">
        <f>AA13*Input!$G$23</f>
        <v/>
      </c>
      <c r="AC13" s="26">
        <f>IF(F13="Sand",0,MAX(O13/Input!$G$24,J13))</f>
        <v/>
      </c>
      <c r="AD13" s="31">
        <f>IF(F13="Sand",0,1000*D13/(1+N13)*IF(J13+V13&lt;=AC13,AB13*LOG10((J13+V13)/J13),AB13*LOG10(AC13/J13)+AA13*LOG10((J13+V13)/AC13)))*Y13</f>
        <v/>
      </c>
      <c r="AE13" s="32">
        <f>IF(F13="Sand",0,10^(INDEX(Korelasi!$C$5:$C$11,MIN(MATCH(MIN(MAX(K13,30),120),Korelasi!$A$5:$A$11,1),6))+(MIN(MAX(K13,30),120)-INDEX(Korelasi!$A$5:$A$11,MIN(MATCH(MIN(MAX(K13,30),120),Korelasi!$A$5:$A$11,1),6)))/(INDEX(Korelasi!$A$5:$A$11,MIN(MATCH(MIN(MAX(K13,30),120),Korelasi!$A$5:$A$11,1),6)+1)-INDEX(Korelasi!$A$5:$A$11,MIN(MATCH(MIN(MAX(K13,30),120),Korelasi!$A$5:$A$11,1),6)))*(INDEX(Korelasi!$C$5:$C$11,MIN(MATCH(MIN(MAX(K13,30),120),Korelasi!$A$5:$A$11,1),6)+1)-INDEX(Korelasi!$C$5:$C$11,MIN(MATCH(MIN(MAX(K13,30),120),Korelasi!$A$5:$A$11,1),6)))))</f>
        <v/>
      </c>
      <c r="AF13" s="33">
        <f>IF(OR(F13="Sand",Y13=0),0,Input!$G$25*(D13/2)^2/(AE13*1E-4*31536000))</f>
        <v/>
      </c>
      <c r="AG13" s="13">
        <f>MAX(0,MIN(C13,Input!$G$15)-B13)</f>
        <v/>
      </c>
      <c r="AH13" s="13">
        <f>MAX(0,MIN(C13,Input!$G$15)-MAX(B13,$G$8))</f>
        <v/>
      </c>
      <c r="AI13" s="13">
        <f>MAX(0,MIN(C13,$G$106)-B13)</f>
        <v/>
      </c>
      <c r="AJ13" s="34" t="inlineStr">
        <is>
          <t>0-1,5 m tidak di-SPT: N lapisan berikut</t>
        </is>
      </c>
    </row>
    <row r="14">
      <c r="A14" s="20" t="n">
        <v>2</v>
      </c>
      <c r="B14" s="21" t="n">
        <v>1.5</v>
      </c>
      <c r="C14" s="21" t="n">
        <v>3</v>
      </c>
      <c r="D14" s="13">
        <f>C14-B14</f>
        <v/>
      </c>
      <c r="E14" s="13">
        <f>(B14+C14)/2</f>
        <v/>
      </c>
      <c r="F14" s="22" t="inlineStr">
        <is>
          <t>Sand</t>
        </is>
      </c>
      <c r="G14" s="23" t="n">
        <v>10</v>
      </c>
      <c r="H14" s="12">
        <f>IF(E14&gt;$G$5,$G$7,$G$6)</f>
        <v/>
      </c>
      <c r="I14" s="12">
        <f>I13+H14*D14</f>
        <v/>
      </c>
      <c r="J14" s="12">
        <f>I14-H14*D14/2-10*MAX(E14-$G$5,0)</f>
        <v/>
      </c>
      <c r="K14" s="24" t="n"/>
      <c r="L14" s="24" t="n"/>
      <c r="M14" s="12">
        <f>IF(K14="","",K14-L14)</f>
        <v/>
      </c>
      <c r="N14" s="25" t="n">
        <v>0.643</v>
      </c>
      <c r="O14" s="26">
        <f>IF(F14="Sand",0,Input!$G$19*G14)</f>
        <v/>
      </c>
      <c r="P14" s="12">
        <f>IF(F14="Sand",27.1+0.3*MIN(Input!$G$20*G14,60)-0.00054*MIN(Input!$G$20*G14,60)^2,MIN(MAX(DEGREES(ASIN(0.8-0.094*LN(MAX(IF(M14="",10,M14),5)))),20),30))</f>
        <v/>
      </c>
      <c r="Q14" s="27">
        <f>IF(F14="Sand",Input!$G$21*Input!$G$20*G14,Input!$G$22*O14)</f>
        <v/>
      </c>
      <c r="R14" s="13">
        <f>IF(F14="Sand",Input!$G$26,0.5)</f>
        <v/>
      </c>
      <c r="S14" s="13">
        <f>Input!$G$10/2/E14</f>
        <v/>
      </c>
      <c r="T14" s="13">
        <f>Input!$G$11/2/E14</f>
        <v/>
      </c>
      <c r="U14" s="28">
        <f>1/(4*PI())*(2*S14*T14*SQRT(S14^2+T14^2+1)/(S14^2+T14^2+1+S14^2*T14^2)*(S14^2+T14^2+2)/(S14^2+T14^2+1)+ATAN2(S14^2+T14^2+1-S14^2*T14^2,2*S14*T14*SQRT(S14^2+T14^2+1)))</f>
        <v/>
      </c>
      <c r="V14" s="12">
        <f>4*Input!$G$9*U14</f>
        <v/>
      </c>
      <c r="W14" s="29">
        <f>((Input!$G$11/Input!$G$10)*LN((1+SQRT((Input!$G$11/Input!$G$10)^2+1))*SQRT((Input!$G$11/Input!$G$10)^2+(C14/(Input!$G$10/2))^2)/((Input!$G$11/Input!$G$10)*(1+SQRT((Input!$G$11/Input!$G$10)^2+(C14/(Input!$G$10/2))^2+1))))+LN(((Input!$G$11/Input!$G$10)+SQRT((Input!$G$11/Input!$G$10)^2+1))*SQRT(1+(C14/(Input!$G$10/2))^2)/((Input!$G$11/Input!$G$10)+SQRT((Input!$G$11/Input!$G$10)^2+(C14/(Input!$G$10/2))^2+1))))/PI()</f>
        <v/>
      </c>
      <c r="X14" s="29">
        <f>(C14/(Input!$G$10/2))/(2*PI())*ATAN((Input!$G$11/Input!$G$10)/((C14/(Input!$G$10/2))*SQRT((Input!$G$11/Input!$G$10)^2+(C14/(Input!$G$10/2))^2+1)))</f>
        <v/>
      </c>
      <c r="Y14" s="13">
        <f>MAX(0,C14-MAX(B14,$G$8))/D14*IF(V14&gt;=Input!$G$27*J14,1,0)</f>
        <v/>
      </c>
      <c r="Z14" s="12">
        <f>4*Input!$G$9*(Input!$G$10/2)*(1-R14^2)/Q14*((W14-W13)+(1-2*R14)/(1-R14)*(X14-X13))*1000*Y14</f>
        <v/>
      </c>
      <c r="AA14" s="30">
        <f>IF(F14="Sand",0,0.009*(K14-10))</f>
        <v/>
      </c>
      <c r="AB14" s="30">
        <f>AA14*Input!$G$23</f>
        <v/>
      </c>
      <c r="AC14" s="26">
        <f>IF(F14="Sand",0,MAX(O14/Input!$G$24,J14))</f>
        <v/>
      </c>
      <c r="AD14" s="31">
        <f>IF(F14="Sand",0,1000*D14/(1+N14)*IF(J14+V14&lt;=AC14,AB14*LOG10((J14+V14)/J14),AB14*LOG10(AC14/J14)+AA14*LOG10((J14+V14)/AC14)))*Y14</f>
        <v/>
      </c>
      <c r="AE14" s="32">
        <f>IF(F14="Sand",0,10^(INDEX(Korelasi!$C$5:$C$11,MIN(MATCH(MIN(MAX(K14,30),120),Korelasi!$A$5:$A$11,1),6))+(MIN(MAX(K14,30),120)-INDEX(Korelasi!$A$5:$A$11,MIN(MATCH(MIN(MAX(K14,30),120),Korelasi!$A$5:$A$11,1),6)))/(INDEX(Korelasi!$A$5:$A$11,MIN(MATCH(MIN(MAX(K14,30),120),Korelasi!$A$5:$A$11,1),6)+1)-INDEX(Korelasi!$A$5:$A$11,MIN(MATCH(MIN(MAX(K14,30),120),Korelasi!$A$5:$A$11,1),6)))*(INDEX(Korelasi!$C$5:$C$11,MIN(MATCH(MIN(MAX(K14,30),120),Korelasi!$A$5:$A$11,1),6)+1)-INDEX(Korelasi!$C$5:$C$11,MIN(MATCH(MIN(MAX(K14,30),120),Korelasi!$A$5:$A$11,1),6)))))</f>
        <v/>
      </c>
      <c r="AF14" s="33">
        <f>IF(OR(F14="Sand",Y14=0),0,Input!$G$25*(D14/2)^2/(AE14*1E-4*31536000))</f>
        <v/>
      </c>
      <c r="AG14" s="13">
        <f>MAX(0,MIN(C14,Input!$G$15)-B14)</f>
        <v/>
      </c>
      <c r="AH14" s="13">
        <f>MAX(0,MIN(C14,Input!$G$15)-MAX(B14,$G$8))</f>
        <v/>
      </c>
      <c r="AI14" s="13">
        <f>MAX(0,MIN(C14,$G$106)-B14)</f>
        <v/>
      </c>
      <c r="AJ14" s="34" t="inlineStr"/>
    </row>
    <row r="15">
      <c r="A15" s="20" t="n">
        <v>3</v>
      </c>
      <c r="B15" s="21" t="n">
        <v>3</v>
      </c>
      <c r="C15" s="21" t="n">
        <v>4.5</v>
      </c>
      <c r="D15" s="13">
        <f>C15-B15</f>
        <v/>
      </c>
      <c r="E15" s="13">
        <f>(B15+C15)/2</f>
        <v/>
      </c>
      <c r="F15" s="22" t="inlineStr">
        <is>
          <t>Sand</t>
        </is>
      </c>
      <c r="G15" s="23" t="n">
        <v>18</v>
      </c>
      <c r="H15" s="12">
        <f>IF(E15&gt;$G$5,$G$7,$G$6)</f>
        <v/>
      </c>
      <c r="I15" s="12">
        <f>I14+H15*D15</f>
        <v/>
      </c>
      <c r="J15" s="12">
        <f>I15-H15*D15/2-10*MAX(E15-$G$5,0)</f>
        <v/>
      </c>
      <c r="K15" s="24" t="n"/>
      <c r="L15" s="24" t="n"/>
      <c r="M15" s="12">
        <f>IF(K15="","",K15-L15)</f>
        <v/>
      </c>
      <c r="N15" s="25" t="n">
        <v>0.881</v>
      </c>
      <c r="O15" s="26">
        <f>IF(F15="Sand",0,Input!$G$19*G15)</f>
        <v/>
      </c>
      <c r="P15" s="12">
        <f>IF(F15="Sand",27.1+0.3*MIN(Input!$G$20*G15,60)-0.00054*MIN(Input!$G$20*G15,60)^2,MIN(MAX(DEGREES(ASIN(0.8-0.094*LN(MAX(IF(M15="",10,M15),5)))),20),30))</f>
        <v/>
      </c>
      <c r="Q15" s="27">
        <f>IF(F15="Sand",Input!$G$21*Input!$G$20*G15,Input!$G$22*O15)</f>
        <v/>
      </c>
      <c r="R15" s="13">
        <f>IF(F15="Sand",Input!$G$26,0.5)</f>
        <v/>
      </c>
      <c r="S15" s="13">
        <f>Input!$G$10/2/E15</f>
        <v/>
      </c>
      <c r="T15" s="13">
        <f>Input!$G$11/2/E15</f>
        <v/>
      </c>
      <c r="U15" s="28">
        <f>1/(4*PI())*(2*S15*T15*SQRT(S15^2+T15^2+1)/(S15^2+T15^2+1+S15^2*T15^2)*(S15^2+T15^2+2)/(S15^2+T15^2+1)+ATAN2(S15^2+T15^2+1-S15^2*T15^2,2*S15*T15*SQRT(S15^2+T15^2+1)))</f>
        <v/>
      </c>
      <c r="V15" s="12">
        <f>4*Input!$G$9*U15</f>
        <v/>
      </c>
      <c r="W15" s="29">
        <f>((Input!$G$11/Input!$G$10)*LN((1+SQRT((Input!$G$11/Input!$G$10)^2+1))*SQRT((Input!$G$11/Input!$G$10)^2+(C15/(Input!$G$10/2))^2)/((Input!$G$11/Input!$G$10)*(1+SQRT((Input!$G$11/Input!$G$10)^2+(C15/(Input!$G$10/2))^2+1))))+LN(((Input!$G$11/Input!$G$10)+SQRT((Input!$G$11/Input!$G$10)^2+1))*SQRT(1+(C15/(Input!$G$10/2))^2)/((Input!$G$11/Input!$G$10)+SQRT((Input!$G$11/Input!$G$10)^2+(C15/(Input!$G$10/2))^2+1))))/PI()</f>
        <v/>
      </c>
      <c r="X15" s="29">
        <f>(C15/(Input!$G$10/2))/(2*PI())*ATAN((Input!$G$11/Input!$G$10)/((C15/(Input!$G$10/2))*SQRT((Input!$G$11/Input!$G$10)^2+(C15/(Input!$G$10/2))^2+1)))</f>
        <v/>
      </c>
      <c r="Y15" s="13">
        <f>MAX(0,C15-MAX(B15,$G$8))/D15*IF(V15&gt;=Input!$G$27*J15,1,0)</f>
        <v/>
      </c>
      <c r="Z15" s="12">
        <f>4*Input!$G$9*(Input!$G$10/2)*(1-R15^2)/Q15*((W15-W14)+(1-2*R15)/(1-R15)*(X15-X14))*1000*Y15</f>
        <v/>
      </c>
      <c r="AA15" s="30">
        <f>IF(F15="Sand",0,0.009*(K15-10))</f>
        <v/>
      </c>
      <c r="AB15" s="30">
        <f>AA15*Input!$G$23</f>
        <v/>
      </c>
      <c r="AC15" s="26">
        <f>IF(F15="Sand",0,MAX(O15/Input!$G$24,J15))</f>
        <v/>
      </c>
      <c r="AD15" s="31">
        <f>IF(F15="Sand",0,1000*D15/(1+N15)*IF(J15+V15&lt;=AC15,AB15*LOG10((J15+V15)/J15),AB15*LOG10(AC15/J15)+AA15*LOG10((J15+V15)/AC15)))*Y15</f>
        <v/>
      </c>
      <c r="AE15" s="32">
        <f>IF(F15="Sand",0,10^(INDEX(Korelasi!$C$5:$C$11,MIN(MATCH(MIN(MAX(K15,30),120),Korelasi!$A$5:$A$11,1),6))+(MIN(MAX(K15,30),120)-INDEX(Korelasi!$A$5:$A$11,MIN(MATCH(MIN(MAX(K15,30),120),Korelasi!$A$5:$A$11,1),6)))/(INDEX(Korelasi!$A$5:$A$11,MIN(MATCH(MIN(MAX(K15,30),120),Korelasi!$A$5:$A$11,1),6)+1)-INDEX(Korelasi!$A$5:$A$11,MIN(MATCH(MIN(MAX(K15,30),120),Korelasi!$A$5:$A$11,1),6)))*(INDEX(Korelasi!$C$5:$C$11,MIN(MATCH(MIN(MAX(K15,30),120),Korelasi!$A$5:$A$11,1),6)+1)-INDEX(Korelasi!$C$5:$C$11,MIN(MATCH(MIN(MAX(K15,30),120),Korelasi!$A$5:$A$11,1),6)))))</f>
        <v/>
      </c>
      <c r="AF15" s="33">
        <f>IF(OR(F15="Sand",Y15=0),0,Input!$G$25*(D15/2)^2/(AE15*1E-4*31536000))</f>
        <v/>
      </c>
      <c r="AG15" s="13">
        <f>MAX(0,MIN(C15,Input!$G$15)-B15)</f>
        <v/>
      </c>
      <c r="AH15" s="13">
        <f>MAX(0,MIN(C15,Input!$G$15)-MAX(B15,$G$8))</f>
        <v/>
      </c>
      <c r="AI15" s="13">
        <f>MAX(0,MIN(C15,$G$106)-B15)</f>
        <v/>
      </c>
      <c r="AJ15" s="34" t="inlineStr"/>
    </row>
    <row r="16">
      <c r="A16" s="20" t="n">
        <v>4</v>
      </c>
      <c r="B16" s="21" t="n">
        <v>4.5</v>
      </c>
      <c r="C16" s="21" t="n">
        <v>6</v>
      </c>
      <c r="D16" s="13">
        <f>C16-B16</f>
        <v/>
      </c>
      <c r="E16" s="13">
        <f>(B16+C16)/2</f>
        <v/>
      </c>
      <c r="F16" s="22" t="inlineStr">
        <is>
          <t>Sand</t>
        </is>
      </c>
      <c r="G16" s="23" t="n">
        <v>13</v>
      </c>
      <c r="H16" s="12">
        <f>IF(E16&gt;$G$5,$G$7,$G$6)</f>
        <v/>
      </c>
      <c r="I16" s="12">
        <f>I15+H16*D16</f>
        <v/>
      </c>
      <c r="J16" s="12">
        <f>I16-H16*D16/2-10*MAX(E16-$G$5,0)</f>
        <v/>
      </c>
      <c r="K16" s="24" t="n"/>
      <c r="L16" s="24" t="n"/>
      <c r="M16" s="12">
        <f>IF(K16="","",K16-L16)</f>
        <v/>
      </c>
      <c r="N16" s="25" t="n">
        <v>0.928</v>
      </c>
      <c r="O16" s="26">
        <f>IF(F16="Sand",0,Input!$G$19*G16)</f>
        <v/>
      </c>
      <c r="P16" s="12">
        <f>IF(F16="Sand",27.1+0.3*MIN(Input!$G$20*G16,60)-0.00054*MIN(Input!$G$20*G16,60)^2,MIN(MAX(DEGREES(ASIN(0.8-0.094*LN(MAX(IF(M16="",10,M16),5)))),20),30))</f>
        <v/>
      </c>
      <c r="Q16" s="27">
        <f>IF(F16="Sand",Input!$G$21*Input!$G$20*G16,Input!$G$22*O16)</f>
        <v/>
      </c>
      <c r="R16" s="13">
        <f>IF(F16="Sand",Input!$G$26,0.5)</f>
        <v/>
      </c>
      <c r="S16" s="13">
        <f>Input!$G$10/2/E16</f>
        <v/>
      </c>
      <c r="T16" s="13">
        <f>Input!$G$11/2/E16</f>
        <v/>
      </c>
      <c r="U16" s="28">
        <f>1/(4*PI())*(2*S16*T16*SQRT(S16^2+T16^2+1)/(S16^2+T16^2+1+S16^2*T16^2)*(S16^2+T16^2+2)/(S16^2+T16^2+1)+ATAN2(S16^2+T16^2+1-S16^2*T16^2,2*S16*T16*SQRT(S16^2+T16^2+1)))</f>
        <v/>
      </c>
      <c r="V16" s="12">
        <f>4*Input!$G$9*U16</f>
        <v/>
      </c>
      <c r="W16" s="29">
        <f>((Input!$G$11/Input!$G$10)*LN((1+SQRT((Input!$G$11/Input!$G$10)^2+1))*SQRT((Input!$G$11/Input!$G$10)^2+(C16/(Input!$G$10/2))^2)/((Input!$G$11/Input!$G$10)*(1+SQRT((Input!$G$11/Input!$G$10)^2+(C16/(Input!$G$10/2))^2+1))))+LN(((Input!$G$11/Input!$G$10)+SQRT((Input!$G$11/Input!$G$10)^2+1))*SQRT(1+(C16/(Input!$G$10/2))^2)/((Input!$G$11/Input!$G$10)+SQRT((Input!$G$11/Input!$G$10)^2+(C16/(Input!$G$10/2))^2+1))))/PI()</f>
        <v/>
      </c>
      <c r="X16" s="29">
        <f>(C16/(Input!$G$10/2))/(2*PI())*ATAN((Input!$G$11/Input!$G$10)/((C16/(Input!$G$10/2))*SQRT((Input!$G$11/Input!$G$10)^2+(C16/(Input!$G$10/2))^2+1)))</f>
        <v/>
      </c>
      <c r="Y16" s="13">
        <f>MAX(0,C16-MAX(B16,$G$8))/D16*IF(V16&gt;=Input!$G$27*J16,1,0)</f>
        <v/>
      </c>
      <c r="Z16" s="12">
        <f>4*Input!$G$9*(Input!$G$10/2)*(1-R16^2)/Q16*((W16-W15)+(1-2*R16)/(1-R16)*(X16-X15))*1000*Y16</f>
        <v/>
      </c>
      <c r="AA16" s="30">
        <f>IF(F16="Sand",0,0.009*(K16-10))</f>
        <v/>
      </c>
      <c r="AB16" s="30">
        <f>AA16*Input!$G$23</f>
        <v/>
      </c>
      <c r="AC16" s="26">
        <f>IF(F16="Sand",0,MAX(O16/Input!$G$24,J16))</f>
        <v/>
      </c>
      <c r="AD16" s="31">
        <f>IF(F16="Sand",0,1000*D16/(1+N16)*IF(J16+V16&lt;=AC16,AB16*LOG10((J16+V16)/J16),AB16*LOG10(AC16/J16)+AA16*LOG10((J16+V16)/AC16)))*Y16</f>
        <v/>
      </c>
      <c r="AE16" s="32">
        <f>IF(F16="Sand",0,10^(INDEX(Korelasi!$C$5:$C$11,MIN(MATCH(MIN(MAX(K16,30),120),Korelasi!$A$5:$A$11,1),6))+(MIN(MAX(K16,30),120)-INDEX(Korelasi!$A$5:$A$11,MIN(MATCH(MIN(MAX(K16,30),120),Korelasi!$A$5:$A$11,1),6)))/(INDEX(Korelasi!$A$5:$A$11,MIN(MATCH(MIN(MAX(K16,30),120),Korelasi!$A$5:$A$11,1),6)+1)-INDEX(Korelasi!$A$5:$A$11,MIN(MATCH(MIN(MAX(K16,30),120),Korelasi!$A$5:$A$11,1),6)))*(INDEX(Korelasi!$C$5:$C$11,MIN(MATCH(MIN(MAX(K16,30),120),Korelasi!$A$5:$A$11,1),6)+1)-INDEX(Korelasi!$C$5:$C$11,MIN(MATCH(MIN(MAX(K16,30),120),Korelasi!$A$5:$A$11,1),6)))))</f>
        <v/>
      </c>
      <c r="AF16" s="33">
        <f>IF(OR(F16="Sand",Y16=0),0,Input!$G$25*(D16/2)^2/(AE16*1E-4*31536000))</f>
        <v/>
      </c>
      <c r="AG16" s="13">
        <f>MAX(0,MIN(C16,Input!$G$15)-B16)</f>
        <v/>
      </c>
      <c r="AH16" s="13">
        <f>MAX(0,MIN(C16,Input!$G$15)-MAX(B16,$G$8))</f>
        <v/>
      </c>
      <c r="AI16" s="13">
        <f>MAX(0,MIN(C16,$G$106)-B16)</f>
        <v/>
      </c>
      <c r="AJ16" s="34" t="inlineStr"/>
    </row>
    <row r="17">
      <c r="A17" s="20" t="n">
        <v>5</v>
      </c>
      <c r="B17" s="21" t="n">
        <v>6</v>
      </c>
      <c r="C17" s="21" t="n">
        <v>7.5</v>
      </c>
      <c r="D17" s="13">
        <f>C17-B17</f>
        <v/>
      </c>
      <c r="E17" s="13">
        <f>(B17+C17)/2</f>
        <v/>
      </c>
      <c r="F17" s="22" t="inlineStr">
        <is>
          <t>Clay</t>
        </is>
      </c>
      <c r="G17" s="23" t="n">
        <v>8</v>
      </c>
      <c r="H17" s="12">
        <f>IF(E17&gt;$G$5,$G$7,$G$6)</f>
        <v/>
      </c>
      <c r="I17" s="12">
        <f>I16+H17*D17</f>
        <v/>
      </c>
      <c r="J17" s="12">
        <f>I17-H17*D17/2-10*MAX(E17-$G$5,0)</f>
        <v/>
      </c>
      <c r="K17" s="24" t="n">
        <v>29.57</v>
      </c>
      <c r="L17" s="24" t="n">
        <v>20.64</v>
      </c>
      <c r="M17" s="12">
        <f>IF(K17="","",K17-L17)</f>
        <v/>
      </c>
      <c r="N17" s="25" t="n">
        <v>0.9</v>
      </c>
      <c r="O17" s="26">
        <f>IF(F17="Sand",0,Input!$G$19*G17)</f>
        <v/>
      </c>
      <c r="P17" s="12">
        <f>IF(F17="Sand",27.1+0.3*MIN(Input!$G$20*G17,60)-0.00054*MIN(Input!$G$20*G17,60)^2,MIN(MAX(DEGREES(ASIN(0.8-0.094*LN(MAX(IF(M17="",10,M17),5)))),20),30))</f>
        <v/>
      </c>
      <c r="Q17" s="27">
        <f>IF(F17="Sand",Input!$G$21*Input!$G$20*G17,Input!$G$22*O17)</f>
        <v/>
      </c>
      <c r="R17" s="13">
        <f>IF(F17="Sand",Input!$G$26,0.5)</f>
        <v/>
      </c>
      <c r="S17" s="13">
        <f>Input!$G$10/2/E17</f>
        <v/>
      </c>
      <c r="T17" s="13">
        <f>Input!$G$11/2/E17</f>
        <v/>
      </c>
      <c r="U17" s="28">
        <f>1/(4*PI())*(2*S17*T17*SQRT(S17^2+T17^2+1)/(S17^2+T17^2+1+S17^2*T17^2)*(S17^2+T17^2+2)/(S17^2+T17^2+1)+ATAN2(S17^2+T17^2+1-S17^2*T17^2,2*S17*T17*SQRT(S17^2+T17^2+1)))</f>
        <v/>
      </c>
      <c r="V17" s="12">
        <f>4*Input!$G$9*U17</f>
        <v/>
      </c>
      <c r="W17" s="29">
        <f>((Input!$G$11/Input!$G$10)*LN((1+SQRT((Input!$G$11/Input!$G$10)^2+1))*SQRT((Input!$G$11/Input!$G$10)^2+(C17/(Input!$G$10/2))^2)/((Input!$G$11/Input!$G$10)*(1+SQRT((Input!$G$11/Input!$G$10)^2+(C17/(Input!$G$10/2))^2+1))))+LN(((Input!$G$11/Input!$G$10)+SQRT((Input!$G$11/Input!$G$10)^2+1))*SQRT(1+(C17/(Input!$G$10/2))^2)/((Input!$G$11/Input!$G$10)+SQRT((Input!$G$11/Input!$G$10)^2+(C17/(Input!$G$10/2))^2+1))))/PI()</f>
        <v/>
      </c>
      <c r="X17" s="29">
        <f>(C17/(Input!$G$10/2))/(2*PI())*ATAN((Input!$G$11/Input!$G$10)/((C17/(Input!$G$10/2))*SQRT((Input!$G$11/Input!$G$10)^2+(C17/(Input!$G$10/2))^2+1)))</f>
        <v/>
      </c>
      <c r="Y17" s="13">
        <f>MAX(0,C17-MAX(B17,$G$8))/D17*IF(V17&gt;=Input!$G$27*J17,1,0)</f>
        <v/>
      </c>
      <c r="Z17" s="12">
        <f>4*Input!$G$9*(Input!$G$10/2)*(1-R17^2)/Q17*((W17-W16)+(1-2*R17)/(1-R17)*(X17-X16))*1000*Y17</f>
        <v/>
      </c>
      <c r="AA17" s="30">
        <f>IF(F17="Sand",0,0.009*(K17-10))</f>
        <v/>
      </c>
      <c r="AB17" s="30">
        <f>AA17*Input!$G$23</f>
        <v/>
      </c>
      <c r="AC17" s="26">
        <f>IF(F17="Sand",0,MAX(O17/Input!$G$24,J17))</f>
        <v/>
      </c>
      <c r="AD17" s="31">
        <f>IF(F17="Sand",0,1000*D17/(1+N17)*IF(J17+V17&lt;=AC17,AB17*LOG10((J17+V17)/J17),AB17*LOG10(AC17/J17)+AA17*LOG10((J17+V17)/AC17)))*Y17</f>
        <v/>
      </c>
      <c r="AE17" s="32">
        <f>IF(F17="Sand",0,10^(INDEX(Korelasi!$C$5:$C$11,MIN(MATCH(MIN(MAX(K17,30),120),Korelasi!$A$5:$A$11,1),6))+(MIN(MAX(K17,30),120)-INDEX(Korelasi!$A$5:$A$11,MIN(MATCH(MIN(MAX(K17,30),120),Korelasi!$A$5:$A$11,1),6)))/(INDEX(Korelasi!$A$5:$A$11,MIN(MATCH(MIN(MAX(K17,30),120),Korelasi!$A$5:$A$11,1),6)+1)-INDEX(Korelasi!$A$5:$A$11,MIN(MATCH(MIN(MAX(K17,30),120),Korelasi!$A$5:$A$11,1),6)))*(INDEX(Korelasi!$C$5:$C$11,MIN(MATCH(MIN(MAX(K17,30),120),Korelasi!$A$5:$A$11,1),6)+1)-INDEX(Korelasi!$C$5:$C$11,MIN(MATCH(MIN(MAX(K17,30),120),Korelasi!$A$5:$A$11,1),6)))))</f>
        <v/>
      </c>
      <c r="AF17" s="33">
        <f>IF(OR(F17="Sand",Y17=0),0,Input!$G$25*(D17/2)^2/(AE17*1E-4*31536000))</f>
        <v/>
      </c>
      <c r="AG17" s="13">
        <f>MAX(0,MIN(C17,Input!$G$15)-B17)</f>
        <v/>
      </c>
      <c r="AH17" s="13">
        <f>MAX(0,MIN(C17,Input!$G$15)-MAX(B17,$G$8))</f>
        <v/>
      </c>
      <c r="AI17" s="13">
        <f>MAX(0,MIN(C17,$G$106)-B17)</f>
        <v/>
      </c>
      <c r="AJ17" s="34" t="inlineStr"/>
    </row>
    <row r="18">
      <c r="A18" s="20" t="n">
        <v>6</v>
      </c>
      <c r="B18" s="21" t="n">
        <v>7.5</v>
      </c>
      <c r="C18" s="21" t="n">
        <v>9</v>
      </c>
      <c r="D18" s="13">
        <f>C18-B18</f>
        <v/>
      </c>
      <c r="E18" s="13">
        <f>(B18+C18)/2</f>
        <v/>
      </c>
      <c r="F18" s="22" t="inlineStr">
        <is>
          <t>Sand</t>
        </is>
      </c>
      <c r="G18" s="23" t="n">
        <v>10</v>
      </c>
      <c r="H18" s="12">
        <f>IF(E18&gt;$G$5,$G$7,$G$6)</f>
        <v/>
      </c>
      <c r="I18" s="12">
        <f>I17+H18*D18</f>
        <v/>
      </c>
      <c r="J18" s="12">
        <f>I18-H18*D18/2-10*MAX(E18-$G$5,0)</f>
        <v/>
      </c>
      <c r="K18" s="24" t="n"/>
      <c r="L18" s="24" t="n"/>
      <c r="M18" s="12">
        <f>IF(K18="","",K18-L18)</f>
        <v/>
      </c>
      <c r="N18" s="25" t="n">
        <v>0.716</v>
      </c>
      <c r="O18" s="26">
        <f>IF(F18="Sand",0,Input!$G$19*G18)</f>
        <v/>
      </c>
      <c r="P18" s="12">
        <f>IF(F18="Sand",27.1+0.3*MIN(Input!$G$20*G18,60)-0.00054*MIN(Input!$G$20*G18,60)^2,MIN(MAX(DEGREES(ASIN(0.8-0.094*LN(MAX(IF(M18="",10,M18),5)))),20),30))</f>
        <v/>
      </c>
      <c r="Q18" s="27">
        <f>IF(F18="Sand",Input!$G$21*Input!$G$20*G18,Input!$G$22*O18)</f>
        <v/>
      </c>
      <c r="R18" s="13">
        <f>IF(F18="Sand",Input!$G$26,0.5)</f>
        <v/>
      </c>
      <c r="S18" s="13">
        <f>Input!$G$10/2/E18</f>
        <v/>
      </c>
      <c r="T18" s="13">
        <f>Input!$G$11/2/E18</f>
        <v/>
      </c>
      <c r="U18" s="28">
        <f>1/(4*PI())*(2*S18*T18*SQRT(S18^2+T18^2+1)/(S18^2+T18^2+1+S18^2*T18^2)*(S18^2+T18^2+2)/(S18^2+T18^2+1)+ATAN2(S18^2+T18^2+1-S18^2*T18^2,2*S18*T18*SQRT(S18^2+T18^2+1)))</f>
        <v/>
      </c>
      <c r="V18" s="12">
        <f>4*Input!$G$9*U18</f>
        <v/>
      </c>
      <c r="W18" s="29">
        <f>((Input!$G$11/Input!$G$10)*LN((1+SQRT((Input!$G$11/Input!$G$10)^2+1))*SQRT((Input!$G$11/Input!$G$10)^2+(C18/(Input!$G$10/2))^2)/((Input!$G$11/Input!$G$10)*(1+SQRT((Input!$G$11/Input!$G$10)^2+(C18/(Input!$G$10/2))^2+1))))+LN(((Input!$G$11/Input!$G$10)+SQRT((Input!$G$11/Input!$G$10)^2+1))*SQRT(1+(C18/(Input!$G$10/2))^2)/((Input!$G$11/Input!$G$10)+SQRT((Input!$G$11/Input!$G$10)^2+(C18/(Input!$G$10/2))^2+1))))/PI()</f>
        <v/>
      </c>
      <c r="X18" s="29">
        <f>(C18/(Input!$G$10/2))/(2*PI())*ATAN((Input!$G$11/Input!$G$10)/((C18/(Input!$G$10/2))*SQRT((Input!$G$11/Input!$G$10)^2+(C18/(Input!$G$10/2))^2+1)))</f>
        <v/>
      </c>
      <c r="Y18" s="13">
        <f>MAX(0,C18-MAX(B18,$G$8))/D18*IF(V18&gt;=Input!$G$27*J18,1,0)</f>
        <v/>
      </c>
      <c r="Z18" s="12">
        <f>4*Input!$G$9*(Input!$G$10/2)*(1-R18^2)/Q18*((W18-W17)+(1-2*R18)/(1-R18)*(X18-X17))*1000*Y18</f>
        <v/>
      </c>
      <c r="AA18" s="30">
        <f>IF(F18="Sand",0,0.009*(K18-10))</f>
        <v/>
      </c>
      <c r="AB18" s="30">
        <f>AA18*Input!$G$23</f>
        <v/>
      </c>
      <c r="AC18" s="26">
        <f>IF(F18="Sand",0,MAX(O18/Input!$G$24,J18))</f>
        <v/>
      </c>
      <c r="AD18" s="31">
        <f>IF(F18="Sand",0,1000*D18/(1+N18)*IF(J18+V18&lt;=AC18,AB18*LOG10((J18+V18)/J18),AB18*LOG10(AC18/J18)+AA18*LOG10((J18+V18)/AC18)))*Y18</f>
        <v/>
      </c>
      <c r="AE18" s="32">
        <f>IF(F18="Sand",0,10^(INDEX(Korelasi!$C$5:$C$11,MIN(MATCH(MIN(MAX(K18,30),120),Korelasi!$A$5:$A$11,1),6))+(MIN(MAX(K18,30),120)-INDEX(Korelasi!$A$5:$A$11,MIN(MATCH(MIN(MAX(K18,30),120),Korelasi!$A$5:$A$11,1),6)))/(INDEX(Korelasi!$A$5:$A$11,MIN(MATCH(MIN(MAX(K18,30),120),Korelasi!$A$5:$A$11,1),6)+1)-INDEX(Korelasi!$A$5:$A$11,MIN(MATCH(MIN(MAX(K18,30),120),Korelasi!$A$5:$A$11,1),6)))*(INDEX(Korelasi!$C$5:$C$11,MIN(MATCH(MIN(MAX(K18,30),120),Korelasi!$A$5:$A$11,1),6)+1)-INDEX(Korelasi!$C$5:$C$11,MIN(MATCH(MIN(MAX(K18,30),120),Korelasi!$A$5:$A$11,1),6)))))</f>
        <v/>
      </c>
      <c r="AF18" s="33">
        <f>IF(OR(F18="Sand",Y18=0),0,Input!$G$25*(D18/2)^2/(AE18*1E-4*31536000))</f>
        <v/>
      </c>
      <c r="AG18" s="13">
        <f>MAX(0,MIN(C18,Input!$G$15)-B18)</f>
        <v/>
      </c>
      <c r="AH18" s="13">
        <f>MAX(0,MIN(C18,Input!$G$15)-MAX(B18,$G$8))</f>
        <v/>
      </c>
      <c r="AI18" s="13">
        <f>MAX(0,MIN(C18,$G$106)-B18)</f>
        <v/>
      </c>
      <c r="AJ18" s="34" t="inlineStr"/>
    </row>
    <row r="19">
      <c r="A19" s="20" t="n">
        <v>7</v>
      </c>
      <c r="B19" s="21" t="n">
        <v>9</v>
      </c>
      <c r="C19" s="21" t="n">
        <v>10.5</v>
      </c>
      <c r="D19" s="13">
        <f>C19-B19</f>
        <v/>
      </c>
      <c r="E19" s="13">
        <f>(B19+C19)/2</f>
        <v/>
      </c>
      <c r="F19" s="22" t="inlineStr">
        <is>
          <t>Sand</t>
        </is>
      </c>
      <c r="G19" s="23" t="n">
        <v>29</v>
      </c>
      <c r="H19" s="12">
        <f>IF(E19&gt;$G$5,$G$7,$G$6)</f>
        <v/>
      </c>
      <c r="I19" s="12">
        <f>I18+H19*D19</f>
        <v/>
      </c>
      <c r="J19" s="12">
        <f>I19-H19*D19/2-10*MAX(E19-$G$5,0)</f>
        <v/>
      </c>
      <c r="K19" s="24" t="n"/>
      <c r="L19" s="24" t="n"/>
      <c r="M19" s="12">
        <f>IF(K19="","",K19-L19)</f>
        <v/>
      </c>
      <c r="N19" s="25" t="n">
        <v>0.65</v>
      </c>
      <c r="O19" s="26">
        <f>IF(F19="Sand",0,Input!$G$19*G19)</f>
        <v/>
      </c>
      <c r="P19" s="12">
        <f>IF(F19="Sand",27.1+0.3*MIN(Input!$G$20*G19,60)-0.00054*MIN(Input!$G$20*G19,60)^2,MIN(MAX(DEGREES(ASIN(0.8-0.094*LN(MAX(IF(M19="",10,M19),5)))),20),30))</f>
        <v/>
      </c>
      <c r="Q19" s="27">
        <f>IF(F19="Sand",Input!$G$21*Input!$G$20*G19,Input!$G$22*O19)</f>
        <v/>
      </c>
      <c r="R19" s="13">
        <f>IF(F19="Sand",Input!$G$26,0.5)</f>
        <v/>
      </c>
      <c r="S19" s="13">
        <f>Input!$G$10/2/E19</f>
        <v/>
      </c>
      <c r="T19" s="13">
        <f>Input!$G$11/2/E19</f>
        <v/>
      </c>
      <c r="U19" s="28">
        <f>1/(4*PI())*(2*S19*T19*SQRT(S19^2+T19^2+1)/(S19^2+T19^2+1+S19^2*T19^2)*(S19^2+T19^2+2)/(S19^2+T19^2+1)+ATAN2(S19^2+T19^2+1-S19^2*T19^2,2*S19*T19*SQRT(S19^2+T19^2+1)))</f>
        <v/>
      </c>
      <c r="V19" s="12">
        <f>4*Input!$G$9*U19</f>
        <v/>
      </c>
      <c r="W19" s="29">
        <f>((Input!$G$11/Input!$G$10)*LN((1+SQRT((Input!$G$11/Input!$G$10)^2+1))*SQRT((Input!$G$11/Input!$G$10)^2+(C19/(Input!$G$10/2))^2)/((Input!$G$11/Input!$G$10)*(1+SQRT((Input!$G$11/Input!$G$10)^2+(C19/(Input!$G$10/2))^2+1))))+LN(((Input!$G$11/Input!$G$10)+SQRT((Input!$G$11/Input!$G$10)^2+1))*SQRT(1+(C19/(Input!$G$10/2))^2)/((Input!$G$11/Input!$G$10)+SQRT((Input!$G$11/Input!$G$10)^2+(C19/(Input!$G$10/2))^2+1))))/PI()</f>
        <v/>
      </c>
      <c r="X19" s="29">
        <f>(C19/(Input!$G$10/2))/(2*PI())*ATAN((Input!$G$11/Input!$G$10)/((C19/(Input!$G$10/2))*SQRT((Input!$G$11/Input!$G$10)^2+(C19/(Input!$G$10/2))^2+1)))</f>
        <v/>
      </c>
      <c r="Y19" s="13">
        <f>MAX(0,C19-MAX(B19,$G$8))/D19*IF(V19&gt;=Input!$G$27*J19,1,0)</f>
        <v/>
      </c>
      <c r="Z19" s="12">
        <f>4*Input!$G$9*(Input!$G$10/2)*(1-R19^2)/Q19*((W19-W18)+(1-2*R19)/(1-R19)*(X19-X18))*1000*Y19</f>
        <v/>
      </c>
      <c r="AA19" s="30">
        <f>IF(F19="Sand",0,0.009*(K19-10))</f>
        <v/>
      </c>
      <c r="AB19" s="30">
        <f>AA19*Input!$G$23</f>
        <v/>
      </c>
      <c r="AC19" s="26">
        <f>IF(F19="Sand",0,MAX(O19/Input!$G$24,J19))</f>
        <v/>
      </c>
      <c r="AD19" s="31">
        <f>IF(F19="Sand",0,1000*D19/(1+N19)*IF(J19+V19&lt;=AC19,AB19*LOG10((J19+V19)/J19),AB19*LOG10(AC19/J19)+AA19*LOG10((J19+V19)/AC19)))*Y19</f>
        <v/>
      </c>
      <c r="AE19" s="32">
        <f>IF(F19="Sand",0,10^(INDEX(Korelasi!$C$5:$C$11,MIN(MATCH(MIN(MAX(K19,30),120),Korelasi!$A$5:$A$11,1),6))+(MIN(MAX(K19,30),120)-INDEX(Korelasi!$A$5:$A$11,MIN(MATCH(MIN(MAX(K19,30),120),Korelasi!$A$5:$A$11,1),6)))/(INDEX(Korelasi!$A$5:$A$11,MIN(MATCH(MIN(MAX(K19,30),120),Korelasi!$A$5:$A$11,1),6)+1)-INDEX(Korelasi!$A$5:$A$11,MIN(MATCH(MIN(MAX(K19,30),120),Korelasi!$A$5:$A$11,1),6)))*(INDEX(Korelasi!$C$5:$C$11,MIN(MATCH(MIN(MAX(K19,30),120),Korelasi!$A$5:$A$11,1),6)+1)-INDEX(Korelasi!$C$5:$C$11,MIN(MATCH(MIN(MAX(K19,30),120),Korelasi!$A$5:$A$11,1),6)))))</f>
        <v/>
      </c>
      <c r="AF19" s="33">
        <f>IF(OR(F19="Sand",Y19=0),0,Input!$G$25*(D19/2)^2/(AE19*1E-4*31536000))</f>
        <v/>
      </c>
      <c r="AG19" s="13">
        <f>MAX(0,MIN(C19,Input!$G$15)-B19)</f>
        <v/>
      </c>
      <c r="AH19" s="13">
        <f>MAX(0,MIN(C19,Input!$G$15)-MAX(B19,$G$8))</f>
        <v/>
      </c>
      <c r="AI19" s="13">
        <f>MAX(0,MIN(C19,$G$106)-B19)</f>
        <v/>
      </c>
      <c r="AJ19" s="34" t="inlineStr"/>
    </row>
    <row r="20">
      <c r="A20" s="20" t="n">
        <v>8</v>
      </c>
      <c r="B20" s="21" t="n">
        <v>10.5</v>
      </c>
      <c r="C20" s="21" t="n">
        <v>12</v>
      </c>
      <c r="D20" s="13">
        <f>C20-B20</f>
        <v/>
      </c>
      <c r="E20" s="13">
        <f>(B20+C20)/2</f>
        <v/>
      </c>
      <c r="F20" s="22" t="inlineStr">
        <is>
          <t>Silt</t>
        </is>
      </c>
      <c r="G20" s="23" t="n">
        <v>24</v>
      </c>
      <c r="H20" s="12">
        <f>IF(E20&gt;$G$5,$G$7,$G$6)</f>
        <v/>
      </c>
      <c r="I20" s="12">
        <f>I19+H20*D20</f>
        <v/>
      </c>
      <c r="J20" s="12">
        <f>I20-H20*D20/2-10*MAX(E20-$G$5,0)</f>
        <v/>
      </c>
      <c r="K20" s="24" t="n">
        <v>36.39</v>
      </c>
      <c r="L20" s="24" t="n">
        <v>24.82</v>
      </c>
      <c r="M20" s="12">
        <f>IF(K20="","",K20-L20)</f>
        <v/>
      </c>
      <c r="N20" s="25" t="n">
        <v>1.053</v>
      </c>
      <c r="O20" s="26">
        <f>IF(F20="Sand",0,Input!$G$19*G20)</f>
        <v/>
      </c>
      <c r="P20" s="12">
        <f>IF(F20="Sand",27.1+0.3*MIN(Input!$G$20*G20,60)-0.00054*MIN(Input!$G$20*G20,60)^2,MIN(MAX(DEGREES(ASIN(0.8-0.094*LN(MAX(IF(M20="",10,M20),5)))),20),30))</f>
        <v/>
      </c>
      <c r="Q20" s="27">
        <f>IF(F20="Sand",Input!$G$21*Input!$G$20*G20,Input!$G$22*O20)</f>
        <v/>
      </c>
      <c r="R20" s="13">
        <f>IF(F20="Sand",Input!$G$26,0.5)</f>
        <v/>
      </c>
      <c r="S20" s="13">
        <f>Input!$G$10/2/E20</f>
        <v/>
      </c>
      <c r="T20" s="13">
        <f>Input!$G$11/2/E20</f>
        <v/>
      </c>
      <c r="U20" s="28">
        <f>1/(4*PI())*(2*S20*T20*SQRT(S20^2+T20^2+1)/(S20^2+T20^2+1+S20^2*T20^2)*(S20^2+T20^2+2)/(S20^2+T20^2+1)+ATAN2(S20^2+T20^2+1-S20^2*T20^2,2*S20*T20*SQRT(S20^2+T20^2+1)))</f>
        <v/>
      </c>
      <c r="V20" s="12">
        <f>4*Input!$G$9*U20</f>
        <v/>
      </c>
      <c r="W20" s="29">
        <f>((Input!$G$11/Input!$G$10)*LN((1+SQRT((Input!$G$11/Input!$G$10)^2+1))*SQRT((Input!$G$11/Input!$G$10)^2+(C20/(Input!$G$10/2))^2)/((Input!$G$11/Input!$G$10)*(1+SQRT((Input!$G$11/Input!$G$10)^2+(C20/(Input!$G$10/2))^2+1))))+LN(((Input!$G$11/Input!$G$10)+SQRT((Input!$G$11/Input!$G$10)^2+1))*SQRT(1+(C20/(Input!$G$10/2))^2)/((Input!$G$11/Input!$G$10)+SQRT((Input!$G$11/Input!$G$10)^2+(C20/(Input!$G$10/2))^2+1))))/PI()</f>
        <v/>
      </c>
      <c r="X20" s="29">
        <f>(C20/(Input!$G$10/2))/(2*PI())*ATAN((Input!$G$11/Input!$G$10)/((C20/(Input!$G$10/2))*SQRT((Input!$G$11/Input!$G$10)^2+(C20/(Input!$G$10/2))^2+1)))</f>
        <v/>
      </c>
      <c r="Y20" s="13">
        <f>MAX(0,C20-MAX(B20,$G$8))/D20*IF(V20&gt;=Input!$G$27*J20,1,0)</f>
        <v/>
      </c>
      <c r="Z20" s="12">
        <f>4*Input!$G$9*(Input!$G$10/2)*(1-R20^2)/Q20*((W20-W19)+(1-2*R20)/(1-R20)*(X20-X19))*1000*Y20</f>
        <v/>
      </c>
      <c r="AA20" s="30">
        <f>IF(F20="Sand",0,0.009*(K20-10))</f>
        <v/>
      </c>
      <c r="AB20" s="30">
        <f>AA20*Input!$G$23</f>
        <v/>
      </c>
      <c r="AC20" s="26">
        <f>IF(F20="Sand",0,MAX(O20/Input!$G$24,J20))</f>
        <v/>
      </c>
      <c r="AD20" s="31">
        <f>IF(F20="Sand",0,1000*D20/(1+N20)*IF(J20+V20&lt;=AC20,AB20*LOG10((J20+V20)/J20),AB20*LOG10(AC20/J20)+AA20*LOG10((J20+V20)/AC20)))*Y20</f>
        <v/>
      </c>
      <c r="AE20" s="32">
        <f>IF(F20="Sand",0,10^(INDEX(Korelasi!$C$5:$C$11,MIN(MATCH(MIN(MAX(K20,30),120),Korelasi!$A$5:$A$11,1),6))+(MIN(MAX(K20,30),120)-INDEX(Korelasi!$A$5:$A$11,MIN(MATCH(MIN(MAX(K20,30),120),Korelasi!$A$5:$A$11,1),6)))/(INDEX(Korelasi!$A$5:$A$11,MIN(MATCH(MIN(MAX(K20,30),120),Korelasi!$A$5:$A$11,1),6)+1)-INDEX(Korelasi!$A$5:$A$11,MIN(MATCH(MIN(MAX(K20,30),120),Korelasi!$A$5:$A$11,1),6)))*(INDEX(Korelasi!$C$5:$C$11,MIN(MATCH(MIN(MAX(K20,30),120),Korelasi!$A$5:$A$11,1),6)+1)-INDEX(Korelasi!$C$5:$C$11,MIN(MATCH(MIN(MAX(K20,30),120),Korelasi!$A$5:$A$11,1),6)))))</f>
        <v/>
      </c>
      <c r="AF20" s="33">
        <f>IF(OR(F20="Sand",Y20=0),0,Input!$G$25*(D20/2)^2/(AE20*1E-4*31536000))</f>
        <v/>
      </c>
      <c r="AG20" s="13">
        <f>MAX(0,MIN(C20,Input!$G$15)-B20)</f>
        <v/>
      </c>
      <c r="AH20" s="13">
        <f>MAX(0,MIN(C20,Input!$G$15)-MAX(B20,$G$8))</f>
        <v/>
      </c>
      <c r="AI20" s="13">
        <f>MAX(0,MIN(C20,$G$106)-B20)</f>
        <v/>
      </c>
      <c r="AJ20" s="34" t="inlineStr"/>
    </row>
    <row r="21">
      <c r="A21" s="20" t="n">
        <v>9</v>
      </c>
      <c r="B21" s="21" t="n">
        <v>12</v>
      </c>
      <c r="C21" s="21" t="n">
        <v>13.5</v>
      </c>
      <c r="D21" s="13">
        <f>C21-B21</f>
        <v/>
      </c>
      <c r="E21" s="13">
        <f>(B21+C21)/2</f>
        <v/>
      </c>
      <c r="F21" s="22" t="inlineStr">
        <is>
          <t>Silt</t>
        </is>
      </c>
      <c r="G21" s="23" t="n">
        <v>10</v>
      </c>
      <c r="H21" s="12">
        <f>IF(E21&gt;$G$5,$G$7,$G$6)</f>
        <v/>
      </c>
      <c r="I21" s="12">
        <f>I20+H21*D21</f>
        <v/>
      </c>
      <c r="J21" s="12">
        <f>I21-H21*D21/2-10*MAX(E21-$G$5,0)</f>
        <v/>
      </c>
      <c r="K21" s="24" t="n">
        <v>35.7</v>
      </c>
      <c r="L21" s="24" t="n">
        <v>24.25</v>
      </c>
      <c r="M21" s="12">
        <f>IF(K21="","",K21-L21)</f>
        <v/>
      </c>
      <c r="N21" s="25" t="n">
        <v>0.974</v>
      </c>
      <c r="O21" s="26">
        <f>IF(F21="Sand",0,Input!$G$19*G21)</f>
        <v/>
      </c>
      <c r="P21" s="12">
        <f>IF(F21="Sand",27.1+0.3*MIN(Input!$G$20*G21,60)-0.00054*MIN(Input!$G$20*G21,60)^2,MIN(MAX(DEGREES(ASIN(0.8-0.094*LN(MAX(IF(M21="",10,M21),5)))),20),30))</f>
        <v/>
      </c>
      <c r="Q21" s="27">
        <f>IF(F21="Sand",Input!$G$21*Input!$G$20*G21,Input!$G$22*O21)</f>
        <v/>
      </c>
      <c r="R21" s="13">
        <f>IF(F21="Sand",Input!$G$26,0.5)</f>
        <v/>
      </c>
      <c r="S21" s="13">
        <f>Input!$G$10/2/E21</f>
        <v/>
      </c>
      <c r="T21" s="13">
        <f>Input!$G$11/2/E21</f>
        <v/>
      </c>
      <c r="U21" s="28">
        <f>1/(4*PI())*(2*S21*T21*SQRT(S21^2+T21^2+1)/(S21^2+T21^2+1+S21^2*T21^2)*(S21^2+T21^2+2)/(S21^2+T21^2+1)+ATAN2(S21^2+T21^2+1-S21^2*T21^2,2*S21*T21*SQRT(S21^2+T21^2+1)))</f>
        <v/>
      </c>
      <c r="V21" s="12">
        <f>4*Input!$G$9*U21</f>
        <v/>
      </c>
      <c r="W21" s="29">
        <f>((Input!$G$11/Input!$G$10)*LN((1+SQRT((Input!$G$11/Input!$G$10)^2+1))*SQRT((Input!$G$11/Input!$G$10)^2+(C21/(Input!$G$10/2))^2)/((Input!$G$11/Input!$G$10)*(1+SQRT((Input!$G$11/Input!$G$10)^2+(C21/(Input!$G$10/2))^2+1))))+LN(((Input!$G$11/Input!$G$10)+SQRT((Input!$G$11/Input!$G$10)^2+1))*SQRT(1+(C21/(Input!$G$10/2))^2)/((Input!$G$11/Input!$G$10)+SQRT((Input!$G$11/Input!$G$10)^2+(C21/(Input!$G$10/2))^2+1))))/PI()</f>
        <v/>
      </c>
      <c r="X21" s="29">
        <f>(C21/(Input!$G$10/2))/(2*PI())*ATAN((Input!$G$11/Input!$G$10)/((C21/(Input!$G$10/2))*SQRT((Input!$G$11/Input!$G$10)^2+(C21/(Input!$G$10/2))^2+1)))</f>
        <v/>
      </c>
      <c r="Y21" s="13">
        <f>MAX(0,C21-MAX(B21,$G$8))/D21*IF(V21&gt;=Input!$G$27*J21,1,0)</f>
        <v/>
      </c>
      <c r="Z21" s="12">
        <f>4*Input!$G$9*(Input!$G$10/2)*(1-R21^2)/Q21*((W21-W20)+(1-2*R21)/(1-R21)*(X21-X20))*1000*Y21</f>
        <v/>
      </c>
      <c r="AA21" s="30">
        <f>IF(F21="Sand",0,0.009*(K21-10))</f>
        <v/>
      </c>
      <c r="AB21" s="30">
        <f>AA21*Input!$G$23</f>
        <v/>
      </c>
      <c r="AC21" s="26">
        <f>IF(F21="Sand",0,MAX(O21/Input!$G$24,J21))</f>
        <v/>
      </c>
      <c r="AD21" s="31">
        <f>IF(F21="Sand",0,1000*D21/(1+N21)*IF(J21+V21&lt;=AC21,AB21*LOG10((J21+V21)/J21),AB21*LOG10(AC21/J21)+AA21*LOG10((J21+V21)/AC21)))*Y21</f>
        <v/>
      </c>
      <c r="AE21" s="32">
        <f>IF(F21="Sand",0,10^(INDEX(Korelasi!$C$5:$C$11,MIN(MATCH(MIN(MAX(K21,30),120),Korelasi!$A$5:$A$11,1),6))+(MIN(MAX(K21,30),120)-INDEX(Korelasi!$A$5:$A$11,MIN(MATCH(MIN(MAX(K21,30),120),Korelasi!$A$5:$A$11,1),6)))/(INDEX(Korelasi!$A$5:$A$11,MIN(MATCH(MIN(MAX(K21,30),120),Korelasi!$A$5:$A$11,1),6)+1)-INDEX(Korelasi!$A$5:$A$11,MIN(MATCH(MIN(MAX(K21,30),120),Korelasi!$A$5:$A$11,1),6)))*(INDEX(Korelasi!$C$5:$C$11,MIN(MATCH(MIN(MAX(K21,30),120),Korelasi!$A$5:$A$11,1),6)+1)-INDEX(Korelasi!$C$5:$C$11,MIN(MATCH(MIN(MAX(K21,30),120),Korelasi!$A$5:$A$11,1),6)))))</f>
        <v/>
      </c>
      <c r="AF21" s="33">
        <f>IF(OR(F21="Sand",Y21=0),0,Input!$G$25*(D21/2)^2/(AE21*1E-4*31536000))</f>
        <v/>
      </c>
      <c r="AG21" s="13">
        <f>MAX(0,MIN(C21,Input!$G$15)-B21)</f>
        <v/>
      </c>
      <c r="AH21" s="13">
        <f>MAX(0,MIN(C21,Input!$G$15)-MAX(B21,$G$8))</f>
        <v/>
      </c>
      <c r="AI21" s="13">
        <f>MAX(0,MIN(C21,$G$106)-B21)</f>
        <v/>
      </c>
      <c r="AJ21" s="34" t="inlineStr"/>
    </row>
    <row r="22">
      <c r="A22" s="20" t="n">
        <v>10</v>
      </c>
      <c r="B22" s="21" t="n">
        <v>13.5</v>
      </c>
      <c r="C22" s="21" t="n">
        <v>15</v>
      </c>
      <c r="D22" s="13">
        <f>C22-B22</f>
        <v/>
      </c>
      <c r="E22" s="13">
        <f>(B22+C22)/2</f>
        <v/>
      </c>
      <c r="F22" s="22" t="inlineStr">
        <is>
          <t>Sand</t>
        </is>
      </c>
      <c r="G22" s="23" t="n">
        <v>35</v>
      </c>
      <c r="H22" s="12">
        <f>IF(E22&gt;$G$5,$G$7,$G$6)</f>
        <v/>
      </c>
      <c r="I22" s="12">
        <f>I21+H22*D22</f>
        <v/>
      </c>
      <c r="J22" s="12">
        <f>I22-H22*D22/2-10*MAX(E22-$G$5,0)</f>
        <v/>
      </c>
      <c r="K22" s="24" t="n"/>
      <c r="L22" s="24" t="n"/>
      <c r="M22" s="12">
        <f>IF(K22="","",K22-L22)</f>
        <v/>
      </c>
      <c r="N22" s="25" t="n">
        <v>0.5570000000000001</v>
      </c>
      <c r="O22" s="26">
        <f>IF(F22="Sand",0,Input!$G$19*G22)</f>
        <v/>
      </c>
      <c r="P22" s="12">
        <f>IF(F22="Sand",27.1+0.3*MIN(Input!$G$20*G22,60)-0.00054*MIN(Input!$G$20*G22,60)^2,MIN(MAX(DEGREES(ASIN(0.8-0.094*LN(MAX(IF(M22="",10,M22),5)))),20),30))</f>
        <v/>
      </c>
      <c r="Q22" s="27">
        <f>IF(F22="Sand",Input!$G$21*Input!$G$20*G22,Input!$G$22*O22)</f>
        <v/>
      </c>
      <c r="R22" s="13">
        <f>IF(F22="Sand",Input!$G$26,0.5)</f>
        <v/>
      </c>
      <c r="S22" s="13">
        <f>Input!$G$10/2/E22</f>
        <v/>
      </c>
      <c r="T22" s="13">
        <f>Input!$G$11/2/E22</f>
        <v/>
      </c>
      <c r="U22" s="28">
        <f>1/(4*PI())*(2*S22*T22*SQRT(S22^2+T22^2+1)/(S22^2+T22^2+1+S22^2*T22^2)*(S22^2+T22^2+2)/(S22^2+T22^2+1)+ATAN2(S22^2+T22^2+1-S22^2*T22^2,2*S22*T22*SQRT(S22^2+T22^2+1)))</f>
        <v/>
      </c>
      <c r="V22" s="12">
        <f>4*Input!$G$9*U22</f>
        <v/>
      </c>
      <c r="W22" s="29">
        <f>((Input!$G$11/Input!$G$10)*LN((1+SQRT((Input!$G$11/Input!$G$10)^2+1))*SQRT((Input!$G$11/Input!$G$10)^2+(C22/(Input!$G$10/2))^2)/((Input!$G$11/Input!$G$10)*(1+SQRT((Input!$G$11/Input!$G$10)^2+(C22/(Input!$G$10/2))^2+1))))+LN(((Input!$G$11/Input!$G$10)+SQRT((Input!$G$11/Input!$G$10)^2+1))*SQRT(1+(C22/(Input!$G$10/2))^2)/((Input!$G$11/Input!$G$10)+SQRT((Input!$G$11/Input!$G$10)^2+(C22/(Input!$G$10/2))^2+1))))/PI()</f>
        <v/>
      </c>
      <c r="X22" s="29">
        <f>(C22/(Input!$G$10/2))/(2*PI())*ATAN((Input!$G$11/Input!$G$10)/((C22/(Input!$G$10/2))*SQRT((Input!$G$11/Input!$G$10)^2+(C22/(Input!$G$10/2))^2+1)))</f>
        <v/>
      </c>
      <c r="Y22" s="13">
        <f>MAX(0,C22-MAX(B22,$G$8))/D22*IF(V22&gt;=Input!$G$27*J22,1,0)</f>
        <v/>
      </c>
      <c r="Z22" s="12">
        <f>4*Input!$G$9*(Input!$G$10/2)*(1-R22^2)/Q22*((W22-W21)+(1-2*R22)/(1-R22)*(X22-X21))*1000*Y22</f>
        <v/>
      </c>
      <c r="AA22" s="30">
        <f>IF(F22="Sand",0,0.009*(K22-10))</f>
        <v/>
      </c>
      <c r="AB22" s="30">
        <f>AA22*Input!$G$23</f>
        <v/>
      </c>
      <c r="AC22" s="26">
        <f>IF(F22="Sand",0,MAX(O22/Input!$G$24,J22))</f>
        <v/>
      </c>
      <c r="AD22" s="31">
        <f>IF(F22="Sand",0,1000*D22/(1+N22)*IF(J22+V22&lt;=AC22,AB22*LOG10((J22+V22)/J22),AB22*LOG10(AC22/J22)+AA22*LOG10((J22+V22)/AC22)))*Y22</f>
        <v/>
      </c>
      <c r="AE22" s="32">
        <f>IF(F22="Sand",0,10^(INDEX(Korelasi!$C$5:$C$11,MIN(MATCH(MIN(MAX(K22,30),120),Korelasi!$A$5:$A$11,1),6))+(MIN(MAX(K22,30),120)-INDEX(Korelasi!$A$5:$A$11,MIN(MATCH(MIN(MAX(K22,30),120),Korelasi!$A$5:$A$11,1),6)))/(INDEX(Korelasi!$A$5:$A$11,MIN(MATCH(MIN(MAX(K22,30),120),Korelasi!$A$5:$A$11,1),6)+1)-INDEX(Korelasi!$A$5:$A$11,MIN(MATCH(MIN(MAX(K22,30),120),Korelasi!$A$5:$A$11,1),6)))*(INDEX(Korelasi!$C$5:$C$11,MIN(MATCH(MIN(MAX(K22,30),120),Korelasi!$A$5:$A$11,1),6)+1)-INDEX(Korelasi!$C$5:$C$11,MIN(MATCH(MIN(MAX(K22,30),120),Korelasi!$A$5:$A$11,1),6)))))</f>
        <v/>
      </c>
      <c r="AF22" s="33">
        <f>IF(OR(F22="Sand",Y22=0),0,Input!$G$25*(D22/2)^2/(AE22*1E-4*31536000))</f>
        <v/>
      </c>
      <c r="AG22" s="13">
        <f>MAX(0,MIN(C22,Input!$G$15)-B22)</f>
        <v/>
      </c>
      <c r="AH22" s="13">
        <f>MAX(0,MIN(C22,Input!$G$15)-MAX(B22,$G$8))</f>
        <v/>
      </c>
      <c r="AI22" s="13">
        <f>MAX(0,MIN(C22,$G$106)-B22)</f>
        <v/>
      </c>
      <c r="AJ22" s="34" t="inlineStr"/>
    </row>
    <row r="23">
      <c r="A23" s="20" t="n">
        <v>11</v>
      </c>
      <c r="B23" s="21" t="n">
        <v>15</v>
      </c>
      <c r="C23" s="21" t="n">
        <v>16.5</v>
      </c>
      <c r="D23" s="13">
        <f>C23-B23</f>
        <v/>
      </c>
      <c r="E23" s="13">
        <f>(B23+C23)/2</f>
        <v/>
      </c>
      <c r="F23" s="22" t="inlineStr">
        <is>
          <t>Sand</t>
        </is>
      </c>
      <c r="G23" s="23" t="n">
        <v>39</v>
      </c>
      <c r="H23" s="12">
        <f>IF(E23&gt;$G$5,$G$7,$G$6)</f>
        <v/>
      </c>
      <c r="I23" s="12">
        <f>I22+H23*D23</f>
        <v/>
      </c>
      <c r="J23" s="12">
        <f>I23-H23*D23/2-10*MAX(E23-$G$5,0)</f>
        <v/>
      </c>
      <c r="K23" s="24" t="n"/>
      <c r="L23" s="24" t="n"/>
      <c r="M23" s="12">
        <f>IF(K23="","",K23-L23)</f>
        <v/>
      </c>
      <c r="N23" s="25" t="n">
        <v>0.458</v>
      </c>
      <c r="O23" s="26">
        <f>IF(F23="Sand",0,Input!$G$19*G23)</f>
        <v/>
      </c>
      <c r="P23" s="12">
        <f>IF(F23="Sand",27.1+0.3*MIN(Input!$G$20*G23,60)-0.00054*MIN(Input!$G$20*G23,60)^2,MIN(MAX(DEGREES(ASIN(0.8-0.094*LN(MAX(IF(M23="",10,M23),5)))),20),30))</f>
        <v/>
      </c>
      <c r="Q23" s="27">
        <f>IF(F23="Sand",Input!$G$21*Input!$G$20*G23,Input!$G$22*O23)</f>
        <v/>
      </c>
      <c r="R23" s="13">
        <f>IF(F23="Sand",Input!$G$26,0.5)</f>
        <v/>
      </c>
      <c r="S23" s="13">
        <f>Input!$G$10/2/E23</f>
        <v/>
      </c>
      <c r="T23" s="13">
        <f>Input!$G$11/2/E23</f>
        <v/>
      </c>
      <c r="U23" s="28">
        <f>1/(4*PI())*(2*S23*T23*SQRT(S23^2+T23^2+1)/(S23^2+T23^2+1+S23^2*T23^2)*(S23^2+T23^2+2)/(S23^2+T23^2+1)+ATAN2(S23^2+T23^2+1-S23^2*T23^2,2*S23*T23*SQRT(S23^2+T23^2+1)))</f>
        <v/>
      </c>
      <c r="V23" s="12">
        <f>4*Input!$G$9*U23</f>
        <v/>
      </c>
      <c r="W23" s="29">
        <f>((Input!$G$11/Input!$G$10)*LN((1+SQRT((Input!$G$11/Input!$G$10)^2+1))*SQRT((Input!$G$11/Input!$G$10)^2+(C23/(Input!$G$10/2))^2)/((Input!$G$11/Input!$G$10)*(1+SQRT((Input!$G$11/Input!$G$10)^2+(C23/(Input!$G$10/2))^2+1))))+LN(((Input!$G$11/Input!$G$10)+SQRT((Input!$G$11/Input!$G$10)^2+1))*SQRT(1+(C23/(Input!$G$10/2))^2)/((Input!$G$11/Input!$G$10)+SQRT((Input!$G$11/Input!$G$10)^2+(C23/(Input!$G$10/2))^2+1))))/PI()</f>
        <v/>
      </c>
      <c r="X23" s="29">
        <f>(C23/(Input!$G$10/2))/(2*PI())*ATAN((Input!$G$11/Input!$G$10)/((C23/(Input!$G$10/2))*SQRT((Input!$G$11/Input!$G$10)^2+(C23/(Input!$G$10/2))^2+1)))</f>
        <v/>
      </c>
      <c r="Y23" s="13">
        <f>MAX(0,C23-MAX(B23,$G$8))/D23*IF(V23&gt;=Input!$G$27*J23,1,0)</f>
        <v/>
      </c>
      <c r="Z23" s="12">
        <f>4*Input!$G$9*(Input!$G$10/2)*(1-R23^2)/Q23*((W23-W22)+(1-2*R23)/(1-R23)*(X23-X22))*1000*Y23</f>
        <v/>
      </c>
      <c r="AA23" s="30">
        <f>IF(F23="Sand",0,0.009*(K23-10))</f>
        <v/>
      </c>
      <c r="AB23" s="30">
        <f>AA23*Input!$G$23</f>
        <v/>
      </c>
      <c r="AC23" s="26">
        <f>IF(F23="Sand",0,MAX(O23/Input!$G$24,J23))</f>
        <v/>
      </c>
      <c r="AD23" s="31">
        <f>IF(F23="Sand",0,1000*D23/(1+N23)*IF(J23+V23&lt;=AC23,AB23*LOG10((J23+V23)/J23),AB23*LOG10(AC23/J23)+AA23*LOG10((J23+V23)/AC23)))*Y23</f>
        <v/>
      </c>
      <c r="AE23" s="32">
        <f>IF(F23="Sand",0,10^(INDEX(Korelasi!$C$5:$C$11,MIN(MATCH(MIN(MAX(K23,30),120),Korelasi!$A$5:$A$11,1),6))+(MIN(MAX(K23,30),120)-INDEX(Korelasi!$A$5:$A$11,MIN(MATCH(MIN(MAX(K23,30),120),Korelasi!$A$5:$A$11,1),6)))/(INDEX(Korelasi!$A$5:$A$11,MIN(MATCH(MIN(MAX(K23,30),120),Korelasi!$A$5:$A$11,1),6)+1)-INDEX(Korelasi!$A$5:$A$11,MIN(MATCH(MIN(MAX(K23,30),120),Korelasi!$A$5:$A$11,1),6)))*(INDEX(Korelasi!$C$5:$C$11,MIN(MATCH(MIN(MAX(K23,30),120),Korelasi!$A$5:$A$11,1),6)+1)-INDEX(Korelasi!$C$5:$C$11,MIN(MATCH(MIN(MAX(K23,30),120),Korelasi!$A$5:$A$11,1),6)))))</f>
        <v/>
      </c>
      <c r="AF23" s="33">
        <f>IF(OR(F23="Sand",Y23=0),0,Input!$G$25*(D23/2)^2/(AE23*1E-4*31536000))</f>
        <v/>
      </c>
      <c r="AG23" s="13">
        <f>MAX(0,MIN(C23,Input!$G$15)-B23)</f>
        <v/>
      </c>
      <c r="AH23" s="13">
        <f>MAX(0,MIN(C23,Input!$G$15)-MAX(B23,$G$8))</f>
        <v/>
      </c>
      <c r="AI23" s="13">
        <f>MAX(0,MIN(C23,$G$106)-B23)</f>
        <v/>
      </c>
      <c r="AJ23" s="34" t="inlineStr"/>
    </row>
    <row r="24">
      <c r="A24" s="20" t="n">
        <v>12</v>
      </c>
      <c r="B24" s="21" t="n">
        <v>16.5</v>
      </c>
      <c r="C24" s="21" t="n">
        <v>18</v>
      </c>
      <c r="D24" s="13">
        <f>C24-B24</f>
        <v/>
      </c>
      <c r="E24" s="13">
        <f>(B24+C24)/2</f>
        <v/>
      </c>
      <c r="F24" s="22" t="inlineStr">
        <is>
          <t>Sand</t>
        </is>
      </c>
      <c r="G24" s="23" t="n">
        <v>26</v>
      </c>
      <c r="H24" s="12">
        <f>IF(E24&gt;$G$5,$G$7,$G$6)</f>
        <v/>
      </c>
      <c r="I24" s="12">
        <f>I23+H24*D24</f>
        <v/>
      </c>
      <c r="J24" s="12">
        <f>I24-H24*D24/2-10*MAX(E24-$G$5,0)</f>
        <v/>
      </c>
      <c r="K24" s="24" t="n"/>
      <c r="L24" s="24" t="n"/>
      <c r="M24" s="12">
        <f>IF(K24="","",K24-L24)</f>
        <v/>
      </c>
      <c r="N24" s="25" t="n">
        <v>0.556</v>
      </c>
      <c r="O24" s="26">
        <f>IF(F24="Sand",0,Input!$G$19*G24)</f>
        <v/>
      </c>
      <c r="P24" s="12">
        <f>IF(F24="Sand",27.1+0.3*MIN(Input!$G$20*G24,60)-0.00054*MIN(Input!$G$20*G24,60)^2,MIN(MAX(DEGREES(ASIN(0.8-0.094*LN(MAX(IF(M24="",10,M24),5)))),20),30))</f>
        <v/>
      </c>
      <c r="Q24" s="27">
        <f>IF(F24="Sand",Input!$G$21*Input!$G$20*G24,Input!$G$22*O24)</f>
        <v/>
      </c>
      <c r="R24" s="13">
        <f>IF(F24="Sand",Input!$G$26,0.5)</f>
        <v/>
      </c>
      <c r="S24" s="13">
        <f>Input!$G$10/2/E24</f>
        <v/>
      </c>
      <c r="T24" s="13">
        <f>Input!$G$11/2/E24</f>
        <v/>
      </c>
      <c r="U24" s="28">
        <f>1/(4*PI())*(2*S24*T24*SQRT(S24^2+T24^2+1)/(S24^2+T24^2+1+S24^2*T24^2)*(S24^2+T24^2+2)/(S24^2+T24^2+1)+ATAN2(S24^2+T24^2+1-S24^2*T24^2,2*S24*T24*SQRT(S24^2+T24^2+1)))</f>
        <v/>
      </c>
      <c r="V24" s="12">
        <f>4*Input!$G$9*U24</f>
        <v/>
      </c>
      <c r="W24" s="29">
        <f>((Input!$G$11/Input!$G$10)*LN((1+SQRT((Input!$G$11/Input!$G$10)^2+1))*SQRT((Input!$G$11/Input!$G$10)^2+(C24/(Input!$G$10/2))^2)/((Input!$G$11/Input!$G$10)*(1+SQRT((Input!$G$11/Input!$G$10)^2+(C24/(Input!$G$10/2))^2+1))))+LN(((Input!$G$11/Input!$G$10)+SQRT((Input!$G$11/Input!$G$10)^2+1))*SQRT(1+(C24/(Input!$G$10/2))^2)/((Input!$G$11/Input!$G$10)+SQRT((Input!$G$11/Input!$G$10)^2+(C24/(Input!$G$10/2))^2+1))))/PI()</f>
        <v/>
      </c>
      <c r="X24" s="29">
        <f>(C24/(Input!$G$10/2))/(2*PI())*ATAN((Input!$G$11/Input!$G$10)/((C24/(Input!$G$10/2))*SQRT((Input!$G$11/Input!$G$10)^2+(C24/(Input!$G$10/2))^2+1)))</f>
        <v/>
      </c>
      <c r="Y24" s="13">
        <f>MAX(0,C24-MAX(B24,$G$8))/D24*IF(V24&gt;=Input!$G$27*J24,1,0)</f>
        <v/>
      </c>
      <c r="Z24" s="12">
        <f>4*Input!$G$9*(Input!$G$10/2)*(1-R24^2)/Q24*((W24-W23)+(1-2*R24)/(1-R24)*(X24-X23))*1000*Y24</f>
        <v/>
      </c>
      <c r="AA24" s="30">
        <f>IF(F24="Sand",0,0.009*(K24-10))</f>
        <v/>
      </c>
      <c r="AB24" s="30">
        <f>AA24*Input!$G$23</f>
        <v/>
      </c>
      <c r="AC24" s="26">
        <f>IF(F24="Sand",0,MAX(O24/Input!$G$24,J24))</f>
        <v/>
      </c>
      <c r="AD24" s="31">
        <f>IF(F24="Sand",0,1000*D24/(1+N24)*IF(J24+V24&lt;=AC24,AB24*LOG10((J24+V24)/J24),AB24*LOG10(AC24/J24)+AA24*LOG10((J24+V24)/AC24)))*Y24</f>
        <v/>
      </c>
      <c r="AE24" s="32">
        <f>IF(F24="Sand",0,10^(INDEX(Korelasi!$C$5:$C$11,MIN(MATCH(MIN(MAX(K24,30),120),Korelasi!$A$5:$A$11,1),6))+(MIN(MAX(K24,30),120)-INDEX(Korelasi!$A$5:$A$11,MIN(MATCH(MIN(MAX(K24,30),120),Korelasi!$A$5:$A$11,1),6)))/(INDEX(Korelasi!$A$5:$A$11,MIN(MATCH(MIN(MAX(K24,30),120),Korelasi!$A$5:$A$11,1),6)+1)-INDEX(Korelasi!$A$5:$A$11,MIN(MATCH(MIN(MAX(K24,30),120),Korelasi!$A$5:$A$11,1),6)))*(INDEX(Korelasi!$C$5:$C$11,MIN(MATCH(MIN(MAX(K24,30),120),Korelasi!$A$5:$A$11,1),6)+1)-INDEX(Korelasi!$C$5:$C$11,MIN(MATCH(MIN(MAX(K24,30),120),Korelasi!$A$5:$A$11,1),6)))))</f>
        <v/>
      </c>
      <c r="AF24" s="33">
        <f>IF(OR(F24="Sand",Y24=0),0,Input!$G$25*(D24/2)^2/(AE24*1E-4*31536000))</f>
        <v/>
      </c>
      <c r="AG24" s="13">
        <f>MAX(0,MIN(C24,Input!$G$15)-B24)</f>
        <v/>
      </c>
      <c r="AH24" s="13">
        <f>MAX(0,MIN(C24,Input!$G$15)-MAX(B24,$G$8))</f>
        <v/>
      </c>
      <c r="AI24" s="13">
        <f>MAX(0,MIN(C24,$G$106)-B24)</f>
        <v/>
      </c>
      <c r="AJ24" s="34" t="inlineStr"/>
    </row>
    <row r="25">
      <c r="A25" s="20" t="n">
        <v>13</v>
      </c>
      <c r="B25" s="21" t="n">
        <v>18</v>
      </c>
      <c r="C25" s="21" t="n">
        <v>19.5</v>
      </c>
      <c r="D25" s="13">
        <f>C25-B25</f>
        <v/>
      </c>
      <c r="E25" s="13">
        <f>(B25+C25)/2</f>
        <v/>
      </c>
      <c r="F25" s="22" t="inlineStr">
        <is>
          <t>Sand</t>
        </is>
      </c>
      <c r="G25" s="23" t="n">
        <v>22</v>
      </c>
      <c r="H25" s="12">
        <f>IF(E25&gt;$G$5,$G$7,$G$6)</f>
        <v/>
      </c>
      <c r="I25" s="12">
        <f>I24+H25*D25</f>
        <v/>
      </c>
      <c r="J25" s="12">
        <f>I25-H25*D25/2-10*MAX(E25-$G$5,0)</f>
        <v/>
      </c>
      <c r="K25" s="24" t="n"/>
      <c r="L25" s="24" t="n"/>
      <c r="M25" s="12">
        <f>IF(K25="","",K25-L25)</f>
        <v/>
      </c>
      <c r="N25" s="25" t="n">
        <v>0.351</v>
      </c>
      <c r="O25" s="26">
        <f>IF(F25="Sand",0,Input!$G$19*G25)</f>
        <v/>
      </c>
      <c r="P25" s="12">
        <f>IF(F25="Sand",27.1+0.3*MIN(Input!$G$20*G25,60)-0.00054*MIN(Input!$G$20*G25,60)^2,MIN(MAX(DEGREES(ASIN(0.8-0.094*LN(MAX(IF(M25="",10,M25),5)))),20),30))</f>
        <v/>
      </c>
      <c r="Q25" s="27">
        <f>IF(F25="Sand",Input!$G$21*Input!$G$20*G25,Input!$G$22*O25)</f>
        <v/>
      </c>
      <c r="R25" s="13">
        <f>IF(F25="Sand",Input!$G$26,0.5)</f>
        <v/>
      </c>
      <c r="S25" s="13">
        <f>Input!$G$10/2/E25</f>
        <v/>
      </c>
      <c r="T25" s="13">
        <f>Input!$G$11/2/E25</f>
        <v/>
      </c>
      <c r="U25" s="28">
        <f>1/(4*PI())*(2*S25*T25*SQRT(S25^2+T25^2+1)/(S25^2+T25^2+1+S25^2*T25^2)*(S25^2+T25^2+2)/(S25^2+T25^2+1)+ATAN2(S25^2+T25^2+1-S25^2*T25^2,2*S25*T25*SQRT(S25^2+T25^2+1)))</f>
        <v/>
      </c>
      <c r="V25" s="12">
        <f>4*Input!$G$9*U25</f>
        <v/>
      </c>
      <c r="W25" s="29">
        <f>((Input!$G$11/Input!$G$10)*LN((1+SQRT((Input!$G$11/Input!$G$10)^2+1))*SQRT((Input!$G$11/Input!$G$10)^2+(C25/(Input!$G$10/2))^2)/((Input!$G$11/Input!$G$10)*(1+SQRT((Input!$G$11/Input!$G$10)^2+(C25/(Input!$G$10/2))^2+1))))+LN(((Input!$G$11/Input!$G$10)+SQRT((Input!$G$11/Input!$G$10)^2+1))*SQRT(1+(C25/(Input!$G$10/2))^2)/((Input!$G$11/Input!$G$10)+SQRT((Input!$G$11/Input!$G$10)^2+(C25/(Input!$G$10/2))^2+1))))/PI()</f>
        <v/>
      </c>
      <c r="X25" s="29">
        <f>(C25/(Input!$G$10/2))/(2*PI())*ATAN((Input!$G$11/Input!$G$10)/((C25/(Input!$G$10/2))*SQRT((Input!$G$11/Input!$G$10)^2+(C25/(Input!$G$10/2))^2+1)))</f>
        <v/>
      </c>
      <c r="Y25" s="13">
        <f>MAX(0,C25-MAX(B25,$G$8))/D25*IF(V25&gt;=Input!$G$27*J25,1,0)</f>
        <v/>
      </c>
      <c r="Z25" s="12">
        <f>4*Input!$G$9*(Input!$G$10/2)*(1-R25^2)/Q25*((W25-W24)+(1-2*R25)/(1-R25)*(X25-X24))*1000*Y25</f>
        <v/>
      </c>
      <c r="AA25" s="30">
        <f>IF(F25="Sand",0,0.009*(K25-10))</f>
        <v/>
      </c>
      <c r="AB25" s="30">
        <f>AA25*Input!$G$23</f>
        <v/>
      </c>
      <c r="AC25" s="26">
        <f>IF(F25="Sand",0,MAX(O25/Input!$G$24,J25))</f>
        <v/>
      </c>
      <c r="AD25" s="31">
        <f>IF(F25="Sand",0,1000*D25/(1+N25)*IF(J25+V25&lt;=AC25,AB25*LOG10((J25+V25)/J25),AB25*LOG10(AC25/J25)+AA25*LOG10((J25+V25)/AC25)))*Y25</f>
        <v/>
      </c>
      <c r="AE25" s="32">
        <f>IF(F25="Sand",0,10^(INDEX(Korelasi!$C$5:$C$11,MIN(MATCH(MIN(MAX(K25,30),120),Korelasi!$A$5:$A$11,1),6))+(MIN(MAX(K25,30),120)-INDEX(Korelasi!$A$5:$A$11,MIN(MATCH(MIN(MAX(K25,30),120),Korelasi!$A$5:$A$11,1),6)))/(INDEX(Korelasi!$A$5:$A$11,MIN(MATCH(MIN(MAX(K25,30),120),Korelasi!$A$5:$A$11,1),6)+1)-INDEX(Korelasi!$A$5:$A$11,MIN(MATCH(MIN(MAX(K25,30),120),Korelasi!$A$5:$A$11,1),6)))*(INDEX(Korelasi!$C$5:$C$11,MIN(MATCH(MIN(MAX(K25,30),120),Korelasi!$A$5:$A$11,1),6)+1)-INDEX(Korelasi!$C$5:$C$11,MIN(MATCH(MIN(MAX(K25,30),120),Korelasi!$A$5:$A$11,1),6)))))</f>
        <v/>
      </c>
      <c r="AF25" s="33">
        <f>IF(OR(F25="Sand",Y25=0),0,Input!$G$25*(D25/2)^2/(AE25*1E-4*31536000))</f>
        <v/>
      </c>
      <c r="AG25" s="13">
        <f>MAX(0,MIN(C25,Input!$G$15)-B25)</f>
        <v/>
      </c>
      <c r="AH25" s="13">
        <f>MAX(0,MIN(C25,Input!$G$15)-MAX(B25,$G$8))</f>
        <v/>
      </c>
      <c r="AI25" s="13">
        <f>MAX(0,MIN(C25,$G$106)-B25)</f>
        <v/>
      </c>
      <c r="AJ25" s="34" t="inlineStr"/>
    </row>
    <row r="26">
      <c r="A26" s="20" t="n">
        <v>14</v>
      </c>
      <c r="B26" s="21" t="n">
        <v>19.5</v>
      </c>
      <c r="C26" s="21" t="n">
        <v>21</v>
      </c>
      <c r="D26" s="13">
        <f>C26-B26</f>
        <v/>
      </c>
      <c r="E26" s="13">
        <f>(B26+C26)/2</f>
        <v/>
      </c>
      <c r="F26" s="22" t="inlineStr">
        <is>
          <t>Sand</t>
        </is>
      </c>
      <c r="G26" s="23" t="n">
        <v>24</v>
      </c>
      <c r="H26" s="12">
        <f>IF(E26&gt;$G$5,$G$7,$G$6)</f>
        <v/>
      </c>
      <c r="I26" s="12">
        <f>I25+H26*D26</f>
        <v/>
      </c>
      <c r="J26" s="12">
        <f>I26-H26*D26/2-10*MAX(E26-$G$5,0)</f>
        <v/>
      </c>
      <c r="K26" s="24" t="n"/>
      <c r="L26" s="24" t="n"/>
      <c r="M26" s="12">
        <f>IF(K26="","",K26-L26)</f>
        <v/>
      </c>
      <c r="N26" s="25" t="n">
        <v>0.786</v>
      </c>
      <c r="O26" s="26">
        <f>IF(F26="Sand",0,Input!$G$19*G26)</f>
        <v/>
      </c>
      <c r="P26" s="12">
        <f>IF(F26="Sand",27.1+0.3*MIN(Input!$G$20*G26,60)-0.00054*MIN(Input!$G$20*G26,60)^2,MIN(MAX(DEGREES(ASIN(0.8-0.094*LN(MAX(IF(M26="",10,M26),5)))),20),30))</f>
        <v/>
      </c>
      <c r="Q26" s="27">
        <f>IF(F26="Sand",Input!$G$21*Input!$G$20*G26,Input!$G$22*O26)</f>
        <v/>
      </c>
      <c r="R26" s="13">
        <f>IF(F26="Sand",Input!$G$26,0.5)</f>
        <v/>
      </c>
      <c r="S26" s="13">
        <f>Input!$G$10/2/E26</f>
        <v/>
      </c>
      <c r="T26" s="13">
        <f>Input!$G$11/2/E26</f>
        <v/>
      </c>
      <c r="U26" s="28">
        <f>1/(4*PI())*(2*S26*T26*SQRT(S26^2+T26^2+1)/(S26^2+T26^2+1+S26^2*T26^2)*(S26^2+T26^2+2)/(S26^2+T26^2+1)+ATAN2(S26^2+T26^2+1-S26^2*T26^2,2*S26*T26*SQRT(S26^2+T26^2+1)))</f>
        <v/>
      </c>
      <c r="V26" s="12">
        <f>4*Input!$G$9*U26</f>
        <v/>
      </c>
      <c r="W26" s="29">
        <f>((Input!$G$11/Input!$G$10)*LN((1+SQRT((Input!$G$11/Input!$G$10)^2+1))*SQRT((Input!$G$11/Input!$G$10)^2+(C26/(Input!$G$10/2))^2)/((Input!$G$11/Input!$G$10)*(1+SQRT((Input!$G$11/Input!$G$10)^2+(C26/(Input!$G$10/2))^2+1))))+LN(((Input!$G$11/Input!$G$10)+SQRT((Input!$G$11/Input!$G$10)^2+1))*SQRT(1+(C26/(Input!$G$10/2))^2)/((Input!$G$11/Input!$G$10)+SQRT((Input!$G$11/Input!$G$10)^2+(C26/(Input!$G$10/2))^2+1))))/PI()</f>
        <v/>
      </c>
      <c r="X26" s="29">
        <f>(C26/(Input!$G$10/2))/(2*PI())*ATAN((Input!$G$11/Input!$G$10)/((C26/(Input!$G$10/2))*SQRT((Input!$G$11/Input!$G$10)^2+(C26/(Input!$G$10/2))^2+1)))</f>
        <v/>
      </c>
      <c r="Y26" s="13">
        <f>MAX(0,C26-MAX(B26,$G$8))/D26*IF(V26&gt;=Input!$G$27*J26,1,0)</f>
        <v/>
      </c>
      <c r="Z26" s="12">
        <f>4*Input!$G$9*(Input!$G$10/2)*(1-R26^2)/Q26*((W26-W25)+(1-2*R26)/(1-R26)*(X26-X25))*1000*Y26</f>
        <v/>
      </c>
      <c r="AA26" s="30">
        <f>IF(F26="Sand",0,0.009*(K26-10))</f>
        <v/>
      </c>
      <c r="AB26" s="30">
        <f>AA26*Input!$G$23</f>
        <v/>
      </c>
      <c r="AC26" s="26">
        <f>IF(F26="Sand",0,MAX(O26/Input!$G$24,J26))</f>
        <v/>
      </c>
      <c r="AD26" s="31">
        <f>IF(F26="Sand",0,1000*D26/(1+N26)*IF(J26+V26&lt;=AC26,AB26*LOG10((J26+V26)/J26),AB26*LOG10(AC26/J26)+AA26*LOG10((J26+V26)/AC26)))*Y26</f>
        <v/>
      </c>
      <c r="AE26" s="32">
        <f>IF(F26="Sand",0,10^(INDEX(Korelasi!$C$5:$C$11,MIN(MATCH(MIN(MAX(K26,30),120),Korelasi!$A$5:$A$11,1),6))+(MIN(MAX(K26,30),120)-INDEX(Korelasi!$A$5:$A$11,MIN(MATCH(MIN(MAX(K26,30),120),Korelasi!$A$5:$A$11,1),6)))/(INDEX(Korelasi!$A$5:$A$11,MIN(MATCH(MIN(MAX(K26,30),120),Korelasi!$A$5:$A$11,1),6)+1)-INDEX(Korelasi!$A$5:$A$11,MIN(MATCH(MIN(MAX(K26,30),120),Korelasi!$A$5:$A$11,1),6)))*(INDEX(Korelasi!$C$5:$C$11,MIN(MATCH(MIN(MAX(K26,30),120),Korelasi!$A$5:$A$11,1),6)+1)-INDEX(Korelasi!$C$5:$C$11,MIN(MATCH(MIN(MAX(K26,30),120),Korelasi!$A$5:$A$11,1),6)))))</f>
        <v/>
      </c>
      <c r="AF26" s="33">
        <f>IF(OR(F26="Sand",Y26=0),0,Input!$G$25*(D26/2)^2/(AE26*1E-4*31536000))</f>
        <v/>
      </c>
      <c r="AG26" s="13">
        <f>MAX(0,MIN(C26,Input!$G$15)-B26)</f>
        <v/>
      </c>
      <c r="AH26" s="13">
        <f>MAX(0,MIN(C26,Input!$G$15)-MAX(B26,$G$8))</f>
        <v/>
      </c>
      <c r="AI26" s="13">
        <f>MAX(0,MIN(C26,$G$106)-B26)</f>
        <v/>
      </c>
      <c r="AJ26" s="34" t="inlineStr"/>
    </row>
    <row r="27">
      <c r="A27" s="20" t="n">
        <v>15</v>
      </c>
      <c r="B27" s="21" t="n">
        <v>21</v>
      </c>
      <c r="C27" s="21" t="n">
        <v>22.5</v>
      </c>
      <c r="D27" s="13">
        <f>C27-B27</f>
        <v/>
      </c>
      <c r="E27" s="13">
        <f>(B27+C27)/2</f>
        <v/>
      </c>
      <c r="F27" s="22" t="inlineStr">
        <is>
          <t>Clay</t>
        </is>
      </c>
      <c r="G27" s="23" t="n">
        <v>38</v>
      </c>
      <c r="H27" s="12">
        <f>IF(E27&gt;$G$5,$G$7,$G$6)</f>
        <v/>
      </c>
      <c r="I27" s="12">
        <f>I26+H27*D27</f>
        <v/>
      </c>
      <c r="J27" s="12">
        <f>I27-H27*D27/2-10*MAX(E27-$G$5,0)</f>
        <v/>
      </c>
      <c r="K27" s="24" t="n">
        <v>32.8</v>
      </c>
      <c r="L27" s="24" t="n">
        <v>20.032</v>
      </c>
      <c r="M27" s="12">
        <f>IF(K27="","",K27-L27)</f>
        <v/>
      </c>
      <c r="N27" s="25" t="n">
        <v>0.801</v>
      </c>
      <c r="O27" s="26">
        <f>IF(F27="Sand",0,Input!$G$19*G27)</f>
        <v/>
      </c>
      <c r="P27" s="12">
        <f>IF(F27="Sand",27.1+0.3*MIN(Input!$G$20*G27,60)-0.00054*MIN(Input!$G$20*G27,60)^2,MIN(MAX(DEGREES(ASIN(0.8-0.094*LN(MAX(IF(M27="",10,M27),5)))),20),30))</f>
        <v/>
      </c>
      <c r="Q27" s="27">
        <f>IF(F27="Sand",Input!$G$21*Input!$G$20*G27,Input!$G$22*O27)</f>
        <v/>
      </c>
      <c r="R27" s="13">
        <f>IF(F27="Sand",Input!$G$26,0.5)</f>
        <v/>
      </c>
      <c r="S27" s="13">
        <f>Input!$G$10/2/E27</f>
        <v/>
      </c>
      <c r="T27" s="13">
        <f>Input!$G$11/2/E27</f>
        <v/>
      </c>
      <c r="U27" s="28">
        <f>1/(4*PI())*(2*S27*T27*SQRT(S27^2+T27^2+1)/(S27^2+T27^2+1+S27^2*T27^2)*(S27^2+T27^2+2)/(S27^2+T27^2+1)+ATAN2(S27^2+T27^2+1-S27^2*T27^2,2*S27*T27*SQRT(S27^2+T27^2+1)))</f>
        <v/>
      </c>
      <c r="V27" s="12">
        <f>4*Input!$G$9*U27</f>
        <v/>
      </c>
      <c r="W27" s="29">
        <f>((Input!$G$11/Input!$G$10)*LN((1+SQRT((Input!$G$11/Input!$G$10)^2+1))*SQRT((Input!$G$11/Input!$G$10)^2+(C27/(Input!$G$10/2))^2)/((Input!$G$11/Input!$G$10)*(1+SQRT((Input!$G$11/Input!$G$10)^2+(C27/(Input!$G$10/2))^2+1))))+LN(((Input!$G$11/Input!$G$10)+SQRT((Input!$G$11/Input!$G$10)^2+1))*SQRT(1+(C27/(Input!$G$10/2))^2)/((Input!$G$11/Input!$G$10)+SQRT((Input!$G$11/Input!$G$10)^2+(C27/(Input!$G$10/2))^2+1))))/PI()</f>
        <v/>
      </c>
      <c r="X27" s="29">
        <f>(C27/(Input!$G$10/2))/(2*PI())*ATAN((Input!$G$11/Input!$G$10)/((C27/(Input!$G$10/2))*SQRT((Input!$G$11/Input!$G$10)^2+(C27/(Input!$G$10/2))^2+1)))</f>
        <v/>
      </c>
      <c r="Y27" s="13">
        <f>MAX(0,C27-MAX(B27,$G$8))/D27*IF(V27&gt;=Input!$G$27*J27,1,0)</f>
        <v/>
      </c>
      <c r="Z27" s="12">
        <f>4*Input!$G$9*(Input!$G$10/2)*(1-R27^2)/Q27*((W27-W26)+(1-2*R27)/(1-R27)*(X27-X26))*1000*Y27</f>
        <v/>
      </c>
      <c r="AA27" s="30">
        <f>IF(F27="Sand",0,0.009*(K27-10))</f>
        <v/>
      </c>
      <c r="AB27" s="30">
        <f>AA27*Input!$G$23</f>
        <v/>
      </c>
      <c r="AC27" s="26">
        <f>IF(F27="Sand",0,MAX(O27/Input!$G$24,J27))</f>
        <v/>
      </c>
      <c r="AD27" s="31">
        <f>IF(F27="Sand",0,1000*D27/(1+N27)*IF(J27+V27&lt;=AC27,AB27*LOG10((J27+V27)/J27),AB27*LOG10(AC27/J27)+AA27*LOG10((J27+V27)/AC27)))*Y27</f>
        <v/>
      </c>
      <c r="AE27" s="32">
        <f>IF(F27="Sand",0,10^(INDEX(Korelasi!$C$5:$C$11,MIN(MATCH(MIN(MAX(K27,30),120),Korelasi!$A$5:$A$11,1),6))+(MIN(MAX(K27,30),120)-INDEX(Korelasi!$A$5:$A$11,MIN(MATCH(MIN(MAX(K27,30),120),Korelasi!$A$5:$A$11,1),6)))/(INDEX(Korelasi!$A$5:$A$11,MIN(MATCH(MIN(MAX(K27,30),120),Korelasi!$A$5:$A$11,1),6)+1)-INDEX(Korelasi!$A$5:$A$11,MIN(MATCH(MIN(MAX(K27,30),120),Korelasi!$A$5:$A$11,1),6)))*(INDEX(Korelasi!$C$5:$C$11,MIN(MATCH(MIN(MAX(K27,30),120),Korelasi!$A$5:$A$11,1),6)+1)-INDEX(Korelasi!$C$5:$C$11,MIN(MATCH(MIN(MAX(K27,30),120),Korelasi!$A$5:$A$11,1),6)))))</f>
        <v/>
      </c>
      <c r="AF27" s="33">
        <f>IF(OR(F27="Sand",Y27=0),0,Input!$G$25*(D27/2)^2/(AE27*1E-4*31536000))</f>
        <v/>
      </c>
      <c r="AG27" s="13">
        <f>MAX(0,MIN(C27,Input!$G$15)-B27)</f>
        <v/>
      </c>
      <c r="AH27" s="13">
        <f>MAX(0,MIN(C27,Input!$G$15)-MAX(B27,$G$8))</f>
        <v/>
      </c>
      <c r="AI27" s="13">
        <f>MAX(0,MIN(C27,$G$106)-B27)</f>
        <v/>
      </c>
      <c r="AJ27" s="34" t="inlineStr">
        <is>
          <t>LL/PL/e0 = rata-rata BH</t>
        </is>
      </c>
    </row>
    <row r="28">
      <c r="A28" s="20" t="n">
        <v>16</v>
      </c>
      <c r="B28" s="21" t="n">
        <v>22.5</v>
      </c>
      <c r="C28" s="21" t="n">
        <v>24</v>
      </c>
      <c r="D28" s="13">
        <f>C28-B28</f>
        <v/>
      </c>
      <c r="E28" s="13">
        <f>(B28+C28)/2</f>
        <v/>
      </c>
      <c r="F28" s="22" t="inlineStr">
        <is>
          <t>Sand</t>
        </is>
      </c>
      <c r="G28" s="23" t="n">
        <v>24</v>
      </c>
      <c r="H28" s="12">
        <f>IF(E28&gt;$G$5,$G$7,$G$6)</f>
        <v/>
      </c>
      <c r="I28" s="12">
        <f>I27+H28*D28</f>
        <v/>
      </c>
      <c r="J28" s="12">
        <f>I28-H28*D28/2-10*MAX(E28-$G$5,0)</f>
        <v/>
      </c>
      <c r="K28" s="24" t="n"/>
      <c r="L28" s="24" t="n"/>
      <c r="M28" s="12">
        <f>IF(K28="","",K28-L28)</f>
        <v/>
      </c>
      <c r="N28" s="25" t="n">
        <v>0.767</v>
      </c>
      <c r="O28" s="26">
        <f>IF(F28="Sand",0,Input!$G$19*G28)</f>
        <v/>
      </c>
      <c r="P28" s="12">
        <f>IF(F28="Sand",27.1+0.3*MIN(Input!$G$20*G28,60)-0.00054*MIN(Input!$G$20*G28,60)^2,MIN(MAX(DEGREES(ASIN(0.8-0.094*LN(MAX(IF(M28="",10,M28),5)))),20),30))</f>
        <v/>
      </c>
      <c r="Q28" s="27">
        <f>IF(F28="Sand",Input!$G$21*Input!$G$20*G28,Input!$G$22*O28)</f>
        <v/>
      </c>
      <c r="R28" s="13">
        <f>IF(F28="Sand",Input!$G$26,0.5)</f>
        <v/>
      </c>
      <c r="S28" s="13">
        <f>Input!$G$10/2/E28</f>
        <v/>
      </c>
      <c r="T28" s="13">
        <f>Input!$G$11/2/E28</f>
        <v/>
      </c>
      <c r="U28" s="28">
        <f>1/(4*PI())*(2*S28*T28*SQRT(S28^2+T28^2+1)/(S28^2+T28^2+1+S28^2*T28^2)*(S28^2+T28^2+2)/(S28^2+T28^2+1)+ATAN2(S28^2+T28^2+1-S28^2*T28^2,2*S28*T28*SQRT(S28^2+T28^2+1)))</f>
        <v/>
      </c>
      <c r="V28" s="12">
        <f>4*Input!$G$9*U28</f>
        <v/>
      </c>
      <c r="W28" s="29">
        <f>((Input!$G$11/Input!$G$10)*LN((1+SQRT((Input!$G$11/Input!$G$10)^2+1))*SQRT((Input!$G$11/Input!$G$10)^2+(C28/(Input!$G$10/2))^2)/((Input!$G$11/Input!$G$10)*(1+SQRT((Input!$G$11/Input!$G$10)^2+(C28/(Input!$G$10/2))^2+1))))+LN(((Input!$G$11/Input!$G$10)+SQRT((Input!$G$11/Input!$G$10)^2+1))*SQRT(1+(C28/(Input!$G$10/2))^2)/((Input!$G$11/Input!$G$10)+SQRT((Input!$G$11/Input!$G$10)^2+(C28/(Input!$G$10/2))^2+1))))/PI()</f>
        <v/>
      </c>
      <c r="X28" s="29">
        <f>(C28/(Input!$G$10/2))/(2*PI())*ATAN((Input!$G$11/Input!$G$10)/((C28/(Input!$G$10/2))*SQRT((Input!$G$11/Input!$G$10)^2+(C28/(Input!$G$10/2))^2+1)))</f>
        <v/>
      </c>
      <c r="Y28" s="13">
        <f>MAX(0,C28-MAX(B28,$G$8))/D28*IF(V28&gt;=Input!$G$27*J28,1,0)</f>
        <v/>
      </c>
      <c r="Z28" s="12">
        <f>4*Input!$G$9*(Input!$G$10/2)*(1-R28^2)/Q28*((W28-W27)+(1-2*R28)/(1-R28)*(X28-X27))*1000*Y28</f>
        <v/>
      </c>
      <c r="AA28" s="30">
        <f>IF(F28="Sand",0,0.009*(K28-10))</f>
        <v/>
      </c>
      <c r="AB28" s="30">
        <f>AA28*Input!$G$23</f>
        <v/>
      </c>
      <c r="AC28" s="26">
        <f>IF(F28="Sand",0,MAX(O28/Input!$G$24,J28))</f>
        <v/>
      </c>
      <c r="AD28" s="31">
        <f>IF(F28="Sand",0,1000*D28/(1+N28)*IF(J28+V28&lt;=AC28,AB28*LOG10((J28+V28)/J28),AB28*LOG10(AC28/J28)+AA28*LOG10((J28+V28)/AC28)))*Y28</f>
        <v/>
      </c>
      <c r="AE28" s="32">
        <f>IF(F28="Sand",0,10^(INDEX(Korelasi!$C$5:$C$11,MIN(MATCH(MIN(MAX(K28,30),120),Korelasi!$A$5:$A$11,1),6))+(MIN(MAX(K28,30),120)-INDEX(Korelasi!$A$5:$A$11,MIN(MATCH(MIN(MAX(K28,30),120),Korelasi!$A$5:$A$11,1),6)))/(INDEX(Korelasi!$A$5:$A$11,MIN(MATCH(MIN(MAX(K28,30),120),Korelasi!$A$5:$A$11,1),6)+1)-INDEX(Korelasi!$A$5:$A$11,MIN(MATCH(MIN(MAX(K28,30),120),Korelasi!$A$5:$A$11,1),6)))*(INDEX(Korelasi!$C$5:$C$11,MIN(MATCH(MIN(MAX(K28,30),120),Korelasi!$A$5:$A$11,1),6)+1)-INDEX(Korelasi!$C$5:$C$11,MIN(MATCH(MIN(MAX(K28,30),120),Korelasi!$A$5:$A$11,1),6)))))</f>
        <v/>
      </c>
      <c r="AF28" s="33">
        <f>IF(OR(F28="Sand",Y28=0),0,Input!$G$25*(D28/2)^2/(AE28*1E-4*31536000))</f>
        <v/>
      </c>
      <c r="AG28" s="13">
        <f>MAX(0,MIN(C28,Input!$G$15)-B28)</f>
        <v/>
      </c>
      <c r="AH28" s="13">
        <f>MAX(0,MIN(C28,Input!$G$15)-MAX(B28,$G$8))</f>
        <v/>
      </c>
      <c r="AI28" s="13">
        <f>MAX(0,MIN(C28,$G$106)-B28)</f>
        <v/>
      </c>
      <c r="AJ28" s="34" t="inlineStr">
        <is>
          <t>data salinan BH-02</t>
        </is>
      </c>
    </row>
    <row r="29">
      <c r="A29" s="20" t="n">
        <v>17</v>
      </c>
      <c r="B29" s="21" t="n">
        <v>24</v>
      </c>
      <c r="C29" s="21" t="n">
        <v>25.5</v>
      </c>
      <c r="D29" s="13">
        <f>C29-B29</f>
        <v/>
      </c>
      <c r="E29" s="13">
        <f>(B29+C29)/2</f>
        <v/>
      </c>
      <c r="F29" s="22" t="inlineStr">
        <is>
          <t>Sand</t>
        </is>
      </c>
      <c r="G29" s="23" t="n">
        <v>44</v>
      </c>
      <c r="H29" s="12">
        <f>IF(E29&gt;$G$5,$G$7,$G$6)</f>
        <v/>
      </c>
      <c r="I29" s="12">
        <f>I28+H29*D29</f>
        <v/>
      </c>
      <c r="J29" s="12">
        <f>I29-H29*D29/2-10*MAX(E29-$G$5,0)</f>
        <v/>
      </c>
      <c r="K29" s="24" t="n"/>
      <c r="L29" s="24" t="n"/>
      <c r="M29" s="12">
        <f>IF(K29="","",K29-L29)</f>
        <v/>
      </c>
      <c r="N29" s="25" t="n">
        <v>0.65</v>
      </c>
      <c r="O29" s="26">
        <f>IF(F29="Sand",0,Input!$G$19*G29)</f>
        <v/>
      </c>
      <c r="P29" s="12">
        <f>IF(F29="Sand",27.1+0.3*MIN(Input!$G$20*G29,60)-0.00054*MIN(Input!$G$20*G29,60)^2,MIN(MAX(DEGREES(ASIN(0.8-0.094*LN(MAX(IF(M29="",10,M29),5)))),20),30))</f>
        <v/>
      </c>
      <c r="Q29" s="27">
        <f>IF(F29="Sand",Input!$G$21*Input!$G$20*G29,Input!$G$22*O29)</f>
        <v/>
      </c>
      <c r="R29" s="13">
        <f>IF(F29="Sand",Input!$G$26,0.5)</f>
        <v/>
      </c>
      <c r="S29" s="13">
        <f>Input!$G$10/2/E29</f>
        <v/>
      </c>
      <c r="T29" s="13">
        <f>Input!$G$11/2/E29</f>
        <v/>
      </c>
      <c r="U29" s="28">
        <f>1/(4*PI())*(2*S29*T29*SQRT(S29^2+T29^2+1)/(S29^2+T29^2+1+S29^2*T29^2)*(S29^2+T29^2+2)/(S29^2+T29^2+1)+ATAN2(S29^2+T29^2+1-S29^2*T29^2,2*S29*T29*SQRT(S29^2+T29^2+1)))</f>
        <v/>
      </c>
      <c r="V29" s="12">
        <f>4*Input!$G$9*U29</f>
        <v/>
      </c>
      <c r="W29" s="29">
        <f>((Input!$G$11/Input!$G$10)*LN((1+SQRT((Input!$G$11/Input!$G$10)^2+1))*SQRT((Input!$G$11/Input!$G$10)^2+(C29/(Input!$G$10/2))^2)/((Input!$G$11/Input!$G$10)*(1+SQRT((Input!$G$11/Input!$G$10)^2+(C29/(Input!$G$10/2))^2+1))))+LN(((Input!$G$11/Input!$G$10)+SQRT((Input!$G$11/Input!$G$10)^2+1))*SQRT(1+(C29/(Input!$G$10/2))^2)/((Input!$G$11/Input!$G$10)+SQRT((Input!$G$11/Input!$G$10)^2+(C29/(Input!$G$10/2))^2+1))))/PI()</f>
        <v/>
      </c>
      <c r="X29" s="29">
        <f>(C29/(Input!$G$10/2))/(2*PI())*ATAN((Input!$G$11/Input!$G$10)/((C29/(Input!$G$10/2))*SQRT((Input!$G$11/Input!$G$10)^2+(C29/(Input!$G$10/2))^2+1)))</f>
        <v/>
      </c>
      <c r="Y29" s="13">
        <f>MAX(0,C29-MAX(B29,$G$8))/D29*IF(V29&gt;=Input!$G$27*J29,1,0)</f>
        <v/>
      </c>
      <c r="Z29" s="12">
        <f>4*Input!$G$9*(Input!$G$10/2)*(1-R29^2)/Q29*((W29-W28)+(1-2*R29)/(1-R29)*(X29-X28))*1000*Y29</f>
        <v/>
      </c>
      <c r="AA29" s="30">
        <f>IF(F29="Sand",0,0.009*(K29-10))</f>
        <v/>
      </c>
      <c r="AB29" s="30">
        <f>AA29*Input!$G$23</f>
        <v/>
      </c>
      <c r="AC29" s="26">
        <f>IF(F29="Sand",0,MAX(O29/Input!$G$24,J29))</f>
        <v/>
      </c>
      <c r="AD29" s="31">
        <f>IF(F29="Sand",0,1000*D29/(1+N29)*IF(J29+V29&lt;=AC29,AB29*LOG10((J29+V29)/J29),AB29*LOG10(AC29/J29)+AA29*LOG10((J29+V29)/AC29)))*Y29</f>
        <v/>
      </c>
      <c r="AE29" s="32">
        <f>IF(F29="Sand",0,10^(INDEX(Korelasi!$C$5:$C$11,MIN(MATCH(MIN(MAX(K29,30),120),Korelasi!$A$5:$A$11,1),6))+(MIN(MAX(K29,30),120)-INDEX(Korelasi!$A$5:$A$11,MIN(MATCH(MIN(MAX(K29,30),120),Korelasi!$A$5:$A$11,1),6)))/(INDEX(Korelasi!$A$5:$A$11,MIN(MATCH(MIN(MAX(K29,30),120),Korelasi!$A$5:$A$11,1),6)+1)-INDEX(Korelasi!$A$5:$A$11,MIN(MATCH(MIN(MAX(K29,30),120),Korelasi!$A$5:$A$11,1),6)))*(INDEX(Korelasi!$C$5:$C$11,MIN(MATCH(MIN(MAX(K29,30),120),Korelasi!$A$5:$A$11,1),6)+1)-INDEX(Korelasi!$C$5:$C$11,MIN(MATCH(MIN(MAX(K29,30),120),Korelasi!$A$5:$A$11,1),6)))))</f>
        <v/>
      </c>
      <c r="AF29" s="33">
        <f>IF(OR(F29="Sand",Y29=0),0,Input!$G$25*(D29/2)^2/(AE29*1E-4*31536000))</f>
        <v/>
      </c>
      <c r="AG29" s="13">
        <f>MAX(0,MIN(C29,Input!$G$15)-B29)</f>
        <v/>
      </c>
      <c r="AH29" s="13">
        <f>MAX(0,MIN(C29,Input!$G$15)-MAX(B29,$G$8))</f>
        <v/>
      </c>
      <c r="AI29" s="13">
        <f>MAX(0,MIN(C29,$G$106)-B29)</f>
        <v/>
      </c>
      <c r="AJ29" s="34" t="inlineStr">
        <is>
          <t>data salinan BH-02</t>
        </is>
      </c>
    </row>
    <row r="30">
      <c r="A30" s="20" t="n">
        <v>18</v>
      </c>
      <c r="B30" s="21" t="n">
        <v>25.5</v>
      </c>
      <c r="C30" s="21" t="n">
        <v>27</v>
      </c>
      <c r="D30" s="13">
        <f>C30-B30</f>
        <v/>
      </c>
      <c r="E30" s="13">
        <f>(B30+C30)/2</f>
        <v/>
      </c>
      <c r="F30" s="22" t="inlineStr">
        <is>
          <t>Sand</t>
        </is>
      </c>
      <c r="G30" s="23" t="n">
        <v>21</v>
      </c>
      <c r="H30" s="12">
        <f>IF(E30&gt;$G$5,$G$7,$G$6)</f>
        <v/>
      </c>
      <c r="I30" s="12">
        <f>I29+H30*D30</f>
        <v/>
      </c>
      <c r="J30" s="12">
        <f>I30-H30*D30/2-10*MAX(E30-$G$5,0)</f>
        <v/>
      </c>
      <c r="K30" s="24" t="n"/>
      <c r="L30" s="24" t="n"/>
      <c r="M30" s="12">
        <f>IF(K30="","",K30-L30)</f>
        <v/>
      </c>
      <c r="N30" s="25" t="n">
        <v>0.73</v>
      </c>
      <c r="O30" s="26">
        <f>IF(F30="Sand",0,Input!$G$19*G30)</f>
        <v/>
      </c>
      <c r="P30" s="12">
        <f>IF(F30="Sand",27.1+0.3*MIN(Input!$G$20*G30,60)-0.00054*MIN(Input!$G$20*G30,60)^2,MIN(MAX(DEGREES(ASIN(0.8-0.094*LN(MAX(IF(M30="",10,M30),5)))),20),30))</f>
        <v/>
      </c>
      <c r="Q30" s="27">
        <f>IF(F30="Sand",Input!$G$21*Input!$G$20*G30,Input!$G$22*O30)</f>
        <v/>
      </c>
      <c r="R30" s="13">
        <f>IF(F30="Sand",Input!$G$26,0.5)</f>
        <v/>
      </c>
      <c r="S30" s="13">
        <f>Input!$G$10/2/E30</f>
        <v/>
      </c>
      <c r="T30" s="13">
        <f>Input!$G$11/2/E30</f>
        <v/>
      </c>
      <c r="U30" s="28">
        <f>1/(4*PI())*(2*S30*T30*SQRT(S30^2+T30^2+1)/(S30^2+T30^2+1+S30^2*T30^2)*(S30^2+T30^2+2)/(S30^2+T30^2+1)+ATAN2(S30^2+T30^2+1-S30^2*T30^2,2*S30*T30*SQRT(S30^2+T30^2+1)))</f>
        <v/>
      </c>
      <c r="V30" s="12">
        <f>4*Input!$G$9*U30</f>
        <v/>
      </c>
      <c r="W30" s="29">
        <f>((Input!$G$11/Input!$G$10)*LN((1+SQRT((Input!$G$11/Input!$G$10)^2+1))*SQRT((Input!$G$11/Input!$G$10)^2+(C30/(Input!$G$10/2))^2)/((Input!$G$11/Input!$G$10)*(1+SQRT((Input!$G$11/Input!$G$10)^2+(C30/(Input!$G$10/2))^2+1))))+LN(((Input!$G$11/Input!$G$10)+SQRT((Input!$G$11/Input!$G$10)^2+1))*SQRT(1+(C30/(Input!$G$10/2))^2)/((Input!$G$11/Input!$G$10)+SQRT((Input!$G$11/Input!$G$10)^2+(C30/(Input!$G$10/2))^2+1))))/PI()</f>
        <v/>
      </c>
      <c r="X30" s="29">
        <f>(C30/(Input!$G$10/2))/(2*PI())*ATAN((Input!$G$11/Input!$G$10)/((C30/(Input!$G$10/2))*SQRT((Input!$G$11/Input!$G$10)^2+(C30/(Input!$G$10/2))^2+1)))</f>
        <v/>
      </c>
      <c r="Y30" s="13">
        <f>MAX(0,C30-MAX(B30,$G$8))/D30*IF(V30&gt;=Input!$G$27*J30,1,0)</f>
        <v/>
      </c>
      <c r="Z30" s="12">
        <f>4*Input!$G$9*(Input!$G$10/2)*(1-R30^2)/Q30*((W30-W29)+(1-2*R30)/(1-R30)*(X30-X29))*1000*Y30</f>
        <v/>
      </c>
      <c r="AA30" s="30">
        <f>IF(F30="Sand",0,0.009*(K30-10))</f>
        <v/>
      </c>
      <c r="AB30" s="30">
        <f>AA30*Input!$G$23</f>
        <v/>
      </c>
      <c r="AC30" s="26">
        <f>IF(F30="Sand",0,MAX(O30/Input!$G$24,J30))</f>
        <v/>
      </c>
      <c r="AD30" s="31">
        <f>IF(F30="Sand",0,1000*D30/(1+N30)*IF(J30+V30&lt;=AC30,AB30*LOG10((J30+V30)/J30),AB30*LOG10(AC30/J30)+AA30*LOG10((J30+V30)/AC30)))*Y30</f>
        <v/>
      </c>
      <c r="AE30" s="32">
        <f>IF(F30="Sand",0,10^(INDEX(Korelasi!$C$5:$C$11,MIN(MATCH(MIN(MAX(K30,30),120),Korelasi!$A$5:$A$11,1),6))+(MIN(MAX(K30,30),120)-INDEX(Korelasi!$A$5:$A$11,MIN(MATCH(MIN(MAX(K30,30),120),Korelasi!$A$5:$A$11,1),6)))/(INDEX(Korelasi!$A$5:$A$11,MIN(MATCH(MIN(MAX(K30,30),120),Korelasi!$A$5:$A$11,1),6)+1)-INDEX(Korelasi!$A$5:$A$11,MIN(MATCH(MIN(MAX(K30,30),120),Korelasi!$A$5:$A$11,1),6)))*(INDEX(Korelasi!$C$5:$C$11,MIN(MATCH(MIN(MAX(K30,30),120),Korelasi!$A$5:$A$11,1),6)+1)-INDEX(Korelasi!$C$5:$C$11,MIN(MATCH(MIN(MAX(K30,30),120),Korelasi!$A$5:$A$11,1),6)))))</f>
        <v/>
      </c>
      <c r="AF30" s="33">
        <f>IF(OR(F30="Sand",Y30=0),0,Input!$G$25*(D30/2)^2/(AE30*1E-4*31536000))</f>
        <v/>
      </c>
      <c r="AG30" s="13">
        <f>MAX(0,MIN(C30,Input!$G$15)-B30)</f>
        <v/>
      </c>
      <c r="AH30" s="13">
        <f>MAX(0,MIN(C30,Input!$G$15)-MAX(B30,$G$8))</f>
        <v/>
      </c>
      <c r="AI30" s="13">
        <f>MAX(0,MIN(C30,$G$106)-B30)</f>
        <v/>
      </c>
      <c r="AJ30" s="34" t="inlineStr">
        <is>
          <t>data salinan BH-02</t>
        </is>
      </c>
    </row>
    <row r="31">
      <c r="A31" s="20" t="n">
        <v>19</v>
      </c>
      <c r="B31" s="21" t="n">
        <v>27</v>
      </c>
      <c r="C31" s="21" t="n">
        <v>28.5</v>
      </c>
      <c r="D31" s="13">
        <f>C31-B31</f>
        <v/>
      </c>
      <c r="E31" s="13">
        <f>(B31+C31)/2</f>
        <v/>
      </c>
      <c r="F31" s="22" t="inlineStr">
        <is>
          <t>Sand</t>
        </is>
      </c>
      <c r="G31" s="23" t="n">
        <v>31</v>
      </c>
      <c r="H31" s="12">
        <f>IF(E31&gt;$G$5,$G$7,$G$6)</f>
        <v/>
      </c>
      <c r="I31" s="12">
        <f>I30+H31*D31</f>
        <v/>
      </c>
      <c r="J31" s="12">
        <f>I31-H31*D31/2-10*MAX(E31-$G$5,0)</f>
        <v/>
      </c>
      <c r="K31" s="24" t="n"/>
      <c r="L31" s="24" t="n"/>
      <c r="M31" s="12">
        <f>IF(K31="","",K31-L31)</f>
        <v/>
      </c>
      <c r="N31" s="25" t="n">
        <v>0.65</v>
      </c>
      <c r="O31" s="26">
        <f>IF(F31="Sand",0,Input!$G$19*G31)</f>
        <v/>
      </c>
      <c r="P31" s="12">
        <f>IF(F31="Sand",27.1+0.3*MIN(Input!$G$20*G31,60)-0.00054*MIN(Input!$G$20*G31,60)^2,MIN(MAX(DEGREES(ASIN(0.8-0.094*LN(MAX(IF(M31="",10,M31),5)))),20),30))</f>
        <v/>
      </c>
      <c r="Q31" s="27">
        <f>IF(F31="Sand",Input!$G$21*Input!$G$20*G31,Input!$G$22*O31)</f>
        <v/>
      </c>
      <c r="R31" s="13">
        <f>IF(F31="Sand",Input!$G$26,0.5)</f>
        <v/>
      </c>
      <c r="S31" s="13">
        <f>Input!$G$10/2/E31</f>
        <v/>
      </c>
      <c r="T31" s="13">
        <f>Input!$G$11/2/E31</f>
        <v/>
      </c>
      <c r="U31" s="28">
        <f>1/(4*PI())*(2*S31*T31*SQRT(S31^2+T31^2+1)/(S31^2+T31^2+1+S31^2*T31^2)*(S31^2+T31^2+2)/(S31^2+T31^2+1)+ATAN2(S31^2+T31^2+1-S31^2*T31^2,2*S31*T31*SQRT(S31^2+T31^2+1)))</f>
        <v/>
      </c>
      <c r="V31" s="12">
        <f>4*Input!$G$9*U31</f>
        <v/>
      </c>
      <c r="W31" s="29">
        <f>((Input!$G$11/Input!$G$10)*LN((1+SQRT((Input!$G$11/Input!$G$10)^2+1))*SQRT((Input!$G$11/Input!$G$10)^2+(C31/(Input!$G$10/2))^2)/((Input!$G$11/Input!$G$10)*(1+SQRT((Input!$G$11/Input!$G$10)^2+(C31/(Input!$G$10/2))^2+1))))+LN(((Input!$G$11/Input!$G$10)+SQRT((Input!$G$11/Input!$G$10)^2+1))*SQRT(1+(C31/(Input!$G$10/2))^2)/((Input!$G$11/Input!$G$10)+SQRT((Input!$G$11/Input!$G$10)^2+(C31/(Input!$G$10/2))^2+1))))/PI()</f>
        <v/>
      </c>
      <c r="X31" s="29">
        <f>(C31/(Input!$G$10/2))/(2*PI())*ATAN((Input!$G$11/Input!$G$10)/((C31/(Input!$G$10/2))*SQRT((Input!$G$11/Input!$G$10)^2+(C31/(Input!$G$10/2))^2+1)))</f>
        <v/>
      </c>
      <c r="Y31" s="13">
        <f>MAX(0,C31-MAX(B31,$G$8))/D31*IF(V31&gt;=Input!$G$27*J31,1,0)</f>
        <v/>
      </c>
      <c r="Z31" s="12">
        <f>4*Input!$G$9*(Input!$G$10/2)*(1-R31^2)/Q31*((W31-W30)+(1-2*R31)/(1-R31)*(X31-X30))*1000*Y31</f>
        <v/>
      </c>
      <c r="AA31" s="30">
        <f>IF(F31="Sand",0,0.009*(K31-10))</f>
        <v/>
      </c>
      <c r="AB31" s="30">
        <f>AA31*Input!$G$23</f>
        <v/>
      </c>
      <c r="AC31" s="26">
        <f>IF(F31="Sand",0,MAX(O31/Input!$G$24,J31))</f>
        <v/>
      </c>
      <c r="AD31" s="31">
        <f>IF(F31="Sand",0,1000*D31/(1+N31)*IF(J31+V31&lt;=AC31,AB31*LOG10((J31+V31)/J31),AB31*LOG10(AC31/J31)+AA31*LOG10((J31+V31)/AC31)))*Y31</f>
        <v/>
      </c>
      <c r="AE31" s="32">
        <f>IF(F31="Sand",0,10^(INDEX(Korelasi!$C$5:$C$11,MIN(MATCH(MIN(MAX(K31,30),120),Korelasi!$A$5:$A$11,1),6))+(MIN(MAX(K31,30),120)-INDEX(Korelasi!$A$5:$A$11,MIN(MATCH(MIN(MAX(K31,30),120),Korelasi!$A$5:$A$11,1),6)))/(INDEX(Korelasi!$A$5:$A$11,MIN(MATCH(MIN(MAX(K31,30),120),Korelasi!$A$5:$A$11,1),6)+1)-INDEX(Korelasi!$A$5:$A$11,MIN(MATCH(MIN(MAX(K31,30),120),Korelasi!$A$5:$A$11,1),6)))*(INDEX(Korelasi!$C$5:$C$11,MIN(MATCH(MIN(MAX(K31,30),120),Korelasi!$A$5:$A$11,1),6)+1)-INDEX(Korelasi!$C$5:$C$11,MIN(MATCH(MIN(MAX(K31,30),120),Korelasi!$A$5:$A$11,1),6)))))</f>
        <v/>
      </c>
      <c r="AF31" s="33">
        <f>IF(OR(F31="Sand",Y31=0),0,Input!$G$25*(D31/2)^2/(AE31*1E-4*31536000))</f>
        <v/>
      </c>
      <c r="AG31" s="13">
        <f>MAX(0,MIN(C31,Input!$G$15)-B31)</f>
        <v/>
      </c>
      <c r="AH31" s="13">
        <f>MAX(0,MIN(C31,Input!$G$15)-MAX(B31,$G$8))</f>
        <v/>
      </c>
      <c r="AI31" s="13">
        <f>MAX(0,MIN(C31,$G$106)-B31)</f>
        <v/>
      </c>
      <c r="AJ31" s="34" t="inlineStr">
        <is>
          <t>data salinan BH-02</t>
        </is>
      </c>
    </row>
    <row r="32">
      <c r="A32" s="20" t="n">
        <v>20</v>
      </c>
      <c r="B32" s="21" t="n">
        <v>28.5</v>
      </c>
      <c r="C32" s="21" t="n">
        <v>30</v>
      </c>
      <c r="D32" s="13">
        <f>C32-B32</f>
        <v/>
      </c>
      <c r="E32" s="13">
        <f>(B32+C32)/2</f>
        <v/>
      </c>
      <c r="F32" s="22" t="inlineStr">
        <is>
          <t>Sand</t>
        </is>
      </c>
      <c r="G32" s="23" t="n">
        <v>50</v>
      </c>
      <c r="H32" s="12">
        <f>IF(E32&gt;$G$5,$G$7,$G$6)</f>
        <v/>
      </c>
      <c r="I32" s="12">
        <f>I31+H32*D32</f>
        <v/>
      </c>
      <c r="J32" s="12">
        <f>I32-H32*D32/2-10*MAX(E32-$G$5,0)</f>
        <v/>
      </c>
      <c r="K32" s="24" t="n"/>
      <c r="L32" s="24" t="n"/>
      <c r="M32" s="12">
        <f>IF(K32="","",K32-L32)</f>
        <v/>
      </c>
      <c r="N32" s="25" t="n">
        <v>0.65</v>
      </c>
      <c r="O32" s="26">
        <f>IF(F32="Sand",0,Input!$G$19*G32)</f>
        <v/>
      </c>
      <c r="P32" s="12">
        <f>IF(F32="Sand",27.1+0.3*MIN(Input!$G$20*G32,60)-0.00054*MIN(Input!$G$20*G32,60)^2,MIN(MAX(DEGREES(ASIN(0.8-0.094*LN(MAX(IF(M32="",10,M32),5)))),20),30))</f>
        <v/>
      </c>
      <c r="Q32" s="27">
        <f>IF(F32="Sand",Input!$G$21*Input!$G$20*G32,Input!$G$22*O32)</f>
        <v/>
      </c>
      <c r="R32" s="13">
        <f>IF(F32="Sand",Input!$G$26,0.5)</f>
        <v/>
      </c>
      <c r="S32" s="13">
        <f>Input!$G$10/2/E32</f>
        <v/>
      </c>
      <c r="T32" s="13">
        <f>Input!$G$11/2/E32</f>
        <v/>
      </c>
      <c r="U32" s="28">
        <f>1/(4*PI())*(2*S32*T32*SQRT(S32^2+T32^2+1)/(S32^2+T32^2+1+S32^2*T32^2)*(S32^2+T32^2+2)/(S32^2+T32^2+1)+ATAN2(S32^2+T32^2+1-S32^2*T32^2,2*S32*T32*SQRT(S32^2+T32^2+1)))</f>
        <v/>
      </c>
      <c r="V32" s="12">
        <f>4*Input!$G$9*U32</f>
        <v/>
      </c>
      <c r="W32" s="29">
        <f>((Input!$G$11/Input!$G$10)*LN((1+SQRT((Input!$G$11/Input!$G$10)^2+1))*SQRT((Input!$G$11/Input!$G$10)^2+(C32/(Input!$G$10/2))^2)/((Input!$G$11/Input!$G$10)*(1+SQRT((Input!$G$11/Input!$G$10)^2+(C32/(Input!$G$10/2))^2+1))))+LN(((Input!$G$11/Input!$G$10)+SQRT((Input!$G$11/Input!$G$10)^2+1))*SQRT(1+(C32/(Input!$G$10/2))^2)/((Input!$G$11/Input!$G$10)+SQRT((Input!$G$11/Input!$G$10)^2+(C32/(Input!$G$10/2))^2+1))))/PI()</f>
        <v/>
      </c>
      <c r="X32" s="29">
        <f>(C32/(Input!$G$10/2))/(2*PI())*ATAN((Input!$G$11/Input!$G$10)/((C32/(Input!$G$10/2))*SQRT((Input!$G$11/Input!$G$10)^2+(C32/(Input!$G$10/2))^2+1)))</f>
        <v/>
      </c>
      <c r="Y32" s="13">
        <f>MAX(0,C32-MAX(B32,$G$8))/D32*IF(V32&gt;=Input!$G$27*J32,1,0)</f>
        <v/>
      </c>
      <c r="Z32" s="12">
        <f>4*Input!$G$9*(Input!$G$10/2)*(1-R32^2)/Q32*((W32-W31)+(1-2*R32)/(1-R32)*(X32-X31))*1000*Y32</f>
        <v/>
      </c>
      <c r="AA32" s="30">
        <f>IF(F32="Sand",0,0.009*(K32-10))</f>
        <v/>
      </c>
      <c r="AB32" s="30">
        <f>AA32*Input!$G$23</f>
        <v/>
      </c>
      <c r="AC32" s="26">
        <f>IF(F32="Sand",0,MAX(O32/Input!$G$24,J32))</f>
        <v/>
      </c>
      <c r="AD32" s="31">
        <f>IF(F32="Sand",0,1000*D32/(1+N32)*IF(J32+V32&lt;=AC32,AB32*LOG10((J32+V32)/J32),AB32*LOG10(AC32/J32)+AA32*LOG10((J32+V32)/AC32)))*Y32</f>
        <v/>
      </c>
      <c r="AE32" s="32">
        <f>IF(F32="Sand",0,10^(INDEX(Korelasi!$C$5:$C$11,MIN(MATCH(MIN(MAX(K32,30),120),Korelasi!$A$5:$A$11,1),6))+(MIN(MAX(K32,30),120)-INDEX(Korelasi!$A$5:$A$11,MIN(MATCH(MIN(MAX(K32,30),120),Korelasi!$A$5:$A$11,1),6)))/(INDEX(Korelasi!$A$5:$A$11,MIN(MATCH(MIN(MAX(K32,30),120),Korelasi!$A$5:$A$11,1),6)+1)-INDEX(Korelasi!$A$5:$A$11,MIN(MATCH(MIN(MAX(K32,30),120),Korelasi!$A$5:$A$11,1),6)))*(INDEX(Korelasi!$C$5:$C$11,MIN(MATCH(MIN(MAX(K32,30),120),Korelasi!$A$5:$A$11,1),6)+1)-INDEX(Korelasi!$C$5:$C$11,MIN(MATCH(MIN(MAX(K32,30),120),Korelasi!$A$5:$A$11,1),6)))))</f>
        <v/>
      </c>
      <c r="AF32" s="33">
        <f>IF(OR(F32="Sand",Y32=0),0,Input!$G$25*(D32/2)^2/(AE32*1E-4*31536000))</f>
        <v/>
      </c>
      <c r="AG32" s="13">
        <f>MAX(0,MIN(C32,Input!$G$15)-B32)</f>
        <v/>
      </c>
      <c r="AH32" s="13">
        <f>MAX(0,MIN(C32,Input!$G$15)-MAX(B32,$G$8))</f>
        <v/>
      </c>
      <c r="AI32" s="13">
        <f>MAX(0,MIN(C32,$G$106)-B32)</f>
        <v/>
      </c>
      <c r="AJ32" s="34" t="inlineStr">
        <is>
          <t>data salinan BH-02</t>
        </is>
      </c>
    </row>
    <row r="33">
      <c r="A33" s="20" t="n">
        <v>21</v>
      </c>
      <c r="B33" s="21" t="n">
        <v>30</v>
      </c>
      <c r="C33" s="21" t="n">
        <v>31.5</v>
      </c>
      <c r="D33" s="13">
        <f>C33-B33</f>
        <v/>
      </c>
      <c r="E33" s="13">
        <f>(B33+C33)/2</f>
        <v/>
      </c>
      <c r="F33" s="22" t="inlineStr">
        <is>
          <t>Sand</t>
        </is>
      </c>
      <c r="G33" s="23" t="n">
        <v>40</v>
      </c>
      <c r="H33" s="12">
        <f>IF(E33&gt;$G$5,$G$7,$G$6)</f>
        <v/>
      </c>
      <c r="I33" s="12">
        <f>I32+H33*D33</f>
        <v/>
      </c>
      <c r="J33" s="12">
        <f>I33-H33*D33/2-10*MAX(E33-$G$5,0)</f>
        <v/>
      </c>
      <c r="K33" s="24" t="n"/>
      <c r="L33" s="24" t="n"/>
      <c r="M33" s="12">
        <f>IF(K33="","",K33-L33)</f>
        <v/>
      </c>
      <c r="N33" s="25" t="n">
        <v>0.65</v>
      </c>
      <c r="O33" s="26">
        <f>IF(F33="Sand",0,Input!$G$19*G33)</f>
        <v/>
      </c>
      <c r="P33" s="12">
        <f>IF(F33="Sand",27.1+0.3*MIN(Input!$G$20*G33,60)-0.00054*MIN(Input!$G$20*G33,60)^2,MIN(MAX(DEGREES(ASIN(0.8-0.094*LN(MAX(IF(M33="",10,M33),5)))),20),30))</f>
        <v/>
      </c>
      <c r="Q33" s="27">
        <f>IF(F33="Sand",Input!$G$21*Input!$G$20*G33,Input!$G$22*O33)</f>
        <v/>
      </c>
      <c r="R33" s="13">
        <f>IF(F33="Sand",Input!$G$26,0.5)</f>
        <v/>
      </c>
      <c r="S33" s="13">
        <f>Input!$G$10/2/E33</f>
        <v/>
      </c>
      <c r="T33" s="13">
        <f>Input!$G$11/2/E33</f>
        <v/>
      </c>
      <c r="U33" s="28">
        <f>1/(4*PI())*(2*S33*T33*SQRT(S33^2+T33^2+1)/(S33^2+T33^2+1+S33^2*T33^2)*(S33^2+T33^2+2)/(S33^2+T33^2+1)+ATAN2(S33^2+T33^2+1-S33^2*T33^2,2*S33*T33*SQRT(S33^2+T33^2+1)))</f>
        <v/>
      </c>
      <c r="V33" s="12">
        <f>4*Input!$G$9*U33</f>
        <v/>
      </c>
      <c r="W33" s="29">
        <f>((Input!$G$11/Input!$G$10)*LN((1+SQRT((Input!$G$11/Input!$G$10)^2+1))*SQRT((Input!$G$11/Input!$G$10)^2+(C33/(Input!$G$10/2))^2)/((Input!$G$11/Input!$G$10)*(1+SQRT((Input!$G$11/Input!$G$10)^2+(C33/(Input!$G$10/2))^2+1))))+LN(((Input!$G$11/Input!$G$10)+SQRT((Input!$G$11/Input!$G$10)^2+1))*SQRT(1+(C33/(Input!$G$10/2))^2)/((Input!$G$11/Input!$G$10)+SQRT((Input!$G$11/Input!$G$10)^2+(C33/(Input!$G$10/2))^2+1))))/PI()</f>
        <v/>
      </c>
      <c r="X33" s="29">
        <f>(C33/(Input!$G$10/2))/(2*PI())*ATAN((Input!$G$11/Input!$G$10)/((C33/(Input!$G$10/2))*SQRT((Input!$G$11/Input!$G$10)^2+(C33/(Input!$G$10/2))^2+1)))</f>
        <v/>
      </c>
      <c r="Y33" s="13">
        <f>MAX(0,C33-MAX(B33,$G$8))/D33*IF(V33&gt;=Input!$G$27*J33,1,0)</f>
        <v/>
      </c>
      <c r="Z33" s="12">
        <f>4*Input!$G$9*(Input!$G$10/2)*(1-R33^2)/Q33*((W33-W32)+(1-2*R33)/(1-R33)*(X33-X32))*1000*Y33</f>
        <v/>
      </c>
      <c r="AA33" s="30">
        <f>IF(F33="Sand",0,0.009*(K33-10))</f>
        <v/>
      </c>
      <c r="AB33" s="30">
        <f>AA33*Input!$G$23</f>
        <v/>
      </c>
      <c r="AC33" s="26">
        <f>IF(F33="Sand",0,MAX(O33/Input!$G$24,J33))</f>
        <v/>
      </c>
      <c r="AD33" s="31">
        <f>IF(F33="Sand",0,1000*D33/(1+N33)*IF(J33+V33&lt;=AC33,AB33*LOG10((J33+V33)/J33),AB33*LOG10(AC33/J33)+AA33*LOG10((J33+V33)/AC33)))*Y33</f>
        <v/>
      </c>
      <c r="AE33" s="32">
        <f>IF(F33="Sand",0,10^(INDEX(Korelasi!$C$5:$C$11,MIN(MATCH(MIN(MAX(K33,30),120),Korelasi!$A$5:$A$11,1),6))+(MIN(MAX(K33,30),120)-INDEX(Korelasi!$A$5:$A$11,MIN(MATCH(MIN(MAX(K33,30),120),Korelasi!$A$5:$A$11,1),6)))/(INDEX(Korelasi!$A$5:$A$11,MIN(MATCH(MIN(MAX(K33,30),120),Korelasi!$A$5:$A$11,1),6)+1)-INDEX(Korelasi!$A$5:$A$11,MIN(MATCH(MIN(MAX(K33,30),120),Korelasi!$A$5:$A$11,1),6)))*(INDEX(Korelasi!$C$5:$C$11,MIN(MATCH(MIN(MAX(K33,30),120),Korelasi!$A$5:$A$11,1),6)+1)-INDEX(Korelasi!$C$5:$C$11,MIN(MATCH(MIN(MAX(K33,30),120),Korelasi!$A$5:$A$11,1),6)))))</f>
        <v/>
      </c>
      <c r="AF33" s="33">
        <f>IF(OR(F33="Sand",Y33=0),0,Input!$G$25*(D33/2)^2/(AE33*1E-4*31536000))</f>
        <v/>
      </c>
      <c r="AG33" s="13">
        <f>MAX(0,MIN(C33,Input!$G$15)-B33)</f>
        <v/>
      </c>
      <c r="AH33" s="13">
        <f>MAX(0,MIN(C33,Input!$G$15)-MAX(B33,$G$8))</f>
        <v/>
      </c>
      <c r="AI33" s="13">
        <f>MAX(0,MIN(C33,$G$106)-B33)</f>
        <v/>
      </c>
      <c r="AJ33" s="34" t="inlineStr">
        <is>
          <t>data salinan BH-02</t>
        </is>
      </c>
    </row>
    <row r="34">
      <c r="A34" s="20" t="n">
        <v>22</v>
      </c>
      <c r="B34" s="21" t="n">
        <v>31.5</v>
      </c>
      <c r="C34" s="21" t="n">
        <v>33</v>
      </c>
      <c r="D34" s="13">
        <f>C34-B34</f>
        <v/>
      </c>
      <c r="E34" s="13">
        <f>(B34+C34)/2</f>
        <v/>
      </c>
      <c r="F34" s="22" t="inlineStr">
        <is>
          <t>Sand</t>
        </is>
      </c>
      <c r="G34" s="23" t="n">
        <v>43</v>
      </c>
      <c r="H34" s="12">
        <f>IF(E34&gt;$G$5,$G$7,$G$6)</f>
        <v/>
      </c>
      <c r="I34" s="12">
        <f>I33+H34*D34</f>
        <v/>
      </c>
      <c r="J34" s="12">
        <f>I34-H34*D34/2-10*MAX(E34-$G$5,0)</f>
        <v/>
      </c>
      <c r="K34" s="24" t="n"/>
      <c r="L34" s="24" t="n"/>
      <c r="M34" s="12">
        <f>IF(K34="","",K34-L34)</f>
        <v/>
      </c>
      <c r="N34" s="25" t="n">
        <v>0.65</v>
      </c>
      <c r="O34" s="26">
        <f>IF(F34="Sand",0,Input!$G$19*G34)</f>
        <v/>
      </c>
      <c r="P34" s="12">
        <f>IF(F34="Sand",27.1+0.3*MIN(Input!$G$20*G34,60)-0.00054*MIN(Input!$G$20*G34,60)^2,MIN(MAX(DEGREES(ASIN(0.8-0.094*LN(MAX(IF(M34="",10,M34),5)))),20),30))</f>
        <v/>
      </c>
      <c r="Q34" s="27">
        <f>IF(F34="Sand",Input!$G$21*Input!$G$20*G34,Input!$G$22*O34)</f>
        <v/>
      </c>
      <c r="R34" s="13">
        <f>IF(F34="Sand",Input!$G$26,0.5)</f>
        <v/>
      </c>
      <c r="S34" s="13">
        <f>Input!$G$10/2/E34</f>
        <v/>
      </c>
      <c r="T34" s="13">
        <f>Input!$G$11/2/E34</f>
        <v/>
      </c>
      <c r="U34" s="28">
        <f>1/(4*PI())*(2*S34*T34*SQRT(S34^2+T34^2+1)/(S34^2+T34^2+1+S34^2*T34^2)*(S34^2+T34^2+2)/(S34^2+T34^2+1)+ATAN2(S34^2+T34^2+1-S34^2*T34^2,2*S34*T34*SQRT(S34^2+T34^2+1)))</f>
        <v/>
      </c>
      <c r="V34" s="12">
        <f>4*Input!$G$9*U34</f>
        <v/>
      </c>
      <c r="W34" s="29">
        <f>((Input!$G$11/Input!$G$10)*LN((1+SQRT((Input!$G$11/Input!$G$10)^2+1))*SQRT((Input!$G$11/Input!$G$10)^2+(C34/(Input!$G$10/2))^2)/((Input!$G$11/Input!$G$10)*(1+SQRT((Input!$G$11/Input!$G$10)^2+(C34/(Input!$G$10/2))^2+1))))+LN(((Input!$G$11/Input!$G$10)+SQRT((Input!$G$11/Input!$G$10)^2+1))*SQRT(1+(C34/(Input!$G$10/2))^2)/((Input!$G$11/Input!$G$10)+SQRT((Input!$G$11/Input!$G$10)^2+(C34/(Input!$G$10/2))^2+1))))/PI()</f>
        <v/>
      </c>
      <c r="X34" s="29">
        <f>(C34/(Input!$G$10/2))/(2*PI())*ATAN((Input!$G$11/Input!$G$10)/((C34/(Input!$G$10/2))*SQRT((Input!$G$11/Input!$G$10)^2+(C34/(Input!$G$10/2))^2+1)))</f>
        <v/>
      </c>
      <c r="Y34" s="13">
        <f>MAX(0,C34-MAX(B34,$G$8))/D34*IF(V34&gt;=Input!$G$27*J34,1,0)</f>
        <v/>
      </c>
      <c r="Z34" s="12">
        <f>4*Input!$G$9*(Input!$G$10/2)*(1-R34^2)/Q34*((W34-W33)+(1-2*R34)/(1-R34)*(X34-X33))*1000*Y34</f>
        <v/>
      </c>
      <c r="AA34" s="30">
        <f>IF(F34="Sand",0,0.009*(K34-10))</f>
        <v/>
      </c>
      <c r="AB34" s="30">
        <f>AA34*Input!$G$23</f>
        <v/>
      </c>
      <c r="AC34" s="26">
        <f>IF(F34="Sand",0,MAX(O34/Input!$G$24,J34))</f>
        <v/>
      </c>
      <c r="AD34" s="31">
        <f>IF(F34="Sand",0,1000*D34/(1+N34)*IF(J34+V34&lt;=AC34,AB34*LOG10((J34+V34)/J34),AB34*LOG10(AC34/J34)+AA34*LOG10((J34+V34)/AC34)))*Y34</f>
        <v/>
      </c>
      <c r="AE34" s="32">
        <f>IF(F34="Sand",0,10^(INDEX(Korelasi!$C$5:$C$11,MIN(MATCH(MIN(MAX(K34,30),120),Korelasi!$A$5:$A$11,1),6))+(MIN(MAX(K34,30),120)-INDEX(Korelasi!$A$5:$A$11,MIN(MATCH(MIN(MAX(K34,30),120),Korelasi!$A$5:$A$11,1),6)))/(INDEX(Korelasi!$A$5:$A$11,MIN(MATCH(MIN(MAX(K34,30),120),Korelasi!$A$5:$A$11,1),6)+1)-INDEX(Korelasi!$A$5:$A$11,MIN(MATCH(MIN(MAX(K34,30),120),Korelasi!$A$5:$A$11,1),6)))*(INDEX(Korelasi!$C$5:$C$11,MIN(MATCH(MIN(MAX(K34,30),120),Korelasi!$A$5:$A$11,1),6)+1)-INDEX(Korelasi!$C$5:$C$11,MIN(MATCH(MIN(MAX(K34,30),120),Korelasi!$A$5:$A$11,1),6)))))</f>
        <v/>
      </c>
      <c r="AF34" s="33">
        <f>IF(OR(F34="Sand",Y34=0),0,Input!$G$25*(D34/2)^2/(AE34*1E-4*31536000))</f>
        <v/>
      </c>
      <c r="AG34" s="13">
        <f>MAX(0,MIN(C34,Input!$G$15)-B34)</f>
        <v/>
      </c>
      <c r="AH34" s="13">
        <f>MAX(0,MIN(C34,Input!$G$15)-MAX(B34,$G$8))</f>
        <v/>
      </c>
      <c r="AI34" s="13">
        <f>MAX(0,MIN(C34,$G$106)-B34)</f>
        <v/>
      </c>
      <c r="AJ34" s="34" t="inlineStr">
        <is>
          <t>data salinan BH-02</t>
        </is>
      </c>
    </row>
    <row r="35">
      <c r="A35" s="20" t="n">
        <v>23</v>
      </c>
      <c r="B35" s="21" t="n">
        <v>33</v>
      </c>
      <c r="C35" s="21" t="n">
        <v>34.5</v>
      </c>
      <c r="D35" s="13">
        <f>C35-B35</f>
        <v/>
      </c>
      <c r="E35" s="13">
        <f>(B35+C35)/2</f>
        <v/>
      </c>
      <c r="F35" s="22" t="inlineStr">
        <is>
          <t>Sand</t>
        </is>
      </c>
      <c r="G35" s="23" t="n">
        <v>26</v>
      </c>
      <c r="H35" s="12">
        <f>IF(E35&gt;$G$5,$G$7,$G$6)</f>
        <v/>
      </c>
      <c r="I35" s="12">
        <f>I34+H35*D35</f>
        <v/>
      </c>
      <c r="J35" s="12">
        <f>I35-H35*D35/2-10*MAX(E35-$G$5,0)</f>
        <v/>
      </c>
      <c r="K35" s="24" t="n"/>
      <c r="L35" s="24" t="n"/>
      <c r="M35" s="12">
        <f>IF(K35="","",K35-L35)</f>
        <v/>
      </c>
      <c r="N35" s="25" t="n">
        <v>0.65</v>
      </c>
      <c r="O35" s="26">
        <f>IF(F35="Sand",0,Input!$G$19*G35)</f>
        <v/>
      </c>
      <c r="P35" s="12">
        <f>IF(F35="Sand",27.1+0.3*MIN(Input!$G$20*G35,60)-0.00054*MIN(Input!$G$20*G35,60)^2,MIN(MAX(DEGREES(ASIN(0.8-0.094*LN(MAX(IF(M35="",10,M35),5)))),20),30))</f>
        <v/>
      </c>
      <c r="Q35" s="27">
        <f>IF(F35="Sand",Input!$G$21*Input!$G$20*G35,Input!$G$22*O35)</f>
        <v/>
      </c>
      <c r="R35" s="13">
        <f>IF(F35="Sand",Input!$G$26,0.5)</f>
        <v/>
      </c>
      <c r="S35" s="13">
        <f>Input!$G$10/2/E35</f>
        <v/>
      </c>
      <c r="T35" s="13">
        <f>Input!$G$11/2/E35</f>
        <v/>
      </c>
      <c r="U35" s="28">
        <f>1/(4*PI())*(2*S35*T35*SQRT(S35^2+T35^2+1)/(S35^2+T35^2+1+S35^2*T35^2)*(S35^2+T35^2+2)/(S35^2+T35^2+1)+ATAN2(S35^2+T35^2+1-S35^2*T35^2,2*S35*T35*SQRT(S35^2+T35^2+1)))</f>
        <v/>
      </c>
      <c r="V35" s="12">
        <f>4*Input!$G$9*U35</f>
        <v/>
      </c>
      <c r="W35" s="29">
        <f>((Input!$G$11/Input!$G$10)*LN((1+SQRT((Input!$G$11/Input!$G$10)^2+1))*SQRT((Input!$G$11/Input!$G$10)^2+(C35/(Input!$G$10/2))^2)/((Input!$G$11/Input!$G$10)*(1+SQRT((Input!$G$11/Input!$G$10)^2+(C35/(Input!$G$10/2))^2+1))))+LN(((Input!$G$11/Input!$G$10)+SQRT((Input!$G$11/Input!$G$10)^2+1))*SQRT(1+(C35/(Input!$G$10/2))^2)/((Input!$G$11/Input!$G$10)+SQRT((Input!$G$11/Input!$G$10)^2+(C35/(Input!$G$10/2))^2+1))))/PI()</f>
        <v/>
      </c>
      <c r="X35" s="29">
        <f>(C35/(Input!$G$10/2))/(2*PI())*ATAN((Input!$G$11/Input!$G$10)/((C35/(Input!$G$10/2))*SQRT((Input!$G$11/Input!$G$10)^2+(C35/(Input!$G$10/2))^2+1)))</f>
        <v/>
      </c>
      <c r="Y35" s="13">
        <f>MAX(0,C35-MAX(B35,$G$8))/D35*IF(V35&gt;=Input!$G$27*J35,1,0)</f>
        <v/>
      </c>
      <c r="Z35" s="12">
        <f>4*Input!$G$9*(Input!$G$10/2)*(1-R35^2)/Q35*((W35-W34)+(1-2*R35)/(1-R35)*(X35-X34))*1000*Y35</f>
        <v/>
      </c>
      <c r="AA35" s="30">
        <f>IF(F35="Sand",0,0.009*(K35-10))</f>
        <v/>
      </c>
      <c r="AB35" s="30">
        <f>AA35*Input!$G$23</f>
        <v/>
      </c>
      <c r="AC35" s="26">
        <f>IF(F35="Sand",0,MAX(O35/Input!$G$24,J35))</f>
        <v/>
      </c>
      <c r="AD35" s="31">
        <f>IF(F35="Sand",0,1000*D35/(1+N35)*IF(J35+V35&lt;=AC35,AB35*LOG10((J35+V35)/J35),AB35*LOG10(AC35/J35)+AA35*LOG10((J35+V35)/AC35)))*Y35</f>
        <v/>
      </c>
      <c r="AE35" s="32">
        <f>IF(F35="Sand",0,10^(INDEX(Korelasi!$C$5:$C$11,MIN(MATCH(MIN(MAX(K35,30),120),Korelasi!$A$5:$A$11,1),6))+(MIN(MAX(K35,30),120)-INDEX(Korelasi!$A$5:$A$11,MIN(MATCH(MIN(MAX(K35,30),120),Korelasi!$A$5:$A$11,1),6)))/(INDEX(Korelasi!$A$5:$A$11,MIN(MATCH(MIN(MAX(K35,30),120),Korelasi!$A$5:$A$11,1),6)+1)-INDEX(Korelasi!$A$5:$A$11,MIN(MATCH(MIN(MAX(K35,30),120),Korelasi!$A$5:$A$11,1),6)))*(INDEX(Korelasi!$C$5:$C$11,MIN(MATCH(MIN(MAX(K35,30),120),Korelasi!$A$5:$A$11,1),6)+1)-INDEX(Korelasi!$C$5:$C$11,MIN(MATCH(MIN(MAX(K35,30),120),Korelasi!$A$5:$A$11,1),6)))))</f>
        <v/>
      </c>
      <c r="AF35" s="33">
        <f>IF(OR(F35="Sand",Y35=0),0,Input!$G$25*(D35/2)^2/(AE35*1E-4*31536000))</f>
        <v/>
      </c>
      <c r="AG35" s="13">
        <f>MAX(0,MIN(C35,Input!$G$15)-B35)</f>
        <v/>
      </c>
      <c r="AH35" s="13">
        <f>MAX(0,MIN(C35,Input!$G$15)-MAX(B35,$G$8))</f>
        <v/>
      </c>
      <c r="AI35" s="13">
        <f>MAX(0,MIN(C35,$G$106)-B35)</f>
        <v/>
      </c>
      <c r="AJ35" s="34" t="inlineStr">
        <is>
          <t>data salinan BH-02</t>
        </is>
      </c>
    </row>
    <row r="36">
      <c r="A36" s="20" t="n">
        <v>24</v>
      </c>
      <c r="B36" s="21" t="n">
        <v>34.5</v>
      </c>
      <c r="C36" s="21" t="n">
        <v>36</v>
      </c>
      <c r="D36" s="13">
        <f>C36-B36</f>
        <v/>
      </c>
      <c r="E36" s="13">
        <f>(B36+C36)/2</f>
        <v/>
      </c>
      <c r="F36" s="22" t="inlineStr">
        <is>
          <t>Sand</t>
        </is>
      </c>
      <c r="G36" s="23" t="n">
        <v>53</v>
      </c>
      <c r="H36" s="12">
        <f>IF(E36&gt;$G$5,$G$7,$G$6)</f>
        <v/>
      </c>
      <c r="I36" s="12">
        <f>I35+H36*D36</f>
        <v/>
      </c>
      <c r="J36" s="12">
        <f>I36-H36*D36/2-10*MAX(E36-$G$5,0)</f>
        <v/>
      </c>
      <c r="K36" s="24" t="n"/>
      <c r="L36" s="24" t="n"/>
      <c r="M36" s="12">
        <f>IF(K36="","",K36-L36)</f>
        <v/>
      </c>
      <c r="N36" s="25" t="n">
        <v>0.65</v>
      </c>
      <c r="O36" s="26">
        <f>IF(F36="Sand",0,Input!$G$19*G36)</f>
        <v/>
      </c>
      <c r="P36" s="12">
        <f>IF(F36="Sand",27.1+0.3*MIN(Input!$G$20*G36,60)-0.00054*MIN(Input!$G$20*G36,60)^2,MIN(MAX(DEGREES(ASIN(0.8-0.094*LN(MAX(IF(M36="",10,M36),5)))),20),30))</f>
        <v/>
      </c>
      <c r="Q36" s="27">
        <f>IF(F36="Sand",Input!$G$21*Input!$G$20*G36,Input!$G$22*O36)</f>
        <v/>
      </c>
      <c r="R36" s="13">
        <f>IF(F36="Sand",Input!$G$26,0.5)</f>
        <v/>
      </c>
      <c r="S36" s="13">
        <f>Input!$G$10/2/E36</f>
        <v/>
      </c>
      <c r="T36" s="13">
        <f>Input!$G$11/2/E36</f>
        <v/>
      </c>
      <c r="U36" s="28">
        <f>1/(4*PI())*(2*S36*T36*SQRT(S36^2+T36^2+1)/(S36^2+T36^2+1+S36^2*T36^2)*(S36^2+T36^2+2)/(S36^2+T36^2+1)+ATAN2(S36^2+T36^2+1-S36^2*T36^2,2*S36*T36*SQRT(S36^2+T36^2+1)))</f>
        <v/>
      </c>
      <c r="V36" s="12">
        <f>4*Input!$G$9*U36</f>
        <v/>
      </c>
      <c r="W36" s="29">
        <f>((Input!$G$11/Input!$G$10)*LN((1+SQRT((Input!$G$11/Input!$G$10)^2+1))*SQRT((Input!$G$11/Input!$G$10)^2+(C36/(Input!$G$10/2))^2)/((Input!$G$11/Input!$G$10)*(1+SQRT((Input!$G$11/Input!$G$10)^2+(C36/(Input!$G$10/2))^2+1))))+LN(((Input!$G$11/Input!$G$10)+SQRT((Input!$G$11/Input!$G$10)^2+1))*SQRT(1+(C36/(Input!$G$10/2))^2)/((Input!$G$11/Input!$G$10)+SQRT((Input!$G$11/Input!$G$10)^2+(C36/(Input!$G$10/2))^2+1))))/PI()</f>
        <v/>
      </c>
      <c r="X36" s="29">
        <f>(C36/(Input!$G$10/2))/(2*PI())*ATAN((Input!$G$11/Input!$G$10)/((C36/(Input!$G$10/2))*SQRT((Input!$G$11/Input!$G$10)^2+(C36/(Input!$G$10/2))^2+1)))</f>
        <v/>
      </c>
      <c r="Y36" s="13">
        <f>MAX(0,C36-MAX(B36,$G$8))/D36*IF(V36&gt;=Input!$G$27*J36,1,0)</f>
        <v/>
      </c>
      <c r="Z36" s="12">
        <f>4*Input!$G$9*(Input!$G$10/2)*(1-R36^2)/Q36*((W36-W35)+(1-2*R36)/(1-R36)*(X36-X35))*1000*Y36</f>
        <v/>
      </c>
      <c r="AA36" s="30">
        <f>IF(F36="Sand",0,0.009*(K36-10))</f>
        <v/>
      </c>
      <c r="AB36" s="30">
        <f>AA36*Input!$G$23</f>
        <v/>
      </c>
      <c r="AC36" s="26">
        <f>IF(F36="Sand",0,MAX(O36/Input!$G$24,J36))</f>
        <v/>
      </c>
      <c r="AD36" s="31">
        <f>IF(F36="Sand",0,1000*D36/(1+N36)*IF(J36+V36&lt;=AC36,AB36*LOG10((J36+V36)/J36),AB36*LOG10(AC36/J36)+AA36*LOG10((J36+V36)/AC36)))*Y36</f>
        <v/>
      </c>
      <c r="AE36" s="32">
        <f>IF(F36="Sand",0,10^(INDEX(Korelasi!$C$5:$C$11,MIN(MATCH(MIN(MAX(K36,30),120),Korelasi!$A$5:$A$11,1),6))+(MIN(MAX(K36,30),120)-INDEX(Korelasi!$A$5:$A$11,MIN(MATCH(MIN(MAX(K36,30),120),Korelasi!$A$5:$A$11,1),6)))/(INDEX(Korelasi!$A$5:$A$11,MIN(MATCH(MIN(MAX(K36,30),120),Korelasi!$A$5:$A$11,1),6)+1)-INDEX(Korelasi!$A$5:$A$11,MIN(MATCH(MIN(MAX(K36,30),120),Korelasi!$A$5:$A$11,1),6)))*(INDEX(Korelasi!$C$5:$C$11,MIN(MATCH(MIN(MAX(K36,30),120),Korelasi!$A$5:$A$11,1),6)+1)-INDEX(Korelasi!$C$5:$C$11,MIN(MATCH(MIN(MAX(K36,30),120),Korelasi!$A$5:$A$11,1),6)))))</f>
        <v/>
      </c>
      <c r="AF36" s="33">
        <f>IF(OR(F36="Sand",Y36=0),0,Input!$G$25*(D36/2)^2/(AE36*1E-4*31536000))</f>
        <v/>
      </c>
      <c r="AG36" s="13">
        <f>MAX(0,MIN(C36,Input!$G$15)-B36)</f>
        <v/>
      </c>
      <c r="AH36" s="13">
        <f>MAX(0,MIN(C36,Input!$G$15)-MAX(B36,$G$8))</f>
        <v/>
      </c>
      <c r="AI36" s="13">
        <f>MAX(0,MIN(C36,$G$106)-B36)</f>
        <v/>
      </c>
      <c r="AJ36" s="34" t="inlineStr">
        <is>
          <t>data salinan BH-02</t>
        </is>
      </c>
    </row>
    <row r="37">
      <c r="A37" s="20" t="n">
        <v>25</v>
      </c>
      <c r="B37" s="21" t="n">
        <v>36</v>
      </c>
      <c r="C37" s="21" t="n">
        <v>37.5</v>
      </c>
      <c r="D37" s="13">
        <f>C37-B37</f>
        <v/>
      </c>
      <c r="E37" s="13">
        <f>(B37+C37)/2</f>
        <v/>
      </c>
      <c r="F37" s="22" t="inlineStr">
        <is>
          <t>Sand</t>
        </is>
      </c>
      <c r="G37" s="23" t="n">
        <v>54</v>
      </c>
      <c r="H37" s="12">
        <f>IF(E37&gt;$G$5,$G$7,$G$6)</f>
        <v/>
      </c>
      <c r="I37" s="12">
        <f>I36+H37*D37</f>
        <v/>
      </c>
      <c r="J37" s="12">
        <f>I37-H37*D37/2-10*MAX(E37-$G$5,0)</f>
        <v/>
      </c>
      <c r="K37" s="24" t="n"/>
      <c r="L37" s="24" t="n"/>
      <c r="M37" s="12">
        <f>IF(K37="","",K37-L37)</f>
        <v/>
      </c>
      <c r="N37" s="25" t="n">
        <v>0.65</v>
      </c>
      <c r="O37" s="26">
        <f>IF(F37="Sand",0,Input!$G$19*G37)</f>
        <v/>
      </c>
      <c r="P37" s="12">
        <f>IF(F37="Sand",27.1+0.3*MIN(Input!$G$20*G37,60)-0.00054*MIN(Input!$G$20*G37,60)^2,MIN(MAX(DEGREES(ASIN(0.8-0.094*LN(MAX(IF(M37="",10,M37),5)))),20),30))</f>
        <v/>
      </c>
      <c r="Q37" s="27">
        <f>IF(F37="Sand",Input!$G$21*Input!$G$20*G37,Input!$G$22*O37)</f>
        <v/>
      </c>
      <c r="R37" s="13">
        <f>IF(F37="Sand",Input!$G$26,0.5)</f>
        <v/>
      </c>
      <c r="S37" s="13">
        <f>Input!$G$10/2/E37</f>
        <v/>
      </c>
      <c r="T37" s="13">
        <f>Input!$G$11/2/E37</f>
        <v/>
      </c>
      <c r="U37" s="28">
        <f>1/(4*PI())*(2*S37*T37*SQRT(S37^2+T37^2+1)/(S37^2+T37^2+1+S37^2*T37^2)*(S37^2+T37^2+2)/(S37^2+T37^2+1)+ATAN2(S37^2+T37^2+1-S37^2*T37^2,2*S37*T37*SQRT(S37^2+T37^2+1)))</f>
        <v/>
      </c>
      <c r="V37" s="12">
        <f>4*Input!$G$9*U37</f>
        <v/>
      </c>
      <c r="W37" s="29">
        <f>((Input!$G$11/Input!$G$10)*LN((1+SQRT((Input!$G$11/Input!$G$10)^2+1))*SQRT((Input!$G$11/Input!$G$10)^2+(C37/(Input!$G$10/2))^2)/((Input!$G$11/Input!$G$10)*(1+SQRT((Input!$G$11/Input!$G$10)^2+(C37/(Input!$G$10/2))^2+1))))+LN(((Input!$G$11/Input!$G$10)+SQRT((Input!$G$11/Input!$G$10)^2+1))*SQRT(1+(C37/(Input!$G$10/2))^2)/((Input!$G$11/Input!$G$10)+SQRT((Input!$G$11/Input!$G$10)^2+(C37/(Input!$G$10/2))^2+1))))/PI()</f>
        <v/>
      </c>
      <c r="X37" s="29">
        <f>(C37/(Input!$G$10/2))/(2*PI())*ATAN((Input!$G$11/Input!$G$10)/((C37/(Input!$G$10/2))*SQRT((Input!$G$11/Input!$G$10)^2+(C37/(Input!$G$10/2))^2+1)))</f>
        <v/>
      </c>
      <c r="Y37" s="13">
        <f>MAX(0,C37-MAX(B37,$G$8))/D37*IF(V37&gt;=Input!$G$27*J37,1,0)</f>
        <v/>
      </c>
      <c r="Z37" s="12">
        <f>4*Input!$G$9*(Input!$G$10/2)*(1-R37^2)/Q37*((W37-W36)+(1-2*R37)/(1-R37)*(X37-X36))*1000*Y37</f>
        <v/>
      </c>
      <c r="AA37" s="30">
        <f>IF(F37="Sand",0,0.009*(K37-10))</f>
        <v/>
      </c>
      <c r="AB37" s="30">
        <f>AA37*Input!$G$23</f>
        <v/>
      </c>
      <c r="AC37" s="26">
        <f>IF(F37="Sand",0,MAX(O37/Input!$G$24,J37))</f>
        <v/>
      </c>
      <c r="AD37" s="31">
        <f>IF(F37="Sand",0,1000*D37/(1+N37)*IF(J37+V37&lt;=AC37,AB37*LOG10((J37+V37)/J37),AB37*LOG10(AC37/J37)+AA37*LOG10((J37+V37)/AC37)))*Y37</f>
        <v/>
      </c>
      <c r="AE37" s="32">
        <f>IF(F37="Sand",0,10^(INDEX(Korelasi!$C$5:$C$11,MIN(MATCH(MIN(MAX(K37,30),120),Korelasi!$A$5:$A$11,1),6))+(MIN(MAX(K37,30),120)-INDEX(Korelasi!$A$5:$A$11,MIN(MATCH(MIN(MAX(K37,30),120),Korelasi!$A$5:$A$11,1),6)))/(INDEX(Korelasi!$A$5:$A$11,MIN(MATCH(MIN(MAX(K37,30),120),Korelasi!$A$5:$A$11,1),6)+1)-INDEX(Korelasi!$A$5:$A$11,MIN(MATCH(MIN(MAX(K37,30),120),Korelasi!$A$5:$A$11,1),6)))*(INDEX(Korelasi!$C$5:$C$11,MIN(MATCH(MIN(MAX(K37,30),120),Korelasi!$A$5:$A$11,1),6)+1)-INDEX(Korelasi!$C$5:$C$11,MIN(MATCH(MIN(MAX(K37,30),120),Korelasi!$A$5:$A$11,1),6)))))</f>
        <v/>
      </c>
      <c r="AF37" s="33">
        <f>IF(OR(F37="Sand",Y37=0),0,Input!$G$25*(D37/2)^2/(AE37*1E-4*31536000))</f>
        <v/>
      </c>
      <c r="AG37" s="13">
        <f>MAX(0,MIN(C37,Input!$G$15)-B37)</f>
        <v/>
      </c>
      <c r="AH37" s="13">
        <f>MAX(0,MIN(C37,Input!$G$15)-MAX(B37,$G$8))</f>
        <v/>
      </c>
      <c r="AI37" s="13">
        <f>MAX(0,MIN(C37,$G$106)-B37)</f>
        <v/>
      </c>
      <c r="AJ37" s="34" t="inlineStr">
        <is>
          <t>data salinan BH-02</t>
        </is>
      </c>
    </row>
    <row r="38">
      <c r="A38" s="20" t="n">
        <v>26</v>
      </c>
      <c r="B38" s="21" t="n">
        <v>37.5</v>
      </c>
      <c r="C38" s="21" t="n">
        <v>39</v>
      </c>
      <c r="D38" s="13">
        <f>C38-B38</f>
        <v/>
      </c>
      <c r="E38" s="13">
        <f>(B38+C38)/2</f>
        <v/>
      </c>
      <c r="F38" s="22" t="inlineStr">
        <is>
          <t>Sand</t>
        </is>
      </c>
      <c r="G38" s="23" t="n">
        <v>50</v>
      </c>
      <c r="H38" s="12">
        <f>IF(E38&gt;$G$5,$G$7,$G$6)</f>
        <v/>
      </c>
      <c r="I38" s="12">
        <f>I37+H38*D38</f>
        <v/>
      </c>
      <c r="J38" s="12">
        <f>I38-H38*D38/2-10*MAX(E38-$G$5,0)</f>
        <v/>
      </c>
      <c r="K38" s="24" t="n"/>
      <c r="L38" s="24" t="n"/>
      <c r="M38" s="12">
        <f>IF(K38="","",K38-L38)</f>
        <v/>
      </c>
      <c r="N38" s="25" t="n">
        <v>0.746</v>
      </c>
      <c r="O38" s="26">
        <f>IF(F38="Sand",0,Input!$G$19*G38)</f>
        <v/>
      </c>
      <c r="P38" s="12">
        <f>IF(F38="Sand",27.1+0.3*MIN(Input!$G$20*G38,60)-0.00054*MIN(Input!$G$20*G38,60)^2,MIN(MAX(DEGREES(ASIN(0.8-0.094*LN(MAX(IF(M38="",10,M38),5)))),20),30))</f>
        <v/>
      </c>
      <c r="Q38" s="27">
        <f>IF(F38="Sand",Input!$G$21*Input!$G$20*G38,Input!$G$22*O38)</f>
        <v/>
      </c>
      <c r="R38" s="13">
        <f>IF(F38="Sand",Input!$G$26,0.5)</f>
        <v/>
      </c>
      <c r="S38" s="13">
        <f>Input!$G$10/2/E38</f>
        <v/>
      </c>
      <c r="T38" s="13">
        <f>Input!$G$11/2/E38</f>
        <v/>
      </c>
      <c r="U38" s="28">
        <f>1/(4*PI())*(2*S38*T38*SQRT(S38^2+T38^2+1)/(S38^2+T38^2+1+S38^2*T38^2)*(S38^2+T38^2+2)/(S38^2+T38^2+1)+ATAN2(S38^2+T38^2+1-S38^2*T38^2,2*S38*T38*SQRT(S38^2+T38^2+1)))</f>
        <v/>
      </c>
      <c r="V38" s="12">
        <f>4*Input!$G$9*U38</f>
        <v/>
      </c>
      <c r="W38" s="29">
        <f>((Input!$G$11/Input!$G$10)*LN((1+SQRT((Input!$G$11/Input!$G$10)^2+1))*SQRT((Input!$G$11/Input!$G$10)^2+(C38/(Input!$G$10/2))^2)/((Input!$G$11/Input!$G$10)*(1+SQRT((Input!$G$11/Input!$G$10)^2+(C38/(Input!$G$10/2))^2+1))))+LN(((Input!$G$11/Input!$G$10)+SQRT((Input!$G$11/Input!$G$10)^2+1))*SQRT(1+(C38/(Input!$G$10/2))^2)/((Input!$G$11/Input!$G$10)+SQRT((Input!$G$11/Input!$G$10)^2+(C38/(Input!$G$10/2))^2+1))))/PI()</f>
        <v/>
      </c>
      <c r="X38" s="29">
        <f>(C38/(Input!$G$10/2))/(2*PI())*ATAN((Input!$G$11/Input!$G$10)/((C38/(Input!$G$10/2))*SQRT((Input!$G$11/Input!$G$10)^2+(C38/(Input!$G$10/2))^2+1)))</f>
        <v/>
      </c>
      <c r="Y38" s="13">
        <f>MAX(0,C38-MAX(B38,$G$8))/D38*IF(V38&gt;=Input!$G$27*J38,1,0)</f>
        <v/>
      </c>
      <c r="Z38" s="12">
        <f>4*Input!$G$9*(Input!$G$10/2)*(1-R38^2)/Q38*((W38-W37)+(1-2*R38)/(1-R38)*(X38-X37))*1000*Y38</f>
        <v/>
      </c>
      <c r="AA38" s="30">
        <f>IF(F38="Sand",0,0.009*(K38-10))</f>
        <v/>
      </c>
      <c r="AB38" s="30">
        <f>AA38*Input!$G$23</f>
        <v/>
      </c>
      <c r="AC38" s="26">
        <f>IF(F38="Sand",0,MAX(O38/Input!$G$24,J38))</f>
        <v/>
      </c>
      <c r="AD38" s="31">
        <f>IF(F38="Sand",0,1000*D38/(1+N38)*IF(J38+V38&lt;=AC38,AB38*LOG10((J38+V38)/J38),AB38*LOG10(AC38/J38)+AA38*LOG10((J38+V38)/AC38)))*Y38</f>
        <v/>
      </c>
      <c r="AE38" s="32">
        <f>IF(F38="Sand",0,10^(INDEX(Korelasi!$C$5:$C$11,MIN(MATCH(MIN(MAX(K38,30),120),Korelasi!$A$5:$A$11,1),6))+(MIN(MAX(K38,30),120)-INDEX(Korelasi!$A$5:$A$11,MIN(MATCH(MIN(MAX(K38,30),120),Korelasi!$A$5:$A$11,1),6)))/(INDEX(Korelasi!$A$5:$A$11,MIN(MATCH(MIN(MAX(K38,30),120),Korelasi!$A$5:$A$11,1),6)+1)-INDEX(Korelasi!$A$5:$A$11,MIN(MATCH(MIN(MAX(K38,30),120),Korelasi!$A$5:$A$11,1),6)))*(INDEX(Korelasi!$C$5:$C$11,MIN(MATCH(MIN(MAX(K38,30),120),Korelasi!$A$5:$A$11,1),6)+1)-INDEX(Korelasi!$C$5:$C$11,MIN(MATCH(MIN(MAX(K38,30),120),Korelasi!$A$5:$A$11,1),6)))))</f>
        <v/>
      </c>
      <c r="AF38" s="33">
        <f>IF(OR(F38="Sand",Y38=0),0,Input!$G$25*(D38/2)^2/(AE38*1E-4*31536000))</f>
        <v/>
      </c>
      <c r="AG38" s="13">
        <f>MAX(0,MIN(C38,Input!$G$15)-B38)</f>
        <v/>
      </c>
      <c r="AH38" s="13">
        <f>MAX(0,MIN(C38,Input!$G$15)-MAX(B38,$G$8))</f>
        <v/>
      </c>
      <c r="AI38" s="13">
        <f>MAX(0,MIN(C38,$G$106)-B38)</f>
        <v/>
      </c>
      <c r="AJ38" s="34" t="inlineStr">
        <is>
          <t>data salinan BH-02</t>
        </is>
      </c>
    </row>
    <row r="39">
      <c r="A39" s="20" t="n">
        <v>27</v>
      </c>
      <c r="B39" s="21" t="n">
        <v>39</v>
      </c>
      <c r="C39" s="21" t="n">
        <v>40.5</v>
      </c>
      <c r="D39" s="13">
        <f>C39-B39</f>
        <v/>
      </c>
      <c r="E39" s="13">
        <f>(B39+C39)/2</f>
        <v/>
      </c>
      <c r="F39" s="22" t="inlineStr">
        <is>
          <t>Sand</t>
        </is>
      </c>
      <c r="G39" s="23" t="n">
        <v>50</v>
      </c>
      <c r="H39" s="12">
        <f>IF(E39&gt;$G$5,$G$7,$G$6)</f>
        <v/>
      </c>
      <c r="I39" s="12">
        <f>I38+H39*D39</f>
        <v/>
      </c>
      <c r="J39" s="12">
        <f>I39-H39*D39/2-10*MAX(E39-$G$5,0)</f>
        <v/>
      </c>
      <c r="K39" s="24" t="n"/>
      <c r="L39" s="24" t="n"/>
      <c r="M39" s="12">
        <f>IF(K39="","",K39-L39)</f>
        <v/>
      </c>
      <c r="N39" s="25" t="n">
        <v>0.65</v>
      </c>
      <c r="O39" s="26">
        <f>IF(F39="Sand",0,Input!$G$19*G39)</f>
        <v/>
      </c>
      <c r="P39" s="12">
        <f>IF(F39="Sand",27.1+0.3*MIN(Input!$G$20*G39,60)-0.00054*MIN(Input!$G$20*G39,60)^2,MIN(MAX(DEGREES(ASIN(0.8-0.094*LN(MAX(IF(M39="",10,M39),5)))),20),30))</f>
        <v/>
      </c>
      <c r="Q39" s="27">
        <f>IF(F39="Sand",Input!$G$21*Input!$G$20*G39,Input!$G$22*O39)</f>
        <v/>
      </c>
      <c r="R39" s="13">
        <f>IF(F39="Sand",Input!$G$26,0.5)</f>
        <v/>
      </c>
      <c r="S39" s="13">
        <f>Input!$G$10/2/E39</f>
        <v/>
      </c>
      <c r="T39" s="13">
        <f>Input!$G$11/2/E39</f>
        <v/>
      </c>
      <c r="U39" s="28">
        <f>1/(4*PI())*(2*S39*T39*SQRT(S39^2+T39^2+1)/(S39^2+T39^2+1+S39^2*T39^2)*(S39^2+T39^2+2)/(S39^2+T39^2+1)+ATAN2(S39^2+T39^2+1-S39^2*T39^2,2*S39*T39*SQRT(S39^2+T39^2+1)))</f>
        <v/>
      </c>
      <c r="V39" s="12">
        <f>4*Input!$G$9*U39</f>
        <v/>
      </c>
      <c r="W39" s="29">
        <f>((Input!$G$11/Input!$G$10)*LN((1+SQRT((Input!$G$11/Input!$G$10)^2+1))*SQRT((Input!$G$11/Input!$G$10)^2+(C39/(Input!$G$10/2))^2)/((Input!$G$11/Input!$G$10)*(1+SQRT((Input!$G$11/Input!$G$10)^2+(C39/(Input!$G$10/2))^2+1))))+LN(((Input!$G$11/Input!$G$10)+SQRT((Input!$G$11/Input!$G$10)^2+1))*SQRT(1+(C39/(Input!$G$10/2))^2)/((Input!$G$11/Input!$G$10)+SQRT((Input!$G$11/Input!$G$10)^2+(C39/(Input!$G$10/2))^2+1))))/PI()</f>
        <v/>
      </c>
      <c r="X39" s="29">
        <f>(C39/(Input!$G$10/2))/(2*PI())*ATAN((Input!$G$11/Input!$G$10)/((C39/(Input!$G$10/2))*SQRT((Input!$G$11/Input!$G$10)^2+(C39/(Input!$G$10/2))^2+1)))</f>
        <v/>
      </c>
      <c r="Y39" s="13">
        <f>MAX(0,C39-MAX(B39,$G$8))/D39*IF(V39&gt;=Input!$G$27*J39,1,0)</f>
        <v/>
      </c>
      <c r="Z39" s="12">
        <f>4*Input!$G$9*(Input!$G$10/2)*(1-R39^2)/Q39*((W39-W38)+(1-2*R39)/(1-R39)*(X39-X38))*1000*Y39</f>
        <v/>
      </c>
      <c r="AA39" s="30">
        <f>IF(F39="Sand",0,0.009*(K39-10))</f>
        <v/>
      </c>
      <c r="AB39" s="30">
        <f>AA39*Input!$G$23</f>
        <v/>
      </c>
      <c r="AC39" s="26">
        <f>IF(F39="Sand",0,MAX(O39/Input!$G$24,J39))</f>
        <v/>
      </c>
      <c r="AD39" s="31">
        <f>IF(F39="Sand",0,1000*D39/(1+N39)*IF(J39+V39&lt;=AC39,AB39*LOG10((J39+V39)/J39),AB39*LOG10(AC39/J39)+AA39*LOG10((J39+V39)/AC39)))*Y39</f>
        <v/>
      </c>
      <c r="AE39" s="32">
        <f>IF(F39="Sand",0,10^(INDEX(Korelasi!$C$5:$C$11,MIN(MATCH(MIN(MAX(K39,30),120),Korelasi!$A$5:$A$11,1),6))+(MIN(MAX(K39,30),120)-INDEX(Korelasi!$A$5:$A$11,MIN(MATCH(MIN(MAX(K39,30),120),Korelasi!$A$5:$A$11,1),6)))/(INDEX(Korelasi!$A$5:$A$11,MIN(MATCH(MIN(MAX(K39,30),120),Korelasi!$A$5:$A$11,1),6)+1)-INDEX(Korelasi!$A$5:$A$11,MIN(MATCH(MIN(MAX(K39,30),120),Korelasi!$A$5:$A$11,1),6)))*(INDEX(Korelasi!$C$5:$C$11,MIN(MATCH(MIN(MAX(K39,30),120),Korelasi!$A$5:$A$11,1),6)+1)-INDEX(Korelasi!$C$5:$C$11,MIN(MATCH(MIN(MAX(K39,30),120),Korelasi!$A$5:$A$11,1),6)))))</f>
        <v/>
      </c>
      <c r="AF39" s="33">
        <f>IF(OR(F39="Sand",Y39=0),0,Input!$G$25*(D39/2)^2/(AE39*1E-4*31536000))</f>
        <v/>
      </c>
      <c r="AG39" s="13">
        <f>MAX(0,MIN(C39,Input!$G$15)-B39)</f>
        <v/>
      </c>
      <c r="AH39" s="13">
        <f>MAX(0,MIN(C39,Input!$G$15)-MAX(B39,$G$8))</f>
        <v/>
      </c>
      <c r="AI39" s="13">
        <f>MAX(0,MIN(C39,$G$106)-B39)</f>
        <v/>
      </c>
      <c r="AJ39" s="34" t="inlineStr">
        <is>
          <t>data salinan BH-02</t>
        </is>
      </c>
    </row>
    <row r="40">
      <c r="A40" s="20" t="n">
        <v>28</v>
      </c>
      <c r="B40" s="21" t="n">
        <v>40.5</v>
      </c>
      <c r="C40" s="21" t="n">
        <v>42</v>
      </c>
      <c r="D40" s="13">
        <f>C40-B40</f>
        <v/>
      </c>
      <c r="E40" s="13">
        <f>(B40+C40)/2</f>
        <v/>
      </c>
      <c r="F40" s="22" t="inlineStr">
        <is>
          <t>Sand</t>
        </is>
      </c>
      <c r="G40" s="23" t="n">
        <v>37</v>
      </c>
      <c r="H40" s="12">
        <f>IF(E40&gt;$G$5,$G$7,$G$6)</f>
        <v/>
      </c>
      <c r="I40" s="12">
        <f>I39+H40*D40</f>
        <v/>
      </c>
      <c r="J40" s="12">
        <f>I40-H40*D40/2-10*MAX(E40-$G$5,0)</f>
        <v/>
      </c>
      <c r="K40" s="24" t="n"/>
      <c r="L40" s="24" t="n"/>
      <c r="M40" s="12">
        <f>IF(K40="","",K40-L40)</f>
        <v/>
      </c>
      <c r="N40" s="25" t="n">
        <v>0.793</v>
      </c>
      <c r="O40" s="26">
        <f>IF(F40="Sand",0,Input!$G$19*G40)</f>
        <v/>
      </c>
      <c r="P40" s="12">
        <f>IF(F40="Sand",27.1+0.3*MIN(Input!$G$20*G40,60)-0.00054*MIN(Input!$G$20*G40,60)^2,MIN(MAX(DEGREES(ASIN(0.8-0.094*LN(MAX(IF(M40="",10,M40),5)))),20),30))</f>
        <v/>
      </c>
      <c r="Q40" s="27">
        <f>IF(F40="Sand",Input!$G$21*Input!$G$20*G40,Input!$G$22*O40)</f>
        <v/>
      </c>
      <c r="R40" s="13">
        <f>IF(F40="Sand",Input!$G$26,0.5)</f>
        <v/>
      </c>
      <c r="S40" s="13">
        <f>Input!$G$10/2/E40</f>
        <v/>
      </c>
      <c r="T40" s="13">
        <f>Input!$G$11/2/E40</f>
        <v/>
      </c>
      <c r="U40" s="28">
        <f>1/(4*PI())*(2*S40*T40*SQRT(S40^2+T40^2+1)/(S40^2+T40^2+1+S40^2*T40^2)*(S40^2+T40^2+2)/(S40^2+T40^2+1)+ATAN2(S40^2+T40^2+1-S40^2*T40^2,2*S40*T40*SQRT(S40^2+T40^2+1)))</f>
        <v/>
      </c>
      <c r="V40" s="12">
        <f>4*Input!$G$9*U40</f>
        <v/>
      </c>
      <c r="W40" s="29">
        <f>((Input!$G$11/Input!$G$10)*LN((1+SQRT((Input!$G$11/Input!$G$10)^2+1))*SQRT((Input!$G$11/Input!$G$10)^2+(C40/(Input!$G$10/2))^2)/((Input!$G$11/Input!$G$10)*(1+SQRT((Input!$G$11/Input!$G$10)^2+(C40/(Input!$G$10/2))^2+1))))+LN(((Input!$G$11/Input!$G$10)+SQRT((Input!$G$11/Input!$G$10)^2+1))*SQRT(1+(C40/(Input!$G$10/2))^2)/((Input!$G$11/Input!$G$10)+SQRT((Input!$G$11/Input!$G$10)^2+(C40/(Input!$G$10/2))^2+1))))/PI()</f>
        <v/>
      </c>
      <c r="X40" s="29">
        <f>(C40/(Input!$G$10/2))/(2*PI())*ATAN((Input!$G$11/Input!$G$10)/((C40/(Input!$G$10/2))*SQRT((Input!$G$11/Input!$G$10)^2+(C40/(Input!$G$10/2))^2+1)))</f>
        <v/>
      </c>
      <c r="Y40" s="13">
        <f>MAX(0,C40-MAX(B40,$G$8))/D40*IF(V40&gt;=Input!$G$27*J40,1,0)</f>
        <v/>
      </c>
      <c r="Z40" s="12">
        <f>4*Input!$G$9*(Input!$G$10/2)*(1-R40^2)/Q40*((W40-W39)+(1-2*R40)/(1-R40)*(X40-X39))*1000*Y40</f>
        <v/>
      </c>
      <c r="AA40" s="30">
        <f>IF(F40="Sand",0,0.009*(K40-10))</f>
        <v/>
      </c>
      <c r="AB40" s="30">
        <f>AA40*Input!$G$23</f>
        <v/>
      </c>
      <c r="AC40" s="26">
        <f>IF(F40="Sand",0,MAX(O40/Input!$G$24,J40))</f>
        <v/>
      </c>
      <c r="AD40" s="31">
        <f>IF(F40="Sand",0,1000*D40/(1+N40)*IF(J40+V40&lt;=AC40,AB40*LOG10((J40+V40)/J40),AB40*LOG10(AC40/J40)+AA40*LOG10((J40+V40)/AC40)))*Y40</f>
        <v/>
      </c>
      <c r="AE40" s="32">
        <f>IF(F40="Sand",0,10^(INDEX(Korelasi!$C$5:$C$11,MIN(MATCH(MIN(MAX(K40,30),120),Korelasi!$A$5:$A$11,1),6))+(MIN(MAX(K40,30),120)-INDEX(Korelasi!$A$5:$A$11,MIN(MATCH(MIN(MAX(K40,30),120),Korelasi!$A$5:$A$11,1),6)))/(INDEX(Korelasi!$A$5:$A$11,MIN(MATCH(MIN(MAX(K40,30),120),Korelasi!$A$5:$A$11,1),6)+1)-INDEX(Korelasi!$A$5:$A$11,MIN(MATCH(MIN(MAX(K40,30),120),Korelasi!$A$5:$A$11,1),6)))*(INDEX(Korelasi!$C$5:$C$11,MIN(MATCH(MIN(MAX(K40,30),120),Korelasi!$A$5:$A$11,1),6)+1)-INDEX(Korelasi!$C$5:$C$11,MIN(MATCH(MIN(MAX(K40,30),120),Korelasi!$A$5:$A$11,1),6)))))</f>
        <v/>
      </c>
      <c r="AF40" s="33">
        <f>IF(OR(F40="Sand",Y40=0),0,Input!$G$25*(D40/2)^2/(AE40*1E-4*31536000))</f>
        <v/>
      </c>
      <c r="AG40" s="13">
        <f>MAX(0,MIN(C40,Input!$G$15)-B40)</f>
        <v/>
      </c>
      <c r="AH40" s="13">
        <f>MAX(0,MIN(C40,Input!$G$15)-MAX(B40,$G$8))</f>
        <v/>
      </c>
      <c r="AI40" s="13">
        <f>MAX(0,MIN(C40,$G$106)-B40)</f>
        <v/>
      </c>
      <c r="AJ40" s="34" t="inlineStr">
        <is>
          <t>data salinan BH-02</t>
        </is>
      </c>
    </row>
    <row r="41">
      <c r="A41" s="20" t="n">
        <v>29</v>
      </c>
      <c r="B41" s="21" t="n">
        <v>42</v>
      </c>
      <c r="C41" s="21" t="n">
        <v>43.5</v>
      </c>
      <c r="D41" s="13">
        <f>C41-B41</f>
        <v/>
      </c>
      <c r="E41" s="13">
        <f>(B41+C41)/2</f>
        <v/>
      </c>
      <c r="F41" s="22" t="inlineStr">
        <is>
          <t>Sand</t>
        </is>
      </c>
      <c r="G41" s="23" t="n">
        <v>50</v>
      </c>
      <c r="H41" s="12">
        <f>IF(E41&gt;$G$5,$G$7,$G$6)</f>
        <v/>
      </c>
      <c r="I41" s="12">
        <f>I40+H41*D41</f>
        <v/>
      </c>
      <c r="J41" s="12">
        <f>I41-H41*D41/2-10*MAX(E41-$G$5,0)</f>
        <v/>
      </c>
      <c r="K41" s="24" t="n"/>
      <c r="L41" s="24" t="n"/>
      <c r="M41" s="12">
        <f>IF(K41="","",K41-L41)</f>
        <v/>
      </c>
      <c r="N41" s="25" t="n">
        <v>0.65</v>
      </c>
      <c r="O41" s="26">
        <f>IF(F41="Sand",0,Input!$G$19*G41)</f>
        <v/>
      </c>
      <c r="P41" s="12">
        <f>IF(F41="Sand",27.1+0.3*MIN(Input!$G$20*G41,60)-0.00054*MIN(Input!$G$20*G41,60)^2,MIN(MAX(DEGREES(ASIN(0.8-0.094*LN(MAX(IF(M41="",10,M41),5)))),20),30))</f>
        <v/>
      </c>
      <c r="Q41" s="27">
        <f>IF(F41="Sand",Input!$G$21*Input!$G$20*G41,Input!$G$22*O41)</f>
        <v/>
      </c>
      <c r="R41" s="13">
        <f>IF(F41="Sand",Input!$G$26,0.5)</f>
        <v/>
      </c>
      <c r="S41" s="13">
        <f>Input!$G$10/2/E41</f>
        <v/>
      </c>
      <c r="T41" s="13">
        <f>Input!$G$11/2/E41</f>
        <v/>
      </c>
      <c r="U41" s="28">
        <f>1/(4*PI())*(2*S41*T41*SQRT(S41^2+T41^2+1)/(S41^2+T41^2+1+S41^2*T41^2)*(S41^2+T41^2+2)/(S41^2+T41^2+1)+ATAN2(S41^2+T41^2+1-S41^2*T41^2,2*S41*T41*SQRT(S41^2+T41^2+1)))</f>
        <v/>
      </c>
      <c r="V41" s="12">
        <f>4*Input!$G$9*U41</f>
        <v/>
      </c>
      <c r="W41" s="29">
        <f>((Input!$G$11/Input!$G$10)*LN((1+SQRT((Input!$G$11/Input!$G$10)^2+1))*SQRT((Input!$G$11/Input!$G$10)^2+(C41/(Input!$G$10/2))^2)/((Input!$G$11/Input!$G$10)*(1+SQRT((Input!$G$11/Input!$G$10)^2+(C41/(Input!$G$10/2))^2+1))))+LN(((Input!$G$11/Input!$G$10)+SQRT((Input!$G$11/Input!$G$10)^2+1))*SQRT(1+(C41/(Input!$G$10/2))^2)/((Input!$G$11/Input!$G$10)+SQRT((Input!$G$11/Input!$G$10)^2+(C41/(Input!$G$10/2))^2+1))))/PI()</f>
        <v/>
      </c>
      <c r="X41" s="29">
        <f>(C41/(Input!$G$10/2))/(2*PI())*ATAN((Input!$G$11/Input!$G$10)/((C41/(Input!$G$10/2))*SQRT((Input!$G$11/Input!$G$10)^2+(C41/(Input!$G$10/2))^2+1)))</f>
        <v/>
      </c>
      <c r="Y41" s="13">
        <f>MAX(0,C41-MAX(B41,$G$8))/D41*IF(V41&gt;=Input!$G$27*J41,1,0)</f>
        <v/>
      </c>
      <c r="Z41" s="12">
        <f>4*Input!$G$9*(Input!$G$10/2)*(1-R41^2)/Q41*((W41-W40)+(1-2*R41)/(1-R41)*(X41-X40))*1000*Y41</f>
        <v/>
      </c>
      <c r="AA41" s="30">
        <f>IF(F41="Sand",0,0.009*(K41-10))</f>
        <v/>
      </c>
      <c r="AB41" s="30">
        <f>AA41*Input!$G$23</f>
        <v/>
      </c>
      <c r="AC41" s="26">
        <f>IF(F41="Sand",0,MAX(O41/Input!$G$24,J41))</f>
        <v/>
      </c>
      <c r="AD41" s="31">
        <f>IF(F41="Sand",0,1000*D41/(1+N41)*IF(J41+V41&lt;=AC41,AB41*LOG10((J41+V41)/J41),AB41*LOG10(AC41/J41)+AA41*LOG10((J41+V41)/AC41)))*Y41</f>
        <v/>
      </c>
      <c r="AE41" s="32">
        <f>IF(F41="Sand",0,10^(INDEX(Korelasi!$C$5:$C$11,MIN(MATCH(MIN(MAX(K41,30),120),Korelasi!$A$5:$A$11,1),6))+(MIN(MAX(K41,30),120)-INDEX(Korelasi!$A$5:$A$11,MIN(MATCH(MIN(MAX(K41,30),120),Korelasi!$A$5:$A$11,1),6)))/(INDEX(Korelasi!$A$5:$A$11,MIN(MATCH(MIN(MAX(K41,30),120),Korelasi!$A$5:$A$11,1),6)+1)-INDEX(Korelasi!$A$5:$A$11,MIN(MATCH(MIN(MAX(K41,30),120),Korelasi!$A$5:$A$11,1),6)))*(INDEX(Korelasi!$C$5:$C$11,MIN(MATCH(MIN(MAX(K41,30),120),Korelasi!$A$5:$A$11,1),6)+1)-INDEX(Korelasi!$C$5:$C$11,MIN(MATCH(MIN(MAX(K41,30),120),Korelasi!$A$5:$A$11,1),6)))))</f>
        <v/>
      </c>
      <c r="AF41" s="33">
        <f>IF(OR(F41="Sand",Y41=0),0,Input!$G$25*(D41/2)^2/(AE41*1E-4*31536000))</f>
        <v/>
      </c>
      <c r="AG41" s="13">
        <f>MAX(0,MIN(C41,Input!$G$15)-B41)</f>
        <v/>
      </c>
      <c r="AH41" s="13">
        <f>MAX(0,MIN(C41,Input!$G$15)-MAX(B41,$G$8))</f>
        <v/>
      </c>
      <c r="AI41" s="13">
        <f>MAX(0,MIN(C41,$G$106)-B41)</f>
        <v/>
      </c>
      <c r="AJ41" s="34" t="inlineStr">
        <is>
          <t>data salinan BH-02</t>
        </is>
      </c>
    </row>
    <row r="42">
      <c r="A42" s="20" t="n">
        <v>30</v>
      </c>
      <c r="B42" s="21" t="n">
        <v>43.5</v>
      </c>
      <c r="C42" s="21" t="n">
        <v>45</v>
      </c>
      <c r="D42" s="13">
        <f>C42-B42</f>
        <v/>
      </c>
      <c r="E42" s="13">
        <f>(B42+C42)/2</f>
        <v/>
      </c>
      <c r="F42" s="22" t="inlineStr">
        <is>
          <t>Sand</t>
        </is>
      </c>
      <c r="G42" s="23" t="n">
        <v>50</v>
      </c>
      <c r="H42" s="12">
        <f>IF(E42&gt;$G$5,$G$7,$G$6)</f>
        <v/>
      </c>
      <c r="I42" s="12">
        <f>I41+H42*D42</f>
        <v/>
      </c>
      <c r="J42" s="12">
        <f>I42-H42*D42/2-10*MAX(E42-$G$5,0)</f>
        <v/>
      </c>
      <c r="K42" s="24" t="n"/>
      <c r="L42" s="24" t="n"/>
      <c r="M42" s="12">
        <f>IF(K42="","",K42-L42)</f>
        <v/>
      </c>
      <c r="N42" s="25" t="n">
        <v>0.67</v>
      </c>
      <c r="O42" s="26">
        <f>IF(F42="Sand",0,Input!$G$19*G42)</f>
        <v/>
      </c>
      <c r="P42" s="12">
        <f>IF(F42="Sand",27.1+0.3*MIN(Input!$G$20*G42,60)-0.00054*MIN(Input!$G$20*G42,60)^2,MIN(MAX(DEGREES(ASIN(0.8-0.094*LN(MAX(IF(M42="",10,M42),5)))),20),30))</f>
        <v/>
      </c>
      <c r="Q42" s="27">
        <f>IF(F42="Sand",Input!$G$21*Input!$G$20*G42,Input!$G$22*O42)</f>
        <v/>
      </c>
      <c r="R42" s="13">
        <f>IF(F42="Sand",Input!$G$26,0.5)</f>
        <v/>
      </c>
      <c r="S42" s="13">
        <f>Input!$G$10/2/E42</f>
        <v/>
      </c>
      <c r="T42" s="13">
        <f>Input!$G$11/2/E42</f>
        <v/>
      </c>
      <c r="U42" s="28">
        <f>1/(4*PI())*(2*S42*T42*SQRT(S42^2+T42^2+1)/(S42^2+T42^2+1+S42^2*T42^2)*(S42^2+T42^2+2)/(S42^2+T42^2+1)+ATAN2(S42^2+T42^2+1-S42^2*T42^2,2*S42*T42*SQRT(S42^2+T42^2+1)))</f>
        <v/>
      </c>
      <c r="V42" s="12">
        <f>4*Input!$G$9*U42</f>
        <v/>
      </c>
      <c r="W42" s="29">
        <f>((Input!$G$11/Input!$G$10)*LN((1+SQRT((Input!$G$11/Input!$G$10)^2+1))*SQRT((Input!$G$11/Input!$G$10)^2+(C42/(Input!$G$10/2))^2)/((Input!$G$11/Input!$G$10)*(1+SQRT((Input!$G$11/Input!$G$10)^2+(C42/(Input!$G$10/2))^2+1))))+LN(((Input!$G$11/Input!$G$10)+SQRT((Input!$G$11/Input!$G$10)^2+1))*SQRT(1+(C42/(Input!$G$10/2))^2)/((Input!$G$11/Input!$G$10)+SQRT((Input!$G$11/Input!$G$10)^2+(C42/(Input!$G$10/2))^2+1))))/PI()</f>
        <v/>
      </c>
      <c r="X42" s="29">
        <f>(C42/(Input!$G$10/2))/(2*PI())*ATAN((Input!$G$11/Input!$G$10)/((C42/(Input!$G$10/2))*SQRT((Input!$G$11/Input!$G$10)^2+(C42/(Input!$G$10/2))^2+1)))</f>
        <v/>
      </c>
      <c r="Y42" s="13">
        <f>MAX(0,C42-MAX(B42,$G$8))/D42*IF(V42&gt;=Input!$G$27*J42,1,0)</f>
        <v/>
      </c>
      <c r="Z42" s="12">
        <f>4*Input!$G$9*(Input!$G$10/2)*(1-R42^2)/Q42*((W42-W41)+(1-2*R42)/(1-R42)*(X42-X41))*1000*Y42</f>
        <v/>
      </c>
      <c r="AA42" s="30">
        <f>IF(F42="Sand",0,0.009*(K42-10))</f>
        <v/>
      </c>
      <c r="AB42" s="30">
        <f>AA42*Input!$G$23</f>
        <v/>
      </c>
      <c r="AC42" s="26">
        <f>IF(F42="Sand",0,MAX(O42/Input!$G$24,J42))</f>
        <v/>
      </c>
      <c r="AD42" s="31">
        <f>IF(F42="Sand",0,1000*D42/(1+N42)*IF(J42+V42&lt;=AC42,AB42*LOG10((J42+V42)/J42),AB42*LOG10(AC42/J42)+AA42*LOG10((J42+V42)/AC42)))*Y42</f>
        <v/>
      </c>
      <c r="AE42" s="32">
        <f>IF(F42="Sand",0,10^(INDEX(Korelasi!$C$5:$C$11,MIN(MATCH(MIN(MAX(K42,30),120),Korelasi!$A$5:$A$11,1),6))+(MIN(MAX(K42,30),120)-INDEX(Korelasi!$A$5:$A$11,MIN(MATCH(MIN(MAX(K42,30),120),Korelasi!$A$5:$A$11,1),6)))/(INDEX(Korelasi!$A$5:$A$11,MIN(MATCH(MIN(MAX(K42,30),120),Korelasi!$A$5:$A$11,1),6)+1)-INDEX(Korelasi!$A$5:$A$11,MIN(MATCH(MIN(MAX(K42,30),120),Korelasi!$A$5:$A$11,1),6)))*(INDEX(Korelasi!$C$5:$C$11,MIN(MATCH(MIN(MAX(K42,30),120),Korelasi!$A$5:$A$11,1),6)+1)-INDEX(Korelasi!$C$5:$C$11,MIN(MATCH(MIN(MAX(K42,30),120),Korelasi!$A$5:$A$11,1),6)))))</f>
        <v/>
      </c>
      <c r="AF42" s="33">
        <f>IF(OR(F42="Sand",Y42=0),0,Input!$G$25*(D42/2)^2/(AE42*1E-4*31536000))</f>
        <v/>
      </c>
      <c r="AG42" s="13">
        <f>MAX(0,MIN(C42,Input!$G$15)-B42)</f>
        <v/>
      </c>
      <c r="AH42" s="13">
        <f>MAX(0,MIN(C42,Input!$G$15)-MAX(B42,$G$8))</f>
        <v/>
      </c>
      <c r="AI42" s="13">
        <f>MAX(0,MIN(C42,$G$106)-B42)</f>
        <v/>
      </c>
      <c r="AJ42" s="34" t="inlineStr">
        <is>
          <t>data salinan BH-02</t>
        </is>
      </c>
    </row>
    <row r="43">
      <c r="A43" s="20" t="n">
        <v>31</v>
      </c>
      <c r="B43" s="21" t="n">
        <v>45</v>
      </c>
      <c r="C43" s="21" t="n">
        <v>46.5</v>
      </c>
      <c r="D43" s="13">
        <f>C43-B43</f>
        <v/>
      </c>
      <c r="E43" s="13">
        <f>(B43+C43)/2</f>
        <v/>
      </c>
      <c r="F43" s="22" t="inlineStr">
        <is>
          <t>Sand</t>
        </is>
      </c>
      <c r="G43" s="23" t="n">
        <v>50</v>
      </c>
      <c r="H43" s="12">
        <f>IF(E43&gt;$G$5,$G$7,$G$6)</f>
        <v/>
      </c>
      <c r="I43" s="12">
        <f>I42+H43*D43</f>
        <v/>
      </c>
      <c r="J43" s="12">
        <f>I43-H43*D43/2-10*MAX(E43-$G$5,0)</f>
        <v/>
      </c>
      <c r="K43" s="24" t="n"/>
      <c r="L43" s="24" t="n"/>
      <c r="M43" s="12">
        <f>IF(K43="","",K43-L43)</f>
        <v/>
      </c>
      <c r="N43" s="25" t="n">
        <v>0.65</v>
      </c>
      <c r="O43" s="26">
        <f>IF(F43="Sand",0,Input!$G$19*G43)</f>
        <v/>
      </c>
      <c r="P43" s="12">
        <f>IF(F43="Sand",27.1+0.3*MIN(Input!$G$20*G43,60)-0.00054*MIN(Input!$G$20*G43,60)^2,MIN(MAX(DEGREES(ASIN(0.8-0.094*LN(MAX(IF(M43="",10,M43),5)))),20),30))</f>
        <v/>
      </c>
      <c r="Q43" s="27">
        <f>IF(F43="Sand",Input!$G$21*Input!$G$20*G43,Input!$G$22*O43)</f>
        <v/>
      </c>
      <c r="R43" s="13">
        <f>IF(F43="Sand",Input!$G$26,0.5)</f>
        <v/>
      </c>
      <c r="S43" s="13">
        <f>Input!$G$10/2/E43</f>
        <v/>
      </c>
      <c r="T43" s="13">
        <f>Input!$G$11/2/E43</f>
        <v/>
      </c>
      <c r="U43" s="28">
        <f>1/(4*PI())*(2*S43*T43*SQRT(S43^2+T43^2+1)/(S43^2+T43^2+1+S43^2*T43^2)*(S43^2+T43^2+2)/(S43^2+T43^2+1)+ATAN2(S43^2+T43^2+1-S43^2*T43^2,2*S43*T43*SQRT(S43^2+T43^2+1)))</f>
        <v/>
      </c>
      <c r="V43" s="12">
        <f>4*Input!$G$9*U43</f>
        <v/>
      </c>
      <c r="W43" s="29">
        <f>((Input!$G$11/Input!$G$10)*LN((1+SQRT((Input!$G$11/Input!$G$10)^2+1))*SQRT((Input!$G$11/Input!$G$10)^2+(C43/(Input!$G$10/2))^2)/((Input!$G$11/Input!$G$10)*(1+SQRT((Input!$G$11/Input!$G$10)^2+(C43/(Input!$G$10/2))^2+1))))+LN(((Input!$G$11/Input!$G$10)+SQRT((Input!$G$11/Input!$G$10)^2+1))*SQRT(1+(C43/(Input!$G$10/2))^2)/((Input!$G$11/Input!$G$10)+SQRT((Input!$G$11/Input!$G$10)^2+(C43/(Input!$G$10/2))^2+1))))/PI()</f>
        <v/>
      </c>
      <c r="X43" s="29">
        <f>(C43/(Input!$G$10/2))/(2*PI())*ATAN((Input!$G$11/Input!$G$10)/((C43/(Input!$G$10/2))*SQRT((Input!$G$11/Input!$G$10)^2+(C43/(Input!$G$10/2))^2+1)))</f>
        <v/>
      </c>
      <c r="Y43" s="13">
        <f>MAX(0,C43-MAX(B43,$G$8))/D43*IF(V43&gt;=Input!$G$27*J43,1,0)</f>
        <v/>
      </c>
      <c r="Z43" s="12">
        <f>4*Input!$G$9*(Input!$G$10/2)*(1-R43^2)/Q43*((W43-W42)+(1-2*R43)/(1-R43)*(X43-X42))*1000*Y43</f>
        <v/>
      </c>
      <c r="AA43" s="30">
        <f>IF(F43="Sand",0,0.009*(K43-10))</f>
        <v/>
      </c>
      <c r="AB43" s="30">
        <f>AA43*Input!$G$23</f>
        <v/>
      </c>
      <c r="AC43" s="26">
        <f>IF(F43="Sand",0,MAX(O43/Input!$G$24,J43))</f>
        <v/>
      </c>
      <c r="AD43" s="31">
        <f>IF(F43="Sand",0,1000*D43/(1+N43)*IF(J43+V43&lt;=AC43,AB43*LOG10((J43+V43)/J43),AB43*LOG10(AC43/J43)+AA43*LOG10((J43+V43)/AC43)))*Y43</f>
        <v/>
      </c>
      <c r="AE43" s="32">
        <f>IF(F43="Sand",0,10^(INDEX(Korelasi!$C$5:$C$11,MIN(MATCH(MIN(MAX(K43,30),120),Korelasi!$A$5:$A$11,1),6))+(MIN(MAX(K43,30),120)-INDEX(Korelasi!$A$5:$A$11,MIN(MATCH(MIN(MAX(K43,30),120),Korelasi!$A$5:$A$11,1),6)))/(INDEX(Korelasi!$A$5:$A$11,MIN(MATCH(MIN(MAX(K43,30),120),Korelasi!$A$5:$A$11,1),6)+1)-INDEX(Korelasi!$A$5:$A$11,MIN(MATCH(MIN(MAX(K43,30),120),Korelasi!$A$5:$A$11,1),6)))*(INDEX(Korelasi!$C$5:$C$11,MIN(MATCH(MIN(MAX(K43,30),120),Korelasi!$A$5:$A$11,1),6)+1)-INDEX(Korelasi!$C$5:$C$11,MIN(MATCH(MIN(MAX(K43,30),120),Korelasi!$A$5:$A$11,1),6)))))</f>
        <v/>
      </c>
      <c r="AF43" s="33">
        <f>IF(OR(F43="Sand",Y43=0),0,Input!$G$25*(D43/2)^2/(AE43*1E-4*31536000))</f>
        <v/>
      </c>
      <c r="AG43" s="13">
        <f>MAX(0,MIN(C43,Input!$G$15)-B43)</f>
        <v/>
      </c>
      <c r="AH43" s="13">
        <f>MAX(0,MIN(C43,Input!$G$15)-MAX(B43,$G$8))</f>
        <v/>
      </c>
      <c r="AI43" s="13">
        <f>MAX(0,MIN(C43,$G$106)-B43)</f>
        <v/>
      </c>
      <c r="AJ43" s="34" t="inlineStr">
        <is>
          <t>data salinan BH-02</t>
        </is>
      </c>
    </row>
    <row r="44">
      <c r="A44" s="20" t="n">
        <v>32</v>
      </c>
      <c r="B44" s="21" t="n">
        <v>46.5</v>
      </c>
      <c r="C44" s="21" t="n">
        <v>48</v>
      </c>
      <c r="D44" s="13">
        <f>C44-B44</f>
        <v/>
      </c>
      <c r="E44" s="13">
        <f>(B44+C44)/2</f>
        <v/>
      </c>
      <c r="F44" s="22" t="inlineStr">
        <is>
          <t>Sand</t>
        </is>
      </c>
      <c r="G44" s="23" t="n">
        <v>50</v>
      </c>
      <c r="H44" s="12">
        <f>IF(E44&gt;$G$5,$G$7,$G$6)</f>
        <v/>
      </c>
      <c r="I44" s="12">
        <f>I43+H44*D44</f>
        <v/>
      </c>
      <c r="J44" s="12">
        <f>I44-H44*D44/2-10*MAX(E44-$G$5,0)</f>
        <v/>
      </c>
      <c r="K44" s="24" t="n"/>
      <c r="L44" s="24" t="n"/>
      <c r="M44" s="12">
        <f>IF(K44="","",K44-L44)</f>
        <v/>
      </c>
      <c r="N44" s="25" t="n">
        <v>0.65</v>
      </c>
      <c r="O44" s="26">
        <f>IF(F44="Sand",0,Input!$G$19*G44)</f>
        <v/>
      </c>
      <c r="P44" s="12">
        <f>IF(F44="Sand",27.1+0.3*MIN(Input!$G$20*G44,60)-0.00054*MIN(Input!$G$20*G44,60)^2,MIN(MAX(DEGREES(ASIN(0.8-0.094*LN(MAX(IF(M44="",10,M44),5)))),20),30))</f>
        <v/>
      </c>
      <c r="Q44" s="27">
        <f>IF(F44="Sand",Input!$G$21*Input!$G$20*G44,Input!$G$22*O44)</f>
        <v/>
      </c>
      <c r="R44" s="13">
        <f>IF(F44="Sand",Input!$G$26,0.5)</f>
        <v/>
      </c>
      <c r="S44" s="13">
        <f>Input!$G$10/2/E44</f>
        <v/>
      </c>
      <c r="T44" s="13">
        <f>Input!$G$11/2/E44</f>
        <v/>
      </c>
      <c r="U44" s="28">
        <f>1/(4*PI())*(2*S44*T44*SQRT(S44^2+T44^2+1)/(S44^2+T44^2+1+S44^2*T44^2)*(S44^2+T44^2+2)/(S44^2+T44^2+1)+ATAN2(S44^2+T44^2+1-S44^2*T44^2,2*S44*T44*SQRT(S44^2+T44^2+1)))</f>
        <v/>
      </c>
      <c r="V44" s="12">
        <f>4*Input!$G$9*U44</f>
        <v/>
      </c>
      <c r="W44" s="29">
        <f>((Input!$G$11/Input!$G$10)*LN((1+SQRT((Input!$G$11/Input!$G$10)^2+1))*SQRT((Input!$G$11/Input!$G$10)^2+(C44/(Input!$G$10/2))^2)/((Input!$G$11/Input!$G$10)*(1+SQRT((Input!$G$11/Input!$G$10)^2+(C44/(Input!$G$10/2))^2+1))))+LN(((Input!$G$11/Input!$G$10)+SQRT((Input!$G$11/Input!$G$10)^2+1))*SQRT(1+(C44/(Input!$G$10/2))^2)/((Input!$G$11/Input!$G$10)+SQRT((Input!$G$11/Input!$G$10)^2+(C44/(Input!$G$10/2))^2+1))))/PI()</f>
        <v/>
      </c>
      <c r="X44" s="29">
        <f>(C44/(Input!$G$10/2))/(2*PI())*ATAN((Input!$G$11/Input!$G$10)/((C44/(Input!$G$10/2))*SQRT((Input!$G$11/Input!$G$10)^2+(C44/(Input!$G$10/2))^2+1)))</f>
        <v/>
      </c>
      <c r="Y44" s="13">
        <f>MAX(0,C44-MAX(B44,$G$8))/D44*IF(V44&gt;=Input!$G$27*J44,1,0)</f>
        <v/>
      </c>
      <c r="Z44" s="12">
        <f>4*Input!$G$9*(Input!$G$10/2)*(1-R44^2)/Q44*((W44-W43)+(1-2*R44)/(1-R44)*(X44-X43))*1000*Y44</f>
        <v/>
      </c>
      <c r="AA44" s="30">
        <f>IF(F44="Sand",0,0.009*(K44-10))</f>
        <v/>
      </c>
      <c r="AB44" s="30">
        <f>AA44*Input!$G$23</f>
        <v/>
      </c>
      <c r="AC44" s="26">
        <f>IF(F44="Sand",0,MAX(O44/Input!$G$24,J44))</f>
        <v/>
      </c>
      <c r="AD44" s="31">
        <f>IF(F44="Sand",0,1000*D44/(1+N44)*IF(J44+V44&lt;=AC44,AB44*LOG10((J44+V44)/J44),AB44*LOG10(AC44/J44)+AA44*LOG10((J44+V44)/AC44)))*Y44</f>
        <v/>
      </c>
      <c r="AE44" s="32">
        <f>IF(F44="Sand",0,10^(INDEX(Korelasi!$C$5:$C$11,MIN(MATCH(MIN(MAX(K44,30),120),Korelasi!$A$5:$A$11,1),6))+(MIN(MAX(K44,30),120)-INDEX(Korelasi!$A$5:$A$11,MIN(MATCH(MIN(MAX(K44,30),120),Korelasi!$A$5:$A$11,1),6)))/(INDEX(Korelasi!$A$5:$A$11,MIN(MATCH(MIN(MAX(K44,30),120),Korelasi!$A$5:$A$11,1),6)+1)-INDEX(Korelasi!$A$5:$A$11,MIN(MATCH(MIN(MAX(K44,30),120),Korelasi!$A$5:$A$11,1),6)))*(INDEX(Korelasi!$C$5:$C$11,MIN(MATCH(MIN(MAX(K44,30),120),Korelasi!$A$5:$A$11,1),6)+1)-INDEX(Korelasi!$C$5:$C$11,MIN(MATCH(MIN(MAX(K44,30),120),Korelasi!$A$5:$A$11,1),6)))))</f>
        <v/>
      </c>
      <c r="AF44" s="33">
        <f>IF(OR(F44="Sand",Y44=0),0,Input!$G$25*(D44/2)^2/(AE44*1E-4*31536000))</f>
        <v/>
      </c>
      <c r="AG44" s="13">
        <f>MAX(0,MIN(C44,Input!$G$15)-B44)</f>
        <v/>
      </c>
      <c r="AH44" s="13">
        <f>MAX(0,MIN(C44,Input!$G$15)-MAX(B44,$G$8))</f>
        <v/>
      </c>
      <c r="AI44" s="13">
        <f>MAX(0,MIN(C44,$G$106)-B44)</f>
        <v/>
      </c>
      <c r="AJ44" s="34" t="inlineStr">
        <is>
          <t>data salinan BH-02</t>
        </is>
      </c>
    </row>
    <row r="45">
      <c r="A45" s="20" t="n">
        <v>33</v>
      </c>
      <c r="B45" s="21" t="n">
        <v>48</v>
      </c>
      <c r="C45" s="21" t="n">
        <v>49.5</v>
      </c>
      <c r="D45" s="13">
        <f>C45-B45</f>
        <v/>
      </c>
      <c r="E45" s="13">
        <f>(B45+C45)/2</f>
        <v/>
      </c>
      <c r="F45" s="22" t="inlineStr">
        <is>
          <t>Sand</t>
        </is>
      </c>
      <c r="G45" s="23" t="n">
        <v>27</v>
      </c>
      <c r="H45" s="12">
        <f>IF(E45&gt;$G$5,$G$7,$G$6)</f>
        <v/>
      </c>
      <c r="I45" s="12">
        <f>I44+H45*D45</f>
        <v/>
      </c>
      <c r="J45" s="12">
        <f>I45-H45*D45/2-10*MAX(E45-$G$5,0)</f>
        <v/>
      </c>
      <c r="K45" s="24" t="n"/>
      <c r="L45" s="24" t="n"/>
      <c r="M45" s="12">
        <f>IF(K45="","",K45-L45)</f>
        <v/>
      </c>
      <c r="N45" s="25" t="n">
        <v>0.65</v>
      </c>
      <c r="O45" s="26">
        <f>IF(F45="Sand",0,Input!$G$19*G45)</f>
        <v/>
      </c>
      <c r="P45" s="12">
        <f>IF(F45="Sand",27.1+0.3*MIN(Input!$G$20*G45,60)-0.00054*MIN(Input!$G$20*G45,60)^2,MIN(MAX(DEGREES(ASIN(0.8-0.094*LN(MAX(IF(M45="",10,M45),5)))),20),30))</f>
        <v/>
      </c>
      <c r="Q45" s="27">
        <f>IF(F45="Sand",Input!$G$21*Input!$G$20*G45,Input!$G$22*O45)</f>
        <v/>
      </c>
      <c r="R45" s="13">
        <f>IF(F45="Sand",Input!$G$26,0.5)</f>
        <v/>
      </c>
      <c r="S45" s="13">
        <f>Input!$G$10/2/E45</f>
        <v/>
      </c>
      <c r="T45" s="13">
        <f>Input!$G$11/2/E45</f>
        <v/>
      </c>
      <c r="U45" s="28">
        <f>1/(4*PI())*(2*S45*T45*SQRT(S45^2+T45^2+1)/(S45^2+T45^2+1+S45^2*T45^2)*(S45^2+T45^2+2)/(S45^2+T45^2+1)+ATAN2(S45^2+T45^2+1-S45^2*T45^2,2*S45*T45*SQRT(S45^2+T45^2+1)))</f>
        <v/>
      </c>
      <c r="V45" s="12">
        <f>4*Input!$G$9*U45</f>
        <v/>
      </c>
      <c r="W45" s="29">
        <f>((Input!$G$11/Input!$G$10)*LN((1+SQRT((Input!$G$11/Input!$G$10)^2+1))*SQRT((Input!$G$11/Input!$G$10)^2+(C45/(Input!$G$10/2))^2)/((Input!$G$11/Input!$G$10)*(1+SQRT((Input!$G$11/Input!$G$10)^2+(C45/(Input!$G$10/2))^2+1))))+LN(((Input!$G$11/Input!$G$10)+SQRT((Input!$G$11/Input!$G$10)^2+1))*SQRT(1+(C45/(Input!$G$10/2))^2)/((Input!$G$11/Input!$G$10)+SQRT((Input!$G$11/Input!$G$10)^2+(C45/(Input!$G$10/2))^2+1))))/PI()</f>
        <v/>
      </c>
      <c r="X45" s="29">
        <f>(C45/(Input!$G$10/2))/(2*PI())*ATAN((Input!$G$11/Input!$G$10)/((C45/(Input!$G$10/2))*SQRT((Input!$G$11/Input!$G$10)^2+(C45/(Input!$G$10/2))^2+1)))</f>
        <v/>
      </c>
      <c r="Y45" s="13">
        <f>MAX(0,C45-MAX(B45,$G$8))/D45*IF(V45&gt;=Input!$G$27*J45,1,0)</f>
        <v/>
      </c>
      <c r="Z45" s="12">
        <f>4*Input!$G$9*(Input!$G$10/2)*(1-R45^2)/Q45*((W45-W44)+(1-2*R45)/(1-R45)*(X45-X44))*1000*Y45</f>
        <v/>
      </c>
      <c r="AA45" s="30">
        <f>IF(F45="Sand",0,0.009*(K45-10))</f>
        <v/>
      </c>
      <c r="AB45" s="30">
        <f>AA45*Input!$G$23</f>
        <v/>
      </c>
      <c r="AC45" s="26">
        <f>IF(F45="Sand",0,MAX(O45/Input!$G$24,J45))</f>
        <v/>
      </c>
      <c r="AD45" s="31">
        <f>IF(F45="Sand",0,1000*D45/(1+N45)*IF(J45+V45&lt;=AC45,AB45*LOG10((J45+V45)/J45),AB45*LOG10(AC45/J45)+AA45*LOG10((J45+V45)/AC45)))*Y45</f>
        <v/>
      </c>
      <c r="AE45" s="32">
        <f>IF(F45="Sand",0,10^(INDEX(Korelasi!$C$5:$C$11,MIN(MATCH(MIN(MAX(K45,30),120),Korelasi!$A$5:$A$11,1),6))+(MIN(MAX(K45,30),120)-INDEX(Korelasi!$A$5:$A$11,MIN(MATCH(MIN(MAX(K45,30),120),Korelasi!$A$5:$A$11,1),6)))/(INDEX(Korelasi!$A$5:$A$11,MIN(MATCH(MIN(MAX(K45,30),120),Korelasi!$A$5:$A$11,1),6)+1)-INDEX(Korelasi!$A$5:$A$11,MIN(MATCH(MIN(MAX(K45,30),120),Korelasi!$A$5:$A$11,1),6)))*(INDEX(Korelasi!$C$5:$C$11,MIN(MATCH(MIN(MAX(K45,30),120),Korelasi!$A$5:$A$11,1),6)+1)-INDEX(Korelasi!$C$5:$C$11,MIN(MATCH(MIN(MAX(K45,30),120),Korelasi!$A$5:$A$11,1),6)))))</f>
        <v/>
      </c>
      <c r="AF45" s="33">
        <f>IF(OR(F45="Sand",Y45=0),0,Input!$G$25*(D45/2)^2/(AE45*1E-4*31536000))</f>
        <v/>
      </c>
      <c r="AG45" s="13">
        <f>MAX(0,MIN(C45,Input!$G$15)-B45)</f>
        <v/>
      </c>
      <c r="AH45" s="13">
        <f>MAX(0,MIN(C45,Input!$G$15)-MAX(B45,$G$8))</f>
        <v/>
      </c>
      <c r="AI45" s="13">
        <f>MAX(0,MIN(C45,$G$106)-B45)</f>
        <v/>
      </c>
      <c r="AJ45" s="34" t="inlineStr">
        <is>
          <t>data salinan BH-02</t>
        </is>
      </c>
    </row>
    <row r="46">
      <c r="A46" s="20" t="n">
        <v>34</v>
      </c>
      <c r="B46" s="21" t="n">
        <v>49.5</v>
      </c>
      <c r="C46" s="21" t="n">
        <v>51</v>
      </c>
      <c r="D46" s="13">
        <f>C46-B46</f>
        <v/>
      </c>
      <c r="E46" s="13">
        <f>(B46+C46)/2</f>
        <v/>
      </c>
      <c r="F46" s="22" t="inlineStr">
        <is>
          <t>Sand</t>
        </is>
      </c>
      <c r="G46" s="23" t="n">
        <v>25</v>
      </c>
      <c r="H46" s="12">
        <f>IF(E46&gt;$G$5,$G$7,$G$6)</f>
        <v/>
      </c>
      <c r="I46" s="12">
        <f>I45+H46*D46</f>
        <v/>
      </c>
      <c r="J46" s="12">
        <f>I46-H46*D46/2-10*MAX(E46-$G$5,0)</f>
        <v/>
      </c>
      <c r="K46" s="24" t="n"/>
      <c r="L46" s="24" t="n"/>
      <c r="M46" s="12">
        <f>IF(K46="","",K46-L46)</f>
        <v/>
      </c>
      <c r="N46" s="25" t="n">
        <v>0.65</v>
      </c>
      <c r="O46" s="26">
        <f>IF(F46="Sand",0,Input!$G$19*G46)</f>
        <v/>
      </c>
      <c r="P46" s="12">
        <f>IF(F46="Sand",27.1+0.3*MIN(Input!$G$20*G46,60)-0.00054*MIN(Input!$G$20*G46,60)^2,MIN(MAX(DEGREES(ASIN(0.8-0.094*LN(MAX(IF(M46="",10,M46),5)))),20),30))</f>
        <v/>
      </c>
      <c r="Q46" s="27">
        <f>IF(F46="Sand",Input!$G$21*Input!$G$20*G46,Input!$G$22*O46)</f>
        <v/>
      </c>
      <c r="R46" s="13">
        <f>IF(F46="Sand",Input!$G$26,0.5)</f>
        <v/>
      </c>
      <c r="S46" s="13">
        <f>Input!$G$10/2/E46</f>
        <v/>
      </c>
      <c r="T46" s="13">
        <f>Input!$G$11/2/E46</f>
        <v/>
      </c>
      <c r="U46" s="28">
        <f>1/(4*PI())*(2*S46*T46*SQRT(S46^2+T46^2+1)/(S46^2+T46^2+1+S46^2*T46^2)*(S46^2+T46^2+2)/(S46^2+T46^2+1)+ATAN2(S46^2+T46^2+1-S46^2*T46^2,2*S46*T46*SQRT(S46^2+T46^2+1)))</f>
        <v/>
      </c>
      <c r="V46" s="12">
        <f>4*Input!$G$9*U46</f>
        <v/>
      </c>
      <c r="W46" s="29">
        <f>((Input!$G$11/Input!$G$10)*LN((1+SQRT((Input!$G$11/Input!$G$10)^2+1))*SQRT((Input!$G$11/Input!$G$10)^2+(C46/(Input!$G$10/2))^2)/((Input!$G$11/Input!$G$10)*(1+SQRT((Input!$G$11/Input!$G$10)^2+(C46/(Input!$G$10/2))^2+1))))+LN(((Input!$G$11/Input!$G$10)+SQRT((Input!$G$11/Input!$G$10)^2+1))*SQRT(1+(C46/(Input!$G$10/2))^2)/((Input!$G$11/Input!$G$10)+SQRT((Input!$G$11/Input!$G$10)^2+(C46/(Input!$G$10/2))^2+1))))/PI()</f>
        <v/>
      </c>
      <c r="X46" s="29">
        <f>(C46/(Input!$G$10/2))/(2*PI())*ATAN((Input!$G$11/Input!$G$10)/((C46/(Input!$G$10/2))*SQRT((Input!$G$11/Input!$G$10)^2+(C46/(Input!$G$10/2))^2+1)))</f>
        <v/>
      </c>
      <c r="Y46" s="13">
        <f>MAX(0,C46-MAX(B46,$G$8))/D46*IF(V46&gt;=Input!$G$27*J46,1,0)</f>
        <v/>
      </c>
      <c r="Z46" s="12">
        <f>4*Input!$G$9*(Input!$G$10/2)*(1-R46^2)/Q46*((W46-W45)+(1-2*R46)/(1-R46)*(X46-X45))*1000*Y46</f>
        <v/>
      </c>
      <c r="AA46" s="30">
        <f>IF(F46="Sand",0,0.009*(K46-10))</f>
        <v/>
      </c>
      <c r="AB46" s="30">
        <f>AA46*Input!$G$23</f>
        <v/>
      </c>
      <c r="AC46" s="26">
        <f>IF(F46="Sand",0,MAX(O46/Input!$G$24,J46))</f>
        <v/>
      </c>
      <c r="AD46" s="31">
        <f>IF(F46="Sand",0,1000*D46/(1+N46)*IF(J46+V46&lt;=AC46,AB46*LOG10((J46+V46)/J46),AB46*LOG10(AC46/J46)+AA46*LOG10((J46+V46)/AC46)))*Y46</f>
        <v/>
      </c>
      <c r="AE46" s="32">
        <f>IF(F46="Sand",0,10^(INDEX(Korelasi!$C$5:$C$11,MIN(MATCH(MIN(MAX(K46,30),120),Korelasi!$A$5:$A$11,1),6))+(MIN(MAX(K46,30),120)-INDEX(Korelasi!$A$5:$A$11,MIN(MATCH(MIN(MAX(K46,30),120),Korelasi!$A$5:$A$11,1),6)))/(INDEX(Korelasi!$A$5:$A$11,MIN(MATCH(MIN(MAX(K46,30),120),Korelasi!$A$5:$A$11,1),6)+1)-INDEX(Korelasi!$A$5:$A$11,MIN(MATCH(MIN(MAX(K46,30),120),Korelasi!$A$5:$A$11,1),6)))*(INDEX(Korelasi!$C$5:$C$11,MIN(MATCH(MIN(MAX(K46,30),120),Korelasi!$A$5:$A$11,1),6)+1)-INDEX(Korelasi!$C$5:$C$11,MIN(MATCH(MIN(MAX(K46,30),120),Korelasi!$A$5:$A$11,1),6)))))</f>
        <v/>
      </c>
      <c r="AF46" s="33">
        <f>IF(OR(F46="Sand",Y46=0),0,Input!$G$25*(D46/2)^2/(AE46*1E-4*31536000))</f>
        <v/>
      </c>
      <c r="AG46" s="13">
        <f>MAX(0,MIN(C46,Input!$G$15)-B46)</f>
        <v/>
      </c>
      <c r="AH46" s="13">
        <f>MAX(0,MIN(C46,Input!$G$15)-MAX(B46,$G$8))</f>
        <v/>
      </c>
      <c r="AI46" s="13">
        <f>MAX(0,MIN(C46,$G$106)-B46)</f>
        <v/>
      </c>
      <c r="AJ46" s="34" t="inlineStr">
        <is>
          <t>data salinan BH-02</t>
        </is>
      </c>
    </row>
    <row r="47">
      <c r="A47" s="20" t="n">
        <v>35</v>
      </c>
      <c r="B47" s="21" t="n">
        <v>51</v>
      </c>
      <c r="C47" s="21" t="n">
        <v>52.5</v>
      </c>
      <c r="D47" s="13">
        <f>C47-B47</f>
        <v/>
      </c>
      <c r="E47" s="13">
        <f>(B47+C47)/2</f>
        <v/>
      </c>
      <c r="F47" s="22" t="inlineStr">
        <is>
          <t>Sand</t>
        </is>
      </c>
      <c r="G47" s="23" t="n">
        <v>29</v>
      </c>
      <c r="H47" s="12">
        <f>IF(E47&gt;$G$5,$G$7,$G$6)</f>
        <v/>
      </c>
      <c r="I47" s="12">
        <f>I46+H47*D47</f>
        <v/>
      </c>
      <c r="J47" s="12">
        <f>I47-H47*D47/2-10*MAX(E47-$G$5,0)</f>
        <v/>
      </c>
      <c r="K47" s="24" t="n"/>
      <c r="L47" s="24" t="n"/>
      <c r="M47" s="12">
        <f>IF(K47="","",K47-L47)</f>
        <v/>
      </c>
      <c r="N47" s="25" t="n">
        <v>0.65</v>
      </c>
      <c r="O47" s="26">
        <f>IF(F47="Sand",0,Input!$G$19*G47)</f>
        <v/>
      </c>
      <c r="P47" s="12">
        <f>IF(F47="Sand",27.1+0.3*MIN(Input!$G$20*G47,60)-0.00054*MIN(Input!$G$20*G47,60)^2,MIN(MAX(DEGREES(ASIN(0.8-0.094*LN(MAX(IF(M47="",10,M47),5)))),20),30))</f>
        <v/>
      </c>
      <c r="Q47" s="27">
        <f>IF(F47="Sand",Input!$G$21*Input!$G$20*G47,Input!$G$22*O47)</f>
        <v/>
      </c>
      <c r="R47" s="13">
        <f>IF(F47="Sand",Input!$G$26,0.5)</f>
        <v/>
      </c>
      <c r="S47" s="13">
        <f>Input!$G$10/2/E47</f>
        <v/>
      </c>
      <c r="T47" s="13">
        <f>Input!$G$11/2/E47</f>
        <v/>
      </c>
      <c r="U47" s="28">
        <f>1/(4*PI())*(2*S47*T47*SQRT(S47^2+T47^2+1)/(S47^2+T47^2+1+S47^2*T47^2)*(S47^2+T47^2+2)/(S47^2+T47^2+1)+ATAN2(S47^2+T47^2+1-S47^2*T47^2,2*S47*T47*SQRT(S47^2+T47^2+1)))</f>
        <v/>
      </c>
      <c r="V47" s="12">
        <f>4*Input!$G$9*U47</f>
        <v/>
      </c>
      <c r="W47" s="29">
        <f>((Input!$G$11/Input!$G$10)*LN((1+SQRT((Input!$G$11/Input!$G$10)^2+1))*SQRT((Input!$G$11/Input!$G$10)^2+(C47/(Input!$G$10/2))^2)/((Input!$G$11/Input!$G$10)*(1+SQRT((Input!$G$11/Input!$G$10)^2+(C47/(Input!$G$10/2))^2+1))))+LN(((Input!$G$11/Input!$G$10)+SQRT((Input!$G$11/Input!$G$10)^2+1))*SQRT(1+(C47/(Input!$G$10/2))^2)/((Input!$G$11/Input!$G$10)+SQRT((Input!$G$11/Input!$G$10)^2+(C47/(Input!$G$10/2))^2+1))))/PI()</f>
        <v/>
      </c>
      <c r="X47" s="29">
        <f>(C47/(Input!$G$10/2))/(2*PI())*ATAN((Input!$G$11/Input!$G$10)/((C47/(Input!$G$10/2))*SQRT((Input!$G$11/Input!$G$10)^2+(C47/(Input!$G$10/2))^2+1)))</f>
        <v/>
      </c>
      <c r="Y47" s="13">
        <f>MAX(0,C47-MAX(B47,$G$8))/D47*IF(V47&gt;=Input!$G$27*J47,1,0)</f>
        <v/>
      </c>
      <c r="Z47" s="12">
        <f>4*Input!$G$9*(Input!$G$10/2)*(1-R47^2)/Q47*((W47-W46)+(1-2*R47)/(1-R47)*(X47-X46))*1000*Y47</f>
        <v/>
      </c>
      <c r="AA47" s="30">
        <f>IF(F47="Sand",0,0.009*(K47-10))</f>
        <v/>
      </c>
      <c r="AB47" s="30">
        <f>AA47*Input!$G$23</f>
        <v/>
      </c>
      <c r="AC47" s="26">
        <f>IF(F47="Sand",0,MAX(O47/Input!$G$24,J47))</f>
        <v/>
      </c>
      <c r="AD47" s="31">
        <f>IF(F47="Sand",0,1000*D47/(1+N47)*IF(J47+V47&lt;=AC47,AB47*LOG10((J47+V47)/J47),AB47*LOG10(AC47/J47)+AA47*LOG10((J47+V47)/AC47)))*Y47</f>
        <v/>
      </c>
      <c r="AE47" s="32">
        <f>IF(F47="Sand",0,10^(INDEX(Korelasi!$C$5:$C$11,MIN(MATCH(MIN(MAX(K47,30),120),Korelasi!$A$5:$A$11,1),6))+(MIN(MAX(K47,30),120)-INDEX(Korelasi!$A$5:$A$11,MIN(MATCH(MIN(MAX(K47,30),120),Korelasi!$A$5:$A$11,1),6)))/(INDEX(Korelasi!$A$5:$A$11,MIN(MATCH(MIN(MAX(K47,30),120),Korelasi!$A$5:$A$11,1),6)+1)-INDEX(Korelasi!$A$5:$A$11,MIN(MATCH(MIN(MAX(K47,30),120),Korelasi!$A$5:$A$11,1),6)))*(INDEX(Korelasi!$C$5:$C$11,MIN(MATCH(MIN(MAX(K47,30),120),Korelasi!$A$5:$A$11,1),6)+1)-INDEX(Korelasi!$C$5:$C$11,MIN(MATCH(MIN(MAX(K47,30),120),Korelasi!$A$5:$A$11,1),6)))))</f>
        <v/>
      </c>
      <c r="AF47" s="33">
        <f>IF(OR(F47="Sand",Y47=0),0,Input!$G$25*(D47/2)^2/(AE47*1E-4*31536000))</f>
        <v/>
      </c>
      <c r="AG47" s="13">
        <f>MAX(0,MIN(C47,Input!$G$15)-B47)</f>
        <v/>
      </c>
      <c r="AH47" s="13">
        <f>MAX(0,MIN(C47,Input!$G$15)-MAX(B47,$G$8))</f>
        <v/>
      </c>
      <c r="AI47" s="13">
        <f>MAX(0,MIN(C47,$G$106)-B47)</f>
        <v/>
      </c>
      <c r="AJ47" s="34" t="inlineStr">
        <is>
          <t>data salinan BH-02</t>
        </is>
      </c>
    </row>
    <row r="48">
      <c r="A48" s="20" t="n">
        <v>36</v>
      </c>
      <c r="B48" s="21" t="n">
        <v>52.5</v>
      </c>
      <c r="C48" s="21" t="n">
        <v>54</v>
      </c>
      <c r="D48" s="13">
        <f>C48-B48</f>
        <v/>
      </c>
      <c r="E48" s="13">
        <f>(B48+C48)/2</f>
        <v/>
      </c>
      <c r="F48" s="22" t="inlineStr">
        <is>
          <t>Sand</t>
        </is>
      </c>
      <c r="G48" s="23" t="n">
        <v>35</v>
      </c>
      <c r="H48" s="12">
        <f>IF(E48&gt;$G$5,$G$7,$G$6)</f>
        <v/>
      </c>
      <c r="I48" s="12">
        <f>I47+H48*D48</f>
        <v/>
      </c>
      <c r="J48" s="12">
        <f>I48-H48*D48/2-10*MAX(E48-$G$5,0)</f>
        <v/>
      </c>
      <c r="K48" s="24" t="n"/>
      <c r="L48" s="24" t="n"/>
      <c r="M48" s="12">
        <f>IF(K48="","",K48-L48)</f>
        <v/>
      </c>
      <c r="N48" s="25" t="n">
        <v>0.65</v>
      </c>
      <c r="O48" s="26">
        <f>IF(F48="Sand",0,Input!$G$19*G48)</f>
        <v/>
      </c>
      <c r="P48" s="12">
        <f>IF(F48="Sand",27.1+0.3*MIN(Input!$G$20*G48,60)-0.00054*MIN(Input!$G$20*G48,60)^2,MIN(MAX(DEGREES(ASIN(0.8-0.094*LN(MAX(IF(M48="",10,M48),5)))),20),30))</f>
        <v/>
      </c>
      <c r="Q48" s="27">
        <f>IF(F48="Sand",Input!$G$21*Input!$G$20*G48,Input!$G$22*O48)</f>
        <v/>
      </c>
      <c r="R48" s="13">
        <f>IF(F48="Sand",Input!$G$26,0.5)</f>
        <v/>
      </c>
      <c r="S48" s="13">
        <f>Input!$G$10/2/E48</f>
        <v/>
      </c>
      <c r="T48" s="13">
        <f>Input!$G$11/2/E48</f>
        <v/>
      </c>
      <c r="U48" s="28">
        <f>1/(4*PI())*(2*S48*T48*SQRT(S48^2+T48^2+1)/(S48^2+T48^2+1+S48^2*T48^2)*(S48^2+T48^2+2)/(S48^2+T48^2+1)+ATAN2(S48^2+T48^2+1-S48^2*T48^2,2*S48*T48*SQRT(S48^2+T48^2+1)))</f>
        <v/>
      </c>
      <c r="V48" s="12">
        <f>4*Input!$G$9*U48</f>
        <v/>
      </c>
      <c r="W48" s="29">
        <f>((Input!$G$11/Input!$G$10)*LN((1+SQRT((Input!$G$11/Input!$G$10)^2+1))*SQRT((Input!$G$11/Input!$G$10)^2+(C48/(Input!$G$10/2))^2)/((Input!$G$11/Input!$G$10)*(1+SQRT((Input!$G$11/Input!$G$10)^2+(C48/(Input!$G$10/2))^2+1))))+LN(((Input!$G$11/Input!$G$10)+SQRT((Input!$G$11/Input!$G$10)^2+1))*SQRT(1+(C48/(Input!$G$10/2))^2)/((Input!$G$11/Input!$G$10)+SQRT((Input!$G$11/Input!$G$10)^2+(C48/(Input!$G$10/2))^2+1))))/PI()</f>
        <v/>
      </c>
      <c r="X48" s="29">
        <f>(C48/(Input!$G$10/2))/(2*PI())*ATAN((Input!$G$11/Input!$G$10)/((C48/(Input!$G$10/2))*SQRT((Input!$G$11/Input!$G$10)^2+(C48/(Input!$G$10/2))^2+1)))</f>
        <v/>
      </c>
      <c r="Y48" s="13">
        <f>MAX(0,C48-MAX(B48,$G$8))/D48*IF(V48&gt;=Input!$G$27*J48,1,0)</f>
        <v/>
      </c>
      <c r="Z48" s="12">
        <f>4*Input!$G$9*(Input!$G$10/2)*(1-R48^2)/Q48*((W48-W47)+(1-2*R48)/(1-R48)*(X48-X47))*1000*Y48</f>
        <v/>
      </c>
      <c r="AA48" s="30">
        <f>IF(F48="Sand",0,0.009*(K48-10))</f>
        <v/>
      </c>
      <c r="AB48" s="30">
        <f>AA48*Input!$G$23</f>
        <v/>
      </c>
      <c r="AC48" s="26">
        <f>IF(F48="Sand",0,MAX(O48/Input!$G$24,J48))</f>
        <v/>
      </c>
      <c r="AD48" s="31">
        <f>IF(F48="Sand",0,1000*D48/(1+N48)*IF(J48+V48&lt;=AC48,AB48*LOG10((J48+V48)/J48),AB48*LOG10(AC48/J48)+AA48*LOG10((J48+V48)/AC48)))*Y48</f>
        <v/>
      </c>
      <c r="AE48" s="32">
        <f>IF(F48="Sand",0,10^(INDEX(Korelasi!$C$5:$C$11,MIN(MATCH(MIN(MAX(K48,30),120),Korelasi!$A$5:$A$11,1),6))+(MIN(MAX(K48,30),120)-INDEX(Korelasi!$A$5:$A$11,MIN(MATCH(MIN(MAX(K48,30),120),Korelasi!$A$5:$A$11,1),6)))/(INDEX(Korelasi!$A$5:$A$11,MIN(MATCH(MIN(MAX(K48,30),120),Korelasi!$A$5:$A$11,1),6)+1)-INDEX(Korelasi!$A$5:$A$11,MIN(MATCH(MIN(MAX(K48,30),120),Korelasi!$A$5:$A$11,1),6)))*(INDEX(Korelasi!$C$5:$C$11,MIN(MATCH(MIN(MAX(K48,30),120),Korelasi!$A$5:$A$11,1),6)+1)-INDEX(Korelasi!$C$5:$C$11,MIN(MATCH(MIN(MAX(K48,30),120),Korelasi!$A$5:$A$11,1),6)))))</f>
        <v/>
      </c>
      <c r="AF48" s="33">
        <f>IF(OR(F48="Sand",Y48=0),0,Input!$G$25*(D48/2)^2/(AE48*1E-4*31536000))</f>
        <v/>
      </c>
      <c r="AG48" s="13">
        <f>MAX(0,MIN(C48,Input!$G$15)-B48)</f>
        <v/>
      </c>
      <c r="AH48" s="13">
        <f>MAX(0,MIN(C48,Input!$G$15)-MAX(B48,$G$8))</f>
        <v/>
      </c>
      <c r="AI48" s="13">
        <f>MAX(0,MIN(C48,$G$106)-B48)</f>
        <v/>
      </c>
      <c r="AJ48" s="34" t="inlineStr">
        <is>
          <t>data salinan BH-02</t>
        </is>
      </c>
    </row>
    <row r="49">
      <c r="A49" s="20" t="n">
        <v>37</v>
      </c>
      <c r="B49" s="21" t="n">
        <v>54</v>
      </c>
      <c r="C49" s="21" t="n">
        <v>55.5</v>
      </c>
      <c r="D49" s="13">
        <f>C49-B49</f>
        <v/>
      </c>
      <c r="E49" s="13">
        <f>(B49+C49)/2</f>
        <v/>
      </c>
      <c r="F49" s="22" t="inlineStr">
        <is>
          <t>Sand</t>
        </is>
      </c>
      <c r="G49" s="23" t="n">
        <v>50</v>
      </c>
      <c r="H49" s="12">
        <f>IF(E49&gt;$G$5,$G$7,$G$6)</f>
        <v/>
      </c>
      <c r="I49" s="12">
        <f>I48+H49*D49</f>
        <v/>
      </c>
      <c r="J49" s="12">
        <f>I49-H49*D49/2-10*MAX(E49-$G$5,0)</f>
        <v/>
      </c>
      <c r="K49" s="24" t="n"/>
      <c r="L49" s="24" t="n"/>
      <c r="M49" s="12">
        <f>IF(K49="","",K49-L49)</f>
        <v/>
      </c>
      <c r="N49" s="25" t="n">
        <v>0.65</v>
      </c>
      <c r="O49" s="26">
        <f>IF(F49="Sand",0,Input!$G$19*G49)</f>
        <v/>
      </c>
      <c r="P49" s="12">
        <f>IF(F49="Sand",27.1+0.3*MIN(Input!$G$20*G49,60)-0.00054*MIN(Input!$G$20*G49,60)^2,MIN(MAX(DEGREES(ASIN(0.8-0.094*LN(MAX(IF(M49="",10,M49),5)))),20),30))</f>
        <v/>
      </c>
      <c r="Q49" s="27">
        <f>IF(F49="Sand",Input!$G$21*Input!$G$20*G49,Input!$G$22*O49)</f>
        <v/>
      </c>
      <c r="R49" s="13">
        <f>IF(F49="Sand",Input!$G$26,0.5)</f>
        <v/>
      </c>
      <c r="S49" s="13">
        <f>Input!$G$10/2/E49</f>
        <v/>
      </c>
      <c r="T49" s="13">
        <f>Input!$G$11/2/E49</f>
        <v/>
      </c>
      <c r="U49" s="28">
        <f>1/(4*PI())*(2*S49*T49*SQRT(S49^2+T49^2+1)/(S49^2+T49^2+1+S49^2*T49^2)*(S49^2+T49^2+2)/(S49^2+T49^2+1)+ATAN2(S49^2+T49^2+1-S49^2*T49^2,2*S49*T49*SQRT(S49^2+T49^2+1)))</f>
        <v/>
      </c>
      <c r="V49" s="12">
        <f>4*Input!$G$9*U49</f>
        <v/>
      </c>
      <c r="W49" s="29">
        <f>((Input!$G$11/Input!$G$10)*LN((1+SQRT((Input!$G$11/Input!$G$10)^2+1))*SQRT((Input!$G$11/Input!$G$10)^2+(C49/(Input!$G$10/2))^2)/((Input!$G$11/Input!$G$10)*(1+SQRT((Input!$G$11/Input!$G$10)^2+(C49/(Input!$G$10/2))^2+1))))+LN(((Input!$G$11/Input!$G$10)+SQRT((Input!$G$11/Input!$G$10)^2+1))*SQRT(1+(C49/(Input!$G$10/2))^2)/((Input!$G$11/Input!$G$10)+SQRT((Input!$G$11/Input!$G$10)^2+(C49/(Input!$G$10/2))^2+1))))/PI()</f>
        <v/>
      </c>
      <c r="X49" s="29">
        <f>(C49/(Input!$G$10/2))/(2*PI())*ATAN((Input!$G$11/Input!$G$10)/((C49/(Input!$G$10/2))*SQRT((Input!$G$11/Input!$G$10)^2+(C49/(Input!$G$10/2))^2+1)))</f>
        <v/>
      </c>
      <c r="Y49" s="13">
        <f>MAX(0,C49-MAX(B49,$G$8))/D49*IF(V49&gt;=Input!$G$27*J49,1,0)</f>
        <v/>
      </c>
      <c r="Z49" s="12">
        <f>4*Input!$G$9*(Input!$G$10/2)*(1-R49^2)/Q49*((W49-W48)+(1-2*R49)/(1-R49)*(X49-X48))*1000*Y49</f>
        <v/>
      </c>
      <c r="AA49" s="30">
        <f>IF(F49="Sand",0,0.009*(K49-10))</f>
        <v/>
      </c>
      <c r="AB49" s="30">
        <f>AA49*Input!$G$23</f>
        <v/>
      </c>
      <c r="AC49" s="26">
        <f>IF(F49="Sand",0,MAX(O49/Input!$G$24,J49))</f>
        <v/>
      </c>
      <c r="AD49" s="31">
        <f>IF(F49="Sand",0,1000*D49/(1+N49)*IF(J49+V49&lt;=AC49,AB49*LOG10((J49+V49)/J49),AB49*LOG10(AC49/J49)+AA49*LOG10((J49+V49)/AC49)))*Y49</f>
        <v/>
      </c>
      <c r="AE49" s="32">
        <f>IF(F49="Sand",0,10^(INDEX(Korelasi!$C$5:$C$11,MIN(MATCH(MIN(MAX(K49,30),120),Korelasi!$A$5:$A$11,1),6))+(MIN(MAX(K49,30),120)-INDEX(Korelasi!$A$5:$A$11,MIN(MATCH(MIN(MAX(K49,30),120),Korelasi!$A$5:$A$11,1),6)))/(INDEX(Korelasi!$A$5:$A$11,MIN(MATCH(MIN(MAX(K49,30),120),Korelasi!$A$5:$A$11,1),6)+1)-INDEX(Korelasi!$A$5:$A$11,MIN(MATCH(MIN(MAX(K49,30),120),Korelasi!$A$5:$A$11,1),6)))*(INDEX(Korelasi!$C$5:$C$11,MIN(MATCH(MIN(MAX(K49,30),120),Korelasi!$A$5:$A$11,1),6)+1)-INDEX(Korelasi!$C$5:$C$11,MIN(MATCH(MIN(MAX(K49,30),120),Korelasi!$A$5:$A$11,1),6)))))</f>
        <v/>
      </c>
      <c r="AF49" s="33">
        <f>IF(OR(F49="Sand",Y49=0),0,Input!$G$25*(D49/2)^2/(AE49*1E-4*31536000))</f>
        <v/>
      </c>
      <c r="AG49" s="13">
        <f>MAX(0,MIN(C49,Input!$G$15)-B49)</f>
        <v/>
      </c>
      <c r="AH49" s="13">
        <f>MAX(0,MIN(C49,Input!$G$15)-MAX(B49,$G$8))</f>
        <v/>
      </c>
      <c r="AI49" s="13">
        <f>MAX(0,MIN(C49,$G$106)-B49)</f>
        <v/>
      </c>
      <c r="AJ49" s="34" t="inlineStr">
        <is>
          <t>data salinan BH-02</t>
        </is>
      </c>
    </row>
    <row r="50">
      <c r="A50" s="20" t="n">
        <v>38</v>
      </c>
      <c r="B50" s="21" t="n">
        <v>55.5</v>
      </c>
      <c r="C50" s="21" t="n">
        <v>57</v>
      </c>
      <c r="D50" s="13">
        <f>C50-B50</f>
        <v/>
      </c>
      <c r="E50" s="13">
        <f>(B50+C50)/2</f>
        <v/>
      </c>
      <c r="F50" s="22" t="inlineStr">
        <is>
          <t>Sand</t>
        </is>
      </c>
      <c r="G50" s="23" t="n">
        <v>50</v>
      </c>
      <c r="H50" s="12">
        <f>IF(E50&gt;$G$5,$G$7,$G$6)</f>
        <v/>
      </c>
      <c r="I50" s="12">
        <f>I49+H50*D50</f>
        <v/>
      </c>
      <c r="J50" s="12">
        <f>I50-H50*D50/2-10*MAX(E50-$G$5,0)</f>
        <v/>
      </c>
      <c r="K50" s="24" t="n"/>
      <c r="L50" s="24" t="n"/>
      <c r="M50" s="12">
        <f>IF(K50="","",K50-L50)</f>
        <v/>
      </c>
      <c r="N50" s="25" t="n">
        <v>0.65</v>
      </c>
      <c r="O50" s="26">
        <f>IF(F50="Sand",0,Input!$G$19*G50)</f>
        <v/>
      </c>
      <c r="P50" s="12">
        <f>IF(F50="Sand",27.1+0.3*MIN(Input!$G$20*G50,60)-0.00054*MIN(Input!$G$20*G50,60)^2,MIN(MAX(DEGREES(ASIN(0.8-0.094*LN(MAX(IF(M50="",10,M50),5)))),20),30))</f>
        <v/>
      </c>
      <c r="Q50" s="27">
        <f>IF(F50="Sand",Input!$G$21*Input!$G$20*G50,Input!$G$22*O50)</f>
        <v/>
      </c>
      <c r="R50" s="13">
        <f>IF(F50="Sand",Input!$G$26,0.5)</f>
        <v/>
      </c>
      <c r="S50" s="13">
        <f>Input!$G$10/2/E50</f>
        <v/>
      </c>
      <c r="T50" s="13">
        <f>Input!$G$11/2/E50</f>
        <v/>
      </c>
      <c r="U50" s="28">
        <f>1/(4*PI())*(2*S50*T50*SQRT(S50^2+T50^2+1)/(S50^2+T50^2+1+S50^2*T50^2)*(S50^2+T50^2+2)/(S50^2+T50^2+1)+ATAN2(S50^2+T50^2+1-S50^2*T50^2,2*S50*T50*SQRT(S50^2+T50^2+1)))</f>
        <v/>
      </c>
      <c r="V50" s="12">
        <f>4*Input!$G$9*U50</f>
        <v/>
      </c>
      <c r="W50" s="29">
        <f>((Input!$G$11/Input!$G$10)*LN((1+SQRT((Input!$G$11/Input!$G$10)^2+1))*SQRT((Input!$G$11/Input!$G$10)^2+(C50/(Input!$G$10/2))^2)/((Input!$G$11/Input!$G$10)*(1+SQRT((Input!$G$11/Input!$G$10)^2+(C50/(Input!$G$10/2))^2+1))))+LN(((Input!$G$11/Input!$G$10)+SQRT((Input!$G$11/Input!$G$10)^2+1))*SQRT(1+(C50/(Input!$G$10/2))^2)/((Input!$G$11/Input!$G$10)+SQRT((Input!$G$11/Input!$G$10)^2+(C50/(Input!$G$10/2))^2+1))))/PI()</f>
        <v/>
      </c>
      <c r="X50" s="29">
        <f>(C50/(Input!$G$10/2))/(2*PI())*ATAN((Input!$G$11/Input!$G$10)/((C50/(Input!$G$10/2))*SQRT((Input!$G$11/Input!$G$10)^2+(C50/(Input!$G$10/2))^2+1)))</f>
        <v/>
      </c>
      <c r="Y50" s="13">
        <f>MAX(0,C50-MAX(B50,$G$8))/D50*IF(V50&gt;=Input!$G$27*J50,1,0)</f>
        <v/>
      </c>
      <c r="Z50" s="12">
        <f>4*Input!$G$9*(Input!$G$10/2)*(1-R50^2)/Q50*((W50-W49)+(1-2*R50)/(1-R50)*(X50-X49))*1000*Y50</f>
        <v/>
      </c>
      <c r="AA50" s="30">
        <f>IF(F50="Sand",0,0.009*(K50-10))</f>
        <v/>
      </c>
      <c r="AB50" s="30">
        <f>AA50*Input!$G$23</f>
        <v/>
      </c>
      <c r="AC50" s="26">
        <f>IF(F50="Sand",0,MAX(O50/Input!$G$24,J50))</f>
        <v/>
      </c>
      <c r="AD50" s="31">
        <f>IF(F50="Sand",0,1000*D50/(1+N50)*IF(J50+V50&lt;=AC50,AB50*LOG10((J50+V50)/J50),AB50*LOG10(AC50/J50)+AA50*LOG10((J50+V50)/AC50)))*Y50</f>
        <v/>
      </c>
      <c r="AE50" s="32">
        <f>IF(F50="Sand",0,10^(INDEX(Korelasi!$C$5:$C$11,MIN(MATCH(MIN(MAX(K50,30),120),Korelasi!$A$5:$A$11,1),6))+(MIN(MAX(K50,30),120)-INDEX(Korelasi!$A$5:$A$11,MIN(MATCH(MIN(MAX(K50,30),120),Korelasi!$A$5:$A$11,1),6)))/(INDEX(Korelasi!$A$5:$A$11,MIN(MATCH(MIN(MAX(K50,30),120),Korelasi!$A$5:$A$11,1),6)+1)-INDEX(Korelasi!$A$5:$A$11,MIN(MATCH(MIN(MAX(K50,30),120),Korelasi!$A$5:$A$11,1),6)))*(INDEX(Korelasi!$C$5:$C$11,MIN(MATCH(MIN(MAX(K50,30),120),Korelasi!$A$5:$A$11,1),6)+1)-INDEX(Korelasi!$C$5:$C$11,MIN(MATCH(MIN(MAX(K50,30),120),Korelasi!$A$5:$A$11,1),6)))))</f>
        <v/>
      </c>
      <c r="AF50" s="33">
        <f>IF(OR(F50="Sand",Y50=0),0,Input!$G$25*(D50/2)^2/(AE50*1E-4*31536000))</f>
        <v/>
      </c>
      <c r="AG50" s="13">
        <f>MAX(0,MIN(C50,Input!$G$15)-B50)</f>
        <v/>
      </c>
      <c r="AH50" s="13">
        <f>MAX(0,MIN(C50,Input!$G$15)-MAX(B50,$G$8))</f>
        <v/>
      </c>
      <c r="AI50" s="13">
        <f>MAX(0,MIN(C50,$G$106)-B50)</f>
        <v/>
      </c>
      <c r="AJ50" s="34" t="inlineStr">
        <is>
          <t>data salinan BH-02</t>
        </is>
      </c>
    </row>
    <row r="51">
      <c r="A51" s="20" t="n">
        <v>39</v>
      </c>
      <c r="B51" s="21" t="n">
        <v>57</v>
      </c>
      <c r="C51" s="21" t="n">
        <v>58.5</v>
      </c>
      <c r="D51" s="13">
        <f>C51-B51</f>
        <v/>
      </c>
      <c r="E51" s="13">
        <f>(B51+C51)/2</f>
        <v/>
      </c>
      <c r="F51" s="22" t="inlineStr">
        <is>
          <t>Sand</t>
        </is>
      </c>
      <c r="G51" s="23" t="n">
        <v>50</v>
      </c>
      <c r="H51" s="12">
        <f>IF(E51&gt;$G$5,$G$7,$G$6)</f>
        <v/>
      </c>
      <c r="I51" s="12">
        <f>I50+H51*D51</f>
        <v/>
      </c>
      <c r="J51" s="12">
        <f>I51-H51*D51/2-10*MAX(E51-$G$5,0)</f>
        <v/>
      </c>
      <c r="K51" s="24" t="n"/>
      <c r="L51" s="24" t="n"/>
      <c r="M51" s="12">
        <f>IF(K51="","",K51-L51)</f>
        <v/>
      </c>
      <c r="N51" s="25" t="n">
        <v>0.65</v>
      </c>
      <c r="O51" s="26">
        <f>IF(F51="Sand",0,Input!$G$19*G51)</f>
        <v/>
      </c>
      <c r="P51" s="12">
        <f>IF(F51="Sand",27.1+0.3*MIN(Input!$G$20*G51,60)-0.00054*MIN(Input!$G$20*G51,60)^2,MIN(MAX(DEGREES(ASIN(0.8-0.094*LN(MAX(IF(M51="",10,M51),5)))),20),30))</f>
        <v/>
      </c>
      <c r="Q51" s="27">
        <f>IF(F51="Sand",Input!$G$21*Input!$G$20*G51,Input!$G$22*O51)</f>
        <v/>
      </c>
      <c r="R51" s="13">
        <f>IF(F51="Sand",Input!$G$26,0.5)</f>
        <v/>
      </c>
      <c r="S51" s="13">
        <f>Input!$G$10/2/E51</f>
        <v/>
      </c>
      <c r="T51" s="13">
        <f>Input!$G$11/2/E51</f>
        <v/>
      </c>
      <c r="U51" s="28">
        <f>1/(4*PI())*(2*S51*T51*SQRT(S51^2+T51^2+1)/(S51^2+T51^2+1+S51^2*T51^2)*(S51^2+T51^2+2)/(S51^2+T51^2+1)+ATAN2(S51^2+T51^2+1-S51^2*T51^2,2*S51*T51*SQRT(S51^2+T51^2+1)))</f>
        <v/>
      </c>
      <c r="V51" s="12">
        <f>4*Input!$G$9*U51</f>
        <v/>
      </c>
      <c r="W51" s="29">
        <f>((Input!$G$11/Input!$G$10)*LN((1+SQRT((Input!$G$11/Input!$G$10)^2+1))*SQRT((Input!$G$11/Input!$G$10)^2+(C51/(Input!$G$10/2))^2)/((Input!$G$11/Input!$G$10)*(1+SQRT((Input!$G$11/Input!$G$10)^2+(C51/(Input!$G$10/2))^2+1))))+LN(((Input!$G$11/Input!$G$10)+SQRT((Input!$G$11/Input!$G$10)^2+1))*SQRT(1+(C51/(Input!$G$10/2))^2)/((Input!$G$11/Input!$G$10)+SQRT((Input!$G$11/Input!$G$10)^2+(C51/(Input!$G$10/2))^2+1))))/PI()</f>
        <v/>
      </c>
      <c r="X51" s="29">
        <f>(C51/(Input!$G$10/2))/(2*PI())*ATAN((Input!$G$11/Input!$G$10)/((C51/(Input!$G$10/2))*SQRT((Input!$G$11/Input!$G$10)^2+(C51/(Input!$G$10/2))^2+1)))</f>
        <v/>
      </c>
      <c r="Y51" s="13">
        <f>MAX(0,C51-MAX(B51,$G$8))/D51*IF(V51&gt;=Input!$G$27*J51,1,0)</f>
        <v/>
      </c>
      <c r="Z51" s="12">
        <f>4*Input!$G$9*(Input!$G$10/2)*(1-R51^2)/Q51*((W51-W50)+(1-2*R51)/(1-R51)*(X51-X50))*1000*Y51</f>
        <v/>
      </c>
      <c r="AA51" s="30">
        <f>IF(F51="Sand",0,0.009*(K51-10))</f>
        <v/>
      </c>
      <c r="AB51" s="30">
        <f>AA51*Input!$G$23</f>
        <v/>
      </c>
      <c r="AC51" s="26">
        <f>IF(F51="Sand",0,MAX(O51/Input!$G$24,J51))</f>
        <v/>
      </c>
      <c r="AD51" s="31">
        <f>IF(F51="Sand",0,1000*D51/(1+N51)*IF(J51+V51&lt;=AC51,AB51*LOG10((J51+V51)/J51),AB51*LOG10(AC51/J51)+AA51*LOG10((J51+V51)/AC51)))*Y51</f>
        <v/>
      </c>
      <c r="AE51" s="32">
        <f>IF(F51="Sand",0,10^(INDEX(Korelasi!$C$5:$C$11,MIN(MATCH(MIN(MAX(K51,30),120),Korelasi!$A$5:$A$11,1),6))+(MIN(MAX(K51,30),120)-INDEX(Korelasi!$A$5:$A$11,MIN(MATCH(MIN(MAX(K51,30),120),Korelasi!$A$5:$A$11,1),6)))/(INDEX(Korelasi!$A$5:$A$11,MIN(MATCH(MIN(MAX(K51,30),120),Korelasi!$A$5:$A$11,1),6)+1)-INDEX(Korelasi!$A$5:$A$11,MIN(MATCH(MIN(MAX(K51,30),120),Korelasi!$A$5:$A$11,1),6)))*(INDEX(Korelasi!$C$5:$C$11,MIN(MATCH(MIN(MAX(K51,30),120),Korelasi!$A$5:$A$11,1),6)+1)-INDEX(Korelasi!$C$5:$C$11,MIN(MATCH(MIN(MAX(K51,30),120),Korelasi!$A$5:$A$11,1),6)))))</f>
        <v/>
      </c>
      <c r="AF51" s="33">
        <f>IF(OR(F51="Sand",Y51=0),0,Input!$G$25*(D51/2)^2/(AE51*1E-4*31536000))</f>
        <v/>
      </c>
      <c r="AG51" s="13">
        <f>MAX(0,MIN(C51,Input!$G$15)-B51)</f>
        <v/>
      </c>
      <c r="AH51" s="13">
        <f>MAX(0,MIN(C51,Input!$G$15)-MAX(B51,$G$8))</f>
        <v/>
      </c>
      <c r="AI51" s="13">
        <f>MAX(0,MIN(C51,$G$106)-B51)</f>
        <v/>
      </c>
      <c r="AJ51" s="34" t="inlineStr">
        <is>
          <t>data salinan BH-02</t>
        </is>
      </c>
    </row>
    <row r="52">
      <c r="A52" s="20" t="n">
        <v>40</v>
      </c>
      <c r="B52" s="21" t="n">
        <v>58.5</v>
      </c>
      <c r="C52" s="21" t="n">
        <v>59.5</v>
      </c>
      <c r="D52" s="13">
        <f>C52-B52</f>
        <v/>
      </c>
      <c r="E52" s="13">
        <f>(B52+C52)/2</f>
        <v/>
      </c>
      <c r="F52" s="22" t="inlineStr">
        <is>
          <t>Sand</t>
        </is>
      </c>
      <c r="G52" s="23" t="n">
        <v>29</v>
      </c>
      <c r="H52" s="12">
        <f>IF(E52&gt;$G$5,$G$7,$G$6)</f>
        <v/>
      </c>
      <c r="I52" s="12">
        <f>I51+H52*D52</f>
        <v/>
      </c>
      <c r="J52" s="12">
        <f>I52-H52*D52/2-10*MAX(E52-$G$5,0)</f>
        <v/>
      </c>
      <c r="K52" s="24" t="n"/>
      <c r="L52" s="24" t="n"/>
      <c r="M52" s="12">
        <f>IF(K52="","",K52-L52)</f>
        <v/>
      </c>
      <c r="N52" s="25" t="n">
        <v>0.65</v>
      </c>
      <c r="O52" s="26">
        <f>IF(F52="Sand",0,Input!$G$19*G52)</f>
        <v/>
      </c>
      <c r="P52" s="12">
        <f>IF(F52="Sand",27.1+0.3*MIN(Input!$G$20*G52,60)-0.00054*MIN(Input!$G$20*G52,60)^2,MIN(MAX(DEGREES(ASIN(0.8-0.094*LN(MAX(IF(M52="",10,M52),5)))),20),30))</f>
        <v/>
      </c>
      <c r="Q52" s="27">
        <f>IF(F52="Sand",Input!$G$21*Input!$G$20*G52,Input!$G$22*O52)</f>
        <v/>
      </c>
      <c r="R52" s="13">
        <f>IF(F52="Sand",Input!$G$26,0.5)</f>
        <v/>
      </c>
      <c r="S52" s="13">
        <f>Input!$G$10/2/E52</f>
        <v/>
      </c>
      <c r="T52" s="13">
        <f>Input!$G$11/2/E52</f>
        <v/>
      </c>
      <c r="U52" s="28">
        <f>1/(4*PI())*(2*S52*T52*SQRT(S52^2+T52^2+1)/(S52^2+T52^2+1+S52^2*T52^2)*(S52^2+T52^2+2)/(S52^2+T52^2+1)+ATAN2(S52^2+T52^2+1-S52^2*T52^2,2*S52*T52*SQRT(S52^2+T52^2+1)))</f>
        <v/>
      </c>
      <c r="V52" s="12">
        <f>4*Input!$G$9*U52</f>
        <v/>
      </c>
      <c r="W52" s="29">
        <f>((Input!$G$11/Input!$G$10)*LN((1+SQRT((Input!$G$11/Input!$G$10)^2+1))*SQRT((Input!$G$11/Input!$G$10)^2+(C52/(Input!$G$10/2))^2)/((Input!$G$11/Input!$G$10)*(1+SQRT((Input!$G$11/Input!$G$10)^2+(C52/(Input!$G$10/2))^2+1))))+LN(((Input!$G$11/Input!$G$10)+SQRT((Input!$G$11/Input!$G$10)^2+1))*SQRT(1+(C52/(Input!$G$10/2))^2)/((Input!$G$11/Input!$G$10)+SQRT((Input!$G$11/Input!$G$10)^2+(C52/(Input!$G$10/2))^2+1))))/PI()</f>
        <v/>
      </c>
      <c r="X52" s="29">
        <f>(C52/(Input!$G$10/2))/(2*PI())*ATAN((Input!$G$11/Input!$G$10)/((C52/(Input!$G$10/2))*SQRT((Input!$G$11/Input!$G$10)^2+(C52/(Input!$G$10/2))^2+1)))</f>
        <v/>
      </c>
      <c r="Y52" s="13">
        <f>MAX(0,C52-MAX(B52,$G$8))/D52*IF(V52&gt;=Input!$G$27*J52,1,0)</f>
        <v/>
      </c>
      <c r="Z52" s="12">
        <f>4*Input!$G$9*(Input!$G$10/2)*(1-R52^2)/Q52*((W52-W51)+(1-2*R52)/(1-R52)*(X52-X51))*1000*Y52</f>
        <v/>
      </c>
      <c r="AA52" s="30">
        <f>IF(F52="Sand",0,0.009*(K52-10))</f>
        <v/>
      </c>
      <c r="AB52" s="30">
        <f>AA52*Input!$G$23</f>
        <v/>
      </c>
      <c r="AC52" s="26">
        <f>IF(F52="Sand",0,MAX(O52/Input!$G$24,J52))</f>
        <v/>
      </c>
      <c r="AD52" s="31">
        <f>IF(F52="Sand",0,1000*D52/(1+N52)*IF(J52+V52&lt;=AC52,AB52*LOG10((J52+V52)/J52),AB52*LOG10(AC52/J52)+AA52*LOG10((J52+V52)/AC52)))*Y52</f>
        <v/>
      </c>
      <c r="AE52" s="32">
        <f>IF(F52="Sand",0,10^(INDEX(Korelasi!$C$5:$C$11,MIN(MATCH(MIN(MAX(K52,30),120),Korelasi!$A$5:$A$11,1),6))+(MIN(MAX(K52,30),120)-INDEX(Korelasi!$A$5:$A$11,MIN(MATCH(MIN(MAX(K52,30),120),Korelasi!$A$5:$A$11,1),6)))/(INDEX(Korelasi!$A$5:$A$11,MIN(MATCH(MIN(MAX(K52,30),120),Korelasi!$A$5:$A$11,1),6)+1)-INDEX(Korelasi!$A$5:$A$11,MIN(MATCH(MIN(MAX(K52,30),120),Korelasi!$A$5:$A$11,1),6)))*(INDEX(Korelasi!$C$5:$C$11,MIN(MATCH(MIN(MAX(K52,30),120),Korelasi!$A$5:$A$11,1),6)+1)-INDEX(Korelasi!$C$5:$C$11,MIN(MATCH(MIN(MAX(K52,30),120),Korelasi!$A$5:$A$11,1),6)))))</f>
        <v/>
      </c>
      <c r="AF52" s="33">
        <f>IF(OR(F52="Sand",Y52=0),0,Input!$G$25*(D52/2)^2/(AE52*1E-4*31536000))</f>
        <v/>
      </c>
      <c r="AG52" s="13">
        <f>MAX(0,MIN(C52,Input!$G$15)-B52)</f>
        <v/>
      </c>
      <c r="AH52" s="13">
        <f>MAX(0,MIN(C52,Input!$G$15)-MAX(B52,$G$8))</f>
        <v/>
      </c>
      <c r="AI52" s="13">
        <f>MAX(0,MIN(C52,$G$106)-B52)</f>
        <v/>
      </c>
      <c r="AJ52" s="34" t="inlineStr">
        <is>
          <t>data salinan BH-02</t>
        </is>
      </c>
    </row>
    <row r="53">
      <c r="A53" s="20" t="n">
        <v>41</v>
      </c>
      <c r="B53" s="21" t="n">
        <v>59.5</v>
      </c>
      <c r="C53" s="21" t="n">
        <v>60</v>
      </c>
      <c r="D53" s="13">
        <f>C53-B53</f>
        <v/>
      </c>
      <c r="E53" s="13">
        <f>(B53+C53)/2</f>
        <v/>
      </c>
      <c r="F53" s="22" t="inlineStr">
        <is>
          <t>Sand</t>
        </is>
      </c>
      <c r="G53" s="23" t="n">
        <v>44</v>
      </c>
      <c r="H53" s="12">
        <f>IF(E53&gt;$G$5,$G$7,$G$6)</f>
        <v/>
      </c>
      <c r="I53" s="12">
        <f>I52+H53*D53</f>
        <v/>
      </c>
      <c r="J53" s="12">
        <f>I53-H53*D53/2-10*MAX(E53-$G$5,0)</f>
        <v/>
      </c>
      <c r="K53" s="24" t="n"/>
      <c r="L53" s="24" t="n"/>
      <c r="M53" s="12">
        <f>IF(K53="","",K53-L53)</f>
        <v/>
      </c>
      <c r="N53" s="25" t="n">
        <v>0.65</v>
      </c>
      <c r="O53" s="26">
        <f>IF(F53="Sand",0,Input!$G$19*G53)</f>
        <v/>
      </c>
      <c r="P53" s="12">
        <f>IF(F53="Sand",27.1+0.3*MIN(Input!$G$20*G53,60)-0.00054*MIN(Input!$G$20*G53,60)^2,MIN(MAX(DEGREES(ASIN(0.8-0.094*LN(MAX(IF(M53="",10,M53),5)))),20),30))</f>
        <v/>
      </c>
      <c r="Q53" s="27">
        <f>IF(F53="Sand",Input!$G$21*Input!$G$20*G53,Input!$G$22*O53)</f>
        <v/>
      </c>
      <c r="R53" s="13">
        <f>IF(F53="Sand",Input!$G$26,0.5)</f>
        <v/>
      </c>
      <c r="S53" s="13">
        <f>Input!$G$10/2/E53</f>
        <v/>
      </c>
      <c r="T53" s="13">
        <f>Input!$G$11/2/E53</f>
        <v/>
      </c>
      <c r="U53" s="28">
        <f>1/(4*PI())*(2*S53*T53*SQRT(S53^2+T53^2+1)/(S53^2+T53^2+1+S53^2*T53^2)*(S53^2+T53^2+2)/(S53^2+T53^2+1)+ATAN2(S53^2+T53^2+1-S53^2*T53^2,2*S53*T53*SQRT(S53^2+T53^2+1)))</f>
        <v/>
      </c>
      <c r="V53" s="12">
        <f>4*Input!$G$9*U53</f>
        <v/>
      </c>
      <c r="W53" s="29">
        <f>((Input!$G$11/Input!$G$10)*LN((1+SQRT((Input!$G$11/Input!$G$10)^2+1))*SQRT((Input!$G$11/Input!$G$10)^2+(C53/(Input!$G$10/2))^2)/((Input!$G$11/Input!$G$10)*(1+SQRT((Input!$G$11/Input!$G$10)^2+(C53/(Input!$G$10/2))^2+1))))+LN(((Input!$G$11/Input!$G$10)+SQRT((Input!$G$11/Input!$G$10)^2+1))*SQRT(1+(C53/(Input!$G$10/2))^2)/((Input!$G$11/Input!$G$10)+SQRT((Input!$G$11/Input!$G$10)^2+(C53/(Input!$G$10/2))^2+1))))/PI()</f>
        <v/>
      </c>
      <c r="X53" s="29">
        <f>(C53/(Input!$G$10/2))/(2*PI())*ATAN((Input!$G$11/Input!$G$10)/((C53/(Input!$G$10/2))*SQRT((Input!$G$11/Input!$G$10)^2+(C53/(Input!$G$10/2))^2+1)))</f>
        <v/>
      </c>
      <c r="Y53" s="13">
        <f>MAX(0,C53-MAX(B53,$G$8))/D53*IF(V53&gt;=Input!$G$27*J53,1,0)</f>
        <v/>
      </c>
      <c r="Z53" s="12">
        <f>4*Input!$G$9*(Input!$G$10/2)*(1-R53^2)/Q53*((W53-W52)+(1-2*R53)/(1-R53)*(X53-X52))*1000*Y53</f>
        <v/>
      </c>
      <c r="AA53" s="30">
        <f>IF(F53="Sand",0,0.009*(K53-10))</f>
        <v/>
      </c>
      <c r="AB53" s="30">
        <f>AA53*Input!$G$23</f>
        <v/>
      </c>
      <c r="AC53" s="26">
        <f>IF(F53="Sand",0,MAX(O53/Input!$G$24,J53))</f>
        <v/>
      </c>
      <c r="AD53" s="31">
        <f>IF(F53="Sand",0,1000*D53/(1+N53)*IF(J53+V53&lt;=AC53,AB53*LOG10((J53+V53)/J53),AB53*LOG10(AC53/J53)+AA53*LOG10((J53+V53)/AC53)))*Y53</f>
        <v/>
      </c>
      <c r="AE53" s="32">
        <f>IF(F53="Sand",0,10^(INDEX(Korelasi!$C$5:$C$11,MIN(MATCH(MIN(MAX(K53,30),120),Korelasi!$A$5:$A$11,1),6))+(MIN(MAX(K53,30),120)-INDEX(Korelasi!$A$5:$A$11,MIN(MATCH(MIN(MAX(K53,30),120),Korelasi!$A$5:$A$11,1),6)))/(INDEX(Korelasi!$A$5:$A$11,MIN(MATCH(MIN(MAX(K53,30),120),Korelasi!$A$5:$A$11,1),6)+1)-INDEX(Korelasi!$A$5:$A$11,MIN(MATCH(MIN(MAX(K53,30),120),Korelasi!$A$5:$A$11,1),6)))*(INDEX(Korelasi!$C$5:$C$11,MIN(MATCH(MIN(MAX(K53,30),120),Korelasi!$A$5:$A$11,1),6)+1)-INDEX(Korelasi!$C$5:$C$11,MIN(MATCH(MIN(MAX(K53,30),120),Korelasi!$A$5:$A$11,1),6)))))</f>
        <v/>
      </c>
      <c r="AF53" s="33">
        <f>IF(OR(F53="Sand",Y53=0),0,Input!$G$25*(D53/2)^2/(AE53*1E-4*31536000))</f>
        <v/>
      </c>
      <c r="AG53" s="13">
        <f>MAX(0,MIN(C53,Input!$G$15)-B53)</f>
        <v/>
      </c>
      <c r="AH53" s="13">
        <f>MAX(0,MIN(C53,Input!$G$15)-MAX(B53,$G$8))</f>
        <v/>
      </c>
      <c r="AI53" s="13">
        <f>MAX(0,MIN(C53,$G$106)-B53)</f>
        <v/>
      </c>
      <c r="AJ53" s="34" t="inlineStr">
        <is>
          <t>data salinan BH-02</t>
        </is>
      </c>
    </row>
    <row r="54">
      <c r="A54" s="2" t="inlineStr">
        <is>
          <t>Sel kuning = data (SPT, lab, laporan). Jenis: Sand / Silt / Clay. Sublapisan di bawah kedalaman bor memakai data borehole terdekat (lihat Ket.).</t>
        </is>
      </c>
    </row>
    <row r="56">
      <c r="A56" s="3" t="inlineStr">
        <is>
          <t>3. DAYA DUKUNG TANAH DASAR (Terzaghi/Vesic, SNI 8460:2017)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</row>
    <row r="57">
      <c r="A57" s="2" t="inlineStr">
        <is>
          <t>Kondisi undrained (jangka pendek) dihitung bila ada lanau/lempung dalam 0 - Hb; kondisi drained (jangka panjang) selalu dihitung; daya dukung = nilai terkecil. Tanah 0 - Dr yang diganti dianggap material granular (Input bagian D).</t>
        </is>
      </c>
    </row>
    <row r="58">
      <c r="A58" s="15" t="inlineStr">
        <is>
          <t>a) TANPA PERBAIKAN</t>
        </is>
      </c>
    </row>
    <row r="59">
      <c r="A59" s="5" t="inlineStr">
        <is>
          <t>Tebal lanau/lempung asli dalam 0 - Hb</t>
        </is>
      </c>
      <c r="F59" s="6" t="inlineStr">
        <is>
          <t>Σh</t>
        </is>
      </c>
      <c r="G59" s="35">
        <f>SUMPRODUCT(--(F13:F53&lt;&gt;"Sand"),AG13:AG53)</f>
        <v/>
      </c>
      <c r="H59" s="5" t="inlineStr">
        <is>
          <t>m</t>
        </is>
      </c>
      <c r="I59" s="2" t="inlineStr"/>
    </row>
    <row r="60">
      <c r="A60" s="5" t="inlineStr">
        <is>
          <t>cu rata-rata lanau/lempung (0 - Hb)</t>
        </is>
      </c>
      <c r="F60" s="6" t="inlineStr">
        <is>
          <t>cu</t>
        </is>
      </c>
      <c r="G60" s="35">
        <f>IF($G$59=0,0,SUMPRODUCT(--(F13:F53&lt;&gt;"Sand"),AG13:AG53,O13:O53)/$G$59)</f>
        <v/>
      </c>
      <c r="H60" s="5" t="inlineStr">
        <is>
          <t>kPa</t>
        </is>
      </c>
      <c r="I60" s="2" t="inlineStr">
        <is>
          <t>cu = k·N</t>
        </is>
      </c>
    </row>
    <row r="61">
      <c r="A61" s="5" t="inlineStr">
        <is>
          <t>φ' rata-rata (0 - Hb)</t>
        </is>
      </c>
      <c r="F61" s="6" t="inlineStr">
        <is>
          <t>φ'</t>
        </is>
      </c>
      <c r="G61" s="35">
        <f>(SUMPRODUCT(AG13:AG53,P13:P53)+MIN(0,Input!$G$15)*Input!$G$31)/Input!$G$15</f>
        <v/>
      </c>
      <c r="H61" s="5" t="inlineStr">
        <is>
          <t>°</t>
        </is>
      </c>
      <c r="I61" s="2" t="inlineStr">
        <is>
          <t>lapisan diganti memakai φ' material pengganti</t>
        </is>
      </c>
    </row>
    <row r="62">
      <c r="A62" s="5" t="inlineStr">
        <is>
          <t>Berat isi efektif rata-rata (0 - Hb)</t>
        </is>
      </c>
      <c r="F62" s="6" t="inlineStr">
        <is>
          <t>γ'</t>
        </is>
      </c>
      <c r="G62" s="35">
        <f>(SUMPRODUCT(AG13:AG53,H13:H53)+MIN(0,Input!$G$15)*Input!$G$30)/Input!$G$15-10*MAX(0,Input!$G$15-$G$5)/Input!$G$15</f>
        <v/>
      </c>
      <c r="H62" s="5" t="inlineStr">
        <is>
          <t>kN/m³</t>
        </is>
      </c>
      <c r="I62" s="2" t="inlineStr"/>
    </row>
    <row r="63">
      <c r="A63" s="5" t="inlineStr">
        <is>
          <t>Undrained: faktor bentuk (Nc = 5,14)</t>
        </is>
      </c>
      <c r="F63" s="6" t="inlineStr">
        <is>
          <t>sc</t>
        </is>
      </c>
      <c r="G63" s="35">
        <f>1+0.2*Input!$G$10/Input!$G$11</f>
        <v/>
      </c>
      <c r="H63" s="5" t="inlineStr">
        <is>
          <t>-</t>
        </is>
      </c>
      <c r="I63" s="2" t="inlineStr"/>
    </row>
    <row r="64">
      <c r="A64" s="5" t="inlineStr">
        <is>
          <t>qu undrained = cu·Nc·sc</t>
        </is>
      </c>
      <c r="F64" s="6" t="inlineStr">
        <is>
          <t>qu,u</t>
        </is>
      </c>
      <c r="G64" s="36">
        <f>IF($G$59=0,"-",$G$60*5.14*$G$63)</f>
        <v/>
      </c>
      <c r="H64" s="5" t="inlineStr">
        <is>
          <t>kPa</t>
        </is>
      </c>
      <c r="I64" s="2" t="inlineStr">
        <is>
          <t>tidak berlaku bila tidak ada lanau/lempung</t>
        </is>
      </c>
    </row>
    <row r="65">
      <c r="A65" s="5" t="inlineStr">
        <is>
          <t>Drained: Nq = e^(π tanφ)·tan²(45+φ/2)</t>
        </is>
      </c>
      <c r="F65" s="6" t="inlineStr">
        <is>
          <t>Nq</t>
        </is>
      </c>
      <c r="G65" s="35">
        <f>EXP(PI()*TAN(RADIANS($G$61)))*TAN(RADIANS(45+$G$61/2))^2</f>
        <v/>
      </c>
      <c r="H65" s="5" t="inlineStr">
        <is>
          <t>-</t>
        </is>
      </c>
      <c r="I65" s="2" t="inlineStr"/>
    </row>
    <row r="66">
      <c r="A66" s="5" t="inlineStr">
        <is>
          <t>Nγ = 2(Nq+1)tanφ (Vesic 1975)</t>
        </is>
      </c>
      <c r="F66" s="6" t="inlineStr">
        <is>
          <t>Nγ</t>
        </is>
      </c>
      <c r="G66" s="35">
        <f>2*($G$65+1)*TAN(RADIANS($G$61))</f>
        <v/>
      </c>
      <c r="H66" s="5" t="inlineStr">
        <is>
          <t>-</t>
        </is>
      </c>
      <c r="I66" s="2" t="inlineStr"/>
    </row>
    <row r="67">
      <c r="A67" s="5" t="inlineStr">
        <is>
          <t>sγ = 1 - 0,4B/L ;  rγ = 1 - 0,25log(B/2) (Bowles 1996)</t>
        </is>
      </c>
      <c r="F67" s="6" t="inlineStr">
        <is>
          <t>sγ·rγ</t>
        </is>
      </c>
      <c r="G67" s="35">
        <f>(1-0.4*Input!$G$10/Input!$G$11)*IF(Input!$G$10&gt;2,1-0.25*LOG10(Input!$G$10/2),1)</f>
        <v/>
      </c>
      <c r="H67" s="5" t="inlineStr">
        <is>
          <t>-</t>
        </is>
      </c>
      <c r="I67" s="2" t="inlineStr"/>
    </row>
    <row r="68">
      <c r="A68" s="5" t="inlineStr">
        <is>
          <t>qu drained = 0,5·γ'·B·Nγ·sγ·rγ   (c' = 0, q = 0)</t>
        </is>
      </c>
      <c r="F68" s="6" t="inlineStr">
        <is>
          <t>qu,d</t>
        </is>
      </c>
      <c r="G68" s="36">
        <f>0.5*$G$62*Input!$G$10*$G$66*$G$67</f>
        <v/>
      </c>
      <c r="H68" s="5" t="inlineStr">
        <is>
          <t>kPa</t>
        </is>
      </c>
      <c r="I68" s="2" t="inlineStr"/>
    </row>
    <row r="69">
      <c r="A69" s="5" t="inlineStr">
        <is>
          <t>Daya dukung ultimit menentukan</t>
        </is>
      </c>
      <c r="F69" s="6" t="inlineStr">
        <is>
          <t>qu</t>
        </is>
      </c>
      <c r="G69" s="37">
        <f>IF($G$59=0,$G$68,MIN($G$64,$G$68))</f>
        <v/>
      </c>
      <c r="H69" s="5" t="inlineStr">
        <is>
          <t>kPa</t>
        </is>
      </c>
      <c r="I69" s="2" t="inlineStr"/>
    </row>
    <row r="70">
      <c r="A70" s="5" t="inlineStr">
        <is>
          <t>Daya dukung izin = qu / SF</t>
        </is>
      </c>
      <c r="F70" s="6" t="inlineStr">
        <is>
          <t>qall</t>
        </is>
      </c>
      <c r="G70" s="37">
        <f>$G$69/Input!$G$14</f>
        <v/>
      </c>
      <c r="H70" s="5" t="inlineStr">
        <is>
          <t>kPa</t>
        </is>
      </c>
      <c r="I70" s="2" t="inlineStr"/>
    </row>
    <row r="71">
      <c r="A71" s="5" t="inlineStr">
        <is>
          <t>Tekanan kerja (timbunan + beban merata)</t>
        </is>
      </c>
      <c r="F71" s="6" t="inlineStr">
        <is>
          <t>q</t>
        </is>
      </c>
      <c r="G71" s="36">
        <f>Input!$G$9</f>
        <v/>
      </c>
      <c r="H71" s="5" t="inlineStr">
        <is>
          <t>kPa</t>
        </is>
      </c>
      <c r="I71" s="2" t="inlineStr"/>
    </row>
    <row r="72">
      <c r="A72" s="5" t="inlineStr">
        <is>
          <t>Kontrol daya dukung</t>
        </is>
      </c>
      <c r="F72" s="6" t="inlineStr"/>
      <c r="G72" s="38">
        <f>IF($G$70&gt;=Input!$G$9,"qall ≥ q … OK","qall &lt; q … NG")</f>
        <v/>
      </c>
      <c r="H72" s="5" t="inlineStr"/>
      <c r="I72" s="2" t="inlineStr"/>
    </row>
    <row r="73">
      <c r="A73" s="5" t="inlineStr">
        <is>
          <t>Faktor keamanan aktual = qu / q</t>
        </is>
      </c>
      <c r="F73" s="6" t="inlineStr">
        <is>
          <t>FS</t>
        </is>
      </c>
      <c r="G73" s="35">
        <f>$G$69/Input!$G$9</f>
        <v/>
      </c>
      <c r="H73" s="5" t="inlineStr">
        <is>
          <t>-</t>
        </is>
      </c>
      <c r="I73" s="2" t="inlineStr"/>
    </row>
    <row r="74">
      <c r="A74" s="5" t="inlineStr">
        <is>
          <t>Tinggi timbunan izin (dengan beban merata)</t>
        </is>
      </c>
      <c r="F74" s="6" t="inlineStr">
        <is>
          <t>H izin</t>
        </is>
      </c>
      <c r="G74" s="35">
        <f>MAX(0,($G$70-Input!$G$8)/Input!$G$7)</f>
        <v/>
      </c>
      <c r="H74" s="5" t="inlineStr">
        <is>
          <t>m</t>
        </is>
      </c>
      <c r="I74" s="2" t="inlineStr">
        <is>
          <t>H izin = (qall - qs)/γf</t>
        </is>
      </c>
    </row>
    <row r="76">
      <c r="A76" s="15" t="inlineStr">
        <is>
          <t>b) DENGAN PENGGANTIAN TANAH 0 - Dr (kondisi desain)</t>
        </is>
      </c>
    </row>
    <row r="77">
      <c r="A77" s="5" t="inlineStr">
        <is>
          <t>Tebal lanau/lempung asli dalam 0 - Hb</t>
        </is>
      </c>
      <c r="F77" s="6" t="inlineStr">
        <is>
          <t>Σh</t>
        </is>
      </c>
      <c r="G77" s="35">
        <f>SUMPRODUCT(--(F13:F53&lt;&gt;"Sand"),AH13:AH53)</f>
        <v/>
      </c>
      <c r="H77" s="5" t="inlineStr">
        <is>
          <t>m</t>
        </is>
      </c>
      <c r="I77" s="2" t="inlineStr"/>
    </row>
    <row r="78">
      <c r="A78" s="5" t="inlineStr">
        <is>
          <t>cu rata-rata lanau/lempung (0 - Hb)</t>
        </is>
      </c>
      <c r="F78" s="6" t="inlineStr">
        <is>
          <t>cu</t>
        </is>
      </c>
      <c r="G78" s="35">
        <f>IF($G$77=0,0,SUMPRODUCT(--(F13:F53&lt;&gt;"Sand"),AH13:AH53,O13:O53)/$G$77)</f>
        <v/>
      </c>
      <c r="H78" s="5" t="inlineStr">
        <is>
          <t>kPa</t>
        </is>
      </c>
      <c r="I78" s="2" t="inlineStr">
        <is>
          <t>cu = k·N</t>
        </is>
      </c>
    </row>
    <row r="79">
      <c r="A79" s="5" t="inlineStr">
        <is>
          <t>φ' rata-rata (0 - Hb)</t>
        </is>
      </c>
      <c r="F79" s="6" t="inlineStr">
        <is>
          <t>φ'</t>
        </is>
      </c>
      <c r="G79" s="35">
        <f>(SUMPRODUCT(AH13:AH53,P13:P53)+MIN($G$8,Input!$G$15)*Input!$G$31)/Input!$G$15</f>
        <v/>
      </c>
      <c r="H79" s="5" t="inlineStr">
        <is>
          <t>°</t>
        </is>
      </c>
      <c r="I79" s="2" t="inlineStr">
        <is>
          <t>lapisan diganti memakai φ' material pengganti</t>
        </is>
      </c>
    </row>
    <row r="80">
      <c r="A80" s="5" t="inlineStr">
        <is>
          <t>Berat isi efektif rata-rata (0 - Hb)</t>
        </is>
      </c>
      <c r="F80" s="6" t="inlineStr">
        <is>
          <t>γ'</t>
        </is>
      </c>
      <c r="G80" s="35">
        <f>(SUMPRODUCT(AH13:AH53,H13:H53)+MIN($G$8,Input!$G$15)*Input!$G$30)/Input!$G$15-10*MAX(0,Input!$G$15-$G$5)/Input!$G$15</f>
        <v/>
      </c>
      <c r="H80" s="5" t="inlineStr">
        <is>
          <t>kN/m³</t>
        </is>
      </c>
      <c r="I80" s="2" t="inlineStr"/>
    </row>
    <row r="81">
      <c r="A81" s="5" t="inlineStr">
        <is>
          <t>Undrained: faktor bentuk (Nc = 5,14)</t>
        </is>
      </c>
      <c r="F81" s="6" t="inlineStr">
        <is>
          <t>sc</t>
        </is>
      </c>
      <c r="G81" s="35">
        <f>1+0.2*Input!$G$10/Input!$G$11</f>
        <v/>
      </c>
      <c r="H81" s="5" t="inlineStr">
        <is>
          <t>-</t>
        </is>
      </c>
      <c r="I81" s="2" t="inlineStr"/>
    </row>
    <row r="82">
      <c r="A82" s="5" t="inlineStr">
        <is>
          <t>qu undrained = cu·Nc·sc</t>
        </is>
      </c>
      <c r="F82" s="6" t="inlineStr">
        <is>
          <t>qu,u</t>
        </is>
      </c>
      <c r="G82" s="36">
        <f>IF($G$77=0,"-",$G$78*5.14*$G$81)</f>
        <v/>
      </c>
      <c r="H82" s="5" t="inlineStr">
        <is>
          <t>kPa</t>
        </is>
      </c>
      <c r="I82" s="2" t="inlineStr">
        <is>
          <t>tidak berlaku bila tidak ada lanau/lempung</t>
        </is>
      </c>
    </row>
    <row r="83">
      <c r="A83" s="5" t="inlineStr">
        <is>
          <t>Drained: Nq = e^(π tanφ)·tan²(45+φ/2)</t>
        </is>
      </c>
      <c r="F83" s="6" t="inlineStr">
        <is>
          <t>Nq</t>
        </is>
      </c>
      <c r="G83" s="35">
        <f>EXP(PI()*TAN(RADIANS($G$79)))*TAN(RADIANS(45+$G$79/2))^2</f>
        <v/>
      </c>
      <c r="H83" s="5" t="inlineStr">
        <is>
          <t>-</t>
        </is>
      </c>
      <c r="I83" s="2" t="inlineStr"/>
    </row>
    <row r="84">
      <c r="A84" s="5" t="inlineStr">
        <is>
          <t>Nγ = 2(Nq+1)tanφ (Vesic 1975)</t>
        </is>
      </c>
      <c r="F84" s="6" t="inlineStr">
        <is>
          <t>Nγ</t>
        </is>
      </c>
      <c r="G84" s="35">
        <f>2*($G$83+1)*TAN(RADIANS($G$79))</f>
        <v/>
      </c>
      <c r="H84" s="5" t="inlineStr">
        <is>
          <t>-</t>
        </is>
      </c>
      <c r="I84" s="2" t="inlineStr"/>
    </row>
    <row r="85">
      <c r="A85" s="5" t="inlineStr">
        <is>
          <t>sγ = 1 - 0,4B/L ;  rγ = 1 - 0,25log(B/2) (Bowles 1996)</t>
        </is>
      </c>
      <c r="F85" s="6" t="inlineStr">
        <is>
          <t>sγ·rγ</t>
        </is>
      </c>
      <c r="G85" s="35">
        <f>(1-0.4*Input!$G$10/Input!$G$11)*IF(Input!$G$10&gt;2,1-0.25*LOG10(Input!$G$10/2),1)</f>
        <v/>
      </c>
      <c r="H85" s="5" t="inlineStr">
        <is>
          <t>-</t>
        </is>
      </c>
      <c r="I85" s="2" t="inlineStr"/>
    </row>
    <row r="86">
      <c r="A86" s="5" t="inlineStr">
        <is>
          <t>qu drained = 0,5·γ'·B·Nγ·sγ·rγ   (c' = 0, q = 0)</t>
        </is>
      </c>
      <c r="F86" s="6" t="inlineStr">
        <is>
          <t>qu,d</t>
        </is>
      </c>
      <c r="G86" s="36">
        <f>0.5*$G$80*Input!$G$10*$G$84*$G$85</f>
        <v/>
      </c>
      <c r="H86" s="5" t="inlineStr">
        <is>
          <t>kPa</t>
        </is>
      </c>
      <c r="I86" s="2" t="inlineStr"/>
    </row>
    <row r="87">
      <c r="A87" s="5" t="inlineStr">
        <is>
          <t>Daya dukung ultimit menentukan</t>
        </is>
      </c>
      <c r="F87" s="6" t="inlineStr">
        <is>
          <t>qu</t>
        </is>
      </c>
      <c r="G87" s="37">
        <f>IF($G$77=0,$G$86,MIN($G$82,$G$86))</f>
        <v/>
      </c>
      <c r="H87" s="5" t="inlineStr">
        <is>
          <t>kPa</t>
        </is>
      </c>
      <c r="I87" s="2" t="inlineStr"/>
    </row>
    <row r="88">
      <c r="A88" s="5" t="inlineStr">
        <is>
          <t>Daya dukung izin = qu / SF</t>
        </is>
      </c>
      <c r="F88" s="6" t="inlineStr">
        <is>
          <t>qall</t>
        </is>
      </c>
      <c r="G88" s="37">
        <f>$G$87/Input!$G$14</f>
        <v/>
      </c>
      <c r="H88" s="5" t="inlineStr">
        <is>
          <t>kPa</t>
        </is>
      </c>
      <c r="I88" s="2" t="inlineStr"/>
    </row>
    <row r="89">
      <c r="A89" s="5" t="inlineStr">
        <is>
          <t>Tekanan kerja (timbunan + beban merata)</t>
        </is>
      </c>
      <c r="F89" s="6" t="inlineStr">
        <is>
          <t>q</t>
        </is>
      </c>
      <c r="G89" s="36">
        <f>Input!$G$9</f>
        <v/>
      </c>
      <c r="H89" s="5" t="inlineStr">
        <is>
          <t>kPa</t>
        </is>
      </c>
      <c r="I89" s="2" t="inlineStr"/>
    </row>
    <row r="90">
      <c r="A90" s="5" t="inlineStr">
        <is>
          <t>Kontrol daya dukung</t>
        </is>
      </c>
      <c r="F90" s="6" t="inlineStr"/>
      <c r="G90" s="38">
        <f>IF($G$88&gt;=Input!$G$9,"qall ≥ q … OK","qall &lt; q … NG")</f>
        <v/>
      </c>
      <c r="H90" s="5" t="inlineStr"/>
      <c r="I90" s="2" t="inlineStr"/>
    </row>
    <row r="91">
      <c r="A91" s="5" t="inlineStr">
        <is>
          <t>Faktor keamanan aktual = qu / q</t>
        </is>
      </c>
      <c r="F91" s="6" t="inlineStr">
        <is>
          <t>FS</t>
        </is>
      </c>
      <c r="G91" s="35">
        <f>$G$87/Input!$G$9</f>
        <v/>
      </c>
      <c r="H91" s="5" t="inlineStr">
        <is>
          <t>-</t>
        </is>
      </c>
      <c r="I91" s="2" t="inlineStr"/>
    </row>
    <row r="92">
      <c r="A92" s="5" t="inlineStr">
        <is>
          <t>Tinggi timbunan izin (dengan beban merata)</t>
        </is>
      </c>
      <c r="F92" s="6" t="inlineStr">
        <is>
          <t>H izin</t>
        </is>
      </c>
      <c r="G92" s="35">
        <f>MAX(0,($G$88-Input!$G$8)/Input!$G$7)</f>
        <v/>
      </c>
      <c r="H92" s="5" t="inlineStr">
        <is>
          <t>m</t>
        </is>
      </c>
      <c r="I92" s="2" t="inlineStr">
        <is>
          <t>H izin = (qall - qs)/γf</t>
        </is>
      </c>
    </row>
    <row r="94">
      <c r="A94" s="15" t="inlineStr">
        <is>
          <t>c) Tanah pasiran - daya dukung izin berbasis penurunan 25 mm (Meyerhof 1965, Bowles 1996)</t>
        </is>
      </c>
    </row>
    <row r="95">
      <c r="A95" s="5" t="inlineStr">
        <is>
          <t>N60 rata-rata lapisan pasir (0 - Hb)</t>
        </is>
      </c>
      <c r="F95" s="6" t="inlineStr">
        <is>
          <t>N60</t>
        </is>
      </c>
      <c r="G95" s="36">
        <f>IFERROR(SUMPRODUCT(--(F13:F53="Sand"),AG13:AG53,G13:G53)/SUMPRODUCT(--(F13:F53="Sand"),AG13:AG53)*Input!$G$20,"-")</f>
        <v/>
      </c>
      <c r="H95" s="5" t="inlineStr">
        <is>
          <t>-</t>
        </is>
      </c>
      <c r="I95" s="2" t="inlineStr"/>
    </row>
    <row r="96">
      <c r="A96" s="5" t="inlineStr">
        <is>
          <t>qa (S = 25 mm) = (N55/0,08)·((B+0,3)/B)²·Kd</t>
        </is>
      </c>
      <c r="F96" s="6" t="inlineStr">
        <is>
          <t>qa</t>
        </is>
      </c>
      <c r="G96" s="36">
        <f>IFERROR(($G$95*60/55)/0.08*((Input!$G$10+0.3)/Input!$G$10)^2,"-")</f>
        <v/>
      </c>
      <c r="H96" s="5" t="inlineStr">
        <is>
          <t>kPa</t>
        </is>
      </c>
      <c r="I96" s="2" t="inlineStr">
        <is>
          <t>Kd = 1 (beban di permukaan)</t>
        </is>
      </c>
    </row>
    <row r="97">
      <c r="A97" s="2" t="inlineStr">
        <is>
          <t>Pada tanah pasiran daya dukung geser hampir selalu jauh di atas beban; penentu desain adalah penurunan (bagian 4).</t>
        </is>
      </c>
    </row>
    <row r="99">
      <c r="A99" s="3" t="inlineStr">
        <is>
          <t>4. PENURUNAN SEGERA (IMMEDIATE SETTLEMENT) - kondisi desain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</row>
    <row r="100">
      <c r="A100" s="2" t="inlineStr">
        <is>
          <t>d) Teori elastis berlapis (Steinbrenner 1934; Bowles 1996): pusat area fleksibel B×L, tiap lapisan Si = 4q(B/2)(1-ν²)/E·[ΔF1 + (1-2ν)/(1-ν)·ΔF2]. Pasir: E drained, ν pasir; lanau/lempung: Eu undrained, ν = 0,5.</t>
        </is>
      </c>
    </row>
    <row r="101">
      <c r="A101" s="5" t="inlineStr">
        <is>
          <t>Penurunan segera total (dalam kedalaman pengaruh)</t>
        </is>
      </c>
      <c r="F101" s="6" t="inlineStr">
        <is>
          <t>Si</t>
        </is>
      </c>
      <c r="G101" s="37">
        <f>SUM(Z13:Z53)</f>
        <v/>
      </c>
      <c r="H101" s="5" t="inlineStr">
        <is>
          <t>mm</t>
        </is>
      </c>
      <c r="I101" s="2" t="inlineStr"/>
    </row>
    <row r="102">
      <c r="A102" s="5" t="inlineStr">
        <is>
          <t xml:space="preserve">   - dari lapisan pasir</t>
        </is>
      </c>
      <c r="F102" s="6" t="inlineStr"/>
      <c r="G102" s="36">
        <f>SUMPRODUCT(--(F13:F53="Sand"),Z13:Z53)</f>
        <v/>
      </c>
      <c r="H102" s="5" t="inlineStr">
        <is>
          <t>mm</t>
        </is>
      </c>
      <c r="I102" s="2" t="inlineStr"/>
    </row>
    <row r="103">
      <c r="A103" s="5" t="inlineStr">
        <is>
          <t xml:space="preserve">   - dari lapisan lanau/lempung (undrained)</t>
        </is>
      </c>
      <c r="F103" s="6" t="inlineStr"/>
      <c r="G103" s="36">
        <f>$G$101-$G$102</f>
        <v/>
      </c>
      <c r="H103" s="5" t="inlineStr">
        <is>
          <t>mm</t>
        </is>
      </c>
      <c r="I103" s="2" t="inlineStr"/>
    </row>
    <row r="105">
      <c r="A105" s="15" t="inlineStr">
        <is>
          <t>e) Pemeriksaan tanah pasiran - Burland &amp; Burbidge (1985), pasir NC:  S = fs·fl·q·B^0,7·Ic,   Ic = 1,71/N̄^1,4</t>
        </is>
      </c>
    </row>
    <row r="106">
      <c r="A106" s="5" t="inlineStr">
        <is>
          <t>Kedalaman pengaruh zI = B^0,763</t>
        </is>
      </c>
      <c r="F106" s="6" t="inlineStr">
        <is>
          <t>zI</t>
        </is>
      </c>
      <c r="G106" s="35">
        <f>MIN(Input!$G$10^0.763,C53)</f>
        <v/>
      </c>
      <c r="H106" s="5" t="inlineStr">
        <is>
          <t>m</t>
        </is>
      </c>
      <c r="I106" s="2" t="inlineStr"/>
    </row>
    <row r="107">
      <c r="A107" s="5" t="inlineStr">
        <is>
          <t>N rata-rata dalam zI (N terukur)</t>
        </is>
      </c>
      <c r="F107" s="6" t="inlineStr">
        <is>
          <t>N̄</t>
        </is>
      </c>
      <c r="G107" s="36">
        <f>SUMPRODUCT(AI13:AI53,G13:G53)/$G$106</f>
        <v/>
      </c>
      <c r="H107" s="5" t="inlineStr">
        <is>
          <t>-</t>
        </is>
      </c>
      <c r="I107" s="2" t="inlineStr"/>
    </row>
    <row r="108">
      <c r="A108" s="5" t="inlineStr">
        <is>
          <t>Indeks kompresibilitas</t>
        </is>
      </c>
      <c r="F108" s="6" t="inlineStr">
        <is>
          <t>Ic</t>
        </is>
      </c>
      <c r="G108" s="39">
        <f>1.71/$G$107^1.4</f>
        <v/>
      </c>
      <c r="H108" s="5" t="inlineStr">
        <is>
          <t>-</t>
        </is>
      </c>
      <c r="I108" s="2" t="inlineStr"/>
    </row>
    <row r="109">
      <c r="A109" s="5" t="inlineStr">
        <is>
          <t>Faktor bentuk fs = [1,25(L/B)/(L/B+0,25)]²</t>
        </is>
      </c>
      <c r="F109" s="6" t="inlineStr">
        <is>
          <t>fs</t>
        </is>
      </c>
      <c r="G109" s="35">
        <f>(1.25*Input!$G$11/Input!$G$10/(Input!$G$11/Input!$G$10+0.25))^2</f>
        <v/>
      </c>
      <c r="H109" s="5" t="inlineStr">
        <is>
          <t>-</t>
        </is>
      </c>
      <c r="I109" s="2" t="inlineStr"/>
    </row>
    <row r="110">
      <c r="A110" s="5" t="inlineStr">
        <is>
          <t>Penurunan (B&amp;B), fl = 1</t>
        </is>
      </c>
      <c r="F110" s="6" t="inlineStr">
        <is>
          <t>S</t>
        </is>
      </c>
      <c r="G110" s="37">
        <f>$G$109*Input!$G$9*Input!$G$10^0.7*$G$108</f>
        <v/>
      </c>
      <c r="H110" s="5" t="inlineStr">
        <is>
          <t>mm</t>
        </is>
      </c>
      <c r="I110" s="2" t="inlineStr"/>
    </row>
    <row r="111">
      <c r="A111" s="2" t="inlineStr">
        <is>
          <t>B&amp;B menganggap seluruh zona pengaruh berupa pasir; bila ada lanau/lempung, pakai butir d) sebagai nilai desain.</t>
        </is>
      </c>
    </row>
    <row r="113">
      <c r="A113" s="3" t="inlineStr">
        <is>
          <t>5. PENURUNAN KONSOLIDASI PRIMER &amp; WAKTU KONSOLIDASI (lapisan lanau/lempung) - kondisi desain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</row>
    <row r="114">
      <c r="A114" s="2" t="inlineStr">
        <is>
          <t>Sc = h/(1+e0)·[Cr·log(σ'p/σ'0) + Cc·log((σ'0+Δσ)/σ'p)] (Das 2019); Δσ Boussinesq di pusat area; σ'p = max(cu/0,22 ; σ'0); t90 = Tv·Hdr²/Cv, drainase ganda (Hdr = h/2) karena diapit pasir.</t>
        </is>
      </c>
    </row>
    <row r="115">
      <c r="A115" s="5" t="inlineStr">
        <is>
          <t>Penurunan konsolidasi total</t>
        </is>
      </c>
      <c r="F115" s="6" t="inlineStr">
        <is>
          <t>Sc</t>
        </is>
      </c>
      <c r="G115" s="37">
        <f>SUM(AD13:AD53)</f>
        <v/>
      </c>
      <c r="H115" s="5" t="inlineStr">
        <is>
          <t>mm</t>
        </is>
      </c>
      <c r="I115" s="2" t="inlineStr"/>
    </row>
    <row r="116">
      <c r="A116" s="5" t="inlineStr">
        <is>
          <t>Waktu konsolidasi 90% (lapisan terlama)</t>
        </is>
      </c>
      <c r="F116" s="6" t="inlineStr">
        <is>
          <t>t90</t>
        </is>
      </c>
      <c r="G116" s="35">
        <f>MAX(AF13:AF53)</f>
        <v/>
      </c>
      <c r="H116" s="5" t="inlineStr">
        <is>
          <t>tahun</t>
        </is>
      </c>
      <c r="I116" s="2" t="inlineStr"/>
    </row>
    <row r="118">
      <c r="A118" s="3" t="inlineStr">
        <is>
          <t>6. RINGKASAN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</row>
    <row r="119">
      <c r="A119" s="5" t="inlineStr">
        <is>
          <t>Penurunan total jangka panjang = Si + Sc</t>
        </is>
      </c>
      <c r="F119" s="6" t="inlineStr">
        <is>
          <t>S</t>
        </is>
      </c>
      <c r="G119" s="37">
        <f>$G$101+$G$115</f>
        <v/>
      </c>
      <c r="H119" s="5" t="inlineStr">
        <is>
          <t>mm</t>
        </is>
      </c>
      <c r="I119" s="2" t="inlineStr"/>
    </row>
    <row r="120">
      <c r="A120" s="5" t="inlineStr">
        <is>
          <t>Kontrol terhadap batas penurunan</t>
        </is>
      </c>
      <c r="F120" s="6" t="inlineStr"/>
      <c r="G120" s="38">
        <f>IF($G$119&lt;=Input!$G$16,"S ≤ S izin … OK","S &gt; S izin … NG")</f>
        <v/>
      </c>
      <c r="H120" s="5" t="inlineStr"/>
      <c r="I120" s="2" t="inlineStr"/>
    </row>
    <row r="121">
      <c r="A121" s="2" t="inlineStr">
        <is>
          <t>Penurunan pasca-likuefaksi saat gempa (laporan likuefaksi, Tabel 5.4: 100 - 383 mm) TIDAK termasuk; ditinjau terpisah.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121"/>
  <sheetViews>
    <sheetView showGridLines="0" zoomScale="85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8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6" customWidth="1" min="16" max="16"/>
    <col width="9" customWidth="1" min="17" max="17"/>
    <col width="5" customWidth="1" min="18" max="18"/>
    <col width="6" customWidth="1" min="19" max="19"/>
    <col width="6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6" customWidth="1" min="27" max="27"/>
    <col width="6" customWidth="1" min="28" max="28"/>
    <col width="8" customWidth="1" min="29" max="29"/>
    <col width="7" customWidth="1" min="30" max="30"/>
    <col width="9" customWidth="1" min="31" max="31"/>
    <col width="7" customWidth="1" min="32" max="32"/>
    <col width="6" customWidth="1" min="33" max="33"/>
    <col width="6" customWidth="1" min="34" max="34"/>
    <col width="6" customWidth="1" min="35" max="35"/>
    <col width="34" customWidth="1" min="36" max="36"/>
  </cols>
  <sheetData>
    <row r="1">
      <c r="A1" s="1" t="inlineStr">
        <is>
          <t>ANALISIS DAYA DUKUNG, PENURUNAN SEGERA &amp; KONSOLIDASI - BH-04 (Wellpad D)</t>
        </is>
      </c>
    </row>
    <row r="2">
      <c r="A2" s="2" t="inlineStr">
        <is>
          <t>PSPE Bora Pulu - timbunan + beban merata (lihat sheet Input)</t>
        </is>
      </c>
    </row>
    <row r="4">
      <c r="A4" s="3" t="inlineStr">
        <is>
          <t>1. PARAMETER BOREHOLE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5" t="inlineStr">
        <is>
          <t>Muka air tanah (GWL)</t>
        </is>
      </c>
      <c r="G5" s="19" t="n">
        <v>9</v>
      </c>
      <c r="H5" s="5" t="inlineStr">
        <is>
          <t>m</t>
        </is>
      </c>
      <c r="I5" s="2" t="inlineStr">
        <is>
          <t>GWL analisis likuefaksi (Report BP-00-GEO-RPT-003)</t>
        </is>
      </c>
    </row>
    <row r="6">
      <c r="A6" s="5" t="inlineStr">
        <is>
          <t>Berat isi di atas GWL</t>
        </is>
      </c>
      <c r="G6" s="19" t="n">
        <v>19.6</v>
      </c>
      <c r="H6" s="5" t="inlineStr">
        <is>
          <t>kN/m³</t>
        </is>
      </c>
      <c r="I6" s="2" t="inlineStr">
        <is>
          <t>Report Tabel 5.1 (hasil lab)</t>
        </is>
      </c>
    </row>
    <row r="7">
      <c r="A7" s="5" t="inlineStr">
        <is>
          <t>Berat isi di bawah GWL</t>
        </is>
      </c>
      <c r="G7" s="19" t="n">
        <v>20.2</v>
      </c>
      <c r="H7" s="5" t="inlineStr">
        <is>
          <t>kN/m³</t>
        </is>
      </c>
      <c r="I7" s="2" t="inlineStr">
        <is>
          <t>Report Tabel 5.1 (hasil lab)</t>
        </is>
      </c>
    </row>
    <row r="8">
      <c r="A8" s="5" t="inlineStr">
        <is>
          <t>Kedalaman penggantian tanah (replacement) - kondisi desain</t>
        </is>
      </c>
      <c r="G8" s="19" t="n">
        <v>3</v>
      </c>
      <c r="H8" s="5" t="inlineStr">
        <is>
          <t>m</t>
        </is>
      </c>
      <c r="I8" s="2" t="inlineStr">
        <is>
          <t>0 = tanpa perbaikan; tanah 0 - Dr diganti material granular (sheet Input bagian D)</t>
        </is>
      </c>
    </row>
    <row r="10">
      <c r="A10" s="3" t="inlineStr">
        <is>
          <t>2. TABEL TANAH &amp; PERHITUNGAN PER LAPISAN (sublapisan = interval SPT 1,5 m)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</row>
    <row r="11" ht="26" customHeight="1">
      <c r="A11" s="9" t="inlineStr">
        <is>
          <t>No</t>
        </is>
      </c>
      <c r="B11" s="9" t="inlineStr">
        <is>
          <t>Atas</t>
        </is>
      </c>
      <c r="C11" s="9" t="inlineStr">
        <is>
          <t>Bawah</t>
        </is>
      </c>
      <c r="D11" s="9" t="inlineStr">
        <is>
          <t>Tebal h</t>
        </is>
      </c>
      <c r="E11" s="9" t="inlineStr">
        <is>
          <t>Tengah z</t>
        </is>
      </c>
      <c r="F11" s="9" t="inlineStr">
        <is>
          <t>Jenis</t>
        </is>
      </c>
      <c r="G11" s="9" t="inlineStr">
        <is>
          <t>N-SPT</t>
        </is>
      </c>
      <c r="H11" s="9" t="inlineStr">
        <is>
          <t>γ</t>
        </is>
      </c>
      <c r="I11" s="9" t="inlineStr">
        <is>
          <t>σv bawah</t>
        </is>
      </c>
      <c r="J11" s="9" t="inlineStr">
        <is>
          <t>σ'v0 tengah</t>
        </is>
      </c>
      <c r="K11" s="9" t="inlineStr">
        <is>
          <t>LL</t>
        </is>
      </c>
      <c r="L11" s="9" t="inlineStr">
        <is>
          <t>PL</t>
        </is>
      </c>
      <c r="M11" s="9" t="inlineStr">
        <is>
          <t>PI</t>
        </is>
      </c>
      <c r="N11" s="9" t="inlineStr">
        <is>
          <t>e0</t>
        </is>
      </c>
      <c r="O11" s="9" t="inlineStr">
        <is>
          <t>cu</t>
        </is>
      </c>
      <c r="P11" s="9" t="inlineStr">
        <is>
          <t>φ'</t>
        </is>
      </c>
      <c r="Q11" s="9" t="inlineStr">
        <is>
          <t>E</t>
        </is>
      </c>
      <c r="R11" s="9" t="inlineStr">
        <is>
          <t>ν</t>
        </is>
      </c>
      <c r="S11" s="9" t="inlineStr">
        <is>
          <t>m=B/2z</t>
        </is>
      </c>
      <c r="T11" s="9" t="inlineStr">
        <is>
          <t>n=L/2z</t>
        </is>
      </c>
      <c r="U11" s="9" t="inlineStr">
        <is>
          <t>I Bouss.</t>
        </is>
      </c>
      <c r="V11" s="9" t="inlineStr">
        <is>
          <t>Δσz pusat</t>
        </is>
      </c>
      <c r="W11" s="9" t="inlineStr">
        <is>
          <t>F1 (bawah)</t>
        </is>
      </c>
      <c r="X11" s="9" t="inlineStr">
        <is>
          <t>F2 (bawah)</t>
        </is>
      </c>
      <c r="Y11" s="9" t="inlineStr">
        <is>
          <t>faktor aktif</t>
        </is>
      </c>
      <c r="Z11" s="9" t="inlineStr">
        <is>
          <t>Si</t>
        </is>
      </c>
      <c r="AA11" s="9" t="inlineStr">
        <is>
          <t>Cc</t>
        </is>
      </c>
      <c r="AB11" s="9" t="inlineStr">
        <is>
          <t>Cr</t>
        </is>
      </c>
      <c r="AC11" s="9" t="inlineStr">
        <is>
          <t>σ'p</t>
        </is>
      </c>
      <c r="AD11" s="9" t="inlineStr">
        <is>
          <t>Sc</t>
        </is>
      </c>
      <c r="AE11" s="9" t="inlineStr">
        <is>
          <t>Cv</t>
        </is>
      </c>
      <c r="AF11" s="9" t="inlineStr">
        <is>
          <t>t90</t>
        </is>
      </c>
      <c r="AG11" s="9" t="inlineStr">
        <is>
          <t>Δ 0-Hb</t>
        </is>
      </c>
      <c r="AH11" s="9" t="inlineStr">
        <is>
          <t>Δ 0-Hb sisa</t>
        </is>
      </c>
      <c r="AI11" s="9" t="inlineStr">
        <is>
          <t>Δ 0-zI</t>
        </is>
      </c>
      <c r="AJ11" s="9" t="inlineStr">
        <is>
          <t>Ket.</t>
        </is>
      </c>
    </row>
    <row r="12">
      <c r="A12" s="9" t="inlineStr"/>
      <c r="B12" s="9" t="inlineStr">
        <is>
          <t>m</t>
        </is>
      </c>
      <c r="C12" s="9" t="inlineStr">
        <is>
          <t>m</t>
        </is>
      </c>
      <c r="D12" s="9" t="inlineStr">
        <is>
          <t>m</t>
        </is>
      </c>
      <c r="E12" s="9" t="inlineStr">
        <is>
          <t>m</t>
        </is>
      </c>
      <c r="F12" s="9" t="inlineStr"/>
      <c r="G12" s="9" t="inlineStr"/>
      <c r="H12" s="9" t="inlineStr">
        <is>
          <t>kN/m³</t>
        </is>
      </c>
      <c r="I12" s="9" t="inlineStr">
        <is>
          <t>kPa</t>
        </is>
      </c>
      <c r="J12" s="9" t="inlineStr">
        <is>
          <t>kPa</t>
        </is>
      </c>
      <c r="K12" s="9" t="inlineStr">
        <is>
          <t>%</t>
        </is>
      </c>
      <c r="L12" s="9" t="inlineStr">
        <is>
          <t>%</t>
        </is>
      </c>
      <c r="M12" s="9" t="inlineStr">
        <is>
          <t>%</t>
        </is>
      </c>
      <c r="N12" s="9" t="inlineStr">
        <is>
          <t>-</t>
        </is>
      </c>
      <c r="O12" s="9" t="inlineStr">
        <is>
          <t>kPa</t>
        </is>
      </c>
      <c r="P12" s="9" t="inlineStr">
        <is>
          <t>°</t>
        </is>
      </c>
      <c r="Q12" s="9" t="inlineStr">
        <is>
          <t>kPa</t>
        </is>
      </c>
      <c r="R12" s="9" t="inlineStr">
        <is>
          <t>-</t>
        </is>
      </c>
      <c r="S12" s="9" t="inlineStr">
        <is>
          <t>-</t>
        </is>
      </c>
      <c r="T12" s="9" t="inlineStr">
        <is>
          <t>-</t>
        </is>
      </c>
      <c r="U12" s="9" t="inlineStr">
        <is>
          <t>-</t>
        </is>
      </c>
      <c r="V12" s="9" t="inlineStr">
        <is>
          <t>kPa</t>
        </is>
      </c>
      <c r="W12" s="9" t="inlineStr">
        <is>
          <t>-</t>
        </is>
      </c>
      <c r="X12" s="9" t="inlineStr">
        <is>
          <t>-</t>
        </is>
      </c>
      <c r="Y12" s="9" t="inlineStr">
        <is>
          <t>-</t>
        </is>
      </c>
      <c r="Z12" s="9" t="inlineStr">
        <is>
          <t>mm</t>
        </is>
      </c>
      <c r="AA12" s="9" t="inlineStr">
        <is>
          <t>-</t>
        </is>
      </c>
      <c r="AB12" s="9" t="inlineStr">
        <is>
          <t>-</t>
        </is>
      </c>
      <c r="AC12" s="9" t="inlineStr">
        <is>
          <t>kPa</t>
        </is>
      </c>
      <c r="AD12" s="9" t="inlineStr">
        <is>
          <t>mm</t>
        </is>
      </c>
      <c r="AE12" s="9" t="inlineStr">
        <is>
          <t>cm²/s</t>
        </is>
      </c>
      <c r="AF12" s="9" t="inlineStr">
        <is>
          <t>tahun</t>
        </is>
      </c>
      <c r="AG12" s="9" t="inlineStr">
        <is>
          <t>m</t>
        </is>
      </c>
      <c r="AH12" s="9" t="inlineStr">
        <is>
          <t>m</t>
        </is>
      </c>
      <c r="AI12" s="9" t="inlineStr">
        <is>
          <t>m</t>
        </is>
      </c>
      <c r="AJ12" s="9" t="inlineStr"/>
    </row>
    <row r="13">
      <c r="A13" s="20" t="n">
        <v>1</v>
      </c>
      <c r="B13" s="21" t="n">
        <v>0</v>
      </c>
      <c r="C13" s="21" t="n">
        <v>1.5</v>
      </c>
      <c r="D13" s="13">
        <f>C13-B13</f>
        <v/>
      </c>
      <c r="E13" s="13">
        <f>(B13+C13)/2</f>
        <v/>
      </c>
      <c r="F13" s="22" t="inlineStr">
        <is>
          <t>Silt</t>
        </is>
      </c>
      <c r="G13" s="23" t="n">
        <v>5</v>
      </c>
      <c r="H13" s="12">
        <f>IF(E13&gt;$G$5,$G$7,$G$6)</f>
        <v/>
      </c>
      <c r="I13" s="12">
        <f>H13*D13</f>
        <v/>
      </c>
      <c r="J13" s="12">
        <f>I13-H13*D13/2-10*MAX(E13-$G$5,0)</f>
        <v/>
      </c>
      <c r="K13" s="24" t="n">
        <v>28.071</v>
      </c>
      <c r="L13" s="24" t="n">
        <v>18.832</v>
      </c>
      <c r="M13" s="12">
        <f>IF(K13="","",K13-L13)</f>
        <v/>
      </c>
      <c r="N13" s="25" t="n">
        <v>0.59</v>
      </c>
      <c r="O13" s="26">
        <f>IF(F13="Sand",0,Input!$G$19*G13)</f>
        <v/>
      </c>
      <c r="P13" s="12">
        <f>IF(F13="Sand",27.1+0.3*MIN(Input!$G$20*G13,60)-0.00054*MIN(Input!$G$20*G13,60)^2,MIN(MAX(DEGREES(ASIN(0.8-0.094*LN(MAX(IF(M13="",10,M13),5)))),20),30))</f>
        <v/>
      </c>
      <c r="Q13" s="27">
        <f>IF(F13="Sand",Input!$G$21*Input!$G$20*G13,Input!$G$22*O13)</f>
        <v/>
      </c>
      <c r="R13" s="13">
        <f>IF(F13="Sand",Input!$G$26,0.5)</f>
        <v/>
      </c>
      <c r="S13" s="13">
        <f>Input!$G$10/2/E13</f>
        <v/>
      </c>
      <c r="T13" s="13">
        <f>Input!$G$11/2/E13</f>
        <v/>
      </c>
      <c r="U13" s="28">
        <f>1/(4*PI())*(2*S13*T13*SQRT(S13^2+T13^2+1)/(S13^2+T13^2+1+S13^2*T13^2)*(S13^2+T13^2+2)/(S13^2+T13^2+1)+ATAN2(S13^2+T13^2+1-S13^2*T13^2,2*S13*T13*SQRT(S13^2+T13^2+1)))</f>
        <v/>
      </c>
      <c r="V13" s="12">
        <f>4*Input!$G$9*U13</f>
        <v/>
      </c>
      <c r="W13" s="29">
        <f>((Input!$G$11/Input!$G$10)*LN((1+SQRT((Input!$G$11/Input!$G$10)^2+1))*SQRT((Input!$G$11/Input!$G$10)^2+(C13/(Input!$G$10/2))^2)/((Input!$G$11/Input!$G$10)*(1+SQRT((Input!$G$11/Input!$G$10)^2+(C13/(Input!$G$10/2))^2+1))))+LN(((Input!$G$11/Input!$G$10)+SQRT((Input!$G$11/Input!$G$10)^2+1))*SQRT(1+(C13/(Input!$G$10/2))^2)/((Input!$G$11/Input!$G$10)+SQRT((Input!$G$11/Input!$G$10)^2+(C13/(Input!$G$10/2))^2+1))))/PI()</f>
        <v/>
      </c>
      <c r="X13" s="29">
        <f>(C13/(Input!$G$10/2))/(2*PI())*ATAN((Input!$G$11/Input!$G$10)/((C13/(Input!$G$10/2))*SQRT((Input!$G$11/Input!$G$10)^2+(C13/(Input!$G$10/2))^2+1)))</f>
        <v/>
      </c>
      <c r="Y13" s="13">
        <f>MAX(0,C13-MAX(B13,$G$8))/D13*IF(V13&gt;=Input!$G$27*J13,1,0)</f>
        <v/>
      </c>
      <c r="Z13" s="12">
        <f>4*Input!$G$9*(Input!$G$10/2)*(1-R13^2)/Q13*((W13-0)+(1-2*R13)/(1-R13)*(X13-0))*1000*Y13</f>
        <v/>
      </c>
      <c r="AA13" s="30">
        <f>IF(F13="Sand",0,0.009*(K13-10))</f>
        <v/>
      </c>
      <c r="AB13" s="30">
        <f>AA13*Input!$G$23</f>
        <v/>
      </c>
      <c r="AC13" s="26">
        <f>IF(F13="Sand",0,MAX(O13/Input!$G$24,J13))</f>
        <v/>
      </c>
      <c r="AD13" s="31">
        <f>IF(F13="Sand",0,1000*D13/(1+N13)*IF(J13+V13&lt;=AC13,AB13*LOG10((J13+V13)/J13),AB13*LOG10(AC13/J13)+AA13*LOG10((J13+V13)/AC13)))*Y13</f>
        <v/>
      </c>
      <c r="AE13" s="32">
        <f>IF(F13="Sand",0,10^(INDEX(Korelasi!$C$5:$C$11,MIN(MATCH(MIN(MAX(K13,30),120),Korelasi!$A$5:$A$11,1),6))+(MIN(MAX(K13,30),120)-INDEX(Korelasi!$A$5:$A$11,MIN(MATCH(MIN(MAX(K13,30),120),Korelasi!$A$5:$A$11,1),6)))/(INDEX(Korelasi!$A$5:$A$11,MIN(MATCH(MIN(MAX(K13,30),120),Korelasi!$A$5:$A$11,1),6)+1)-INDEX(Korelasi!$A$5:$A$11,MIN(MATCH(MIN(MAX(K13,30),120),Korelasi!$A$5:$A$11,1),6)))*(INDEX(Korelasi!$C$5:$C$11,MIN(MATCH(MIN(MAX(K13,30),120),Korelasi!$A$5:$A$11,1),6)+1)-INDEX(Korelasi!$C$5:$C$11,MIN(MATCH(MIN(MAX(K13,30),120),Korelasi!$A$5:$A$11,1),6)))))</f>
        <v/>
      </c>
      <c r="AF13" s="33">
        <f>IF(OR(F13="Sand",Y13=0),0,Input!$G$25*(D13/2)^2/(AE13*1E-4*31536000))</f>
        <v/>
      </c>
      <c r="AG13" s="13">
        <f>MAX(0,MIN(C13,Input!$G$15)-B13)</f>
        <v/>
      </c>
      <c r="AH13" s="13">
        <f>MAX(0,MIN(C13,Input!$G$15)-MAX(B13,$G$8))</f>
        <v/>
      </c>
      <c r="AI13" s="13">
        <f>MAX(0,MIN(C13,$G$106)-B13)</f>
        <v/>
      </c>
      <c r="AJ13" s="34" t="inlineStr">
        <is>
          <t>0-1,5 m tidak di-SPT: N lapisan berikut; LL/PL/e0 = rata-rata BH</t>
        </is>
      </c>
    </row>
    <row r="14">
      <c r="A14" s="20" t="n">
        <v>2</v>
      </c>
      <c r="B14" s="21" t="n">
        <v>1.5</v>
      </c>
      <c r="C14" s="21" t="n">
        <v>3</v>
      </c>
      <c r="D14" s="13">
        <f>C14-B14</f>
        <v/>
      </c>
      <c r="E14" s="13">
        <f>(B14+C14)/2</f>
        <v/>
      </c>
      <c r="F14" s="22" t="inlineStr">
        <is>
          <t>Silt</t>
        </is>
      </c>
      <c r="G14" s="23" t="n">
        <v>5</v>
      </c>
      <c r="H14" s="12">
        <f>IF(E14&gt;$G$5,$G$7,$G$6)</f>
        <v/>
      </c>
      <c r="I14" s="12">
        <f>I13+H14*D14</f>
        <v/>
      </c>
      <c r="J14" s="12">
        <f>I14-H14*D14/2-10*MAX(E14-$G$5,0)</f>
        <v/>
      </c>
      <c r="K14" s="24" t="n">
        <v>28.11</v>
      </c>
      <c r="L14" s="24" t="n">
        <v>21.65</v>
      </c>
      <c r="M14" s="12">
        <f>IF(K14="","",K14-L14)</f>
        <v/>
      </c>
      <c r="N14" s="25" t="n">
        <v>0.495</v>
      </c>
      <c r="O14" s="26">
        <f>IF(F14="Sand",0,Input!$G$19*G14)</f>
        <v/>
      </c>
      <c r="P14" s="12">
        <f>IF(F14="Sand",27.1+0.3*MIN(Input!$G$20*G14,60)-0.00054*MIN(Input!$G$20*G14,60)^2,MIN(MAX(DEGREES(ASIN(0.8-0.094*LN(MAX(IF(M14="",10,M14),5)))),20),30))</f>
        <v/>
      </c>
      <c r="Q14" s="27">
        <f>IF(F14="Sand",Input!$G$21*Input!$G$20*G14,Input!$G$22*O14)</f>
        <v/>
      </c>
      <c r="R14" s="13">
        <f>IF(F14="Sand",Input!$G$26,0.5)</f>
        <v/>
      </c>
      <c r="S14" s="13">
        <f>Input!$G$10/2/E14</f>
        <v/>
      </c>
      <c r="T14" s="13">
        <f>Input!$G$11/2/E14</f>
        <v/>
      </c>
      <c r="U14" s="28">
        <f>1/(4*PI())*(2*S14*T14*SQRT(S14^2+T14^2+1)/(S14^2+T14^2+1+S14^2*T14^2)*(S14^2+T14^2+2)/(S14^2+T14^2+1)+ATAN2(S14^2+T14^2+1-S14^2*T14^2,2*S14*T14*SQRT(S14^2+T14^2+1)))</f>
        <v/>
      </c>
      <c r="V14" s="12">
        <f>4*Input!$G$9*U14</f>
        <v/>
      </c>
      <c r="W14" s="29">
        <f>((Input!$G$11/Input!$G$10)*LN((1+SQRT((Input!$G$11/Input!$G$10)^2+1))*SQRT((Input!$G$11/Input!$G$10)^2+(C14/(Input!$G$10/2))^2)/((Input!$G$11/Input!$G$10)*(1+SQRT((Input!$G$11/Input!$G$10)^2+(C14/(Input!$G$10/2))^2+1))))+LN(((Input!$G$11/Input!$G$10)+SQRT((Input!$G$11/Input!$G$10)^2+1))*SQRT(1+(C14/(Input!$G$10/2))^2)/((Input!$G$11/Input!$G$10)+SQRT((Input!$G$11/Input!$G$10)^2+(C14/(Input!$G$10/2))^2+1))))/PI()</f>
        <v/>
      </c>
      <c r="X14" s="29">
        <f>(C14/(Input!$G$10/2))/(2*PI())*ATAN((Input!$G$11/Input!$G$10)/((C14/(Input!$G$10/2))*SQRT((Input!$G$11/Input!$G$10)^2+(C14/(Input!$G$10/2))^2+1)))</f>
        <v/>
      </c>
      <c r="Y14" s="13">
        <f>MAX(0,C14-MAX(B14,$G$8))/D14*IF(V14&gt;=Input!$G$27*J14,1,0)</f>
        <v/>
      </c>
      <c r="Z14" s="12">
        <f>4*Input!$G$9*(Input!$G$10/2)*(1-R14^2)/Q14*((W14-W13)+(1-2*R14)/(1-R14)*(X14-X13))*1000*Y14</f>
        <v/>
      </c>
      <c r="AA14" s="30">
        <f>IF(F14="Sand",0,0.009*(K14-10))</f>
        <v/>
      </c>
      <c r="AB14" s="30">
        <f>AA14*Input!$G$23</f>
        <v/>
      </c>
      <c r="AC14" s="26">
        <f>IF(F14="Sand",0,MAX(O14/Input!$G$24,J14))</f>
        <v/>
      </c>
      <c r="AD14" s="31">
        <f>IF(F14="Sand",0,1000*D14/(1+N14)*IF(J14+V14&lt;=AC14,AB14*LOG10((J14+V14)/J14),AB14*LOG10(AC14/J14)+AA14*LOG10((J14+V14)/AC14)))*Y14</f>
        <v/>
      </c>
      <c r="AE14" s="32">
        <f>IF(F14="Sand",0,10^(INDEX(Korelasi!$C$5:$C$11,MIN(MATCH(MIN(MAX(K14,30),120),Korelasi!$A$5:$A$11,1),6))+(MIN(MAX(K14,30),120)-INDEX(Korelasi!$A$5:$A$11,MIN(MATCH(MIN(MAX(K14,30),120),Korelasi!$A$5:$A$11,1),6)))/(INDEX(Korelasi!$A$5:$A$11,MIN(MATCH(MIN(MAX(K14,30),120),Korelasi!$A$5:$A$11,1),6)+1)-INDEX(Korelasi!$A$5:$A$11,MIN(MATCH(MIN(MAX(K14,30),120),Korelasi!$A$5:$A$11,1),6)))*(INDEX(Korelasi!$C$5:$C$11,MIN(MATCH(MIN(MAX(K14,30),120),Korelasi!$A$5:$A$11,1),6)+1)-INDEX(Korelasi!$C$5:$C$11,MIN(MATCH(MIN(MAX(K14,30),120),Korelasi!$A$5:$A$11,1),6)))))</f>
        <v/>
      </c>
      <c r="AF14" s="33">
        <f>IF(OR(F14="Sand",Y14=0),0,Input!$G$25*(D14/2)^2/(AE14*1E-4*31536000))</f>
        <v/>
      </c>
      <c r="AG14" s="13">
        <f>MAX(0,MIN(C14,Input!$G$15)-B14)</f>
        <v/>
      </c>
      <c r="AH14" s="13">
        <f>MAX(0,MIN(C14,Input!$G$15)-MAX(B14,$G$8))</f>
        <v/>
      </c>
      <c r="AI14" s="13">
        <f>MAX(0,MIN(C14,$G$106)-B14)</f>
        <v/>
      </c>
      <c r="AJ14" s="34" t="inlineStr"/>
    </row>
    <row r="15">
      <c r="A15" s="20" t="n">
        <v>3</v>
      </c>
      <c r="B15" s="21" t="n">
        <v>3</v>
      </c>
      <c r="C15" s="21" t="n">
        <v>5.5</v>
      </c>
      <c r="D15" s="13">
        <f>C15-B15</f>
        <v/>
      </c>
      <c r="E15" s="13">
        <f>(B15+C15)/2</f>
        <v/>
      </c>
      <c r="F15" s="22" t="inlineStr">
        <is>
          <t>Sand</t>
        </is>
      </c>
      <c r="G15" s="23" t="n">
        <v>49</v>
      </c>
      <c r="H15" s="12">
        <f>IF(E15&gt;$G$5,$G$7,$G$6)</f>
        <v/>
      </c>
      <c r="I15" s="12">
        <f>I14+H15*D15</f>
        <v/>
      </c>
      <c r="J15" s="12">
        <f>I15-H15*D15/2-10*MAX(E15-$G$5,0)</f>
        <v/>
      </c>
      <c r="K15" s="24" t="n"/>
      <c r="L15" s="24" t="n"/>
      <c r="M15" s="12">
        <f>IF(K15="","",K15-L15)</f>
        <v/>
      </c>
      <c r="N15" s="25" t="n">
        <v>0.65</v>
      </c>
      <c r="O15" s="26">
        <f>IF(F15="Sand",0,Input!$G$19*G15)</f>
        <v/>
      </c>
      <c r="P15" s="12">
        <f>IF(F15="Sand",27.1+0.3*MIN(Input!$G$20*G15,60)-0.00054*MIN(Input!$G$20*G15,60)^2,MIN(MAX(DEGREES(ASIN(0.8-0.094*LN(MAX(IF(M15="",10,M15),5)))),20),30))</f>
        <v/>
      </c>
      <c r="Q15" s="27">
        <f>IF(F15="Sand",Input!$G$21*Input!$G$20*G15,Input!$G$22*O15)</f>
        <v/>
      </c>
      <c r="R15" s="13">
        <f>IF(F15="Sand",Input!$G$26,0.5)</f>
        <v/>
      </c>
      <c r="S15" s="13">
        <f>Input!$G$10/2/E15</f>
        <v/>
      </c>
      <c r="T15" s="13">
        <f>Input!$G$11/2/E15</f>
        <v/>
      </c>
      <c r="U15" s="28">
        <f>1/(4*PI())*(2*S15*T15*SQRT(S15^2+T15^2+1)/(S15^2+T15^2+1+S15^2*T15^2)*(S15^2+T15^2+2)/(S15^2+T15^2+1)+ATAN2(S15^2+T15^2+1-S15^2*T15^2,2*S15*T15*SQRT(S15^2+T15^2+1)))</f>
        <v/>
      </c>
      <c r="V15" s="12">
        <f>4*Input!$G$9*U15</f>
        <v/>
      </c>
      <c r="W15" s="29">
        <f>((Input!$G$11/Input!$G$10)*LN((1+SQRT((Input!$G$11/Input!$G$10)^2+1))*SQRT((Input!$G$11/Input!$G$10)^2+(C15/(Input!$G$10/2))^2)/((Input!$G$11/Input!$G$10)*(1+SQRT((Input!$G$11/Input!$G$10)^2+(C15/(Input!$G$10/2))^2+1))))+LN(((Input!$G$11/Input!$G$10)+SQRT((Input!$G$11/Input!$G$10)^2+1))*SQRT(1+(C15/(Input!$G$10/2))^2)/((Input!$G$11/Input!$G$10)+SQRT((Input!$G$11/Input!$G$10)^2+(C15/(Input!$G$10/2))^2+1))))/PI()</f>
        <v/>
      </c>
      <c r="X15" s="29">
        <f>(C15/(Input!$G$10/2))/(2*PI())*ATAN((Input!$G$11/Input!$G$10)/((C15/(Input!$G$10/2))*SQRT((Input!$G$11/Input!$G$10)^2+(C15/(Input!$G$10/2))^2+1)))</f>
        <v/>
      </c>
      <c r="Y15" s="13">
        <f>MAX(0,C15-MAX(B15,$G$8))/D15*IF(V15&gt;=Input!$G$27*J15,1,0)</f>
        <v/>
      </c>
      <c r="Z15" s="12">
        <f>4*Input!$G$9*(Input!$G$10/2)*(1-R15^2)/Q15*((W15-W14)+(1-2*R15)/(1-R15)*(X15-X14))*1000*Y15</f>
        <v/>
      </c>
      <c r="AA15" s="30">
        <f>IF(F15="Sand",0,0.009*(K15-10))</f>
        <v/>
      </c>
      <c r="AB15" s="30">
        <f>AA15*Input!$G$23</f>
        <v/>
      </c>
      <c r="AC15" s="26">
        <f>IF(F15="Sand",0,MAX(O15/Input!$G$24,J15))</f>
        <v/>
      </c>
      <c r="AD15" s="31">
        <f>IF(F15="Sand",0,1000*D15/(1+N15)*IF(J15+V15&lt;=AC15,AB15*LOG10((J15+V15)/J15),AB15*LOG10(AC15/J15)+AA15*LOG10((J15+V15)/AC15)))*Y15</f>
        <v/>
      </c>
      <c r="AE15" s="32">
        <f>IF(F15="Sand",0,10^(INDEX(Korelasi!$C$5:$C$11,MIN(MATCH(MIN(MAX(K15,30),120),Korelasi!$A$5:$A$11,1),6))+(MIN(MAX(K15,30),120)-INDEX(Korelasi!$A$5:$A$11,MIN(MATCH(MIN(MAX(K15,30),120),Korelasi!$A$5:$A$11,1),6)))/(INDEX(Korelasi!$A$5:$A$11,MIN(MATCH(MIN(MAX(K15,30),120),Korelasi!$A$5:$A$11,1),6)+1)-INDEX(Korelasi!$A$5:$A$11,MIN(MATCH(MIN(MAX(K15,30),120),Korelasi!$A$5:$A$11,1),6)))*(INDEX(Korelasi!$C$5:$C$11,MIN(MATCH(MIN(MAX(K15,30),120),Korelasi!$A$5:$A$11,1),6)+1)-INDEX(Korelasi!$C$5:$C$11,MIN(MATCH(MIN(MAX(K15,30),120),Korelasi!$A$5:$A$11,1),6)))))</f>
        <v/>
      </c>
      <c r="AF15" s="33">
        <f>IF(OR(F15="Sand",Y15=0),0,Input!$G$25*(D15/2)^2/(AE15*1E-4*31536000))</f>
        <v/>
      </c>
      <c r="AG15" s="13">
        <f>MAX(0,MIN(C15,Input!$G$15)-B15)</f>
        <v/>
      </c>
      <c r="AH15" s="13">
        <f>MAX(0,MIN(C15,Input!$G$15)-MAX(B15,$G$8))</f>
        <v/>
      </c>
      <c r="AI15" s="13">
        <f>MAX(0,MIN(C15,$G$106)-B15)</f>
        <v/>
      </c>
      <c r="AJ15" s="34" t="inlineStr"/>
    </row>
    <row r="16">
      <c r="A16" s="20" t="n">
        <v>4</v>
      </c>
      <c r="B16" s="21" t="n">
        <v>5.5</v>
      </c>
      <c r="C16" s="21" t="n">
        <v>6</v>
      </c>
      <c r="D16" s="13">
        <f>C16-B16</f>
        <v/>
      </c>
      <c r="E16" s="13">
        <f>(B16+C16)/2</f>
        <v/>
      </c>
      <c r="F16" s="22" t="inlineStr">
        <is>
          <t>Sand</t>
        </is>
      </c>
      <c r="G16" s="23" t="n">
        <v>44</v>
      </c>
      <c r="H16" s="12">
        <f>IF(E16&gt;$G$5,$G$7,$G$6)</f>
        <v/>
      </c>
      <c r="I16" s="12">
        <f>I15+H16*D16</f>
        <v/>
      </c>
      <c r="J16" s="12">
        <f>I16-H16*D16/2-10*MAX(E16-$G$5,0)</f>
        <v/>
      </c>
      <c r="K16" s="24" t="n"/>
      <c r="L16" s="24" t="n"/>
      <c r="M16" s="12">
        <f>IF(K16="","",K16-L16)</f>
        <v/>
      </c>
      <c r="N16" s="25" t="n">
        <v>0.65</v>
      </c>
      <c r="O16" s="26">
        <f>IF(F16="Sand",0,Input!$G$19*G16)</f>
        <v/>
      </c>
      <c r="P16" s="12">
        <f>IF(F16="Sand",27.1+0.3*MIN(Input!$G$20*G16,60)-0.00054*MIN(Input!$G$20*G16,60)^2,MIN(MAX(DEGREES(ASIN(0.8-0.094*LN(MAX(IF(M16="",10,M16),5)))),20),30))</f>
        <v/>
      </c>
      <c r="Q16" s="27">
        <f>IF(F16="Sand",Input!$G$21*Input!$G$20*G16,Input!$G$22*O16)</f>
        <v/>
      </c>
      <c r="R16" s="13">
        <f>IF(F16="Sand",Input!$G$26,0.5)</f>
        <v/>
      </c>
      <c r="S16" s="13">
        <f>Input!$G$10/2/E16</f>
        <v/>
      </c>
      <c r="T16" s="13">
        <f>Input!$G$11/2/E16</f>
        <v/>
      </c>
      <c r="U16" s="28">
        <f>1/(4*PI())*(2*S16*T16*SQRT(S16^2+T16^2+1)/(S16^2+T16^2+1+S16^2*T16^2)*(S16^2+T16^2+2)/(S16^2+T16^2+1)+ATAN2(S16^2+T16^2+1-S16^2*T16^2,2*S16*T16*SQRT(S16^2+T16^2+1)))</f>
        <v/>
      </c>
      <c r="V16" s="12">
        <f>4*Input!$G$9*U16</f>
        <v/>
      </c>
      <c r="W16" s="29">
        <f>((Input!$G$11/Input!$G$10)*LN((1+SQRT((Input!$G$11/Input!$G$10)^2+1))*SQRT((Input!$G$11/Input!$G$10)^2+(C16/(Input!$G$10/2))^2)/((Input!$G$11/Input!$G$10)*(1+SQRT((Input!$G$11/Input!$G$10)^2+(C16/(Input!$G$10/2))^2+1))))+LN(((Input!$G$11/Input!$G$10)+SQRT((Input!$G$11/Input!$G$10)^2+1))*SQRT(1+(C16/(Input!$G$10/2))^2)/((Input!$G$11/Input!$G$10)+SQRT((Input!$G$11/Input!$G$10)^2+(C16/(Input!$G$10/2))^2+1))))/PI()</f>
        <v/>
      </c>
      <c r="X16" s="29">
        <f>(C16/(Input!$G$10/2))/(2*PI())*ATAN((Input!$G$11/Input!$G$10)/((C16/(Input!$G$10/2))*SQRT((Input!$G$11/Input!$G$10)^2+(C16/(Input!$G$10/2))^2+1)))</f>
        <v/>
      </c>
      <c r="Y16" s="13">
        <f>MAX(0,C16-MAX(B16,$G$8))/D16*IF(V16&gt;=Input!$G$27*J16,1,0)</f>
        <v/>
      </c>
      <c r="Z16" s="12">
        <f>4*Input!$G$9*(Input!$G$10/2)*(1-R16^2)/Q16*((W16-W15)+(1-2*R16)/(1-R16)*(X16-X15))*1000*Y16</f>
        <v/>
      </c>
      <c r="AA16" s="30">
        <f>IF(F16="Sand",0,0.009*(K16-10))</f>
        <v/>
      </c>
      <c r="AB16" s="30">
        <f>AA16*Input!$G$23</f>
        <v/>
      </c>
      <c r="AC16" s="26">
        <f>IF(F16="Sand",0,MAX(O16/Input!$G$24,J16))</f>
        <v/>
      </c>
      <c r="AD16" s="31">
        <f>IF(F16="Sand",0,1000*D16/(1+N16)*IF(J16+V16&lt;=AC16,AB16*LOG10((J16+V16)/J16),AB16*LOG10(AC16/J16)+AA16*LOG10((J16+V16)/AC16)))*Y16</f>
        <v/>
      </c>
      <c r="AE16" s="32">
        <f>IF(F16="Sand",0,10^(INDEX(Korelasi!$C$5:$C$11,MIN(MATCH(MIN(MAX(K16,30),120),Korelasi!$A$5:$A$11,1),6))+(MIN(MAX(K16,30),120)-INDEX(Korelasi!$A$5:$A$11,MIN(MATCH(MIN(MAX(K16,30),120),Korelasi!$A$5:$A$11,1),6)))/(INDEX(Korelasi!$A$5:$A$11,MIN(MATCH(MIN(MAX(K16,30),120),Korelasi!$A$5:$A$11,1),6)+1)-INDEX(Korelasi!$A$5:$A$11,MIN(MATCH(MIN(MAX(K16,30),120),Korelasi!$A$5:$A$11,1),6)))*(INDEX(Korelasi!$C$5:$C$11,MIN(MATCH(MIN(MAX(K16,30),120),Korelasi!$A$5:$A$11,1),6)+1)-INDEX(Korelasi!$C$5:$C$11,MIN(MATCH(MIN(MAX(K16,30),120),Korelasi!$A$5:$A$11,1),6)))))</f>
        <v/>
      </c>
      <c r="AF16" s="33">
        <f>IF(OR(F16="Sand",Y16=0),0,Input!$G$25*(D16/2)^2/(AE16*1E-4*31536000))</f>
        <v/>
      </c>
      <c r="AG16" s="13">
        <f>MAX(0,MIN(C16,Input!$G$15)-B16)</f>
        <v/>
      </c>
      <c r="AH16" s="13">
        <f>MAX(0,MIN(C16,Input!$G$15)-MAX(B16,$G$8))</f>
        <v/>
      </c>
      <c r="AI16" s="13">
        <f>MAX(0,MIN(C16,$G$106)-B16)</f>
        <v/>
      </c>
      <c r="AJ16" s="34" t="inlineStr"/>
    </row>
    <row r="17">
      <c r="A17" s="20" t="n">
        <v>5</v>
      </c>
      <c r="B17" s="21" t="n">
        <v>6</v>
      </c>
      <c r="C17" s="21" t="n">
        <v>7.5</v>
      </c>
      <c r="D17" s="13">
        <f>C17-B17</f>
        <v/>
      </c>
      <c r="E17" s="13">
        <f>(B17+C17)/2</f>
        <v/>
      </c>
      <c r="F17" s="22" t="inlineStr">
        <is>
          <t>Clay</t>
        </is>
      </c>
      <c r="G17" s="23" t="n">
        <v>30</v>
      </c>
      <c r="H17" s="12">
        <f>IF(E17&gt;$G$5,$G$7,$G$6)</f>
        <v/>
      </c>
      <c r="I17" s="12">
        <f>I16+H17*D17</f>
        <v/>
      </c>
      <c r="J17" s="12">
        <f>I17-H17*D17/2-10*MAX(E17-$G$5,0)</f>
        <v/>
      </c>
      <c r="K17" s="24" t="n">
        <v>28.071</v>
      </c>
      <c r="L17" s="24" t="n">
        <v>18.832</v>
      </c>
      <c r="M17" s="12">
        <f>IF(K17="","",K17-L17)</f>
        <v/>
      </c>
      <c r="N17" s="25" t="n">
        <v>0.59</v>
      </c>
      <c r="O17" s="26">
        <f>IF(F17="Sand",0,Input!$G$19*G17)</f>
        <v/>
      </c>
      <c r="P17" s="12">
        <f>IF(F17="Sand",27.1+0.3*MIN(Input!$G$20*G17,60)-0.00054*MIN(Input!$G$20*G17,60)^2,MIN(MAX(DEGREES(ASIN(0.8-0.094*LN(MAX(IF(M17="",10,M17),5)))),20),30))</f>
        <v/>
      </c>
      <c r="Q17" s="27">
        <f>IF(F17="Sand",Input!$G$21*Input!$G$20*G17,Input!$G$22*O17)</f>
        <v/>
      </c>
      <c r="R17" s="13">
        <f>IF(F17="Sand",Input!$G$26,0.5)</f>
        <v/>
      </c>
      <c r="S17" s="13">
        <f>Input!$G$10/2/E17</f>
        <v/>
      </c>
      <c r="T17" s="13">
        <f>Input!$G$11/2/E17</f>
        <v/>
      </c>
      <c r="U17" s="28">
        <f>1/(4*PI())*(2*S17*T17*SQRT(S17^2+T17^2+1)/(S17^2+T17^2+1+S17^2*T17^2)*(S17^2+T17^2+2)/(S17^2+T17^2+1)+ATAN2(S17^2+T17^2+1-S17^2*T17^2,2*S17*T17*SQRT(S17^2+T17^2+1)))</f>
        <v/>
      </c>
      <c r="V17" s="12">
        <f>4*Input!$G$9*U17</f>
        <v/>
      </c>
      <c r="W17" s="29">
        <f>((Input!$G$11/Input!$G$10)*LN((1+SQRT((Input!$G$11/Input!$G$10)^2+1))*SQRT((Input!$G$11/Input!$G$10)^2+(C17/(Input!$G$10/2))^2)/((Input!$G$11/Input!$G$10)*(1+SQRT((Input!$G$11/Input!$G$10)^2+(C17/(Input!$G$10/2))^2+1))))+LN(((Input!$G$11/Input!$G$10)+SQRT((Input!$G$11/Input!$G$10)^2+1))*SQRT(1+(C17/(Input!$G$10/2))^2)/((Input!$G$11/Input!$G$10)+SQRT((Input!$G$11/Input!$G$10)^2+(C17/(Input!$G$10/2))^2+1))))/PI()</f>
        <v/>
      </c>
      <c r="X17" s="29">
        <f>(C17/(Input!$G$10/2))/(2*PI())*ATAN((Input!$G$11/Input!$G$10)/((C17/(Input!$G$10/2))*SQRT((Input!$G$11/Input!$G$10)^2+(C17/(Input!$G$10/2))^2+1)))</f>
        <v/>
      </c>
      <c r="Y17" s="13">
        <f>MAX(0,C17-MAX(B17,$G$8))/D17*IF(V17&gt;=Input!$G$27*J17,1,0)</f>
        <v/>
      </c>
      <c r="Z17" s="12">
        <f>4*Input!$G$9*(Input!$G$10/2)*(1-R17^2)/Q17*((W17-W16)+(1-2*R17)/(1-R17)*(X17-X16))*1000*Y17</f>
        <v/>
      </c>
      <c r="AA17" s="30">
        <f>IF(F17="Sand",0,0.009*(K17-10))</f>
        <v/>
      </c>
      <c r="AB17" s="30">
        <f>AA17*Input!$G$23</f>
        <v/>
      </c>
      <c r="AC17" s="26">
        <f>IF(F17="Sand",0,MAX(O17/Input!$G$24,J17))</f>
        <v/>
      </c>
      <c r="AD17" s="31">
        <f>IF(F17="Sand",0,1000*D17/(1+N17)*IF(J17+V17&lt;=AC17,AB17*LOG10((J17+V17)/J17),AB17*LOG10(AC17/J17)+AA17*LOG10((J17+V17)/AC17)))*Y17</f>
        <v/>
      </c>
      <c r="AE17" s="32">
        <f>IF(F17="Sand",0,10^(INDEX(Korelasi!$C$5:$C$11,MIN(MATCH(MIN(MAX(K17,30),120),Korelasi!$A$5:$A$11,1),6))+(MIN(MAX(K17,30),120)-INDEX(Korelasi!$A$5:$A$11,MIN(MATCH(MIN(MAX(K17,30),120),Korelasi!$A$5:$A$11,1),6)))/(INDEX(Korelasi!$A$5:$A$11,MIN(MATCH(MIN(MAX(K17,30),120),Korelasi!$A$5:$A$11,1),6)+1)-INDEX(Korelasi!$A$5:$A$11,MIN(MATCH(MIN(MAX(K17,30),120),Korelasi!$A$5:$A$11,1),6)))*(INDEX(Korelasi!$C$5:$C$11,MIN(MATCH(MIN(MAX(K17,30),120),Korelasi!$A$5:$A$11,1),6)+1)-INDEX(Korelasi!$C$5:$C$11,MIN(MATCH(MIN(MAX(K17,30),120),Korelasi!$A$5:$A$11,1),6)))))</f>
        <v/>
      </c>
      <c r="AF17" s="33">
        <f>IF(OR(F17="Sand",Y17=0),0,Input!$G$25*(D17/2)^2/(AE17*1E-4*31536000))</f>
        <v/>
      </c>
      <c r="AG17" s="13">
        <f>MAX(0,MIN(C17,Input!$G$15)-B17)</f>
        <v/>
      </c>
      <c r="AH17" s="13">
        <f>MAX(0,MIN(C17,Input!$G$15)-MAX(B17,$G$8))</f>
        <v/>
      </c>
      <c r="AI17" s="13">
        <f>MAX(0,MIN(C17,$G$106)-B17)</f>
        <v/>
      </c>
      <c r="AJ17" s="34" t="inlineStr">
        <is>
          <t>LL/PL/e0 = rata-rata BH</t>
        </is>
      </c>
    </row>
    <row r="18">
      <c r="A18" s="20" t="n">
        <v>6</v>
      </c>
      <c r="B18" s="21" t="n">
        <v>7.5</v>
      </c>
      <c r="C18" s="21" t="n">
        <v>9</v>
      </c>
      <c r="D18" s="13">
        <f>C18-B18</f>
        <v/>
      </c>
      <c r="E18" s="13">
        <f>(B18+C18)/2</f>
        <v/>
      </c>
      <c r="F18" s="22" t="inlineStr">
        <is>
          <t>Clay</t>
        </is>
      </c>
      <c r="G18" s="23" t="n">
        <v>14</v>
      </c>
      <c r="H18" s="12">
        <f>IF(E18&gt;$G$5,$G$7,$G$6)</f>
        <v/>
      </c>
      <c r="I18" s="12">
        <f>I17+H18*D18</f>
        <v/>
      </c>
      <c r="J18" s="12">
        <f>I18-H18*D18/2-10*MAX(E18-$G$5,0)</f>
        <v/>
      </c>
      <c r="K18" s="24" t="n">
        <v>35.93</v>
      </c>
      <c r="L18" s="24" t="n">
        <v>21.41</v>
      </c>
      <c r="M18" s="12">
        <f>IF(K18="","",K18-L18)</f>
        <v/>
      </c>
      <c r="N18" s="25" t="n">
        <v>0.732</v>
      </c>
      <c r="O18" s="26">
        <f>IF(F18="Sand",0,Input!$G$19*G18)</f>
        <v/>
      </c>
      <c r="P18" s="12">
        <f>IF(F18="Sand",27.1+0.3*MIN(Input!$G$20*G18,60)-0.00054*MIN(Input!$G$20*G18,60)^2,MIN(MAX(DEGREES(ASIN(0.8-0.094*LN(MAX(IF(M18="",10,M18),5)))),20),30))</f>
        <v/>
      </c>
      <c r="Q18" s="27">
        <f>IF(F18="Sand",Input!$G$21*Input!$G$20*G18,Input!$G$22*O18)</f>
        <v/>
      </c>
      <c r="R18" s="13">
        <f>IF(F18="Sand",Input!$G$26,0.5)</f>
        <v/>
      </c>
      <c r="S18" s="13">
        <f>Input!$G$10/2/E18</f>
        <v/>
      </c>
      <c r="T18" s="13">
        <f>Input!$G$11/2/E18</f>
        <v/>
      </c>
      <c r="U18" s="28">
        <f>1/(4*PI())*(2*S18*T18*SQRT(S18^2+T18^2+1)/(S18^2+T18^2+1+S18^2*T18^2)*(S18^2+T18^2+2)/(S18^2+T18^2+1)+ATAN2(S18^2+T18^2+1-S18^2*T18^2,2*S18*T18*SQRT(S18^2+T18^2+1)))</f>
        <v/>
      </c>
      <c r="V18" s="12">
        <f>4*Input!$G$9*U18</f>
        <v/>
      </c>
      <c r="W18" s="29">
        <f>((Input!$G$11/Input!$G$10)*LN((1+SQRT((Input!$G$11/Input!$G$10)^2+1))*SQRT((Input!$G$11/Input!$G$10)^2+(C18/(Input!$G$10/2))^2)/((Input!$G$11/Input!$G$10)*(1+SQRT((Input!$G$11/Input!$G$10)^2+(C18/(Input!$G$10/2))^2+1))))+LN(((Input!$G$11/Input!$G$10)+SQRT((Input!$G$11/Input!$G$10)^2+1))*SQRT(1+(C18/(Input!$G$10/2))^2)/((Input!$G$11/Input!$G$10)+SQRT((Input!$G$11/Input!$G$10)^2+(C18/(Input!$G$10/2))^2+1))))/PI()</f>
        <v/>
      </c>
      <c r="X18" s="29">
        <f>(C18/(Input!$G$10/2))/(2*PI())*ATAN((Input!$G$11/Input!$G$10)/((C18/(Input!$G$10/2))*SQRT((Input!$G$11/Input!$G$10)^2+(C18/(Input!$G$10/2))^2+1)))</f>
        <v/>
      </c>
      <c r="Y18" s="13">
        <f>MAX(0,C18-MAX(B18,$G$8))/D18*IF(V18&gt;=Input!$G$27*J18,1,0)</f>
        <v/>
      </c>
      <c r="Z18" s="12">
        <f>4*Input!$G$9*(Input!$G$10/2)*(1-R18^2)/Q18*((W18-W17)+(1-2*R18)/(1-R18)*(X18-X17))*1000*Y18</f>
        <v/>
      </c>
      <c r="AA18" s="30">
        <f>IF(F18="Sand",0,0.009*(K18-10))</f>
        <v/>
      </c>
      <c r="AB18" s="30">
        <f>AA18*Input!$G$23</f>
        <v/>
      </c>
      <c r="AC18" s="26">
        <f>IF(F18="Sand",0,MAX(O18/Input!$G$24,J18))</f>
        <v/>
      </c>
      <c r="AD18" s="31">
        <f>IF(F18="Sand",0,1000*D18/(1+N18)*IF(J18+V18&lt;=AC18,AB18*LOG10((J18+V18)/J18),AB18*LOG10(AC18/J18)+AA18*LOG10((J18+V18)/AC18)))*Y18</f>
        <v/>
      </c>
      <c r="AE18" s="32">
        <f>IF(F18="Sand",0,10^(INDEX(Korelasi!$C$5:$C$11,MIN(MATCH(MIN(MAX(K18,30),120),Korelasi!$A$5:$A$11,1),6))+(MIN(MAX(K18,30),120)-INDEX(Korelasi!$A$5:$A$11,MIN(MATCH(MIN(MAX(K18,30),120),Korelasi!$A$5:$A$11,1),6)))/(INDEX(Korelasi!$A$5:$A$11,MIN(MATCH(MIN(MAX(K18,30),120),Korelasi!$A$5:$A$11,1),6)+1)-INDEX(Korelasi!$A$5:$A$11,MIN(MATCH(MIN(MAX(K18,30),120),Korelasi!$A$5:$A$11,1),6)))*(INDEX(Korelasi!$C$5:$C$11,MIN(MATCH(MIN(MAX(K18,30),120),Korelasi!$A$5:$A$11,1),6)+1)-INDEX(Korelasi!$C$5:$C$11,MIN(MATCH(MIN(MAX(K18,30),120),Korelasi!$A$5:$A$11,1),6)))))</f>
        <v/>
      </c>
      <c r="AF18" s="33">
        <f>IF(OR(F18="Sand",Y18=0),0,Input!$G$25*(D18/2)^2/(AE18*1E-4*31536000))</f>
        <v/>
      </c>
      <c r="AG18" s="13">
        <f>MAX(0,MIN(C18,Input!$G$15)-B18)</f>
        <v/>
      </c>
      <c r="AH18" s="13">
        <f>MAX(0,MIN(C18,Input!$G$15)-MAX(B18,$G$8))</f>
        <v/>
      </c>
      <c r="AI18" s="13">
        <f>MAX(0,MIN(C18,$G$106)-B18)</f>
        <v/>
      </c>
      <c r="AJ18" s="34" t="inlineStr"/>
    </row>
    <row r="19">
      <c r="A19" s="20" t="n">
        <v>7</v>
      </c>
      <c r="B19" s="21" t="n">
        <v>9</v>
      </c>
      <c r="C19" s="21" t="n">
        <v>10.5</v>
      </c>
      <c r="D19" s="13">
        <f>C19-B19</f>
        <v/>
      </c>
      <c r="E19" s="13">
        <f>(B19+C19)/2</f>
        <v/>
      </c>
      <c r="F19" s="22" t="inlineStr">
        <is>
          <t>Clay</t>
        </is>
      </c>
      <c r="G19" s="23" t="n">
        <v>12</v>
      </c>
      <c r="H19" s="12">
        <f>IF(E19&gt;$G$5,$G$7,$G$6)</f>
        <v/>
      </c>
      <c r="I19" s="12">
        <f>I18+H19*D19</f>
        <v/>
      </c>
      <c r="J19" s="12">
        <f>I19-H19*D19/2-10*MAX(E19-$G$5,0)</f>
        <v/>
      </c>
      <c r="K19" s="24" t="n">
        <v>28.071</v>
      </c>
      <c r="L19" s="24" t="n">
        <v>18.832</v>
      </c>
      <c r="M19" s="12">
        <f>IF(K19="","",K19-L19)</f>
        <v/>
      </c>
      <c r="N19" s="25" t="n">
        <v>0.59</v>
      </c>
      <c r="O19" s="26">
        <f>IF(F19="Sand",0,Input!$G$19*G19)</f>
        <v/>
      </c>
      <c r="P19" s="12">
        <f>IF(F19="Sand",27.1+0.3*MIN(Input!$G$20*G19,60)-0.00054*MIN(Input!$G$20*G19,60)^2,MIN(MAX(DEGREES(ASIN(0.8-0.094*LN(MAX(IF(M19="",10,M19),5)))),20),30))</f>
        <v/>
      </c>
      <c r="Q19" s="27">
        <f>IF(F19="Sand",Input!$G$21*Input!$G$20*G19,Input!$G$22*O19)</f>
        <v/>
      </c>
      <c r="R19" s="13">
        <f>IF(F19="Sand",Input!$G$26,0.5)</f>
        <v/>
      </c>
      <c r="S19" s="13">
        <f>Input!$G$10/2/E19</f>
        <v/>
      </c>
      <c r="T19" s="13">
        <f>Input!$G$11/2/E19</f>
        <v/>
      </c>
      <c r="U19" s="28">
        <f>1/(4*PI())*(2*S19*T19*SQRT(S19^2+T19^2+1)/(S19^2+T19^2+1+S19^2*T19^2)*(S19^2+T19^2+2)/(S19^2+T19^2+1)+ATAN2(S19^2+T19^2+1-S19^2*T19^2,2*S19*T19*SQRT(S19^2+T19^2+1)))</f>
        <v/>
      </c>
      <c r="V19" s="12">
        <f>4*Input!$G$9*U19</f>
        <v/>
      </c>
      <c r="W19" s="29">
        <f>((Input!$G$11/Input!$G$10)*LN((1+SQRT((Input!$G$11/Input!$G$10)^2+1))*SQRT((Input!$G$11/Input!$G$10)^2+(C19/(Input!$G$10/2))^2)/((Input!$G$11/Input!$G$10)*(1+SQRT((Input!$G$11/Input!$G$10)^2+(C19/(Input!$G$10/2))^2+1))))+LN(((Input!$G$11/Input!$G$10)+SQRT((Input!$G$11/Input!$G$10)^2+1))*SQRT(1+(C19/(Input!$G$10/2))^2)/((Input!$G$11/Input!$G$10)+SQRT((Input!$G$11/Input!$G$10)^2+(C19/(Input!$G$10/2))^2+1))))/PI()</f>
        <v/>
      </c>
      <c r="X19" s="29">
        <f>(C19/(Input!$G$10/2))/(2*PI())*ATAN((Input!$G$11/Input!$G$10)/((C19/(Input!$G$10/2))*SQRT((Input!$G$11/Input!$G$10)^2+(C19/(Input!$G$10/2))^2+1)))</f>
        <v/>
      </c>
      <c r="Y19" s="13">
        <f>MAX(0,C19-MAX(B19,$G$8))/D19*IF(V19&gt;=Input!$G$27*J19,1,0)</f>
        <v/>
      </c>
      <c r="Z19" s="12">
        <f>4*Input!$G$9*(Input!$G$10/2)*(1-R19^2)/Q19*((W19-W18)+(1-2*R19)/(1-R19)*(X19-X18))*1000*Y19</f>
        <v/>
      </c>
      <c r="AA19" s="30">
        <f>IF(F19="Sand",0,0.009*(K19-10))</f>
        <v/>
      </c>
      <c r="AB19" s="30">
        <f>AA19*Input!$G$23</f>
        <v/>
      </c>
      <c r="AC19" s="26">
        <f>IF(F19="Sand",0,MAX(O19/Input!$G$24,J19))</f>
        <v/>
      </c>
      <c r="AD19" s="31">
        <f>IF(F19="Sand",0,1000*D19/(1+N19)*IF(J19+V19&lt;=AC19,AB19*LOG10((J19+V19)/J19),AB19*LOG10(AC19/J19)+AA19*LOG10((J19+V19)/AC19)))*Y19</f>
        <v/>
      </c>
      <c r="AE19" s="32">
        <f>IF(F19="Sand",0,10^(INDEX(Korelasi!$C$5:$C$11,MIN(MATCH(MIN(MAX(K19,30),120),Korelasi!$A$5:$A$11,1),6))+(MIN(MAX(K19,30),120)-INDEX(Korelasi!$A$5:$A$11,MIN(MATCH(MIN(MAX(K19,30),120),Korelasi!$A$5:$A$11,1),6)))/(INDEX(Korelasi!$A$5:$A$11,MIN(MATCH(MIN(MAX(K19,30),120),Korelasi!$A$5:$A$11,1),6)+1)-INDEX(Korelasi!$A$5:$A$11,MIN(MATCH(MIN(MAX(K19,30),120),Korelasi!$A$5:$A$11,1),6)))*(INDEX(Korelasi!$C$5:$C$11,MIN(MATCH(MIN(MAX(K19,30),120),Korelasi!$A$5:$A$11,1),6)+1)-INDEX(Korelasi!$C$5:$C$11,MIN(MATCH(MIN(MAX(K19,30),120),Korelasi!$A$5:$A$11,1),6)))))</f>
        <v/>
      </c>
      <c r="AF19" s="33">
        <f>IF(OR(F19="Sand",Y19=0),0,Input!$G$25*(D19/2)^2/(AE19*1E-4*31536000))</f>
        <v/>
      </c>
      <c r="AG19" s="13">
        <f>MAX(0,MIN(C19,Input!$G$15)-B19)</f>
        <v/>
      </c>
      <c r="AH19" s="13">
        <f>MAX(0,MIN(C19,Input!$G$15)-MAX(B19,$G$8))</f>
        <v/>
      </c>
      <c r="AI19" s="13">
        <f>MAX(0,MIN(C19,$G$106)-B19)</f>
        <v/>
      </c>
      <c r="AJ19" s="34" t="inlineStr">
        <is>
          <t>LL/PL/e0 = rata-rata BH</t>
        </is>
      </c>
    </row>
    <row r="20">
      <c r="A20" s="20" t="n">
        <v>8</v>
      </c>
      <c r="B20" s="21" t="n">
        <v>10.5</v>
      </c>
      <c r="C20" s="21" t="n">
        <v>12</v>
      </c>
      <c r="D20" s="13">
        <f>C20-B20</f>
        <v/>
      </c>
      <c r="E20" s="13">
        <f>(B20+C20)/2</f>
        <v/>
      </c>
      <c r="F20" s="22" t="inlineStr">
        <is>
          <t>Sand</t>
        </is>
      </c>
      <c r="G20" s="23" t="n">
        <v>18</v>
      </c>
      <c r="H20" s="12">
        <f>IF(E20&gt;$G$5,$G$7,$G$6)</f>
        <v/>
      </c>
      <c r="I20" s="12">
        <f>I19+H20*D20</f>
        <v/>
      </c>
      <c r="J20" s="12">
        <f>I20-H20*D20/2-10*MAX(E20-$G$5,0)</f>
        <v/>
      </c>
      <c r="K20" s="24" t="n"/>
      <c r="L20" s="24" t="n"/>
      <c r="M20" s="12">
        <f>IF(K20="","",K20-L20)</f>
        <v/>
      </c>
      <c r="N20" s="25" t="n">
        <v>0.435</v>
      </c>
      <c r="O20" s="26">
        <f>IF(F20="Sand",0,Input!$G$19*G20)</f>
        <v/>
      </c>
      <c r="P20" s="12">
        <f>IF(F20="Sand",27.1+0.3*MIN(Input!$G$20*G20,60)-0.00054*MIN(Input!$G$20*G20,60)^2,MIN(MAX(DEGREES(ASIN(0.8-0.094*LN(MAX(IF(M20="",10,M20),5)))),20),30))</f>
        <v/>
      </c>
      <c r="Q20" s="27">
        <f>IF(F20="Sand",Input!$G$21*Input!$G$20*G20,Input!$G$22*O20)</f>
        <v/>
      </c>
      <c r="R20" s="13">
        <f>IF(F20="Sand",Input!$G$26,0.5)</f>
        <v/>
      </c>
      <c r="S20" s="13">
        <f>Input!$G$10/2/E20</f>
        <v/>
      </c>
      <c r="T20" s="13">
        <f>Input!$G$11/2/E20</f>
        <v/>
      </c>
      <c r="U20" s="28">
        <f>1/(4*PI())*(2*S20*T20*SQRT(S20^2+T20^2+1)/(S20^2+T20^2+1+S20^2*T20^2)*(S20^2+T20^2+2)/(S20^2+T20^2+1)+ATAN2(S20^2+T20^2+1-S20^2*T20^2,2*S20*T20*SQRT(S20^2+T20^2+1)))</f>
        <v/>
      </c>
      <c r="V20" s="12">
        <f>4*Input!$G$9*U20</f>
        <v/>
      </c>
      <c r="W20" s="29">
        <f>((Input!$G$11/Input!$G$10)*LN((1+SQRT((Input!$G$11/Input!$G$10)^2+1))*SQRT((Input!$G$11/Input!$G$10)^2+(C20/(Input!$G$10/2))^2)/((Input!$G$11/Input!$G$10)*(1+SQRT((Input!$G$11/Input!$G$10)^2+(C20/(Input!$G$10/2))^2+1))))+LN(((Input!$G$11/Input!$G$10)+SQRT((Input!$G$11/Input!$G$10)^2+1))*SQRT(1+(C20/(Input!$G$10/2))^2)/((Input!$G$11/Input!$G$10)+SQRT((Input!$G$11/Input!$G$10)^2+(C20/(Input!$G$10/2))^2+1))))/PI()</f>
        <v/>
      </c>
      <c r="X20" s="29">
        <f>(C20/(Input!$G$10/2))/(2*PI())*ATAN((Input!$G$11/Input!$G$10)/((C20/(Input!$G$10/2))*SQRT((Input!$G$11/Input!$G$10)^2+(C20/(Input!$G$10/2))^2+1)))</f>
        <v/>
      </c>
      <c r="Y20" s="13">
        <f>MAX(0,C20-MAX(B20,$G$8))/D20*IF(V20&gt;=Input!$G$27*J20,1,0)</f>
        <v/>
      </c>
      <c r="Z20" s="12">
        <f>4*Input!$G$9*(Input!$G$10/2)*(1-R20^2)/Q20*((W20-W19)+(1-2*R20)/(1-R20)*(X20-X19))*1000*Y20</f>
        <v/>
      </c>
      <c r="AA20" s="30">
        <f>IF(F20="Sand",0,0.009*(K20-10))</f>
        <v/>
      </c>
      <c r="AB20" s="30">
        <f>AA20*Input!$G$23</f>
        <v/>
      </c>
      <c r="AC20" s="26">
        <f>IF(F20="Sand",0,MAX(O20/Input!$G$24,J20))</f>
        <v/>
      </c>
      <c r="AD20" s="31">
        <f>IF(F20="Sand",0,1000*D20/(1+N20)*IF(J20+V20&lt;=AC20,AB20*LOG10((J20+V20)/J20),AB20*LOG10(AC20/J20)+AA20*LOG10((J20+V20)/AC20)))*Y20</f>
        <v/>
      </c>
      <c r="AE20" s="32">
        <f>IF(F20="Sand",0,10^(INDEX(Korelasi!$C$5:$C$11,MIN(MATCH(MIN(MAX(K20,30),120),Korelasi!$A$5:$A$11,1),6))+(MIN(MAX(K20,30),120)-INDEX(Korelasi!$A$5:$A$11,MIN(MATCH(MIN(MAX(K20,30),120),Korelasi!$A$5:$A$11,1),6)))/(INDEX(Korelasi!$A$5:$A$11,MIN(MATCH(MIN(MAX(K20,30),120),Korelasi!$A$5:$A$11,1),6)+1)-INDEX(Korelasi!$A$5:$A$11,MIN(MATCH(MIN(MAX(K20,30),120),Korelasi!$A$5:$A$11,1),6)))*(INDEX(Korelasi!$C$5:$C$11,MIN(MATCH(MIN(MAX(K20,30),120),Korelasi!$A$5:$A$11,1),6)+1)-INDEX(Korelasi!$C$5:$C$11,MIN(MATCH(MIN(MAX(K20,30),120),Korelasi!$A$5:$A$11,1),6)))))</f>
        <v/>
      </c>
      <c r="AF20" s="33">
        <f>IF(OR(F20="Sand",Y20=0),0,Input!$G$25*(D20/2)^2/(AE20*1E-4*31536000))</f>
        <v/>
      </c>
      <c r="AG20" s="13">
        <f>MAX(0,MIN(C20,Input!$G$15)-B20)</f>
        <v/>
      </c>
      <c r="AH20" s="13">
        <f>MAX(0,MIN(C20,Input!$G$15)-MAX(B20,$G$8))</f>
        <v/>
      </c>
      <c r="AI20" s="13">
        <f>MAX(0,MIN(C20,$G$106)-B20)</f>
        <v/>
      </c>
      <c r="AJ20" s="34" t="inlineStr"/>
    </row>
    <row r="21">
      <c r="A21" s="20" t="n">
        <v>9</v>
      </c>
      <c r="B21" s="21" t="n">
        <v>12</v>
      </c>
      <c r="C21" s="21" t="n">
        <v>13.5</v>
      </c>
      <c r="D21" s="13">
        <f>C21-B21</f>
        <v/>
      </c>
      <c r="E21" s="13">
        <f>(B21+C21)/2</f>
        <v/>
      </c>
      <c r="F21" s="22" t="inlineStr">
        <is>
          <t>Sand</t>
        </is>
      </c>
      <c r="G21" s="23" t="n">
        <v>26</v>
      </c>
      <c r="H21" s="12">
        <f>IF(E21&gt;$G$5,$G$7,$G$6)</f>
        <v/>
      </c>
      <c r="I21" s="12">
        <f>I20+H21*D21</f>
        <v/>
      </c>
      <c r="J21" s="12">
        <f>I21-H21*D21/2-10*MAX(E21-$G$5,0)</f>
        <v/>
      </c>
      <c r="K21" s="24" t="n"/>
      <c r="L21" s="24" t="n"/>
      <c r="M21" s="12">
        <f>IF(K21="","",K21-L21)</f>
        <v/>
      </c>
      <c r="N21" s="25" t="n">
        <v>0.65</v>
      </c>
      <c r="O21" s="26">
        <f>IF(F21="Sand",0,Input!$G$19*G21)</f>
        <v/>
      </c>
      <c r="P21" s="12">
        <f>IF(F21="Sand",27.1+0.3*MIN(Input!$G$20*G21,60)-0.00054*MIN(Input!$G$20*G21,60)^2,MIN(MAX(DEGREES(ASIN(0.8-0.094*LN(MAX(IF(M21="",10,M21),5)))),20),30))</f>
        <v/>
      </c>
      <c r="Q21" s="27">
        <f>IF(F21="Sand",Input!$G$21*Input!$G$20*G21,Input!$G$22*O21)</f>
        <v/>
      </c>
      <c r="R21" s="13">
        <f>IF(F21="Sand",Input!$G$26,0.5)</f>
        <v/>
      </c>
      <c r="S21" s="13">
        <f>Input!$G$10/2/E21</f>
        <v/>
      </c>
      <c r="T21" s="13">
        <f>Input!$G$11/2/E21</f>
        <v/>
      </c>
      <c r="U21" s="28">
        <f>1/(4*PI())*(2*S21*T21*SQRT(S21^2+T21^2+1)/(S21^2+T21^2+1+S21^2*T21^2)*(S21^2+T21^2+2)/(S21^2+T21^2+1)+ATAN2(S21^2+T21^2+1-S21^2*T21^2,2*S21*T21*SQRT(S21^2+T21^2+1)))</f>
        <v/>
      </c>
      <c r="V21" s="12">
        <f>4*Input!$G$9*U21</f>
        <v/>
      </c>
      <c r="W21" s="29">
        <f>((Input!$G$11/Input!$G$10)*LN((1+SQRT((Input!$G$11/Input!$G$10)^2+1))*SQRT((Input!$G$11/Input!$G$10)^2+(C21/(Input!$G$10/2))^2)/((Input!$G$11/Input!$G$10)*(1+SQRT((Input!$G$11/Input!$G$10)^2+(C21/(Input!$G$10/2))^2+1))))+LN(((Input!$G$11/Input!$G$10)+SQRT((Input!$G$11/Input!$G$10)^2+1))*SQRT(1+(C21/(Input!$G$10/2))^2)/((Input!$G$11/Input!$G$10)+SQRT((Input!$G$11/Input!$G$10)^2+(C21/(Input!$G$10/2))^2+1))))/PI()</f>
        <v/>
      </c>
      <c r="X21" s="29">
        <f>(C21/(Input!$G$10/2))/(2*PI())*ATAN((Input!$G$11/Input!$G$10)/((C21/(Input!$G$10/2))*SQRT((Input!$G$11/Input!$G$10)^2+(C21/(Input!$G$10/2))^2+1)))</f>
        <v/>
      </c>
      <c r="Y21" s="13">
        <f>MAX(0,C21-MAX(B21,$G$8))/D21*IF(V21&gt;=Input!$G$27*J21,1,0)</f>
        <v/>
      </c>
      <c r="Z21" s="12">
        <f>4*Input!$G$9*(Input!$G$10/2)*(1-R21^2)/Q21*((W21-W20)+(1-2*R21)/(1-R21)*(X21-X20))*1000*Y21</f>
        <v/>
      </c>
      <c r="AA21" s="30">
        <f>IF(F21="Sand",0,0.009*(K21-10))</f>
        <v/>
      </c>
      <c r="AB21" s="30">
        <f>AA21*Input!$G$23</f>
        <v/>
      </c>
      <c r="AC21" s="26">
        <f>IF(F21="Sand",0,MAX(O21/Input!$G$24,J21))</f>
        <v/>
      </c>
      <c r="AD21" s="31">
        <f>IF(F21="Sand",0,1000*D21/(1+N21)*IF(J21+V21&lt;=AC21,AB21*LOG10((J21+V21)/J21),AB21*LOG10(AC21/J21)+AA21*LOG10((J21+V21)/AC21)))*Y21</f>
        <v/>
      </c>
      <c r="AE21" s="32">
        <f>IF(F21="Sand",0,10^(INDEX(Korelasi!$C$5:$C$11,MIN(MATCH(MIN(MAX(K21,30),120),Korelasi!$A$5:$A$11,1),6))+(MIN(MAX(K21,30),120)-INDEX(Korelasi!$A$5:$A$11,MIN(MATCH(MIN(MAX(K21,30),120),Korelasi!$A$5:$A$11,1),6)))/(INDEX(Korelasi!$A$5:$A$11,MIN(MATCH(MIN(MAX(K21,30),120),Korelasi!$A$5:$A$11,1),6)+1)-INDEX(Korelasi!$A$5:$A$11,MIN(MATCH(MIN(MAX(K21,30),120),Korelasi!$A$5:$A$11,1),6)))*(INDEX(Korelasi!$C$5:$C$11,MIN(MATCH(MIN(MAX(K21,30),120),Korelasi!$A$5:$A$11,1),6)+1)-INDEX(Korelasi!$C$5:$C$11,MIN(MATCH(MIN(MAX(K21,30),120),Korelasi!$A$5:$A$11,1),6)))))</f>
        <v/>
      </c>
      <c r="AF21" s="33">
        <f>IF(OR(F21="Sand",Y21=0),0,Input!$G$25*(D21/2)^2/(AE21*1E-4*31536000))</f>
        <v/>
      </c>
      <c r="AG21" s="13">
        <f>MAX(0,MIN(C21,Input!$G$15)-B21)</f>
        <v/>
      </c>
      <c r="AH21" s="13">
        <f>MAX(0,MIN(C21,Input!$G$15)-MAX(B21,$G$8))</f>
        <v/>
      </c>
      <c r="AI21" s="13">
        <f>MAX(0,MIN(C21,$G$106)-B21)</f>
        <v/>
      </c>
      <c r="AJ21" s="34" t="inlineStr"/>
    </row>
    <row r="22">
      <c r="A22" s="20" t="n">
        <v>10</v>
      </c>
      <c r="B22" s="21" t="n">
        <v>13.5</v>
      </c>
      <c r="C22" s="21" t="n">
        <v>15</v>
      </c>
      <c r="D22" s="13">
        <f>C22-B22</f>
        <v/>
      </c>
      <c r="E22" s="13">
        <f>(B22+C22)/2</f>
        <v/>
      </c>
      <c r="F22" s="22" t="inlineStr">
        <is>
          <t>Clay</t>
        </is>
      </c>
      <c r="G22" s="23" t="n">
        <v>15</v>
      </c>
      <c r="H22" s="12">
        <f>IF(E22&gt;$G$5,$G$7,$G$6)</f>
        <v/>
      </c>
      <c r="I22" s="12">
        <f>I21+H22*D22</f>
        <v/>
      </c>
      <c r="J22" s="12">
        <f>I22-H22*D22/2-10*MAX(E22-$G$5,0)</f>
        <v/>
      </c>
      <c r="K22" s="24" t="n">
        <v>27.215</v>
      </c>
      <c r="L22" s="24" t="n">
        <v>16.985</v>
      </c>
      <c r="M22" s="12">
        <f>IF(K22="","",K22-L22)</f>
        <v/>
      </c>
      <c r="N22" s="25" t="n">
        <v>0.572</v>
      </c>
      <c r="O22" s="26">
        <f>IF(F22="Sand",0,Input!$G$19*G22)</f>
        <v/>
      </c>
      <c r="P22" s="12">
        <f>IF(F22="Sand",27.1+0.3*MIN(Input!$G$20*G22,60)-0.00054*MIN(Input!$G$20*G22,60)^2,MIN(MAX(DEGREES(ASIN(0.8-0.094*LN(MAX(IF(M22="",10,M22),5)))),20),30))</f>
        <v/>
      </c>
      <c r="Q22" s="27">
        <f>IF(F22="Sand",Input!$G$21*Input!$G$20*G22,Input!$G$22*O22)</f>
        <v/>
      </c>
      <c r="R22" s="13">
        <f>IF(F22="Sand",Input!$G$26,0.5)</f>
        <v/>
      </c>
      <c r="S22" s="13">
        <f>Input!$G$10/2/E22</f>
        <v/>
      </c>
      <c r="T22" s="13">
        <f>Input!$G$11/2/E22</f>
        <v/>
      </c>
      <c r="U22" s="28">
        <f>1/(4*PI())*(2*S22*T22*SQRT(S22^2+T22^2+1)/(S22^2+T22^2+1+S22^2*T22^2)*(S22^2+T22^2+2)/(S22^2+T22^2+1)+ATAN2(S22^2+T22^2+1-S22^2*T22^2,2*S22*T22*SQRT(S22^2+T22^2+1)))</f>
        <v/>
      </c>
      <c r="V22" s="12">
        <f>4*Input!$G$9*U22</f>
        <v/>
      </c>
      <c r="W22" s="29">
        <f>((Input!$G$11/Input!$G$10)*LN((1+SQRT((Input!$G$11/Input!$G$10)^2+1))*SQRT((Input!$G$11/Input!$G$10)^2+(C22/(Input!$G$10/2))^2)/((Input!$G$11/Input!$G$10)*(1+SQRT((Input!$G$11/Input!$G$10)^2+(C22/(Input!$G$10/2))^2+1))))+LN(((Input!$G$11/Input!$G$10)+SQRT((Input!$G$11/Input!$G$10)^2+1))*SQRT(1+(C22/(Input!$G$10/2))^2)/((Input!$G$11/Input!$G$10)+SQRT((Input!$G$11/Input!$G$10)^2+(C22/(Input!$G$10/2))^2+1))))/PI()</f>
        <v/>
      </c>
      <c r="X22" s="29">
        <f>(C22/(Input!$G$10/2))/(2*PI())*ATAN((Input!$G$11/Input!$G$10)/((C22/(Input!$G$10/2))*SQRT((Input!$G$11/Input!$G$10)^2+(C22/(Input!$G$10/2))^2+1)))</f>
        <v/>
      </c>
      <c r="Y22" s="13">
        <f>MAX(0,C22-MAX(B22,$G$8))/D22*IF(V22&gt;=Input!$G$27*J22,1,0)</f>
        <v/>
      </c>
      <c r="Z22" s="12">
        <f>4*Input!$G$9*(Input!$G$10/2)*(1-R22^2)/Q22*((W22-W21)+(1-2*R22)/(1-R22)*(X22-X21))*1000*Y22</f>
        <v/>
      </c>
      <c r="AA22" s="30">
        <f>IF(F22="Sand",0,0.009*(K22-10))</f>
        <v/>
      </c>
      <c r="AB22" s="30">
        <f>AA22*Input!$G$23</f>
        <v/>
      </c>
      <c r="AC22" s="26">
        <f>IF(F22="Sand",0,MAX(O22/Input!$G$24,J22))</f>
        <v/>
      </c>
      <c r="AD22" s="31">
        <f>IF(F22="Sand",0,1000*D22/(1+N22)*IF(J22+V22&lt;=AC22,AB22*LOG10((J22+V22)/J22),AB22*LOG10(AC22/J22)+AA22*LOG10((J22+V22)/AC22)))*Y22</f>
        <v/>
      </c>
      <c r="AE22" s="32">
        <f>IF(F22="Sand",0,10^(INDEX(Korelasi!$C$5:$C$11,MIN(MATCH(MIN(MAX(K22,30),120),Korelasi!$A$5:$A$11,1),6))+(MIN(MAX(K22,30),120)-INDEX(Korelasi!$A$5:$A$11,MIN(MATCH(MIN(MAX(K22,30),120),Korelasi!$A$5:$A$11,1),6)))/(INDEX(Korelasi!$A$5:$A$11,MIN(MATCH(MIN(MAX(K22,30),120),Korelasi!$A$5:$A$11,1),6)+1)-INDEX(Korelasi!$A$5:$A$11,MIN(MATCH(MIN(MAX(K22,30),120),Korelasi!$A$5:$A$11,1),6)))*(INDEX(Korelasi!$C$5:$C$11,MIN(MATCH(MIN(MAX(K22,30),120),Korelasi!$A$5:$A$11,1),6)+1)-INDEX(Korelasi!$C$5:$C$11,MIN(MATCH(MIN(MAX(K22,30),120),Korelasi!$A$5:$A$11,1),6)))))</f>
        <v/>
      </c>
      <c r="AF22" s="33">
        <f>IF(OR(F22="Sand",Y22=0),0,Input!$G$25*(D22/2)^2/(AE22*1E-4*31536000))</f>
        <v/>
      </c>
      <c r="AG22" s="13">
        <f>MAX(0,MIN(C22,Input!$G$15)-B22)</f>
        <v/>
      </c>
      <c r="AH22" s="13">
        <f>MAX(0,MIN(C22,Input!$G$15)-MAX(B22,$G$8))</f>
        <v/>
      </c>
      <c r="AI22" s="13">
        <f>MAX(0,MIN(C22,$G$106)-B22)</f>
        <v/>
      </c>
      <c r="AJ22" s="34" t="inlineStr"/>
    </row>
    <row r="23">
      <c r="A23" s="20" t="n">
        <v>11</v>
      </c>
      <c r="B23" s="21" t="n">
        <v>15</v>
      </c>
      <c r="C23" s="21" t="n">
        <v>16.5</v>
      </c>
      <c r="D23" s="13">
        <f>C23-B23</f>
        <v/>
      </c>
      <c r="E23" s="13">
        <f>(B23+C23)/2</f>
        <v/>
      </c>
      <c r="F23" s="22" t="inlineStr">
        <is>
          <t>Clay</t>
        </is>
      </c>
      <c r="G23" s="23" t="n">
        <v>15</v>
      </c>
      <c r="H23" s="12">
        <f>IF(E23&gt;$G$5,$G$7,$G$6)</f>
        <v/>
      </c>
      <c r="I23" s="12">
        <f>I22+H23*D23</f>
        <v/>
      </c>
      <c r="J23" s="12">
        <f>I23-H23*D23/2-10*MAX(E23-$G$5,0)</f>
        <v/>
      </c>
      <c r="K23" s="24" t="n">
        <v>28.071</v>
      </c>
      <c r="L23" s="24" t="n">
        <v>18.832</v>
      </c>
      <c r="M23" s="12">
        <f>IF(K23="","",K23-L23)</f>
        <v/>
      </c>
      <c r="N23" s="25" t="n">
        <v>0.59</v>
      </c>
      <c r="O23" s="26">
        <f>IF(F23="Sand",0,Input!$G$19*G23)</f>
        <v/>
      </c>
      <c r="P23" s="12">
        <f>IF(F23="Sand",27.1+0.3*MIN(Input!$G$20*G23,60)-0.00054*MIN(Input!$G$20*G23,60)^2,MIN(MAX(DEGREES(ASIN(0.8-0.094*LN(MAX(IF(M23="",10,M23),5)))),20),30))</f>
        <v/>
      </c>
      <c r="Q23" s="27">
        <f>IF(F23="Sand",Input!$G$21*Input!$G$20*G23,Input!$G$22*O23)</f>
        <v/>
      </c>
      <c r="R23" s="13">
        <f>IF(F23="Sand",Input!$G$26,0.5)</f>
        <v/>
      </c>
      <c r="S23" s="13">
        <f>Input!$G$10/2/E23</f>
        <v/>
      </c>
      <c r="T23" s="13">
        <f>Input!$G$11/2/E23</f>
        <v/>
      </c>
      <c r="U23" s="28">
        <f>1/(4*PI())*(2*S23*T23*SQRT(S23^2+T23^2+1)/(S23^2+T23^2+1+S23^2*T23^2)*(S23^2+T23^2+2)/(S23^2+T23^2+1)+ATAN2(S23^2+T23^2+1-S23^2*T23^2,2*S23*T23*SQRT(S23^2+T23^2+1)))</f>
        <v/>
      </c>
      <c r="V23" s="12">
        <f>4*Input!$G$9*U23</f>
        <v/>
      </c>
      <c r="W23" s="29">
        <f>((Input!$G$11/Input!$G$10)*LN((1+SQRT((Input!$G$11/Input!$G$10)^2+1))*SQRT((Input!$G$11/Input!$G$10)^2+(C23/(Input!$G$10/2))^2)/((Input!$G$11/Input!$G$10)*(1+SQRT((Input!$G$11/Input!$G$10)^2+(C23/(Input!$G$10/2))^2+1))))+LN(((Input!$G$11/Input!$G$10)+SQRT((Input!$G$11/Input!$G$10)^2+1))*SQRT(1+(C23/(Input!$G$10/2))^2)/((Input!$G$11/Input!$G$10)+SQRT((Input!$G$11/Input!$G$10)^2+(C23/(Input!$G$10/2))^2+1))))/PI()</f>
        <v/>
      </c>
      <c r="X23" s="29">
        <f>(C23/(Input!$G$10/2))/(2*PI())*ATAN((Input!$G$11/Input!$G$10)/((C23/(Input!$G$10/2))*SQRT((Input!$G$11/Input!$G$10)^2+(C23/(Input!$G$10/2))^2+1)))</f>
        <v/>
      </c>
      <c r="Y23" s="13">
        <f>MAX(0,C23-MAX(B23,$G$8))/D23*IF(V23&gt;=Input!$G$27*J23,1,0)</f>
        <v/>
      </c>
      <c r="Z23" s="12">
        <f>4*Input!$G$9*(Input!$G$10/2)*(1-R23^2)/Q23*((W23-W22)+(1-2*R23)/(1-R23)*(X23-X22))*1000*Y23</f>
        <v/>
      </c>
      <c r="AA23" s="30">
        <f>IF(F23="Sand",0,0.009*(K23-10))</f>
        <v/>
      </c>
      <c r="AB23" s="30">
        <f>AA23*Input!$G$23</f>
        <v/>
      </c>
      <c r="AC23" s="26">
        <f>IF(F23="Sand",0,MAX(O23/Input!$G$24,J23))</f>
        <v/>
      </c>
      <c r="AD23" s="31">
        <f>IF(F23="Sand",0,1000*D23/(1+N23)*IF(J23+V23&lt;=AC23,AB23*LOG10((J23+V23)/J23),AB23*LOG10(AC23/J23)+AA23*LOG10((J23+V23)/AC23)))*Y23</f>
        <v/>
      </c>
      <c r="AE23" s="32">
        <f>IF(F23="Sand",0,10^(INDEX(Korelasi!$C$5:$C$11,MIN(MATCH(MIN(MAX(K23,30),120),Korelasi!$A$5:$A$11,1),6))+(MIN(MAX(K23,30),120)-INDEX(Korelasi!$A$5:$A$11,MIN(MATCH(MIN(MAX(K23,30),120),Korelasi!$A$5:$A$11,1),6)))/(INDEX(Korelasi!$A$5:$A$11,MIN(MATCH(MIN(MAX(K23,30),120),Korelasi!$A$5:$A$11,1),6)+1)-INDEX(Korelasi!$A$5:$A$11,MIN(MATCH(MIN(MAX(K23,30),120),Korelasi!$A$5:$A$11,1),6)))*(INDEX(Korelasi!$C$5:$C$11,MIN(MATCH(MIN(MAX(K23,30),120),Korelasi!$A$5:$A$11,1),6)+1)-INDEX(Korelasi!$C$5:$C$11,MIN(MATCH(MIN(MAX(K23,30),120),Korelasi!$A$5:$A$11,1),6)))))</f>
        <v/>
      </c>
      <c r="AF23" s="33">
        <f>IF(OR(F23="Sand",Y23=0),0,Input!$G$25*(D23/2)^2/(AE23*1E-4*31536000))</f>
        <v/>
      </c>
      <c r="AG23" s="13">
        <f>MAX(0,MIN(C23,Input!$G$15)-B23)</f>
        <v/>
      </c>
      <c r="AH23" s="13">
        <f>MAX(0,MIN(C23,Input!$G$15)-MAX(B23,$G$8))</f>
        <v/>
      </c>
      <c r="AI23" s="13">
        <f>MAX(0,MIN(C23,$G$106)-B23)</f>
        <v/>
      </c>
      <c r="AJ23" s="34" t="inlineStr">
        <is>
          <t>LL/PL/e0 = rata-rata BH</t>
        </is>
      </c>
    </row>
    <row r="24">
      <c r="A24" s="20" t="n">
        <v>12</v>
      </c>
      <c r="B24" s="21" t="n">
        <v>16.5</v>
      </c>
      <c r="C24" s="21" t="n">
        <v>18</v>
      </c>
      <c r="D24" s="13">
        <f>C24-B24</f>
        <v/>
      </c>
      <c r="E24" s="13">
        <f>(B24+C24)/2</f>
        <v/>
      </c>
      <c r="F24" s="22" t="inlineStr">
        <is>
          <t>Silt</t>
        </is>
      </c>
      <c r="G24" s="23" t="n">
        <v>21</v>
      </c>
      <c r="H24" s="12">
        <f>IF(E24&gt;$G$5,$G$7,$G$6)</f>
        <v/>
      </c>
      <c r="I24" s="12">
        <f>I23+H24*D24</f>
        <v/>
      </c>
      <c r="J24" s="12">
        <f>I24-H24*D24/2-10*MAX(E24-$G$5,0)</f>
        <v/>
      </c>
      <c r="K24" s="24" t="n">
        <v>22.65</v>
      </c>
      <c r="L24" s="24" t="n">
        <v>16.37</v>
      </c>
      <c r="M24" s="12">
        <f>IF(K24="","",K24-L24)</f>
        <v/>
      </c>
      <c r="N24" s="25" t="n">
        <v>0.571</v>
      </c>
      <c r="O24" s="26">
        <f>IF(F24="Sand",0,Input!$G$19*G24)</f>
        <v/>
      </c>
      <c r="P24" s="12">
        <f>IF(F24="Sand",27.1+0.3*MIN(Input!$G$20*G24,60)-0.00054*MIN(Input!$G$20*G24,60)^2,MIN(MAX(DEGREES(ASIN(0.8-0.094*LN(MAX(IF(M24="",10,M24),5)))),20),30))</f>
        <v/>
      </c>
      <c r="Q24" s="27">
        <f>IF(F24="Sand",Input!$G$21*Input!$G$20*G24,Input!$G$22*O24)</f>
        <v/>
      </c>
      <c r="R24" s="13">
        <f>IF(F24="Sand",Input!$G$26,0.5)</f>
        <v/>
      </c>
      <c r="S24" s="13">
        <f>Input!$G$10/2/E24</f>
        <v/>
      </c>
      <c r="T24" s="13">
        <f>Input!$G$11/2/E24</f>
        <v/>
      </c>
      <c r="U24" s="28">
        <f>1/(4*PI())*(2*S24*T24*SQRT(S24^2+T24^2+1)/(S24^2+T24^2+1+S24^2*T24^2)*(S24^2+T24^2+2)/(S24^2+T24^2+1)+ATAN2(S24^2+T24^2+1-S24^2*T24^2,2*S24*T24*SQRT(S24^2+T24^2+1)))</f>
        <v/>
      </c>
      <c r="V24" s="12">
        <f>4*Input!$G$9*U24</f>
        <v/>
      </c>
      <c r="W24" s="29">
        <f>((Input!$G$11/Input!$G$10)*LN((1+SQRT((Input!$G$11/Input!$G$10)^2+1))*SQRT((Input!$G$11/Input!$G$10)^2+(C24/(Input!$G$10/2))^2)/((Input!$G$11/Input!$G$10)*(1+SQRT((Input!$G$11/Input!$G$10)^2+(C24/(Input!$G$10/2))^2+1))))+LN(((Input!$G$11/Input!$G$10)+SQRT((Input!$G$11/Input!$G$10)^2+1))*SQRT(1+(C24/(Input!$G$10/2))^2)/((Input!$G$11/Input!$G$10)+SQRT((Input!$G$11/Input!$G$10)^2+(C24/(Input!$G$10/2))^2+1))))/PI()</f>
        <v/>
      </c>
      <c r="X24" s="29">
        <f>(C24/(Input!$G$10/2))/(2*PI())*ATAN((Input!$G$11/Input!$G$10)/((C24/(Input!$G$10/2))*SQRT((Input!$G$11/Input!$G$10)^2+(C24/(Input!$G$10/2))^2+1)))</f>
        <v/>
      </c>
      <c r="Y24" s="13">
        <f>MAX(0,C24-MAX(B24,$G$8))/D24*IF(V24&gt;=Input!$G$27*J24,1,0)</f>
        <v/>
      </c>
      <c r="Z24" s="12">
        <f>4*Input!$G$9*(Input!$G$10/2)*(1-R24^2)/Q24*((W24-W23)+(1-2*R24)/(1-R24)*(X24-X23))*1000*Y24</f>
        <v/>
      </c>
      <c r="AA24" s="30">
        <f>IF(F24="Sand",0,0.009*(K24-10))</f>
        <v/>
      </c>
      <c r="AB24" s="30">
        <f>AA24*Input!$G$23</f>
        <v/>
      </c>
      <c r="AC24" s="26">
        <f>IF(F24="Sand",0,MAX(O24/Input!$G$24,J24))</f>
        <v/>
      </c>
      <c r="AD24" s="31">
        <f>IF(F24="Sand",0,1000*D24/(1+N24)*IF(J24+V24&lt;=AC24,AB24*LOG10((J24+V24)/J24),AB24*LOG10(AC24/J24)+AA24*LOG10((J24+V24)/AC24)))*Y24</f>
        <v/>
      </c>
      <c r="AE24" s="32">
        <f>IF(F24="Sand",0,10^(INDEX(Korelasi!$C$5:$C$11,MIN(MATCH(MIN(MAX(K24,30),120),Korelasi!$A$5:$A$11,1),6))+(MIN(MAX(K24,30),120)-INDEX(Korelasi!$A$5:$A$11,MIN(MATCH(MIN(MAX(K24,30),120),Korelasi!$A$5:$A$11,1),6)))/(INDEX(Korelasi!$A$5:$A$11,MIN(MATCH(MIN(MAX(K24,30),120),Korelasi!$A$5:$A$11,1),6)+1)-INDEX(Korelasi!$A$5:$A$11,MIN(MATCH(MIN(MAX(K24,30),120),Korelasi!$A$5:$A$11,1),6)))*(INDEX(Korelasi!$C$5:$C$11,MIN(MATCH(MIN(MAX(K24,30),120),Korelasi!$A$5:$A$11,1),6)+1)-INDEX(Korelasi!$C$5:$C$11,MIN(MATCH(MIN(MAX(K24,30),120),Korelasi!$A$5:$A$11,1),6)))))</f>
        <v/>
      </c>
      <c r="AF24" s="33">
        <f>IF(OR(F24="Sand",Y24=0),0,Input!$G$25*(D24/2)^2/(AE24*1E-4*31536000))</f>
        <v/>
      </c>
      <c r="AG24" s="13">
        <f>MAX(0,MIN(C24,Input!$G$15)-B24)</f>
        <v/>
      </c>
      <c r="AH24" s="13">
        <f>MAX(0,MIN(C24,Input!$G$15)-MAX(B24,$G$8))</f>
        <v/>
      </c>
      <c r="AI24" s="13">
        <f>MAX(0,MIN(C24,$G$106)-B24)</f>
        <v/>
      </c>
      <c r="AJ24" s="34" t="inlineStr"/>
    </row>
    <row r="25">
      <c r="A25" s="20" t="n">
        <v>13</v>
      </c>
      <c r="B25" s="21" t="n">
        <v>18</v>
      </c>
      <c r="C25" s="21" t="n">
        <v>19.5</v>
      </c>
      <c r="D25" s="13">
        <f>C25-B25</f>
        <v/>
      </c>
      <c r="E25" s="13">
        <f>(B25+C25)/2</f>
        <v/>
      </c>
      <c r="F25" s="22" t="inlineStr">
        <is>
          <t>Sand</t>
        </is>
      </c>
      <c r="G25" s="23" t="n">
        <v>18</v>
      </c>
      <c r="H25" s="12">
        <f>IF(E25&gt;$G$5,$G$7,$G$6)</f>
        <v/>
      </c>
      <c r="I25" s="12">
        <f>I24+H25*D25</f>
        <v/>
      </c>
      <c r="J25" s="12">
        <f>I25-H25*D25/2-10*MAX(E25-$G$5,0)</f>
        <v/>
      </c>
      <c r="K25" s="24" t="n"/>
      <c r="L25" s="24" t="n"/>
      <c r="M25" s="12">
        <f>IF(K25="","",K25-L25)</f>
        <v/>
      </c>
      <c r="N25" s="25" t="n">
        <v>0.497</v>
      </c>
      <c r="O25" s="26">
        <f>IF(F25="Sand",0,Input!$G$19*G25)</f>
        <v/>
      </c>
      <c r="P25" s="12">
        <f>IF(F25="Sand",27.1+0.3*MIN(Input!$G$20*G25,60)-0.00054*MIN(Input!$G$20*G25,60)^2,MIN(MAX(DEGREES(ASIN(0.8-0.094*LN(MAX(IF(M25="",10,M25),5)))),20),30))</f>
        <v/>
      </c>
      <c r="Q25" s="27">
        <f>IF(F25="Sand",Input!$G$21*Input!$G$20*G25,Input!$G$22*O25)</f>
        <v/>
      </c>
      <c r="R25" s="13">
        <f>IF(F25="Sand",Input!$G$26,0.5)</f>
        <v/>
      </c>
      <c r="S25" s="13">
        <f>Input!$G$10/2/E25</f>
        <v/>
      </c>
      <c r="T25" s="13">
        <f>Input!$G$11/2/E25</f>
        <v/>
      </c>
      <c r="U25" s="28">
        <f>1/(4*PI())*(2*S25*T25*SQRT(S25^2+T25^2+1)/(S25^2+T25^2+1+S25^2*T25^2)*(S25^2+T25^2+2)/(S25^2+T25^2+1)+ATAN2(S25^2+T25^2+1-S25^2*T25^2,2*S25*T25*SQRT(S25^2+T25^2+1)))</f>
        <v/>
      </c>
      <c r="V25" s="12">
        <f>4*Input!$G$9*U25</f>
        <v/>
      </c>
      <c r="W25" s="29">
        <f>((Input!$G$11/Input!$G$10)*LN((1+SQRT((Input!$G$11/Input!$G$10)^2+1))*SQRT((Input!$G$11/Input!$G$10)^2+(C25/(Input!$G$10/2))^2)/((Input!$G$11/Input!$G$10)*(1+SQRT((Input!$G$11/Input!$G$10)^2+(C25/(Input!$G$10/2))^2+1))))+LN(((Input!$G$11/Input!$G$10)+SQRT((Input!$G$11/Input!$G$10)^2+1))*SQRT(1+(C25/(Input!$G$10/2))^2)/((Input!$G$11/Input!$G$10)+SQRT((Input!$G$11/Input!$G$10)^2+(C25/(Input!$G$10/2))^2+1))))/PI()</f>
        <v/>
      </c>
      <c r="X25" s="29">
        <f>(C25/(Input!$G$10/2))/(2*PI())*ATAN((Input!$G$11/Input!$G$10)/((C25/(Input!$G$10/2))*SQRT((Input!$G$11/Input!$G$10)^2+(C25/(Input!$G$10/2))^2+1)))</f>
        <v/>
      </c>
      <c r="Y25" s="13">
        <f>MAX(0,C25-MAX(B25,$G$8))/D25*IF(V25&gt;=Input!$G$27*J25,1,0)</f>
        <v/>
      </c>
      <c r="Z25" s="12">
        <f>4*Input!$G$9*(Input!$G$10/2)*(1-R25^2)/Q25*((W25-W24)+(1-2*R25)/(1-R25)*(X25-X24))*1000*Y25</f>
        <v/>
      </c>
      <c r="AA25" s="30">
        <f>IF(F25="Sand",0,0.009*(K25-10))</f>
        <v/>
      </c>
      <c r="AB25" s="30">
        <f>AA25*Input!$G$23</f>
        <v/>
      </c>
      <c r="AC25" s="26">
        <f>IF(F25="Sand",0,MAX(O25/Input!$G$24,J25))</f>
        <v/>
      </c>
      <c r="AD25" s="31">
        <f>IF(F25="Sand",0,1000*D25/(1+N25)*IF(J25+V25&lt;=AC25,AB25*LOG10((J25+V25)/J25),AB25*LOG10(AC25/J25)+AA25*LOG10((J25+V25)/AC25)))*Y25</f>
        <v/>
      </c>
      <c r="AE25" s="32">
        <f>IF(F25="Sand",0,10^(INDEX(Korelasi!$C$5:$C$11,MIN(MATCH(MIN(MAX(K25,30),120),Korelasi!$A$5:$A$11,1),6))+(MIN(MAX(K25,30),120)-INDEX(Korelasi!$A$5:$A$11,MIN(MATCH(MIN(MAX(K25,30),120),Korelasi!$A$5:$A$11,1),6)))/(INDEX(Korelasi!$A$5:$A$11,MIN(MATCH(MIN(MAX(K25,30),120),Korelasi!$A$5:$A$11,1),6)+1)-INDEX(Korelasi!$A$5:$A$11,MIN(MATCH(MIN(MAX(K25,30),120),Korelasi!$A$5:$A$11,1),6)))*(INDEX(Korelasi!$C$5:$C$11,MIN(MATCH(MIN(MAX(K25,30),120),Korelasi!$A$5:$A$11,1),6)+1)-INDEX(Korelasi!$C$5:$C$11,MIN(MATCH(MIN(MAX(K25,30),120),Korelasi!$A$5:$A$11,1),6)))))</f>
        <v/>
      </c>
      <c r="AF25" s="33">
        <f>IF(OR(F25="Sand",Y25=0),0,Input!$G$25*(D25/2)^2/(AE25*1E-4*31536000))</f>
        <v/>
      </c>
      <c r="AG25" s="13">
        <f>MAX(0,MIN(C25,Input!$G$15)-B25)</f>
        <v/>
      </c>
      <c r="AH25" s="13">
        <f>MAX(0,MIN(C25,Input!$G$15)-MAX(B25,$G$8))</f>
        <v/>
      </c>
      <c r="AI25" s="13">
        <f>MAX(0,MIN(C25,$G$106)-B25)</f>
        <v/>
      </c>
      <c r="AJ25" s="34" t="inlineStr"/>
    </row>
    <row r="26">
      <c r="A26" s="20" t="n">
        <v>14</v>
      </c>
      <c r="B26" s="21" t="n">
        <v>19.5</v>
      </c>
      <c r="C26" s="21" t="n">
        <v>21</v>
      </c>
      <c r="D26" s="13">
        <f>C26-B26</f>
        <v/>
      </c>
      <c r="E26" s="13">
        <f>(B26+C26)/2</f>
        <v/>
      </c>
      <c r="F26" s="22" t="inlineStr">
        <is>
          <t>Sand</t>
        </is>
      </c>
      <c r="G26" s="23" t="n">
        <v>41</v>
      </c>
      <c r="H26" s="12">
        <f>IF(E26&gt;$G$5,$G$7,$G$6)</f>
        <v/>
      </c>
      <c r="I26" s="12">
        <f>I25+H26*D26</f>
        <v/>
      </c>
      <c r="J26" s="12">
        <f>I26-H26*D26/2-10*MAX(E26-$G$5,0)</f>
        <v/>
      </c>
      <c r="K26" s="24" t="n"/>
      <c r="L26" s="24" t="n"/>
      <c r="M26" s="12">
        <f>IF(K26="","",K26-L26)</f>
        <v/>
      </c>
      <c r="N26" s="25" t="n">
        <v>0.476</v>
      </c>
      <c r="O26" s="26">
        <f>IF(F26="Sand",0,Input!$G$19*G26)</f>
        <v/>
      </c>
      <c r="P26" s="12">
        <f>IF(F26="Sand",27.1+0.3*MIN(Input!$G$20*G26,60)-0.00054*MIN(Input!$G$20*G26,60)^2,MIN(MAX(DEGREES(ASIN(0.8-0.094*LN(MAX(IF(M26="",10,M26),5)))),20),30))</f>
        <v/>
      </c>
      <c r="Q26" s="27">
        <f>IF(F26="Sand",Input!$G$21*Input!$G$20*G26,Input!$G$22*O26)</f>
        <v/>
      </c>
      <c r="R26" s="13">
        <f>IF(F26="Sand",Input!$G$26,0.5)</f>
        <v/>
      </c>
      <c r="S26" s="13">
        <f>Input!$G$10/2/E26</f>
        <v/>
      </c>
      <c r="T26" s="13">
        <f>Input!$G$11/2/E26</f>
        <v/>
      </c>
      <c r="U26" s="28">
        <f>1/(4*PI())*(2*S26*T26*SQRT(S26^2+T26^2+1)/(S26^2+T26^2+1+S26^2*T26^2)*(S26^2+T26^2+2)/(S26^2+T26^2+1)+ATAN2(S26^2+T26^2+1-S26^2*T26^2,2*S26*T26*SQRT(S26^2+T26^2+1)))</f>
        <v/>
      </c>
      <c r="V26" s="12">
        <f>4*Input!$G$9*U26</f>
        <v/>
      </c>
      <c r="W26" s="29">
        <f>((Input!$G$11/Input!$G$10)*LN((1+SQRT((Input!$G$11/Input!$G$10)^2+1))*SQRT((Input!$G$11/Input!$G$10)^2+(C26/(Input!$G$10/2))^2)/((Input!$G$11/Input!$G$10)*(1+SQRT((Input!$G$11/Input!$G$10)^2+(C26/(Input!$G$10/2))^2+1))))+LN(((Input!$G$11/Input!$G$10)+SQRT((Input!$G$11/Input!$G$10)^2+1))*SQRT(1+(C26/(Input!$G$10/2))^2)/((Input!$G$11/Input!$G$10)+SQRT((Input!$G$11/Input!$G$10)^2+(C26/(Input!$G$10/2))^2+1))))/PI()</f>
        <v/>
      </c>
      <c r="X26" s="29">
        <f>(C26/(Input!$G$10/2))/(2*PI())*ATAN((Input!$G$11/Input!$G$10)/((C26/(Input!$G$10/2))*SQRT((Input!$G$11/Input!$G$10)^2+(C26/(Input!$G$10/2))^2+1)))</f>
        <v/>
      </c>
      <c r="Y26" s="13">
        <f>MAX(0,C26-MAX(B26,$G$8))/D26*IF(V26&gt;=Input!$G$27*J26,1,0)</f>
        <v/>
      </c>
      <c r="Z26" s="12">
        <f>4*Input!$G$9*(Input!$G$10/2)*(1-R26^2)/Q26*((W26-W25)+(1-2*R26)/(1-R26)*(X26-X25))*1000*Y26</f>
        <v/>
      </c>
      <c r="AA26" s="30">
        <f>IF(F26="Sand",0,0.009*(K26-10))</f>
        <v/>
      </c>
      <c r="AB26" s="30">
        <f>AA26*Input!$G$23</f>
        <v/>
      </c>
      <c r="AC26" s="26">
        <f>IF(F26="Sand",0,MAX(O26/Input!$G$24,J26))</f>
        <v/>
      </c>
      <c r="AD26" s="31">
        <f>IF(F26="Sand",0,1000*D26/(1+N26)*IF(J26+V26&lt;=AC26,AB26*LOG10((J26+V26)/J26),AB26*LOG10(AC26/J26)+AA26*LOG10((J26+V26)/AC26)))*Y26</f>
        <v/>
      </c>
      <c r="AE26" s="32">
        <f>IF(F26="Sand",0,10^(INDEX(Korelasi!$C$5:$C$11,MIN(MATCH(MIN(MAX(K26,30),120),Korelasi!$A$5:$A$11,1),6))+(MIN(MAX(K26,30),120)-INDEX(Korelasi!$A$5:$A$11,MIN(MATCH(MIN(MAX(K26,30),120),Korelasi!$A$5:$A$11,1),6)))/(INDEX(Korelasi!$A$5:$A$11,MIN(MATCH(MIN(MAX(K26,30),120),Korelasi!$A$5:$A$11,1),6)+1)-INDEX(Korelasi!$A$5:$A$11,MIN(MATCH(MIN(MAX(K26,30),120),Korelasi!$A$5:$A$11,1),6)))*(INDEX(Korelasi!$C$5:$C$11,MIN(MATCH(MIN(MAX(K26,30),120),Korelasi!$A$5:$A$11,1),6)+1)-INDEX(Korelasi!$C$5:$C$11,MIN(MATCH(MIN(MAX(K26,30),120),Korelasi!$A$5:$A$11,1),6)))))</f>
        <v/>
      </c>
      <c r="AF26" s="33">
        <f>IF(OR(F26="Sand",Y26=0),0,Input!$G$25*(D26/2)^2/(AE26*1E-4*31536000))</f>
        <v/>
      </c>
      <c r="AG26" s="13">
        <f>MAX(0,MIN(C26,Input!$G$15)-B26)</f>
        <v/>
      </c>
      <c r="AH26" s="13">
        <f>MAX(0,MIN(C26,Input!$G$15)-MAX(B26,$G$8))</f>
        <v/>
      </c>
      <c r="AI26" s="13">
        <f>MAX(0,MIN(C26,$G$106)-B26)</f>
        <v/>
      </c>
      <c r="AJ26" s="34" t="inlineStr"/>
    </row>
    <row r="27">
      <c r="A27" s="20" t="n">
        <v>15</v>
      </c>
      <c r="B27" s="21" t="n">
        <v>21</v>
      </c>
      <c r="C27" s="21" t="n">
        <v>22.5</v>
      </c>
      <c r="D27" s="13">
        <f>C27-B27</f>
        <v/>
      </c>
      <c r="E27" s="13">
        <f>(B27+C27)/2</f>
        <v/>
      </c>
      <c r="F27" s="22" t="inlineStr">
        <is>
          <t>Sand</t>
        </is>
      </c>
      <c r="G27" s="23" t="n">
        <v>36</v>
      </c>
      <c r="H27" s="12">
        <f>IF(E27&gt;$G$5,$G$7,$G$6)</f>
        <v/>
      </c>
      <c r="I27" s="12">
        <f>I26+H27*D27</f>
        <v/>
      </c>
      <c r="J27" s="12">
        <f>I27-H27*D27/2-10*MAX(E27-$G$5,0)</f>
        <v/>
      </c>
      <c r="K27" s="24" t="n"/>
      <c r="L27" s="24" t="n"/>
      <c r="M27" s="12">
        <f>IF(K27="","",K27-L27)</f>
        <v/>
      </c>
      <c r="N27" s="25" t="n">
        <v>0.65</v>
      </c>
      <c r="O27" s="26">
        <f>IF(F27="Sand",0,Input!$G$19*G27)</f>
        <v/>
      </c>
      <c r="P27" s="12">
        <f>IF(F27="Sand",27.1+0.3*MIN(Input!$G$20*G27,60)-0.00054*MIN(Input!$G$20*G27,60)^2,MIN(MAX(DEGREES(ASIN(0.8-0.094*LN(MAX(IF(M27="",10,M27),5)))),20),30))</f>
        <v/>
      </c>
      <c r="Q27" s="27">
        <f>IF(F27="Sand",Input!$G$21*Input!$G$20*G27,Input!$G$22*O27)</f>
        <v/>
      </c>
      <c r="R27" s="13">
        <f>IF(F27="Sand",Input!$G$26,0.5)</f>
        <v/>
      </c>
      <c r="S27" s="13">
        <f>Input!$G$10/2/E27</f>
        <v/>
      </c>
      <c r="T27" s="13">
        <f>Input!$G$11/2/E27</f>
        <v/>
      </c>
      <c r="U27" s="28">
        <f>1/(4*PI())*(2*S27*T27*SQRT(S27^2+T27^2+1)/(S27^2+T27^2+1+S27^2*T27^2)*(S27^2+T27^2+2)/(S27^2+T27^2+1)+ATAN2(S27^2+T27^2+1-S27^2*T27^2,2*S27*T27*SQRT(S27^2+T27^2+1)))</f>
        <v/>
      </c>
      <c r="V27" s="12">
        <f>4*Input!$G$9*U27</f>
        <v/>
      </c>
      <c r="W27" s="29">
        <f>((Input!$G$11/Input!$G$10)*LN((1+SQRT((Input!$G$11/Input!$G$10)^2+1))*SQRT((Input!$G$11/Input!$G$10)^2+(C27/(Input!$G$10/2))^2)/((Input!$G$11/Input!$G$10)*(1+SQRT((Input!$G$11/Input!$G$10)^2+(C27/(Input!$G$10/2))^2+1))))+LN(((Input!$G$11/Input!$G$10)+SQRT((Input!$G$11/Input!$G$10)^2+1))*SQRT(1+(C27/(Input!$G$10/2))^2)/((Input!$G$11/Input!$G$10)+SQRT((Input!$G$11/Input!$G$10)^2+(C27/(Input!$G$10/2))^2+1))))/PI()</f>
        <v/>
      </c>
      <c r="X27" s="29">
        <f>(C27/(Input!$G$10/2))/(2*PI())*ATAN((Input!$G$11/Input!$G$10)/((C27/(Input!$G$10/2))*SQRT((Input!$G$11/Input!$G$10)^2+(C27/(Input!$G$10/2))^2+1)))</f>
        <v/>
      </c>
      <c r="Y27" s="13">
        <f>MAX(0,C27-MAX(B27,$G$8))/D27*IF(V27&gt;=Input!$G$27*J27,1,0)</f>
        <v/>
      </c>
      <c r="Z27" s="12">
        <f>4*Input!$G$9*(Input!$G$10/2)*(1-R27^2)/Q27*((W27-W26)+(1-2*R27)/(1-R27)*(X27-X26))*1000*Y27</f>
        <v/>
      </c>
      <c r="AA27" s="30">
        <f>IF(F27="Sand",0,0.009*(K27-10))</f>
        <v/>
      </c>
      <c r="AB27" s="30">
        <f>AA27*Input!$G$23</f>
        <v/>
      </c>
      <c r="AC27" s="26">
        <f>IF(F27="Sand",0,MAX(O27/Input!$G$24,J27))</f>
        <v/>
      </c>
      <c r="AD27" s="31">
        <f>IF(F27="Sand",0,1000*D27/(1+N27)*IF(J27+V27&lt;=AC27,AB27*LOG10((J27+V27)/J27),AB27*LOG10(AC27/J27)+AA27*LOG10((J27+V27)/AC27)))*Y27</f>
        <v/>
      </c>
      <c r="AE27" s="32">
        <f>IF(F27="Sand",0,10^(INDEX(Korelasi!$C$5:$C$11,MIN(MATCH(MIN(MAX(K27,30),120),Korelasi!$A$5:$A$11,1),6))+(MIN(MAX(K27,30),120)-INDEX(Korelasi!$A$5:$A$11,MIN(MATCH(MIN(MAX(K27,30),120),Korelasi!$A$5:$A$11,1),6)))/(INDEX(Korelasi!$A$5:$A$11,MIN(MATCH(MIN(MAX(K27,30),120),Korelasi!$A$5:$A$11,1),6)+1)-INDEX(Korelasi!$A$5:$A$11,MIN(MATCH(MIN(MAX(K27,30),120),Korelasi!$A$5:$A$11,1),6)))*(INDEX(Korelasi!$C$5:$C$11,MIN(MATCH(MIN(MAX(K27,30),120),Korelasi!$A$5:$A$11,1),6)+1)-INDEX(Korelasi!$C$5:$C$11,MIN(MATCH(MIN(MAX(K27,30),120),Korelasi!$A$5:$A$11,1),6)))))</f>
        <v/>
      </c>
      <c r="AF27" s="33">
        <f>IF(OR(F27="Sand",Y27=0),0,Input!$G$25*(D27/2)^2/(AE27*1E-4*31536000))</f>
        <v/>
      </c>
      <c r="AG27" s="13">
        <f>MAX(0,MIN(C27,Input!$G$15)-B27)</f>
        <v/>
      </c>
      <c r="AH27" s="13">
        <f>MAX(0,MIN(C27,Input!$G$15)-MAX(B27,$G$8))</f>
        <v/>
      </c>
      <c r="AI27" s="13">
        <f>MAX(0,MIN(C27,$G$106)-B27)</f>
        <v/>
      </c>
      <c r="AJ27" s="34" t="inlineStr"/>
    </row>
    <row r="28">
      <c r="A28" s="20" t="n">
        <v>16</v>
      </c>
      <c r="B28" s="21" t="n">
        <v>22.5</v>
      </c>
      <c r="C28" s="21" t="n">
        <v>24</v>
      </c>
      <c r="D28" s="13">
        <f>C28-B28</f>
        <v/>
      </c>
      <c r="E28" s="13">
        <f>(B28+C28)/2</f>
        <v/>
      </c>
      <c r="F28" s="22" t="inlineStr">
        <is>
          <t>Clay</t>
        </is>
      </c>
      <c r="G28" s="23" t="n">
        <v>35</v>
      </c>
      <c r="H28" s="12">
        <f>IF(E28&gt;$G$5,$G$7,$G$6)</f>
        <v/>
      </c>
      <c r="I28" s="12">
        <f>I27+H28*D28</f>
        <v/>
      </c>
      <c r="J28" s="12">
        <f>I28-H28*D28/2-10*MAX(E28-$G$5,0)</f>
        <v/>
      </c>
      <c r="K28" s="24" t="n">
        <v>33.79</v>
      </c>
      <c r="L28" s="24" t="n">
        <v>24.33</v>
      </c>
      <c r="M28" s="12">
        <f>IF(K28="","",K28-L28)</f>
        <v/>
      </c>
      <c r="N28" s="25" t="n">
        <v>0.715</v>
      </c>
      <c r="O28" s="26">
        <f>IF(F28="Sand",0,Input!$G$19*G28)</f>
        <v/>
      </c>
      <c r="P28" s="12">
        <f>IF(F28="Sand",27.1+0.3*MIN(Input!$G$20*G28,60)-0.00054*MIN(Input!$G$20*G28,60)^2,MIN(MAX(DEGREES(ASIN(0.8-0.094*LN(MAX(IF(M28="",10,M28),5)))),20),30))</f>
        <v/>
      </c>
      <c r="Q28" s="27">
        <f>IF(F28="Sand",Input!$G$21*Input!$G$20*G28,Input!$G$22*O28)</f>
        <v/>
      </c>
      <c r="R28" s="13">
        <f>IF(F28="Sand",Input!$G$26,0.5)</f>
        <v/>
      </c>
      <c r="S28" s="13">
        <f>Input!$G$10/2/E28</f>
        <v/>
      </c>
      <c r="T28" s="13">
        <f>Input!$G$11/2/E28</f>
        <v/>
      </c>
      <c r="U28" s="28">
        <f>1/(4*PI())*(2*S28*T28*SQRT(S28^2+T28^2+1)/(S28^2+T28^2+1+S28^2*T28^2)*(S28^2+T28^2+2)/(S28^2+T28^2+1)+ATAN2(S28^2+T28^2+1-S28^2*T28^2,2*S28*T28*SQRT(S28^2+T28^2+1)))</f>
        <v/>
      </c>
      <c r="V28" s="12">
        <f>4*Input!$G$9*U28</f>
        <v/>
      </c>
      <c r="W28" s="29">
        <f>((Input!$G$11/Input!$G$10)*LN((1+SQRT((Input!$G$11/Input!$G$10)^2+1))*SQRT((Input!$G$11/Input!$G$10)^2+(C28/(Input!$G$10/2))^2)/((Input!$G$11/Input!$G$10)*(1+SQRT((Input!$G$11/Input!$G$10)^2+(C28/(Input!$G$10/2))^2+1))))+LN(((Input!$G$11/Input!$G$10)+SQRT((Input!$G$11/Input!$G$10)^2+1))*SQRT(1+(C28/(Input!$G$10/2))^2)/((Input!$G$11/Input!$G$10)+SQRT((Input!$G$11/Input!$G$10)^2+(C28/(Input!$G$10/2))^2+1))))/PI()</f>
        <v/>
      </c>
      <c r="X28" s="29">
        <f>(C28/(Input!$G$10/2))/(2*PI())*ATAN((Input!$G$11/Input!$G$10)/((C28/(Input!$G$10/2))*SQRT((Input!$G$11/Input!$G$10)^2+(C28/(Input!$G$10/2))^2+1)))</f>
        <v/>
      </c>
      <c r="Y28" s="13">
        <f>MAX(0,C28-MAX(B28,$G$8))/D28*IF(V28&gt;=Input!$G$27*J28,1,0)</f>
        <v/>
      </c>
      <c r="Z28" s="12">
        <f>4*Input!$G$9*(Input!$G$10/2)*(1-R28^2)/Q28*((W28-W27)+(1-2*R28)/(1-R28)*(X28-X27))*1000*Y28</f>
        <v/>
      </c>
      <c r="AA28" s="30">
        <f>IF(F28="Sand",0,0.009*(K28-10))</f>
        <v/>
      </c>
      <c r="AB28" s="30">
        <f>AA28*Input!$G$23</f>
        <v/>
      </c>
      <c r="AC28" s="26">
        <f>IF(F28="Sand",0,MAX(O28/Input!$G$24,J28))</f>
        <v/>
      </c>
      <c r="AD28" s="31">
        <f>IF(F28="Sand",0,1000*D28/(1+N28)*IF(J28+V28&lt;=AC28,AB28*LOG10((J28+V28)/J28),AB28*LOG10(AC28/J28)+AA28*LOG10((J28+V28)/AC28)))*Y28</f>
        <v/>
      </c>
      <c r="AE28" s="32">
        <f>IF(F28="Sand",0,10^(INDEX(Korelasi!$C$5:$C$11,MIN(MATCH(MIN(MAX(K28,30),120),Korelasi!$A$5:$A$11,1),6))+(MIN(MAX(K28,30),120)-INDEX(Korelasi!$A$5:$A$11,MIN(MATCH(MIN(MAX(K28,30),120),Korelasi!$A$5:$A$11,1),6)))/(INDEX(Korelasi!$A$5:$A$11,MIN(MATCH(MIN(MAX(K28,30),120),Korelasi!$A$5:$A$11,1),6)+1)-INDEX(Korelasi!$A$5:$A$11,MIN(MATCH(MIN(MAX(K28,30),120),Korelasi!$A$5:$A$11,1),6)))*(INDEX(Korelasi!$C$5:$C$11,MIN(MATCH(MIN(MAX(K28,30),120),Korelasi!$A$5:$A$11,1),6)+1)-INDEX(Korelasi!$C$5:$C$11,MIN(MATCH(MIN(MAX(K28,30),120),Korelasi!$A$5:$A$11,1),6)))))</f>
        <v/>
      </c>
      <c r="AF28" s="33">
        <f>IF(OR(F28="Sand",Y28=0),0,Input!$G$25*(D28/2)^2/(AE28*1E-4*31536000))</f>
        <v/>
      </c>
      <c r="AG28" s="13">
        <f>MAX(0,MIN(C28,Input!$G$15)-B28)</f>
        <v/>
      </c>
      <c r="AH28" s="13">
        <f>MAX(0,MIN(C28,Input!$G$15)-MAX(B28,$G$8))</f>
        <v/>
      </c>
      <c r="AI28" s="13">
        <f>MAX(0,MIN(C28,$G$106)-B28)</f>
        <v/>
      </c>
      <c r="AJ28" s="34" t="inlineStr"/>
    </row>
    <row r="29">
      <c r="A29" s="20" t="n">
        <v>17</v>
      </c>
      <c r="B29" s="21" t="n">
        <v>24</v>
      </c>
      <c r="C29" s="21" t="n">
        <v>25.5</v>
      </c>
      <c r="D29" s="13">
        <f>C29-B29</f>
        <v/>
      </c>
      <c r="E29" s="13">
        <f>(B29+C29)/2</f>
        <v/>
      </c>
      <c r="F29" s="22" t="inlineStr">
        <is>
          <t>Clay</t>
        </is>
      </c>
      <c r="G29" s="23" t="n">
        <v>24</v>
      </c>
      <c r="H29" s="12">
        <f>IF(E29&gt;$G$5,$G$7,$G$6)</f>
        <v/>
      </c>
      <c r="I29" s="12">
        <f>I28+H29*D29</f>
        <v/>
      </c>
      <c r="J29" s="12">
        <f>I29-H29*D29/2-10*MAX(E29-$G$5,0)</f>
        <v/>
      </c>
      <c r="K29" s="24" t="n">
        <v>28.071</v>
      </c>
      <c r="L29" s="24" t="n">
        <v>18.832</v>
      </c>
      <c r="M29" s="12">
        <f>IF(K29="","",K29-L29)</f>
        <v/>
      </c>
      <c r="N29" s="25" t="n">
        <v>0.59</v>
      </c>
      <c r="O29" s="26">
        <f>IF(F29="Sand",0,Input!$G$19*G29)</f>
        <v/>
      </c>
      <c r="P29" s="12">
        <f>IF(F29="Sand",27.1+0.3*MIN(Input!$G$20*G29,60)-0.00054*MIN(Input!$G$20*G29,60)^2,MIN(MAX(DEGREES(ASIN(0.8-0.094*LN(MAX(IF(M29="",10,M29),5)))),20),30))</f>
        <v/>
      </c>
      <c r="Q29" s="27">
        <f>IF(F29="Sand",Input!$G$21*Input!$G$20*G29,Input!$G$22*O29)</f>
        <v/>
      </c>
      <c r="R29" s="13">
        <f>IF(F29="Sand",Input!$G$26,0.5)</f>
        <v/>
      </c>
      <c r="S29" s="13">
        <f>Input!$G$10/2/E29</f>
        <v/>
      </c>
      <c r="T29" s="13">
        <f>Input!$G$11/2/E29</f>
        <v/>
      </c>
      <c r="U29" s="28">
        <f>1/(4*PI())*(2*S29*T29*SQRT(S29^2+T29^2+1)/(S29^2+T29^2+1+S29^2*T29^2)*(S29^2+T29^2+2)/(S29^2+T29^2+1)+ATAN2(S29^2+T29^2+1-S29^2*T29^2,2*S29*T29*SQRT(S29^2+T29^2+1)))</f>
        <v/>
      </c>
      <c r="V29" s="12">
        <f>4*Input!$G$9*U29</f>
        <v/>
      </c>
      <c r="W29" s="29">
        <f>((Input!$G$11/Input!$G$10)*LN((1+SQRT((Input!$G$11/Input!$G$10)^2+1))*SQRT((Input!$G$11/Input!$G$10)^2+(C29/(Input!$G$10/2))^2)/((Input!$G$11/Input!$G$10)*(1+SQRT((Input!$G$11/Input!$G$10)^2+(C29/(Input!$G$10/2))^2+1))))+LN(((Input!$G$11/Input!$G$10)+SQRT((Input!$G$11/Input!$G$10)^2+1))*SQRT(1+(C29/(Input!$G$10/2))^2)/((Input!$G$11/Input!$G$10)+SQRT((Input!$G$11/Input!$G$10)^2+(C29/(Input!$G$10/2))^2+1))))/PI()</f>
        <v/>
      </c>
      <c r="X29" s="29">
        <f>(C29/(Input!$G$10/2))/(2*PI())*ATAN((Input!$G$11/Input!$G$10)/((C29/(Input!$G$10/2))*SQRT((Input!$G$11/Input!$G$10)^2+(C29/(Input!$G$10/2))^2+1)))</f>
        <v/>
      </c>
      <c r="Y29" s="13">
        <f>MAX(0,C29-MAX(B29,$G$8))/D29*IF(V29&gt;=Input!$G$27*J29,1,0)</f>
        <v/>
      </c>
      <c r="Z29" s="12">
        <f>4*Input!$G$9*(Input!$G$10/2)*(1-R29^2)/Q29*((W29-W28)+(1-2*R29)/(1-R29)*(X29-X28))*1000*Y29</f>
        <v/>
      </c>
      <c r="AA29" s="30">
        <f>IF(F29="Sand",0,0.009*(K29-10))</f>
        <v/>
      </c>
      <c r="AB29" s="30">
        <f>AA29*Input!$G$23</f>
        <v/>
      </c>
      <c r="AC29" s="26">
        <f>IF(F29="Sand",0,MAX(O29/Input!$G$24,J29))</f>
        <v/>
      </c>
      <c r="AD29" s="31">
        <f>IF(F29="Sand",0,1000*D29/(1+N29)*IF(J29+V29&lt;=AC29,AB29*LOG10((J29+V29)/J29),AB29*LOG10(AC29/J29)+AA29*LOG10((J29+V29)/AC29)))*Y29</f>
        <v/>
      </c>
      <c r="AE29" s="32">
        <f>IF(F29="Sand",0,10^(INDEX(Korelasi!$C$5:$C$11,MIN(MATCH(MIN(MAX(K29,30),120),Korelasi!$A$5:$A$11,1),6))+(MIN(MAX(K29,30),120)-INDEX(Korelasi!$A$5:$A$11,MIN(MATCH(MIN(MAX(K29,30),120),Korelasi!$A$5:$A$11,1),6)))/(INDEX(Korelasi!$A$5:$A$11,MIN(MATCH(MIN(MAX(K29,30),120),Korelasi!$A$5:$A$11,1),6)+1)-INDEX(Korelasi!$A$5:$A$11,MIN(MATCH(MIN(MAX(K29,30),120),Korelasi!$A$5:$A$11,1),6)))*(INDEX(Korelasi!$C$5:$C$11,MIN(MATCH(MIN(MAX(K29,30),120),Korelasi!$A$5:$A$11,1),6)+1)-INDEX(Korelasi!$C$5:$C$11,MIN(MATCH(MIN(MAX(K29,30),120),Korelasi!$A$5:$A$11,1),6)))))</f>
        <v/>
      </c>
      <c r="AF29" s="33">
        <f>IF(OR(F29="Sand",Y29=0),0,Input!$G$25*(D29/2)^2/(AE29*1E-4*31536000))</f>
        <v/>
      </c>
      <c r="AG29" s="13">
        <f>MAX(0,MIN(C29,Input!$G$15)-B29)</f>
        <v/>
      </c>
      <c r="AH29" s="13">
        <f>MAX(0,MIN(C29,Input!$G$15)-MAX(B29,$G$8))</f>
        <v/>
      </c>
      <c r="AI29" s="13">
        <f>MAX(0,MIN(C29,$G$106)-B29)</f>
        <v/>
      </c>
      <c r="AJ29" s="34" t="inlineStr">
        <is>
          <t>LL/PL/e0 = rata-rata BH</t>
        </is>
      </c>
    </row>
    <row r="30">
      <c r="A30" s="20" t="n">
        <v>18</v>
      </c>
      <c r="B30" s="21" t="n">
        <v>25.5</v>
      </c>
      <c r="C30" s="21" t="n">
        <v>27</v>
      </c>
      <c r="D30" s="13">
        <f>C30-B30</f>
        <v/>
      </c>
      <c r="E30" s="13">
        <f>(B30+C30)/2</f>
        <v/>
      </c>
      <c r="F30" s="22" t="inlineStr">
        <is>
          <t>Clay</t>
        </is>
      </c>
      <c r="G30" s="23" t="n">
        <v>21</v>
      </c>
      <c r="H30" s="12">
        <f>IF(E30&gt;$G$5,$G$7,$G$6)</f>
        <v/>
      </c>
      <c r="I30" s="12">
        <f>I29+H30*D30</f>
        <v/>
      </c>
      <c r="J30" s="12">
        <f>I30-H30*D30/2-10*MAX(E30-$G$5,0)</f>
        <v/>
      </c>
      <c r="K30" s="24" t="n">
        <v>28.071</v>
      </c>
      <c r="L30" s="24" t="n">
        <v>18.832</v>
      </c>
      <c r="M30" s="12">
        <f>IF(K30="","",K30-L30)</f>
        <v/>
      </c>
      <c r="N30" s="25" t="n">
        <v>0.401</v>
      </c>
      <c r="O30" s="26">
        <f>IF(F30="Sand",0,Input!$G$19*G30)</f>
        <v/>
      </c>
      <c r="P30" s="12">
        <f>IF(F30="Sand",27.1+0.3*MIN(Input!$G$20*G30,60)-0.00054*MIN(Input!$G$20*G30,60)^2,MIN(MAX(DEGREES(ASIN(0.8-0.094*LN(MAX(IF(M30="",10,M30),5)))),20),30))</f>
        <v/>
      </c>
      <c r="Q30" s="27">
        <f>IF(F30="Sand",Input!$G$21*Input!$G$20*G30,Input!$G$22*O30)</f>
        <v/>
      </c>
      <c r="R30" s="13">
        <f>IF(F30="Sand",Input!$G$26,0.5)</f>
        <v/>
      </c>
      <c r="S30" s="13">
        <f>Input!$G$10/2/E30</f>
        <v/>
      </c>
      <c r="T30" s="13">
        <f>Input!$G$11/2/E30</f>
        <v/>
      </c>
      <c r="U30" s="28">
        <f>1/(4*PI())*(2*S30*T30*SQRT(S30^2+T30^2+1)/(S30^2+T30^2+1+S30^2*T30^2)*(S30^2+T30^2+2)/(S30^2+T30^2+1)+ATAN2(S30^2+T30^2+1-S30^2*T30^2,2*S30*T30*SQRT(S30^2+T30^2+1)))</f>
        <v/>
      </c>
      <c r="V30" s="12">
        <f>4*Input!$G$9*U30</f>
        <v/>
      </c>
      <c r="W30" s="29">
        <f>((Input!$G$11/Input!$G$10)*LN((1+SQRT((Input!$G$11/Input!$G$10)^2+1))*SQRT((Input!$G$11/Input!$G$10)^2+(C30/(Input!$G$10/2))^2)/((Input!$G$11/Input!$G$10)*(1+SQRT((Input!$G$11/Input!$G$10)^2+(C30/(Input!$G$10/2))^2+1))))+LN(((Input!$G$11/Input!$G$10)+SQRT((Input!$G$11/Input!$G$10)^2+1))*SQRT(1+(C30/(Input!$G$10/2))^2)/((Input!$G$11/Input!$G$10)+SQRT((Input!$G$11/Input!$G$10)^2+(C30/(Input!$G$10/2))^2+1))))/PI()</f>
        <v/>
      </c>
      <c r="X30" s="29">
        <f>(C30/(Input!$G$10/2))/(2*PI())*ATAN((Input!$G$11/Input!$G$10)/((C30/(Input!$G$10/2))*SQRT((Input!$G$11/Input!$G$10)^2+(C30/(Input!$G$10/2))^2+1)))</f>
        <v/>
      </c>
      <c r="Y30" s="13">
        <f>MAX(0,C30-MAX(B30,$G$8))/D30*IF(V30&gt;=Input!$G$27*J30,1,0)</f>
        <v/>
      </c>
      <c r="Z30" s="12">
        <f>4*Input!$G$9*(Input!$G$10/2)*(1-R30^2)/Q30*((W30-W29)+(1-2*R30)/(1-R30)*(X30-X29))*1000*Y30</f>
        <v/>
      </c>
      <c r="AA30" s="30">
        <f>IF(F30="Sand",0,0.009*(K30-10))</f>
        <v/>
      </c>
      <c r="AB30" s="30">
        <f>AA30*Input!$G$23</f>
        <v/>
      </c>
      <c r="AC30" s="26">
        <f>IF(F30="Sand",0,MAX(O30/Input!$G$24,J30))</f>
        <v/>
      </c>
      <c r="AD30" s="31">
        <f>IF(F30="Sand",0,1000*D30/(1+N30)*IF(J30+V30&lt;=AC30,AB30*LOG10((J30+V30)/J30),AB30*LOG10(AC30/J30)+AA30*LOG10((J30+V30)/AC30)))*Y30</f>
        <v/>
      </c>
      <c r="AE30" s="32">
        <f>IF(F30="Sand",0,10^(INDEX(Korelasi!$C$5:$C$11,MIN(MATCH(MIN(MAX(K30,30),120),Korelasi!$A$5:$A$11,1),6))+(MIN(MAX(K30,30),120)-INDEX(Korelasi!$A$5:$A$11,MIN(MATCH(MIN(MAX(K30,30),120),Korelasi!$A$5:$A$11,1),6)))/(INDEX(Korelasi!$A$5:$A$11,MIN(MATCH(MIN(MAX(K30,30),120),Korelasi!$A$5:$A$11,1),6)+1)-INDEX(Korelasi!$A$5:$A$11,MIN(MATCH(MIN(MAX(K30,30),120),Korelasi!$A$5:$A$11,1),6)))*(INDEX(Korelasi!$C$5:$C$11,MIN(MATCH(MIN(MAX(K30,30),120),Korelasi!$A$5:$A$11,1),6)+1)-INDEX(Korelasi!$C$5:$C$11,MIN(MATCH(MIN(MAX(K30,30),120),Korelasi!$A$5:$A$11,1),6)))))</f>
        <v/>
      </c>
      <c r="AF30" s="33">
        <f>IF(OR(F30="Sand",Y30=0),0,Input!$G$25*(D30/2)^2/(AE30*1E-4*31536000))</f>
        <v/>
      </c>
      <c r="AG30" s="13">
        <f>MAX(0,MIN(C30,Input!$G$15)-B30)</f>
        <v/>
      </c>
      <c r="AH30" s="13">
        <f>MAX(0,MIN(C30,Input!$G$15)-MAX(B30,$G$8))</f>
        <v/>
      </c>
      <c r="AI30" s="13">
        <f>MAX(0,MIN(C30,$G$106)-B30)</f>
        <v/>
      </c>
      <c r="AJ30" s="34" t="inlineStr">
        <is>
          <t>data salinan BH-01; LL/PL/e0 = rata-rata BH</t>
        </is>
      </c>
    </row>
    <row r="31">
      <c r="A31" s="20" t="n">
        <v>19</v>
      </c>
      <c r="B31" s="21" t="n">
        <v>27</v>
      </c>
      <c r="C31" s="21" t="n">
        <v>28.5</v>
      </c>
      <c r="D31" s="13">
        <f>C31-B31</f>
        <v/>
      </c>
      <c r="E31" s="13">
        <f>(B31+C31)/2</f>
        <v/>
      </c>
      <c r="F31" s="22" t="inlineStr">
        <is>
          <t>Sand</t>
        </is>
      </c>
      <c r="G31" s="23" t="n">
        <v>21</v>
      </c>
      <c r="H31" s="12">
        <f>IF(E31&gt;$G$5,$G$7,$G$6)</f>
        <v/>
      </c>
      <c r="I31" s="12">
        <f>I30+H31*D31</f>
        <v/>
      </c>
      <c r="J31" s="12">
        <f>I31-H31*D31/2-10*MAX(E31-$G$5,0)</f>
        <v/>
      </c>
      <c r="K31" s="24" t="n"/>
      <c r="L31" s="24" t="n"/>
      <c r="M31" s="12">
        <f>IF(K31="","",K31-L31)</f>
        <v/>
      </c>
      <c r="N31" s="25" t="n">
        <v>0.474</v>
      </c>
      <c r="O31" s="26">
        <f>IF(F31="Sand",0,Input!$G$19*G31)</f>
        <v/>
      </c>
      <c r="P31" s="12">
        <f>IF(F31="Sand",27.1+0.3*MIN(Input!$G$20*G31,60)-0.00054*MIN(Input!$G$20*G31,60)^2,MIN(MAX(DEGREES(ASIN(0.8-0.094*LN(MAX(IF(M31="",10,M31),5)))),20),30))</f>
        <v/>
      </c>
      <c r="Q31" s="27">
        <f>IF(F31="Sand",Input!$G$21*Input!$G$20*G31,Input!$G$22*O31)</f>
        <v/>
      </c>
      <c r="R31" s="13">
        <f>IF(F31="Sand",Input!$G$26,0.5)</f>
        <v/>
      </c>
      <c r="S31" s="13">
        <f>Input!$G$10/2/E31</f>
        <v/>
      </c>
      <c r="T31" s="13">
        <f>Input!$G$11/2/E31</f>
        <v/>
      </c>
      <c r="U31" s="28">
        <f>1/(4*PI())*(2*S31*T31*SQRT(S31^2+T31^2+1)/(S31^2+T31^2+1+S31^2*T31^2)*(S31^2+T31^2+2)/(S31^2+T31^2+1)+ATAN2(S31^2+T31^2+1-S31^2*T31^2,2*S31*T31*SQRT(S31^2+T31^2+1)))</f>
        <v/>
      </c>
      <c r="V31" s="12">
        <f>4*Input!$G$9*U31</f>
        <v/>
      </c>
      <c r="W31" s="29">
        <f>((Input!$G$11/Input!$G$10)*LN((1+SQRT((Input!$G$11/Input!$G$10)^2+1))*SQRT((Input!$G$11/Input!$G$10)^2+(C31/(Input!$G$10/2))^2)/((Input!$G$11/Input!$G$10)*(1+SQRT((Input!$G$11/Input!$G$10)^2+(C31/(Input!$G$10/2))^2+1))))+LN(((Input!$G$11/Input!$G$10)+SQRT((Input!$G$11/Input!$G$10)^2+1))*SQRT(1+(C31/(Input!$G$10/2))^2)/((Input!$G$11/Input!$G$10)+SQRT((Input!$G$11/Input!$G$10)^2+(C31/(Input!$G$10/2))^2+1))))/PI()</f>
        <v/>
      </c>
      <c r="X31" s="29">
        <f>(C31/(Input!$G$10/2))/(2*PI())*ATAN((Input!$G$11/Input!$G$10)/((C31/(Input!$G$10/2))*SQRT((Input!$G$11/Input!$G$10)^2+(C31/(Input!$G$10/2))^2+1)))</f>
        <v/>
      </c>
      <c r="Y31" s="13">
        <f>MAX(0,C31-MAX(B31,$G$8))/D31*IF(V31&gt;=Input!$G$27*J31,1,0)</f>
        <v/>
      </c>
      <c r="Z31" s="12">
        <f>4*Input!$G$9*(Input!$G$10/2)*(1-R31^2)/Q31*((W31-W30)+(1-2*R31)/(1-R31)*(X31-X30))*1000*Y31</f>
        <v/>
      </c>
      <c r="AA31" s="30">
        <f>IF(F31="Sand",0,0.009*(K31-10))</f>
        <v/>
      </c>
      <c r="AB31" s="30">
        <f>AA31*Input!$G$23</f>
        <v/>
      </c>
      <c r="AC31" s="26">
        <f>IF(F31="Sand",0,MAX(O31/Input!$G$24,J31))</f>
        <v/>
      </c>
      <c r="AD31" s="31">
        <f>IF(F31="Sand",0,1000*D31/(1+N31)*IF(J31+V31&lt;=AC31,AB31*LOG10((J31+V31)/J31),AB31*LOG10(AC31/J31)+AA31*LOG10((J31+V31)/AC31)))*Y31</f>
        <v/>
      </c>
      <c r="AE31" s="32">
        <f>IF(F31="Sand",0,10^(INDEX(Korelasi!$C$5:$C$11,MIN(MATCH(MIN(MAX(K31,30),120),Korelasi!$A$5:$A$11,1),6))+(MIN(MAX(K31,30),120)-INDEX(Korelasi!$A$5:$A$11,MIN(MATCH(MIN(MAX(K31,30),120),Korelasi!$A$5:$A$11,1),6)))/(INDEX(Korelasi!$A$5:$A$11,MIN(MATCH(MIN(MAX(K31,30),120),Korelasi!$A$5:$A$11,1),6)+1)-INDEX(Korelasi!$A$5:$A$11,MIN(MATCH(MIN(MAX(K31,30),120),Korelasi!$A$5:$A$11,1),6)))*(INDEX(Korelasi!$C$5:$C$11,MIN(MATCH(MIN(MAX(K31,30),120),Korelasi!$A$5:$A$11,1),6)+1)-INDEX(Korelasi!$C$5:$C$11,MIN(MATCH(MIN(MAX(K31,30),120),Korelasi!$A$5:$A$11,1),6)))))</f>
        <v/>
      </c>
      <c r="AF31" s="33">
        <f>IF(OR(F31="Sand",Y31=0),0,Input!$G$25*(D31/2)^2/(AE31*1E-4*31536000))</f>
        <v/>
      </c>
      <c r="AG31" s="13">
        <f>MAX(0,MIN(C31,Input!$G$15)-B31)</f>
        <v/>
      </c>
      <c r="AH31" s="13">
        <f>MAX(0,MIN(C31,Input!$G$15)-MAX(B31,$G$8))</f>
        <v/>
      </c>
      <c r="AI31" s="13">
        <f>MAX(0,MIN(C31,$G$106)-B31)</f>
        <v/>
      </c>
      <c r="AJ31" s="34" t="inlineStr">
        <is>
          <t>data salinan BH-01</t>
        </is>
      </c>
    </row>
    <row r="32">
      <c r="A32" s="20" t="n">
        <v>20</v>
      </c>
      <c r="B32" s="21" t="n">
        <v>28.5</v>
      </c>
      <c r="C32" s="21" t="n">
        <v>30</v>
      </c>
      <c r="D32" s="13">
        <f>C32-B32</f>
        <v/>
      </c>
      <c r="E32" s="13">
        <f>(B32+C32)/2</f>
        <v/>
      </c>
      <c r="F32" s="22" t="inlineStr">
        <is>
          <t>Clay</t>
        </is>
      </c>
      <c r="G32" s="23" t="n">
        <v>48</v>
      </c>
      <c r="H32" s="12">
        <f>IF(E32&gt;$G$5,$G$7,$G$6)</f>
        <v/>
      </c>
      <c r="I32" s="12">
        <f>I31+H32*D32</f>
        <v/>
      </c>
      <c r="J32" s="12">
        <f>I32-H32*D32/2-10*MAX(E32-$G$5,0)</f>
        <v/>
      </c>
      <c r="K32" s="24" t="n">
        <v>37.95</v>
      </c>
      <c r="L32" s="24" t="n">
        <v>20.57</v>
      </c>
      <c r="M32" s="12">
        <f>IF(K32="","",K32-L32)</f>
        <v/>
      </c>
      <c r="N32" s="25" t="n">
        <v>0.745</v>
      </c>
      <c r="O32" s="26">
        <f>IF(F32="Sand",0,Input!$G$19*G32)</f>
        <v/>
      </c>
      <c r="P32" s="12">
        <f>IF(F32="Sand",27.1+0.3*MIN(Input!$G$20*G32,60)-0.00054*MIN(Input!$G$20*G32,60)^2,MIN(MAX(DEGREES(ASIN(0.8-0.094*LN(MAX(IF(M32="",10,M32),5)))),20),30))</f>
        <v/>
      </c>
      <c r="Q32" s="27">
        <f>IF(F32="Sand",Input!$G$21*Input!$G$20*G32,Input!$G$22*O32)</f>
        <v/>
      </c>
      <c r="R32" s="13">
        <f>IF(F32="Sand",Input!$G$26,0.5)</f>
        <v/>
      </c>
      <c r="S32" s="13">
        <f>Input!$G$10/2/E32</f>
        <v/>
      </c>
      <c r="T32" s="13">
        <f>Input!$G$11/2/E32</f>
        <v/>
      </c>
      <c r="U32" s="28">
        <f>1/(4*PI())*(2*S32*T32*SQRT(S32^2+T32^2+1)/(S32^2+T32^2+1+S32^2*T32^2)*(S32^2+T32^2+2)/(S32^2+T32^2+1)+ATAN2(S32^2+T32^2+1-S32^2*T32^2,2*S32*T32*SQRT(S32^2+T32^2+1)))</f>
        <v/>
      </c>
      <c r="V32" s="12">
        <f>4*Input!$G$9*U32</f>
        <v/>
      </c>
      <c r="W32" s="29">
        <f>((Input!$G$11/Input!$G$10)*LN((1+SQRT((Input!$G$11/Input!$G$10)^2+1))*SQRT((Input!$G$11/Input!$G$10)^2+(C32/(Input!$G$10/2))^2)/((Input!$G$11/Input!$G$10)*(1+SQRT((Input!$G$11/Input!$G$10)^2+(C32/(Input!$G$10/2))^2+1))))+LN(((Input!$G$11/Input!$G$10)+SQRT((Input!$G$11/Input!$G$10)^2+1))*SQRT(1+(C32/(Input!$G$10/2))^2)/((Input!$G$11/Input!$G$10)+SQRT((Input!$G$11/Input!$G$10)^2+(C32/(Input!$G$10/2))^2+1))))/PI()</f>
        <v/>
      </c>
      <c r="X32" s="29">
        <f>(C32/(Input!$G$10/2))/(2*PI())*ATAN((Input!$G$11/Input!$G$10)/((C32/(Input!$G$10/2))*SQRT((Input!$G$11/Input!$G$10)^2+(C32/(Input!$G$10/2))^2+1)))</f>
        <v/>
      </c>
      <c r="Y32" s="13">
        <f>MAX(0,C32-MAX(B32,$G$8))/D32*IF(V32&gt;=Input!$G$27*J32,1,0)</f>
        <v/>
      </c>
      <c r="Z32" s="12">
        <f>4*Input!$G$9*(Input!$G$10/2)*(1-R32^2)/Q32*((W32-W31)+(1-2*R32)/(1-R32)*(X32-X31))*1000*Y32</f>
        <v/>
      </c>
      <c r="AA32" s="30">
        <f>IF(F32="Sand",0,0.009*(K32-10))</f>
        <v/>
      </c>
      <c r="AB32" s="30">
        <f>AA32*Input!$G$23</f>
        <v/>
      </c>
      <c r="AC32" s="26">
        <f>IF(F32="Sand",0,MAX(O32/Input!$G$24,J32))</f>
        <v/>
      </c>
      <c r="AD32" s="31">
        <f>IF(F32="Sand",0,1000*D32/(1+N32)*IF(J32+V32&lt;=AC32,AB32*LOG10((J32+V32)/J32),AB32*LOG10(AC32/J32)+AA32*LOG10((J32+V32)/AC32)))*Y32</f>
        <v/>
      </c>
      <c r="AE32" s="32">
        <f>IF(F32="Sand",0,10^(INDEX(Korelasi!$C$5:$C$11,MIN(MATCH(MIN(MAX(K32,30),120),Korelasi!$A$5:$A$11,1),6))+(MIN(MAX(K32,30),120)-INDEX(Korelasi!$A$5:$A$11,MIN(MATCH(MIN(MAX(K32,30),120),Korelasi!$A$5:$A$11,1),6)))/(INDEX(Korelasi!$A$5:$A$11,MIN(MATCH(MIN(MAX(K32,30),120),Korelasi!$A$5:$A$11,1),6)+1)-INDEX(Korelasi!$A$5:$A$11,MIN(MATCH(MIN(MAX(K32,30),120),Korelasi!$A$5:$A$11,1),6)))*(INDEX(Korelasi!$C$5:$C$11,MIN(MATCH(MIN(MAX(K32,30),120),Korelasi!$A$5:$A$11,1),6)+1)-INDEX(Korelasi!$C$5:$C$11,MIN(MATCH(MIN(MAX(K32,30),120),Korelasi!$A$5:$A$11,1),6)))))</f>
        <v/>
      </c>
      <c r="AF32" s="33">
        <f>IF(OR(F32="Sand",Y32=0),0,Input!$G$25*(D32/2)^2/(AE32*1E-4*31536000))</f>
        <v/>
      </c>
      <c r="AG32" s="13">
        <f>MAX(0,MIN(C32,Input!$G$15)-B32)</f>
        <v/>
      </c>
      <c r="AH32" s="13">
        <f>MAX(0,MIN(C32,Input!$G$15)-MAX(B32,$G$8))</f>
        <v/>
      </c>
      <c r="AI32" s="13">
        <f>MAX(0,MIN(C32,$G$106)-B32)</f>
        <v/>
      </c>
      <c r="AJ32" s="34" t="inlineStr">
        <is>
          <t>data salinan BH-01</t>
        </is>
      </c>
    </row>
    <row r="33">
      <c r="A33" s="20" t="n">
        <v>21</v>
      </c>
      <c r="B33" s="21" t="n">
        <v>30</v>
      </c>
      <c r="C33" s="21" t="n">
        <v>31.5</v>
      </c>
      <c r="D33" s="13">
        <f>C33-B33</f>
        <v/>
      </c>
      <c r="E33" s="13">
        <f>(B33+C33)/2</f>
        <v/>
      </c>
      <c r="F33" s="22" t="inlineStr">
        <is>
          <t>Clay</t>
        </is>
      </c>
      <c r="G33" s="23" t="n">
        <v>50</v>
      </c>
      <c r="H33" s="12">
        <f>IF(E33&gt;$G$5,$G$7,$G$6)</f>
        <v/>
      </c>
      <c r="I33" s="12">
        <f>I32+H33*D33</f>
        <v/>
      </c>
      <c r="J33" s="12">
        <f>I33-H33*D33/2-10*MAX(E33-$G$5,0)</f>
        <v/>
      </c>
      <c r="K33" s="24" t="n">
        <v>28.071</v>
      </c>
      <c r="L33" s="24" t="n">
        <v>18.832</v>
      </c>
      <c r="M33" s="12">
        <f>IF(K33="","",K33-L33)</f>
        <v/>
      </c>
      <c r="N33" s="25" t="n">
        <v>0.59</v>
      </c>
      <c r="O33" s="26">
        <f>IF(F33="Sand",0,Input!$G$19*G33)</f>
        <v/>
      </c>
      <c r="P33" s="12">
        <f>IF(F33="Sand",27.1+0.3*MIN(Input!$G$20*G33,60)-0.00054*MIN(Input!$G$20*G33,60)^2,MIN(MAX(DEGREES(ASIN(0.8-0.094*LN(MAX(IF(M33="",10,M33),5)))),20),30))</f>
        <v/>
      </c>
      <c r="Q33" s="27">
        <f>IF(F33="Sand",Input!$G$21*Input!$G$20*G33,Input!$G$22*O33)</f>
        <v/>
      </c>
      <c r="R33" s="13">
        <f>IF(F33="Sand",Input!$G$26,0.5)</f>
        <v/>
      </c>
      <c r="S33" s="13">
        <f>Input!$G$10/2/E33</f>
        <v/>
      </c>
      <c r="T33" s="13">
        <f>Input!$G$11/2/E33</f>
        <v/>
      </c>
      <c r="U33" s="28">
        <f>1/(4*PI())*(2*S33*T33*SQRT(S33^2+T33^2+1)/(S33^2+T33^2+1+S33^2*T33^2)*(S33^2+T33^2+2)/(S33^2+T33^2+1)+ATAN2(S33^2+T33^2+1-S33^2*T33^2,2*S33*T33*SQRT(S33^2+T33^2+1)))</f>
        <v/>
      </c>
      <c r="V33" s="12">
        <f>4*Input!$G$9*U33</f>
        <v/>
      </c>
      <c r="W33" s="29">
        <f>((Input!$G$11/Input!$G$10)*LN((1+SQRT((Input!$G$11/Input!$G$10)^2+1))*SQRT((Input!$G$11/Input!$G$10)^2+(C33/(Input!$G$10/2))^2)/((Input!$G$11/Input!$G$10)*(1+SQRT((Input!$G$11/Input!$G$10)^2+(C33/(Input!$G$10/2))^2+1))))+LN(((Input!$G$11/Input!$G$10)+SQRT((Input!$G$11/Input!$G$10)^2+1))*SQRT(1+(C33/(Input!$G$10/2))^2)/((Input!$G$11/Input!$G$10)+SQRT((Input!$G$11/Input!$G$10)^2+(C33/(Input!$G$10/2))^2+1))))/PI()</f>
        <v/>
      </c>
      <c r="X33" s="29">
        <f>(C33/(Input!$G$10/2))/(2*PI())*ATAN((Input!$G$11/Input!$G$10)/((C33/(Input!$G$10/2))*SQRT((Input!$G$11/Input!$G$10)^2+(C33/(Input!$G$10/2))^2+1)))</f>
        <v/>
      </c>
      <c r="Y33" s="13">
        <f>MAX(0,C33-MAX(B33,$G$8))/D33*IF(V33&gt;=Input!$G$27*J33,1,0)</f>
        <v/>
      </c>
      <c r="Z33" s="12">
        <f>4*Input!$G$9*(Input!$G$10/2)*(1-R33^2)/Q33*((W33-W32)+(1-2*R33)/(1-R33)*(X33-X32))*1000*Y33</f>
        <v/>
      </c>
      <c r="AA33" s="30">
        <f>IF(F33="Sand",0,0.009*(K33-10))</f>
        <v/>
      </c>
      <c r="AB33" s="30">
        <f>AA33*Input!$G$23</f>
        <v/>
      </c>
      <c r="AC33" s="26">
        <f>IF(F33="Sand",0,MAX(O33/Input!$G$24,J33))</f>
        <v/>
      </c>
      <c r="AD33" s="31">
        <f>IF(F33="Sand",0,1000*D33/(1+N33)*IF(J33+V33&lt;=AC33,AB33*LOG10((J33+V33)/J33),AB33*LOG10(AC33/J33)+AA33*LOG10((J33+V33)/AC33)))*Y33</f>
        <v/>
      </c>
      <c r="AE33" s="32">
        <f>IF(F33="Sand",0,10^(INDEX(Korelasi!$C$5:$C$11,MIN(MATCH(MIN(MAX(K33,30),120),Korelasi!$A$5:$A$11,1),6))+(MIN(MAX(K33,30),120)-INDEX(Korelasi!$A$5:$A$11,MIN(MATCH(MIN(MAX(K33,30),120),Korelasi!$A$5:$A$11,1),6)))/(INDEX(Korelasi!$A$5:$A$11,MIN(MATCH(MIN(MAX(K33,30),120),Korelasi!$A$5:$A$11,1),6)+1)-INDEX(Korelasi!$A$5:$A$11,MIN(MATCH(MIN(MAX(K33,30),120),Korelasi!$A$5:$A$11,1),6)))*(INDEX(Korelasi!$C$5:$C$11,MIN(MATCH(MIN(MAX(K33,30),120),Korelasi!$A$5:$A$11,1),6)+1)-INDEX(Korelasi!$C$5:$C$11,MIN(MATCH(MIN(MAX(K33,30),120),Korelasi!$A$5:$A$11,1),6)))))</f>
        <v/>
      </c>
      <c r="AF33" s="33">
        <f>IF(OR(F33="Sand",Y33=0),0,Input!$G$25*(D33/2)^2/(AE33*1E-4*31536000))</f>
        <v/>
      </c>
      <c r="AG33" s="13">
        <f>MAX(0,MIN(C33,Input!$G$15)-B33)</f>
        <v/>
      </c>
      <c r="AH33" s="13">
        <f>MAX(0,MIN(C33,Input!$G$15)-MAX(B33,$G$8))</f>
        <v/>
      </c>
      <c r="AI33" s="13">
        <f>MAX(0,MIN(C33,$G$106)-B33)</f>
        <v/>
      </c>
      <c r="AJ33" s="34" t="inlineStr">
        <is>
          <t>data salinan BH-01; LL/PL/e0 = rata-rata BH</t>
        </is>
      </c>
    </row>
    <row r="34">
      <c r="A34" s="20" t="n">
        <v>22</v>
      </c>
      <c r="B34" s="21" t="n">
        <v>31.5</v>
      </c>
      <c r="C34" s="21" t="n">
        <v>33</v>
      </c>
      <c r="D34" s="13">
        <f>C34-B34</f>
        <v/>
      </c>
      <c r="E34" s="13">
        <f>(B34+C34)/2</f>
        <v/>
      </c>
      <c r="F34" s="22" t="inlineStr">
        <is>
          <t>Clay</t>
        </is>
      </c>
      <c r="G34" s="23" t="n">
        <v>50</v>
      </c>
      <c r="H34" s="12">
        <f>IF(E34&gt;$G$5,$G$7,$G$6)</f>
        <v/>
      </c>
      <c r="I34" s="12">
        <f>I33+H34*D34</f>
        <v/>
      </c>
      <c r="J34" s="12">
        <f>I34-H34*D34/2-10*MAX(E34-$G$5,0)</f>
        <v/>
      </c>
      <c r="K34" s="24" t="n">
        <v>28.071</v>
      </c>
      <c r="L34" s="24" t="n">
        <v>18.832</v>
      </c>
      <c r="M34" s="12">
        <f>IF(K34="","",K34-L34)</f>
        <v/>
      </c>
      <c r="N34" s="25" t="n">
        <v>0.59</v>
      </c>
      <c r="O34" s="26">
        <f>IF(F34="Sand",0,Input!$G$19*G34)</f>
        <v/>
      </c>
      <c r="P34" s="12">
        <f>IF(F34="Sand",27.1+0.3*MIN(Input!$G$20*G34,60)-0.00054*MIN(Input!$G$20*G34,60)^2,MIN(MAX(DEGREES(ASIN(0.8-0.094*LN(MAX(IF(M34="",10,M34),5)))),20),30))</f>
        <v/>
      </c>
      <c r="Q34" s="27">
        <f>IF(F34="Sand",Input!$G$21*Input!$G$20*G34,Input!$G$22*O34)</f>
        <v/>
      </c>
      <c r="R34" s="13">
        <f>IF(F34="Sand",Input!$G$26,0.5)</f>
        <v/>
      </c>
      <c r="S34" s="13">
        <f>Input!$G$10/2/E34</f>
        <v/>
      </c>
      <c r="T34" s="13">
        <f>Input!$G$11/2/E34</f>
        <v/>
      </c>
      <c r="U34" s="28">
        <f>1/(4*PI())*(2*S34*T34*SQRT(S34^2+T34^2+1)/(S34^2+T34^2+1+S34^2*T34^2)*(S34^2+T34^2+2)/(S34^2+T34^2+1)+ATAN2(S34^2+T34^2+1-S34^2*T34^2,2*S34*T34*SQRT(S34^2+T34^2+1)))</f>
        <v/>
      </c>
      <c r="V34" s="12">
        <f>4*Input!$G$9*U34</f>
        <v/>
      </c>
      <c r="W34" s="29">
        <f>((Input!$G$11/Input!$G$10)*LN((1+SQRT((Input!$G$11/Input!$G$10)^2+1))*SQRT((Input!$G$11/Input!$G$10)^2+(C34/(Input!$G$10/2))^2)/((Input!$G$11/Input!$G$10)*(1+SQRT((Input!$G$11/Input!$G$10)^2+(C34/(Input!$G$10/2))^2+1))))+LN(((Input!$G$11/Input!$G$10)+SQRT((Input!$G$11/Input!$G$10)^2+1))*SQRT(1+(C34/(Input!$G$10/2))^2)/((Input!$G$11/Input!$G$10)+SQRT((Input!$G$11/Input!$G$10)^2+(C34/(Input!$G$10/2))^2+1))))/PI()</f>
        <v/>
      </c>
      <c r="X34" s="29">
        <f>(C34/(Input!$G$10/2))/(2*PI())*ATAN((Input!$G$11/Input!$G$10)/((C34/(Input!$G$10/2))*SQRT((Input!$G$11/Input!$G$10)^2+(C34/(Input!$G$10/2))^2+1)))</f>
        <v/>
      </c>
      <c r="Y34" s="13">
        <f>MAX(0,C34-MAX(B34,$G$8))/D34*IF(V34&gt;=Input!$G$27*J34,1,0)</f>
        <v/>
      </c>
      <c r="Z34" s="12">
        <f>4*Input!$G$9*(Input!$G$10/2)*(1-R34^2)/Q34*((W34-W33)+(1-2*R34)/(1-R34)*(X34-X33))*1000*Y34</f>
        <v/>
      </c>
      <c r="AA34" s="30">
        <f>IF(F34="Sand",0,0.009*(K34-10))</f>
        <v/>
      </c>
      <c r="AB34" s="30">
        <f>AA34*Input!$G$23</f>
        <v/>
      </c>
      <c r="AC34" s="26">
        <f>IF(F34="Sand",0,MAX(O34/Input!$G$24,J34))</f>
        <v/>
      </c>
      <c r="AD34" s="31">
        <f>IF(F34="Sand",0,1000*D34/(1+N34)*IF(J34+V34&lt;=AC34,AB34*LOG10((J34+V34)/J34),AB34*LOG10(AC34/J34)+AA34*LOG10((J34+V34)/AC34)))*Y34</f>
        <v/>
      </c>
      <c r="AE34" s="32">
        <f>IF(F34="Sand",0,10^(INDEX(Korelasi!$C$5:$C$11,MIN(MATCH(MIN(MAX(K34,30),120),Korelasi!$A$5:$A$11,1),6))+(MIN(MAX(K34,30),120)-INDEX(Korelasi!$A$5:$A$11,MIN(MATCH(MIN(MAX(K34,30),120),Korelasi!$A$5:$A$11,1),6)))/(INDEX(Korelasi!$A$5:$A$11,MIN(MATCH(MIN(MAX(K34,30),120),Korelasi!$A$5:$A$11,1),6)+1)-INDEX(Korelasi!$A$5:$A$11,MIN(MATCH(MIN(MAX(K34,30),120),Korelasi!$A$5:$A$11,1),6)))*(INDEX(Korelasi!$C$5:$C$11,MIN(MATCH(MIN(MAX(K34,30),120),Korelasi!$A$5:$A$11,1),6)+1)-INDEX(Korelasi!$C$5:$C$11,MIN(MATCH(MIN(MAX(K34,30),120),Korelasi!$A$5:$A$11,1),6)))))</f>
        <v/>
      </c>
      <c r="AF34" s="33">
        <f>IF(OR(F34="Sand",Y34=0),0,Input!$G$25*(D34/2)^2/(AE34*1E-4*31536000))</f>
        <v/>
      </c>
      <c r="AG34" s="13">
        <f>MAX(0,MIN(C34,Input!$G$15)-B34)</f>
        <v/>
      </c>
      <c r="AH34" s="13">
        <f>MAX(0,MIN(C34,Input!$G$15)-MAX(B34,$G$8))</f>
        <v/>
      </c>
      <c r="AI34" s="13">
        <f>MAX(0,MIN(C34,$G$106)-B34)</f>
        <v/>
      </c>
      <c r="AJ34" s="34" t="inlineStr">
        <is>
          <t>data salinan BH-01; LL/PL/e0 = rata-rata BH</t>
        </is>
      </c>
    </row>
    <row r="35">
      <c r="A35" s="20" t="n">
        <v>23</v>
      </c>
      <c r="B35" s="21" t="n">
        <v>33</v>
      </c>
      <c r="C35" s="21" t="n">
        <v>34.5</v>
      </c>
      <c r="D35" s="13">
        <f>C35-B35</f>
        <v/>
      </c>
      <c r="E35" s="13">
        <f>(B35+C35)/2</f>
        <v/>
      </c>
      <c r="F35" s="22" t="inlineStr">
        <is>
          <t>Clay</t>
        </is>
      </c>
      <c r="G35" s="23" t="n">
        <v>50</v>
      </c>
      <c r="H35" s="12">
        <f>IF(E35&gt;$G$5,$G$7,$G$6)</f>
        <v/>
      </c>
      <c r="I35" s="12">
        <f>I34+H35*D35</f>
        <v/>
      </c>
      <c r="J35" s="12">
        <f>I35-H35*D35/2-10*MAX(E35-$G$5,0)</f>
        <v/>
      </c>
      <c r="K35" s="24" t="n">
        <v>28.071</v>
      </c>
      <c r="L35" s="24" t="n">
        <v>18.832</v>
      </c>
      <c r="M35" s="12">
        <f>IF(K35="","",K35-L35)</f>
        <v/>
      </c>
      <c r="N35" s="25" t="n">
        <v>0.59</v>
      </c>
      <c r="O35" s="26">
        <f>IF(F35="Sand",0,Input!$G$19*G35)</f>
        <v/>
      </c>
      <c r="P35" s="12">
        <f>IF(F35="Sand",27.1+0.3*MIN(Input!$G$20*G35,60)-0.00054*MIN(Input!$G$20*G35,60)^2,MIN(MAX(DEGREES(ASIN(0.8-0.094*LN(MAX(IF(M35="",10,M35),5)))),20),30))</f>
        <v/>
      </c>
      <c r="Q35" s="27">
        <f>IF(F35="Sand",Input!$G$21*Input!$G$20*G35,Input!$G$22*O35)</f>
        <v/>
      </c>
      <c r="R35" s="13">
        <f>IF(F35="Sand",Input!$G$26,0.5)</f>
        <v/>
      </c>
      <c r="S35" s="13">
        <f>Input!$G$10/2/E35</f>
        <v/>
      </c>
      <c r="T35" s="13">
        <f>Input!$G$11/2/E35</f>
        <v/>
      </c>
      <c r="U35" s="28">
        <f>1/(4*PI())*(2*S35*T35*SQRT(S35^2+T35^2+1)/(S35^2+T35^2+1+S35^2*T35^2)*(S35^2+T35^2+2)/(S35^2+T35^2+1)+ATAN2(S35^2+T35^2+1-S35^2*T35^2,2*S35*T35*SQRT(S35^2+T35^2+1)))</f>
        <v/>
      </c>
      <c r="V35" s="12">
        <f>4*Input!$G$9*U35</f>
        <v/>
      </c>
      <c r="W35" s="29">
        <f>((Input!$G$11/Input!$G$10)*LN((1+SQRT((Input!$G$11/Input!$G$10)^2+1))*SQRT((Input!$G$11/Input!$G$10)^2+(C35/(Input!$G$10/2))^2)/((Input!$G$11/Input!$G$10)*(1+SQRT((Input!$G$11/Input!$G$10)^2+(C35/(Input!$G$10/2))^2+1))))+LN(((Input!$G$11/Input!$G$10)+SQRT((Input!$G$11/Input!$G$10)^2+1))*SQRT(1+(C35/(Input!$G$10/2))^2)/((Input!$G$11/Input!$G$10)+SQRT((Input!$G$11/Input!$G$10)^2+(C35/(Input!$G$10/2))^2+1))))/PI()</f>
        <v/>
      </c>
      <c r="X35" s="29">
        <f>(C35/(Input!$G$10/2))/(2*PI())*ATAN((Input!$G$11/Input!$G$10)/((C35/(Input!$G$10/2))*SQRT((Input!$G$11/Input!$G$10)^2+(C35/(Input!$G$10/2))^2+1)))</f>
        <v/>
      </c>
      <c r="Y35" s="13">
        <f>MAX(0,C35-MAX(B35,$G$8))/D35*IF(V35&gt;=Input!$G$27*J35,1,0)</f>
        <v/>
      </c>
      <c r="Z35" s="12">
        <f>4*Input!$G$9*(Input!$G$10/2)*(1-R35^2)/Q35*((W35-W34)+(1-2*R35)/(1-R35)*(X35-X34))*1000*Y35</f>
        <v/>
      </c>
      <c r="AA35" s="30">
        <f>IF(F35="Sand",0,0.009*(K35-10))</f>
        <v/>
      </c>
      <c r="AB35" s="30">
        <f>AA35*Input!$G$23</f>
        <v/>
      </c>
      <c r="AC35" s="26">
        <f>IF(F35="Sand",0,MAX(O35/Input!$G$24,J35))</f>
        <v/>
      </c>
      <c r="AD35" s="31">
        <f>IF(F35="Sand",0,1000*D35/(1+N35)*IF(J35+V35&lt;=AC35,AB35*LOG10((J35+V35)/J35),AB35*LOG10(AC35/J35)+AA35*LOG10((J35+V35)/AC35)))*Y35</f>
        <v/>
      </c>
      <c r="AE35" s="32">
        <f>IF(F35="Sand",0,10^(INDEX(Korelasi!$C$5:$C$11,MIN(MATCH(MIN(MAX(K35,30),120),Korelasi!$A$5:$A$11,1),6))+(MIN(MAX(K35,30),120)-INDEX(Korelasi!$A$5:$A$11,MIN(MATCH(MIN(MAX(K35,30),120),Korelasi!$A$5:$A$11,1),6)))/(INDEX(Korelasi!$A$5:$A$11,MIN(MATCH(MIN(MAX(K35,30),120),Korelasi!$A$5:$A$11,1),6)+1)-INDEX(Korelasi!$A$5:$A$11,MIN(MATCH(MIN(MAX(K35,30),120),Korelasi!$A$5:$A$11,1),6)))*(INDEX(Korelasi!$C$5:$C$11,MIN(MATCH(MIN(MAX(K35,30),120),Korelasi!$A$5:$A$11,1),6)+1)-INDEX(Korelasi!$C$5:$C$11,MIN(MATCH(MIN(MAX(K35,30),120),Korelasi!$A$5:$A$11,1),6)))))</f>
        <v/>
      </c>
      <c r="AF35" s="33">
        <f>IF(OR(F35="Sand",Y35=0),0,Input!$G$25*(D35/2)^2/(AE35*1E-4*31536000))</f>
        <v/>
      </c>
      <c r="AG35" s="13">
        <f>MAX(0,MIN(C35,Input!$G$15)-B35)</f>
        <v/>
      </c>
      <c r="AH35" s="13">
        <f>MAX(0,MIN(C35,Input!$G$15)-MAX(B35,$G$8))</f>
        <v/>
      </c>
      <c r="AI35" s="13">
        <f>MAX(0,MIN(C35,$G$106)-B35)</f>
        <v/>
      </c>
      <c r="AJ35" s="34" t="inlineStr">
        <is>
          <t>data salinan BH-01; LL/PL/e0 = rata-rata BH</t>
        </is>
      </c>
    </row>
    <row r="36">
      <c r="A36" s="20" t="n">
        <v>24</v>
      </c>
      <c r="B36" s="21" t="n">
        <v>34.5</v>
      </c>
      <c r="C36" s="21" t="n">
        <v>36</v>
      </c>
      <c r="D36" s="13">
        <f>C36-B36</f>
        <v/>
      </c>
      <c r="E36" s="13">
        <f>(B36+C36)/2</f>
        <v/>
      </c>
      <c r="F36" s="22" t="inlineStr">
        <is>
          <t>Clay</t>
        </is>
      </c>
      <c r="G36" s="23" t="n">
        <v>50</v>
      </c>
      <c r="H36" s="12">
        <f>IF(E36&gt;$G$5,$G$7,$G$6)</f>
        <v/>
      </c>
      <c r="I36" s="12">
        <f>I35+H36*D36</f>
        <v/>
      </c>
      <c r="J36" s="12">
        <f>I36-H36*D36/2-10*MAX(E36-$G$5,0)</f>
        <v/>
      </c>
      <c r="K36" s="24" t="n">
        <v>25.39</v>
      </c>
      <c r="L36" s="24" t="n">
        <v>15.08</v>
      </c>
      <c r="M36" s="12">
        <f>IF(K36="","",K36-L36)</f>
        <v/>
      </c>
      <c r="N36" s="25" t="n">
        <v>0.51</v>
      </c>
      <c r="O36" s="26">
        <f>IF(F36="Sand",0,Input!$G$19*G36)</f>
        <v/>
      </c>
      <c r="P36" s="12">
        <f>IF(F36="Sand",27.1+0.3*MIN(Input!$G$20*G36,60)-0.00054*MIN(Input!$G$20*G36,60)^2,MIN(MAX(DEGREES(ASIN(0.8-0.094*LN(MAX(IF(M36="",10,M36),5)))),20),30))</f>
        <v/>
      </c>
      <c r="Q36" s="27">
        <f>IF(F36="Sand",Input!$G$21*Input!$G$20*G36,Input!$G$22*O36)</f>
        <v/>
      </c>
      <c r="R36" s="13">
        <f>IF(F36="Sand",Input!$G$26,0.5)</f>
        <v/>
      </c>
      <c r="S36" s="13">
        <f>Input!$G$10/2/E36</f>
        <v/>
      </c>
      <c r="T36" s="13">
        <f>Input!$G$11/2/E36</f>
        <v/>
      </c>
      <c r="U36" s="28">
        <f>1/(4*PI())*(2*S36*T36*SQRT(S36^2+T36^2+1)/(S36^2+T36^2+1+S36^2*T36^2)*(S36^2+T36^2+2)/(S36^2+T36^2+1)+ATAN2(S36^2+T36^2+1-S36^2*T36^2,2*S36*T36*SQRT(S36^2+T36^2+1)))</f>
        <v/>
      </c>
      <c r="V36" s="12">
        <f>4*Input!$G$9*U36</f>
        <v/>
      </c>
      <c r="W36" s="29">
        <f>((Input!$G$11/Input!$G$10)*LN((1+SQRT((Input!$G$11/Input!$G$10)^2+1))*SQRT((Input!$G$11/Input!$G$10)^2+(C36/(Input!$G$10/2))^2)/((Input!$G$11/Input!$G$10)*(1+SQRT((Input!$G$11/Input!$G$10)^2+(C36/(Input!$G$10/2))^2+1))))+LN(((Input!$G$11/Input!$G$10)+SQRT((Input!$G$11/Input!$G$10)^2+1))*SQRT(1+(C36/(Input!$G$10/2))^2)/((Input!$G$11/Input!$G$10)+SQRT((Input!$G$11/Input!$G$10)^2+(C36/(Input!$G$10/2))^2+1))))/PI()</f>
        <v/>
      </c>
      <c r="X36" s="29">
        <f>(C36/(Input!$G$10/2))/(2*PI())*ATAN((Input!$G$11/Input!$G$10)/((C36/(Input!$G$10/2))*SQRT((Input!$G$11/Input!$G$10)^2+(C36/(Input!$G$10/2))^2+1)))</f>
        <v/>
      </c>
      <c r="Y36" s="13">
        <f>MAX(0,C36-MAX(B36,$G$8))/D36*IF(V36&gt;=Input!$G$27*J36,1,0)</f>
        <v/>
      </c>
      <c r="Z36" s="12">
        <f>4*Input!$G$9*(Input!$G$10/2)*(1-R36^2)/Q36*((W36-W35)+(1-2*R36)/(1-R36)*(X36-X35))*1000*Y36</f>
        <v/>
      </c>
      <c r="AA36" s="30">
        <f>IF(F36="Sand",0,0.009*(K36-10))</f>
        <v/>
      </c>
      <c r="AB36" s="30">
        <f>AA36*Input!$G$23</f>
        <v/>
      </c>
      <c r="AC36" s="26">
        <f>IF(F36="Sand",0,MAX(O36/Input!$G$24,J36))</f>
        <v/>
      </c>
      <c r="AD36" s="31">
        <f>IF(F36="Sand",0,1000*D36/(1+N36)*IF(J36+V36&lt;=AC36,AB36*LOG10((J36+V36)/J36),AB36*LOG10(AC36/J36)+AA36*LOG10((J36+V36)/AC36)))*Y36</f>
        <v/>
      </c>
      <c r="AE36" s="32">
        <f>IF(F36="Sand",0,10^(INDEX(Korelasi!$C$5:$C$11,MIN(MATCH(MIN(MAX(K36,30),120),Korelasi!$A$5:$A$11,1),6))+(MIN(MAX(K36,30),120)-INDEX(Korelasi!$A$5:$A$11,MIN(MATCH(MIN(MAX(K36,30),120),Korelasi!$A$5:$A$11,1),6)))/(INDEX(Korelasi!$A$5:$A$11,MIN(MATCH(MIN(MAX(K36,30),120),Korelasi!$A$5:$A$11,1),6)+1)-INDEX(Korelasi!$A$5:$A$11,MIN(MATCH(MIN(MAX(K36,30),120),Korelasi!$A$5:$A$11,1),6)))*(INDEX(Korelasi!$C$5:$C$11,MIN(MATCH(MIN(MAX(K36,30),120),Korelasi!$A$5:$A$11,1),6)+1)-INDEX(Korelasi!$C$5:$C$11,MIN(MATCH(MIN(MAX(K36,30),120),Korelasi!$A$5:$A$11,1),6)))))</f>
        <v/>
      </c>
      <c r="AF36" s="33">
        <f>IF(OR(F36="Sand",Y36=0),0,Input!$G$25*(D36/2)^2/(AE36*1E-4*31536000))</f>
        <v/>
      </c>
      <c r="AG36" s="13">
        <f>MAX(0,MIN(C36,Input!$G$15)-B36)</f>
        <v/>
      </c>
      <c r="AH36" s="13">
        <f>MAX(0,MIN(C36,Input!$G$15)-MAX(B36,$G$8))</f>
        <v/>
      </c>
      <c r="AI36" s="13">
        <f>MAX(0,MIN(C36,$G$106)-B36)</f>
        <v/>
      </c>
      <c r="AJ36" s="34" t="inlineStr">
        <is>
          <t>data salinan BH-01</t>
        </is>
      </c>
    </row>
    <row r="37">
      <c r="A37" s="20" t="n">
        <v>25</v>
      </c>
      <c r="B37" s="21" t="n">
        <v>36</v>
      </c>
      <c r="C37" s="21" t="n">
        <v>37.5</v>
      </c>
      <c r="D37" s="13">
        <f>C37-B37</f>
        <v/>
      </c>
      <c r="E37" s="13">
        <f>(B37+C37)/2</f>
        <v/>
      </c>
      <c r="F37" s="22" t="inlineStr">
        <is>
          <t>Sand</t>
        </is>
      </c>
      <c r="G37" s="23" t="n">
        <v>50</v>
      </c>
      <c r="H37" s="12">
        <f>IF(E37&gt;$G$5,$G$7,$G$6)</f>
        <v/>
      </c>
      <c r="I37" s="12">
        <f>I36+H37*D37</f>
        <v/>
      </c>
      <c r="J37" s="12">
        <f>I37-H37*D37/2-10*MAX(E37-$G$5,0)</f>
        <v/>
      </c>
      <c r="K37" s="24" t="n"/>
      <c r="L37" s="24" t="n"/>
      <c r="M37" s="12">
        <f>IF(K37="","",K37-L37)</f>
        <v/>
      </c>
      <c r="N37" s="25" t="n">
        <v>0.65</v>
      </c>
      <c r="O37" s="26">
        <f>IF(F37="Sand",0,Input!$G$19*G37)</f>
        <v/>
      </c>
      <c r="P37" s="12">
        <f>IF(F37="Sand",27.1+0.3*MIN(Input!$G$20*G37,60)-0.00054*MIN(Input!$G$20*G37,60)^2,MIN(MAX(DEGREES(ASIN(0.8-0.094*LN(MAX(IF(M37="",10,M37),5)))),20),30))</f>
        <v/>
      </c>
      <c r="Q37" s="27">
        <f>IF(F37="Sand",Input!$G$21*Input!$G$20*G37,Input!$G$22*O37)</f>
        <v/>
      </c>
      <c r="R37" s="13">
        <f>IF(F37="Sand",Input!$G$26,0.5)</f>
        <v/>
      </c>
      <c r="S37" s="13">
        <f>Input!$G$10/2/E37</f>
        <v/>
      </c>
      <c r="T37" s="13">
        <f>Input!$G$11/2/E37</f>
        <v/>
      </c>
      <c r="U37" s="28">
        <f>1/(4*PI())*(2*S37*T37*SQRT(S37^2+T37^2+1)/(S37^2+T37^2+1+S37^2*T37^2)*(S37^2+T37^2+2)/(S37^2+T37^2+1)+ATAN2(S37^2+T37^2+1-S37^2*T37^2,2*S37*T37*SQRT(S37^2+T37^2+1)))</f>
        <v/>
      </c>
      <c r="V37" s="12">
        <f>4*Input!$G$9*U37</f>
        <v/>
      </c>
      <c r="W37" s="29">
        <f>((Input!$G$11/Input!$G$10)*LN((1+SQRT((Input!$G$11/Input!$G$10)^2+1))*SQRT((Input!$G$11/Input!$G$10)^2+(C37/(Input!$G$10/2))^2)/((Input!$G$11/Input!$G$10)*(1+SQRT((Input!$G$11/Input!$G$10)^2+(C37/(Input!$G$10/2))^2+1))))+LN(((Input!$G$11/Input!$G$10)+SQRT((Input!$G$11/Input!$G$10)^2+1))*SQRT(1+(C37/(Input!$G$10/2))^2)/((Input!$G$11/Input!$G$10)+SQRT((Input!$G$11/Input!$G$10)^2+(C37/(Input!$G$10/2))^2+1))))/PI()</f>
        <v/>
      </c>
      <c r="X37" s="29">
        <f>(C37/(Input!$G$10/2))/(2*PI())*ATAN((Input!$G$11/Input!$G$10)/((C37/(Input!$G$10/2))*SQRT((Input!$G$11/Input!$G$10)^2+(C37/(Input!$G$10/2))^2+1)))</f>
        <v/>
      </c>
      <c r="Y37" s="13">
        <f>MAX(0,C37-MAX(B37,$G$8))/D37*IF(V37&gt;=Input!$G$27*J37,1,0)</f>
        <v/>
      </c>
      <c r="Z37" s="12">
        <f>4*Input!$G$9*(Input!$G$10/2)*(1-R37^2)/Q37*((W37-W36)+(1-2*R37)/(1-R37)*(X37-X36))*1000*Y37</f>
        <v/>
      </c>
      <c r="AA37" s="30">
        <f>IF(F37="Sand",0,0.009*(K37-10))</f>
        <v/>
      </c>
      <c r="AB37" s="30">
        <f>AA37*Input!$G$23</f>
        <v/>
      </c>
      <c r="AC37" s="26">
        <f>IF(F37="Sand",0,MAX(O37/Input!$G$24,J37))</f>
        <v/>
      </c>
      <c r="AD37" s="31">
        <f>IF(F37="Sand",0,1000*D37/(1+N37)*IF(J37+V37&lt;=AC37,AB37*LOG10((J37+V37)/J37),AB37*LOG10(AC37/J37)+AA37*LOG10((J37+V37)/AC37)))*Y37</f>
        <v/>
      </c>
      <c r="AE37" s="32">
        <f>IF(F37="Sand",0,10^(INDEX(Korelasi!$C$5:$C$11,MIN(MATCH(MIN(MAX(K37,30),120),Korelasi!$A$5:$A$11,1),6))+(MIN(MAX(K37,30),120)-INDEX(Korelasi!$A$5:$A$11,MIN(MATCH(MIN(MAX(K37,30),120),Korelasi!$A$5:$A$11,1),6)))/(INDEX(Korelasi!$A$5:$A$11,MIN(MATCH(MIN(MAX(K37,30),120),Korelasi!$A$5:$A$11,1),6)+1)-INDEX(Korelasi!$A$5:$A$11,MIN(MATCH(MIN(MAX(K37,30),120),Korelasi!$A$5:$A$11,1),6)))*(INDEX(Korelasi!$C$5:$C$11,MIN(MATCH(MIN(MAX(K37,30),120),Korelasi!$A$5:$A$11,1),6)+1)-INDEX(Korelasi!$C$5:$C$11,MIN(MATCH(MIN(MAX(K37,30),120),Korelasi!$A$5:$A$11,1),6)))))</f>
        <v/>
      </c>
      <c r="AF37" s="33">
        <f>IF(OR(F37="Sand",Y37=0),0,Input!$G$25*(D37/2)^2/(AE37*1E-4*31536000))</f>
        <v/>
      </c>
      <c r="AG37" s="13">
        <f>MAX(0,MIN(C37,Input!$G$15)-B37)</f>
        <v/>
      </c>
      <c r="AH37" s="13">
        <f>MAX(0,MIN(C37,Input!$G$15)-MAX(B37,$G$8))</f>
        <v/>
      </c>
      <c r="AI37" s="13">
        <f>MAX(0,MIN(C37,$G$106)-B37)</f>
        <v/>
      </c>
      <c r="AJ37" s="34" t="inlineStr">
        <is>
          <t>data salinan BH-01</t>
        </is>
      </c>
    </row>
    <row r="38">
      <c r="A38" s="20" t="n">
        <v>26</v>
      </c>
      <c r="B38" s="21" t="n">
        <v>37.5</v>
      </c>
      <c r="C38" s="21" t="n">
        <v>39</v>
      </c>
      <c r="D38" s="13">
        <f>C38-B38</f>
        <v/>
      </c>
      <c r="E38" s="13">
        <f>(B38+C38)/2</f>
        <v/>
      </c>
      <c r="F38" s="22" t="inlineStr">
        <is>
          <t>Clay</t>
        </is>
      </c>
      <c r="G38" s="23" t="n">
        <v>50</v>
      </c>
      <c r="H38" s="12">
        <f>IF(E38&gt;$G$5,$G$7,$G$6)</f>
        <v/>
      </c>
      <c r="I38" s="12">
        <f>I37+H38*D38</f>
        <v/>
      </c>
      <c r="J38" s="12">
        <f>I38-H38*D38/2-10*MAX(E38-$G$5,0)</f>
        <v/>
      </c>
      <c r="K38" s="24" t="n">
        <v>42.56</v>
      </c>
      <c r="L38" s="24" t="n">
        <v>27.27</v>
      </c>
      <c r="M38" s="12">
        <f>IF(K38="","",K38-L38)</f>
        <v/>
      </c>
      <c r="N38" s="25" t="n">
        <v>1.001</v>
      </c>
      <c r="O38" s="26">
        <f>IF(F38="Sand",0,Input!$G$19*G38)</f>
        <v/>
      </c>
      <c r="P38" s="12">
        <f>IF(F38="Sand",27.1+0.3*MIN(Input!$G$20*G38,60)-0.00054*MIN(Input!$G$20*G38,60)^2,MIN(MAX(DEGREES(ASIN(0.8-0.094*LN(MAX(IF(M38="",10,M38),5)))),20),30))</f>
        <v/>
      </c>
      <c r="Q38" s="27">
        <f>IF(F38="Sand",Input!$G$21*Input!$G$20*G38,Input!$G$22*O38)</f>
        <v/>
      </c>
      <c r="R38" s="13">
        <f>IF(F38="Sand",Input!$G$26,0.5)</f>
        <v/>
      </c>
      <c r="S38" s="13">
        <f>Input!$G$10/2/E38</f>
        <v/>
      </c>
      <c r="T38" s="13">
        <f>Input!$G$11/2/E38</f>
        <v/>
      </c>
      <c r="U38" s="28">
        <f>1/(4*PI())*(2*S38*T38*SQRT(S38^2+T38^2+1)/(S38^2+T38^2+1+S38^2*T38^2)*(S38^2+T38^2+2)/(S38^2+T38^2+1)+ATAN2(S38^2+T38^2+1-S38^2*T38^2,2*S38*T38*SQRT(S38^2+T38^2+1)))</f>
        <v/>
      </c>
      <c r="V38" s="12">
        <f>4*Input!$G$9*U38</f>
        <v/>
      </c>
      <c r="W38" s="29">
        <f>((Input!$G$11/Input!$G$10)*LN((1+SQRT((Input!$G$11/Input!$G$10)^2+1))*SQRT((Input!$G$11/Input!$G$10)^2+(C38/(Input!$G$10/2))^2)/((Input!$G$11/Input!$G$10)*(1+SQRT((Input!$G$11/Input!$G$10)^2+(C38/(Input!$G$10/2))^2+1))))+LN(((Input!$G$11/Input!$G$10)+SQRT((Input!$G$11/Input!$G$10)^2+1))*SQRT(1+(C38/(Input!$G$10/2))^2)/((Input!$G$11/Input!$G$10)+SQRT((Input!$G$11/Input!$G$10)^2+(C38/(Input!$G$10/2))^2+1))))/PI()</f>
        <v/>
      </c>
      <c r="X38" s="29">
        <f>(C38/(Input!$G$10/2))/(2*PI())*ATAN((Input!$G$11/Input!$G$10)/((C38/(Input!$G$10/2))*SQRT((Input!$G$11/Input!$G$10)^2+(C38/(Input!$G$10/2))^2+1)))</f>
        <v/>
      </c>
      <c r="Y38" s="13">
        <f>MAX(0,C38-MAX(B38,$G$8))/D38*IF(V38&gt;=Input!$G$27*J38,1,0)</f>
        <v/>
      </c>
      <c r="Z38" s="12">
        <f>4*Input!$G$9*(Input!$G$10/2)*(1-R38^2)/Q38*((W38-W37)+(1-2*R38)/(1-R38)*(X38-X37))*1000*Y38</f>
        <v/>
      </c>
      <c r="AA38" s="30">
        <f>IF(F38="Sand",0,0.009*(K38-10))</f>
        <v/>
      </c>
      <c r="AB38" s="30">
        <f>AA38*Input!$G$23</f>
        <v/>
      </c>
      <c r="AC38" s="26">
        <f>IF(F38="Sand",0,MAX(O38/Input!$G$24,J38))</f>
        <v/>
      </c>
      <c r="AD38" s="31">
        <f>IF(F38="Sand",0,1000*D38/(1+N38)*IF(J38+V38&lt;=AC38,AB38*LOG10((J38+V38)/J38),AB38*LOG10(AC38/J38)+AA38*LOG10((J38+V38)/AC38)))*Y38</f>
        <v/>
      </c>
      <c r="AE38" s="32">
        <f>IF(F38="Sand",0,10^(INDEX(Korelasi!$C$5:$C$11,MIN(MATCH(MIN(MAX(K38,30),120),Korelasi!$A$5:$A$11,1),6))+(MIN(MAX(K38,30),120)-INDEX(Korelasi!$A$5:$A$11,MIN(MATCH(MIN(MAX(K38,30),120),Korelasi!$A$5:$A$11,1),6)))/(INDEX(Korelasi!$A$5:$A$11,MIN(MATCH(MIN(MAX(K38,30),120),Korelasi!$A$5:$A$11,1),6)+1)-INDEX(Korelasi!$A$5:$A$11,MIN(MATCH(MIN(MAX(K38,30),120),Korelasi!$A$5:$A$11,1),6)))*(INDEX(Korelasi!$C$5:$C$11,MIN(MATCH(MIN(MAX(K38,30),120),Korelasi!$A$5:$A$11,1),6)+1)-INDEX(Korelasi!$C$5:$C$11,MIN(MATCH(MIN(MAX(K38,30),120),Korelasi!$A$5:$A$11,1),6)))))</f>
        <v/>
      </c>
      <c r="AF38" s="33">
        <f>IF(OR(F38="Sand",Y38=0),0,Input!$G$25*(D38/2)^2/(AE38*1E-4*31536000))</f>
        <v/>
      </c>
      <c r="AG38" s="13">
        <f>MAX(0,MIN(C38,Input!$G$15)-B38)</f>
        <v/>
      </c>
      <c r="AH38" s="13">
        <f>MAX(0,MIN(C38,Input!$G$15)-MAX(B38,$G$8))</f>
        <v/>
      </c>
      <c r="AI38" s="13">
        <f>MAX(0,MIN(C38,$G$106)-B38)</f>
        <v/>
      </c>
      <c r="AJ38" s="34" t="inlineStr">
        <is>
          <t>data salinan BH-01</t>
        </is>
      </c>
    </row>
    <row r="39">
      <c r="A39" s="20" t="n">
        <v>27</v>
      </c>
      <c r="B39" s="21" t="n">
        <v>39</v>
      </c>
      <c r="C39" s="21" t="n">
        <v>40.5</v>
      </c>
      <c r="D39" s="13">
        <f>C39-B39</f>
        <v/>
      </c>
      <c r="E39" s="13">
        <f>(B39+C39)/2</f>
        <v/>
      </c>
      <c r="F39" s="22" t="inlineStr">
        <is>
          <t>Clay</t>
        </is>
      </c>
      <c r="G39" s="23" t="n">
        <v>50</v>
      </c>
      <c r="H39" s="12">
        <f>IF(E39&gt;$G$5,$G$7,$G$6)</f>
        <v/>
      </c>
      <c r="I39" s="12">
        <f>I38+H39*D39</f>
        <v/>
      </c>
      <c r="J39" s="12">
        <f>I39-H39*D39/2-10*MAX(E39-$G$5,0)</f>
        <v/>
      </c>
      <c r="K39" s="24" t="n">
        <v>28.071</v>
      </c>
      <c r="L39" s="24" t="n">
        <v>18.832</v>
      </c>
      <c r="M39" s="12">
        <f>IF(K39="","",K39-L39)</f>
        <v/>
      </c>
      <c r="N39" s="25" t="n">
        <v>0.59</v>
      </c>
      <c r="O39" s="26">
        <f>IF(F39="Sand",0,Input!$G$19*G39)</f>
        <v/>
      </c>
      <c r="P39" s="12">
        <f>IF(F39="Sand",27.1+0.3*MIN(Input!$G$20*G39,60)-0.00054*MIN(Input!$G$20*G39,60)^2,MIN(MAX(DEGREES(ASIN(0.8-0.094*LN(MAX(IF(M39="",10,M39),5)))),20),30))</f>
        <v/>
      </c>
      <c r="Q39" s="27">
        <f>IF(F39="Sand",Input!$G$21*Input!$G$20*G39,Input!$G$22*O39)</f>
        <v/>
      </c>
      <c r="R39" s="13">
        <f>IF(F39="Sand",Input!$G$26,0.5)</f>
        <v/>
      </c>
      <c r="S39" s="13">
        <f>Input!$G$10/2/E39</f>
        <v/>
      </c>
      <c r="T39" s="13">
        <f>Input!$G$11/2/E39</f>
        <v/>
      </c>
      <c r="U39" s="28">
        <f>1/(4*PI())*(2*S39*T39*SQRT(S39^2+T39^2+1)/(S39^2+T39^2+1+S39^2*T39^2)*(S39^2+T39^2+2)/(S39^2+T39^2+1)+ATAN2(S39^2+T39^2+1-S39^2*T39^2,2*S39*T39*SQRT(S39^2+T39^2+1)))</f>
        <v/>
      </c>
      <c r="V39" s="12">
        <f>4*Input!$G$9*U39</f>
        <v/>
      </c>
      <c r="W39" s="29">
        <f>((Input!$G$11/Input!$G$10)*LN((1+SQRT((Input!$G$11/Input!$G$10)^2+1))*SQRT((Input!$G$11/Input!$G$10)^2+(C39/(Input!$G$10/2))^2)/((Input!$G$11/Input!$G$10)*(1+SQRT((Input!$G$11/Input!$G$10)^2+(C39/(Input!$G$10/2))^2+1))))+LN(((Input!$G$11/Input!$G$10)+SQRT((Input!$G$11/Input!$G$10)^2+1))*SQRT(1+(C39/(Input!$G$10/2))^2)/((Input!$G$11/Input!$G$10)+SQRT((Input!$G$11/Input!$G$10)^2+(C39/(Input!$G$10/2))^2+1))))/PI()</f>
        <v/>
      </c>
      <c r="X39" s="29">
        <f>(C39/(Input!$G$10/2))/(2*PI())*ATAN((Input!$G$11/Input!$G$10)/((C39/(Input!$G$10/2))*SQRT((Input!$G$11/Input!$G$10)^2+(C39/(Input!$G$10/2))^2+1)))</f>
        <v/>
      </c>
      <c r="Y39" s="13">
        <f>MAX(0,C39-MAX(B39,$G$8))/D39*IF(V39&gt;=Input!$G$27*J39,1,0)</f>
        <v/>
      </c>
      <c r="Z39" s="12">
        <f>4*Input!$G$9*(Input!$G$10/2)*(1-R39^2)/Q39*((W39-W38)+(1-2*R39)/(1-R39)*(X39-X38))*1000*Y39</f>
        <v/>
      </c>
      <c r="AA39" s="30">
        <f>IF(F39="Sand",0,0.009*(K39-10))</f>
        <v/>
      </c>
      <c r="AB39" s="30">
        <f>AA39*Input!$G$23</f>
        <v/>
      </c>
      <c r="AC39" s="26">
        <f>IF(F39="Sand",0,MAX(O39/Input!$G$24,J39))</f>
        <v/>
      </c>
      <c r="AD39" s="31">
        <f>IF(F39="Sand",0,1000*D39/(1+N39)*IF(J39+V39&lt;=AC39,AB39*LOG10((J39+V39)/J39),AB39*LOG10(AC39/J39)+AA39*LOG10((J39+V39)/AC39)))*Y39</f>
        <v/>
      </c>
      <c r="AE39" s="32">
        <f>IF(F39="Sand",0,10^(INDEX(Korelasi!$C$5:$C$11,MIN(MATCH(MIN(MAX(K39,30),120),Korelasi!$A$5:$A$11,1),6))+(MIN(MAX(K39,30),120)-INDEX(Korelasi!$A$5:$A$11,MIN(MATCH(MIN(MAX(K39,30),120),Korelasi!$A$5:$A$11,1),6)))/(INDEX(Korelasi!$A$5:$A$11,MIN(MATCH(MIN(MAX(K39,30),120),Korelasi!$A$5:$A$11,1),6)+1)-INDEX(Korelasi!$A$5:$A$11,MIN(MATCH(MIN(MAX(K39,30),120),Korelasi!$A$5:$A$11,1),6)))*(INDEX(Korelasi!$C$5:$C$11,MIN(MATCH(MIN(MAX(K39,30),120),Korelasi!$A$5:$A$11,1),6)+1)-INDEX(Korelasi!$C$5:$C$11,MIN(MATCH(MIN(MAX(K39,30),120),Korelasi!$A$5:$A$11,1),6)))))</f>
        <v/>
      </c>
      <c r="AF39" s="33">
        <f>IF(OR(F39="Sand",Y39=0),0,Input!$G$25*(D39/2)^2/(AE39*1E-4*31536000))</f>
        <v/>
      </c>
      <c r="AG39" s="13">
        <f>MAX(0,MIN(C39,Input!$G$15)-B39)</f>
        <v/>
      </c>
      <c r="AH39" s="13">
        <f>MAX(0,MIN(C39,Input!$G$15)-MAX(B39,$G$8))</f>
        <v/>
      </c>
      <c r="AI39" s="13">
        <f>MAX(0,MIN(C39,$G$106)-B39)</f>
        <v/>
      </c>
      <c r="AJ39" s="34" t="inlineStr">
        <is>
          <t>data salinan BH-01; LL/PL/e0 = rata-rata BH</t>
        </is>
      </c>
    </row>
    <row r="40">
      <c r="A40" s="20" t="n">
        <v>28</v>
      </c>
      <c r="B40" s="21" t="n">
        <v>40.5</v>
      </c>
      <c r="C40" s="21" t="n">
        <v>42</v>
      </c>
      <c r="D40" s="13">
        <f>C40-B40</f>
        <v/>
      </c>
      <c r="E40" s="13">
        <f>(B40+C40)/2</f>
        <v/>
      </c>
      <c r="F40" s="22" t="inlineStr">
        <is>
          <t>Clay</t>
        </is>
      </c>
      <c r="G40" s="23" t="n">
        <v>50</v>
      </c>
      <c r="H40" s="12">
        <f>IF(E40&gt;$G$5,$G$7,$G$6)</f>
        <v/>
      </c>
      <c r="I40" s="12">
        <f>I39+H40*D40</f>
        <v/>
      </c>
      <c r="J40" s="12">
        <f>I40-H40*D40/2-10*MAX(E40-$G$5,0)</f>
        <v/>
      </c>
      <c r="K40" s="24" t="n">
        <v>36.82</v>
      </c>
      <c r="L40" s="24" t="n">
        <v>20.32</v>
      </c>
      <c r="M40" s="12">
        <f>IF(K40="","",K40-L40)</f>
        <v/>
      </c>
      <c r="N40" s="25" t="n">
        <v>0.836</v>
      </c>
      <c r="O40" s="26">
        <f>IF(F40="Sand",0,Input!$G$19*G40)</f>
        <v/>
      </c>
      <c r="P40" s="12">
        <f>IF(F40="Sand",27.1+0.3*MIN(Input!$G$20*G40,60)-0.00054*MIN(Input!$G$20*G40,60)^2,MIN(MAX(DEGREES(ASIN(0.8-0.094*LN(MAX(IF(M40="",10,M40),5)))),20),30))</f>
        <v/>
      </c>
      <c r="Q40" s="27">
        <f>IF(F40="Sand",Input!$G$21*Input!$G$20*G40,Input!$G$22*O40)</f>
        <v/>
      </c>
      <c r="R40" s="13">
        <f>IF(F40="Sand",Input!$G$26,0.5)</f>
        <v/>
      </c>
      <c r="S40" s="13">
        <f>Input!$G$10/2/E40</f>
        <v/>
      </c>
      <c r="T40" s="13">
        <f>Input!$G$11/2/E40</f>
        <v/>
      </c>
      <c r="U40" s="28">
        <f>1/(4*PI())*(2*S40*T40*SQRT(S40^2+T40^2+1)/(S40^2+T40^2+1+S40^2*T40^2)*(S40^2+T40^2+2)/(S40^2+T40^2+1)+ATAN2(S40^2+T40^2+1-S40^2*T40^2,2*S40*T40*SQRT(S40^2+T40^2+1)))</f>
        <v/>
      </c>
      <c r="V40" s="12">
        <f>4*Input!$G$9*U40</f>
        <v/>
      </c>
      <c r="W40" s="29">
        <f>((Input!$G$11/Input!$G$10)*LN((1+SQRT((Input!$G$11/Input!$G$10)^2+1))*SQRT((Input!$G$11/Input!$G$10)^2+(C40/(Input!$G$10/2))^2)/((Input!$G$11/Input!$G$10)*(1+SQRT((Input!$G$11/Input!$G$10)^2+(C40/(Input!$G$10/2))^2+1))))+LN(((Input!$G$11/Input!$G$10)+SQRT((Input!$G$11/Input!$G$10)^2+1))*SQRT(1+(C40/(Input!$G$10/2))^2)/((Input!$G$11/Input!$G$10)+SQRT((Input!$G$11/Input!$G$10)^2+(C40/(Input!$G$10/2))^2+1))))/PI()</f>
        <v/>
      </c>
      <c r="X40" s="29">
        <f>(C40/(Input!$G$10/2))/(2*PI())*ATAN((Input!$G$11/Input!$G$10)/((C40/(Input!$G$10/2))*SQRT((Input!$G$11/Input!$G$10)^2+(C40/(Input!$G$10/2))^2+1)))</f>
        <v/>
      </c>
      <c r="Y40" s="13">
        <f>MAX(0,C40-MAX(B40,$G$8))/D40*IF(V40&gt;=Input!$G$27*J40,1,0)</f>
        <v/>
      </c>
      <c r="Z40" s="12">
        <f>4*Input!$G$9*(Input!$G$10/2)*(1-R40^2)/Q40*((W40-W39)+(1-2*R40)/(1-R40)*(X40-X39))*1000*Y40</f>
        <v/>
      </c>
      <c r="AA40" s="30">
        <f>IF(F40="Sand",0,0.009*(K40-10))</f>
        <v/>
      </c>
      <c r="AB40" s="30">
        <f>AA40*Input!$G$23</f>
        <v/>
      </c>
      <c r="AC40" s="26">
        <f>IF(F40="Sand",0,MAX(O40/Input!$G$24,J40))</f>
        <v/>
      </c>
      <c r="AD40" s="31">
        <f>IF(F40="Sand",0,1000*D40/(1+N40)*IF(J40+V40&lt;=AC40,AB40*LOG10((J40+V40)/J40),AB40*LOG10(AC40/J40)+AA40*LOG10((J40+V40)/AC40)))*Y40</f>
        <v/>
      </c>
      <c r="AE40" s="32">
        <f>IF(F40="Sand",0,10^(INDEX(Korelasi!$C$5:$C$11,MIN(MATCH(MIN(MAX(K40,30),120),Korelasi!$A$5:$A$11,1),6))+(MIN(MAX(K40,30),120)-INDEX(Korelasi!$A$5:$A$11,MIN(MATCH(MIN(MAX(K40,30),120),Korelasi!$A$5:$A$11,1),6)))/(INDEX(Korelasi!$A$5:$A$11,MIN(MATCH(MIN(MAX(K40,30),120),Korelasi!$A$5:$A$11,1),6)+1)-INDEX(Korelasi!$A$5:$A$11,MIN(MATCH(MIN(MAX(K40,30),120),Korelasi!$A$5:$A$11,1),6)))*(INDEX(Korelasi!$C$5:$C$11,MIN(MATCH(MIN(MAX(K40,30),120),Korelasi!$A$5:$A$11,1),6)+1)-INDEX(Korelasi!$C$5:$C$11,MIN(MATCH(MIN(MAX(K40,30),120),Korelasi!$A$5:$A$11,1),6)))))</f>
        <v/>
      </c>
      <c r="AF40" s="33">
        <f>IF(OR(F40="Sand",Y40=0),0,Input!$G$25*(D40/2)^2/(AE40*1E-4*31536000))</f>
        <v/>
      </c>
      <c r="AG40" s="13">
        <f>MAX(0,MIN(C40,Input!$G$15)-B40)</f>
        <v/>
      </c>
      <c r="AH40" s="13">
        <f>MAX(0,MIN(C40,Input!$G$15)-MAX(B40,$G$8))</f>
        <v/>
      </c>
      <c r="AI40" s="13">
        <f>MAX(0,MIN(C40,$G$106)-B40)</f>
        <v/>
      </c>
      <c r="AJ40" s="34" t="inlineStr">
        <is>
          <t>data salinan BH-01</t>
        </is>
      </c>
    </row>
    <row r="41">
      <c r="A41" s="20" t="n">
        <v>29</v>
      </c>
      <c r="B41" s="21" t="n">
        <v>42</v>
      </c>
      <c r="C41" s="21" t="n">
        <v>43.5</v>
      </c>
      <c r="D41" s="13">
        <f>C41-B41</f>
        <v/>
      </c>
      <c r="E41" s="13">
        <f>(B41+C41)/2</f>
        <v/>
      </c>
      <c r="F41" s="22" t="inlineStr">
        <is>
          <t>Clay</t>
        </is>
      </c>
      <c r="G41" s="23" t="n">
        <v>50</v>
      </c>
      <c r="H41" s="12">
        <f>IF(E41&gt;$G$5,$G$7,$G$6)</f>
        <v/>
      </c>
      <c r="I41" s="12">
        <f>I40+H41*D41</f>
        <v/>
      </c>
      <c r="J41" s="12">
        <f>I41-H41*D41/2-10*MAX(E41-$G$5,0)</f>
        <v/>
      </c>
      <c r="K41" s="24" t="n">
        <v>28.071</v>
      </c>
      <c r="L41" s="24" t="n">
        <v>18.832</v>
      </c>
      <c r="M41" s="12">
        <f>IF(K41="","",K41-L41)</f>
        <v/>
      </c>
      <c r="N41" s="25" t="n">
        <v>0.59</v>
      </c>
      <c r="O41" s="26">
        <f>IF(F41="Sand",0,Input!$G$19*G41)</f>
        <v/>
      </c>
      <c r="P41" s="12">
        <f>IF(F41="Sand",27.1+0.3*MIN(Input!$G$20*G41,60)-0.00054*MIN(Input!$G$20*G41,60)^2,MIN(MAX(DEGREES(ASIN(0.8-0.094*LN(MAX(IF(M41="",10,M41),5)))),20),30))</f>
        <v/>
      </c>
      <c r="Q41" s="27">
        <f>IF(F41="Sand",Input!$G$21*Input!$G$20*G41,Input!$G$22*O41)</f>
        <v/>
      </c>
      <c r="R41" s="13">
        <f>IF(F41="Sand",Input!$G$26,0.5)</f>
        <v/>
      </c>
      <c r="S41" s="13">
        <f>Input!$G$10/2/E41</f>
        <v/>
      </c>
      <c r="T41" s="13">
        <f>Input!$G$11/2/E41</f>
        <v/>
      </c>
      <c r="U41" s="28">
        <f>1/(4*PI())*(2*S41*T41*SQRT(S41^2+T41^2+1)/(S41^2+T41^2+1+S41^2*T41^2)*(S41^2+T41^2+2)/(S41^2+T41^2+1)+ATAN2(S41^2+T41^2+1-S41^2*T41^2,2*S41*T41*SQRT(S41^2+T41^2+1)))</f>
        <v/>
      </c>
      <c r="V41" s="12">
        <f>4*Input!$G$9*U41</f>
        <v/>
      </c>
      <c r="W41" s="29">
        <f>((Input!$G$11/Input!$G$10)*LN((1+SQRT((Input!$G$11/Input!$G$10)^2+1))*SQRT((Input!$G$11/Input!$G$10)^2+(C41/(Input!$G$10/2))^2)/((Input!$G$11/Input!$G$10)*(1+SQRT((Input!$G$11/Input!$G$10)^2+(C41/(Input!$G$10/2))^2+1))))+LN(((Input!$G$11/Input!$G$10)+SQRT((Input!$G$11/Input!$G$10)^2+1))*SQRT(1+(C41/(Input!$G$10/2))^2)/((Input!$G$11/Input!$G$10)+SQRT((Input!$G$11/Input!$G$10)^2+(C41/(Input!$G$10/2))^2+1))))/PI()</f>
        <v/>
      </c>
      <c r="X41" s="29">
        <f>(C41/(Input!$G$10/2))/(2*PI())*ATAN((Input!$G$11/Input!$G$10)/((C41/(Input!$G$10/2))*SQRT((Input!$G$11/Input!$G$10)^2+(C41/(Input!$G$10/2))^2+1)))</f>
        <v/>
      </c>
      <c r="Y41" s="13">
        <f>MAX(0,C41-MAX(B41,$G$8))/D41*IF(V41&gt;=Input!$G$27*J41,1,0)</f>
        <v/>
      </c>
      <c r="Z41" s="12">
        <f>4*Input!$G$9*(Input!$G$10/2)*(1-R41^2)/Q41*((W41-W40)+(1-2*R41)/(1-R41)*(X41-X40))*1000*Y41</f>
        <v/>
      </c>
      <c r="AA41" s="30">
        <f>IF(F41="Sand",0,0.009*(K41-10))</f>
        <v/>
      </c>
      <c r="AB41" s="30">
        <f>AA41*Input!$G$23</f>
        <v/>
      </c>
      <c r="AC41" s="26">
        <f>IF(F41="Sand",0,MAX(O41/Input!$G$24,J41))</f>
        <v/>
      </c>
      <c r="AD41" s="31">
        <f>IF(F41="Sand",0,1000*D41/(1+N41)*IF(J41+V41&lt;=AC41,AB41*LOG10((J41+V41)/J41),AB41*LOG10(AC41/J41)+AA41*LOG10((J41+V41)/AC41)))*Y41</f>
        <v/>
      </c>
      <c r="AE41" s="32">
        <f>IF(F41="Sand",0,10^(INDEX(Korelasi!$C$5:$C$11,MIN(MATCH(MIN(MAX(K41,30),120),Korelasi!$A$5:$A$11,1),6))+(MIN(MAX(K41,30),120)-INDEX(Korelasi!$A$5:$A$11,MIN(MATCH(MIN(MAX(K41,30),120),Korelasi!$A$5:$A$11,1),6)))/(INDEX(Korelasi!$A$5:$A$11,MIN(MATCH(MIN(MAX(K41,30),120),Korelasi!$A$5:$A$11,1),6)+1)-INDEX(Korelasi!$A$5:$A$11,MIN(MATCH(MIN(MAX(K41,30),120),Korelasi!$A$5:$A$11,1),6)))*(INDEX(Korelasi!$C$5:$C$11,MIN(MATCH(MIN(MAX(K41,30),120),Korelasi!$A$5:$A$11,1),6)+1)-INDEX(Korelasi!$C$5:$C$11,MIN(MATCH(MIN(MAX(K41,30),120),Korelasi!$A$5:$A$11,1),6)))))</f>
        <v/>
      </c>
      <c r="AF41" s="33">
        <f>IF(OR(F41="Sand",Y41=0),0,Input!$G$25*(D41/2)^2/(AE41*1E-4*31536000))</f>
        <v/>
      </c>
      <c r="AG41" s="13">
        <f>MAX(0,MIN(C41,Input!$G$15)-B41)</f>
        <v/>
      </c>
      <c r="AH41" s="13">
        <f>MAX(0,MIN(C41,Input!$G$15)-MAX(B41,$G$8))</f>
        <v/>
      </c>
      <c r="AI41" s="13">
        <f>MAX(0,MIN(C41,$G$106)-B41)</f>
        <v/>
      </c>
      <c r="AJ41" s="34" t="inlineStr">
        <is>
          <t>data salinan BH-01; LL/PL/e0 = rata-rata BH</t>
        </is>
      </c>
    </row>
    <row r="42">
      <c r="A42" s="20" t="n">
        <v>30</v>
      </c>
      <c r="B42" s="21" t="n">
        <v>43.5</v>
      </c>
      <c r="C42" s="21" t="n">
        <v>45</v>
      </c>
      <c r="D42" s="13">
        <f>C42-B42</f>
        <v/>
      </c>
      <c r="E42" s="13">
        <f>(B42+C42)/2</f>
        <v/>
      </c>
      <c r="F42" s="22" t="inlineStr">
        <is>
          <t>Clay</t>
        </is>
      </c>
      <c r="G42" s="23" t="n">
        <v>50</v>
      </c>
      <c r="H42" s="12">
        <f>IF(E42&gt;$G$5,$G$7,$G$6)</f>
        <v/>
      </c>
      <c r="I42" s="12">
        <f>I41+H42*D42</f>
        <v/>
      </c>
      <c r="J42" s="12">
        <f>I42-H42*D42/2-10*MAX(E42-$G$5,0)</f>
        <v/>
      </c>
      <c r="K42" s="24" t="n">
        <v>30.1</v>
      </c>
      <c r="L42" s="24" t="n">
        <v>20.6</v>
      </c>
      <c r="M42" s="12">
        <f>IF(K42="","",K42-L42)</f>
        <v/>
      </c>
      <c r="N42" s="25" t="n">
        <v>0.703</v>
      </c>
      <c r="O42" s="26">
        <f>IF(F42="Sand",0,Input!$G$19*G42)</f>
        <v/>
      </c>
      <c r="P42" s="12">
        <f>IF(F42="Sand",27.1+0.3*MIN(Input!$G$20*G42,60)-0.00054*MIN(Input!$G$20*G42,60)^2,MIN(MAX(DEGREES(ASIN(0.8-0.094*LN(MAX(IF(M42="",10,M42),5)))),20),30))</f>
        <v/>
      </c>
      <c r="Q42" s="27">
        <f>IF(F42="Sand",Input!$G$21*Input!$G$20*G42,Input!$G$22*O42)</f>
        <v/>
      </c>
      <c r="R42" s="13">
        <f>IF(F42="Sand",Input!$G$26,0.5)</f>
        <v/>
      </c>
      <c r="S42" s="13">
        <f>Input!$G$10/2/E42</f>
        <v/>
      </c>
      <c r="T42" s="13">
        <f>Input!$G$11/2/E42</f>
        <v/>
      </c>
      <c r="U42" s="28">
        <f>1/(4*PI())*(2*S42*T42*SQRT(S42^2+T42^2+1)/(S42^2+T42^2+1+S42^2*T42^2)*(S42^2+T42^2+2)/(S42^2+T42^2+1)+ATAN2(S42^2+T42^2+1-S42^2*T42^2,2*S42*T42*SQRT(S42^2+T42^2+1)))</f>
        <v/>
      </c>
      <c r="V42" s="12">
        <f>4*Input!$G$9*U42</f>
        <v/>
      </c>
      <c r="W42" s="29">
        <f>((Input!$G$11/Input!$G$10)*LN((1+SQRT((Input!$G$11/Input!$G$10)^2+1))*SQRT((Input!$G$11/Input!$G$10)^2+(C42/(Input!$G$10/2))^2)/((Input!$G$11/Input!$G$10)*(1+SQRT((Input!$G$11/Input!$G$10)^2+(C42/(Input!$G$10/2))^2+1))))+LN(((Input!$G$11/Input!$G$10)+SQRT((Input!$G$11/Input!$G$10)^2+1))*SQRT(1+(C42/(Input!$G$10/2))^2)/((Input!$G$11/Input!$G$10)+SQRT((Input!$G$11/Input!$G$10)^2+(C42/(Input!$G$10/2))^2+1))))/PI()</f>
        <v/>
      </c>
      <c r="X42" s="29">
        <f>(C42/(Input!$G$10/2))/(2*PI())*ATAN((Input!$G$11/Input!$G$10)/((C42/(Input!$G$10/2))*SQRT((Input!$G$11/Input!$G$10)^2+(C42/(Input!$G$10/2))^2+1)))</f>
        <v/>
      </c>
      <c r="Y42" s="13">
        <f>MAX(0,C42-MAX(B42,$G$8))/D42*IF(V42&gt;=Input!$G$27*J42,1,0)</f>
        <v/>
      </c>
      <c r="Z42" s="12">
        <f>4*Input!$G$9*(Input!$G$10/2)*(1-R42^2)/Q42*((W42-W41)+(1-2*R42)/(1-R42)*(X42-X41))*1000*Y42</f>
        <v/>
      </c>
      <c r="AA42" s="30">
        <f>IF(F42="Sand",0,0.009*(K42-10))</f>
        <v/>
      </c>
      <c r="AB42" s="30">
        <f>AA42*Input!$G$23</f>
        <v/>
      </c>
      <c r="AC42" s="26">
        <f>IF(F42="Sand",0,MAX(O42/Input!$G$24,J42))</f>
        <v/>
      </c>
      <c r="AD42" s="31">
        <f>IF(F42="Sand",0,1000*D42/(1+N42)*IF(J42+V42&lt;=AC42,AB42*LOG10((J42+V42)/J42),AB42*LOG10(AC42/J42)+AA42*LOG10((J42+V42)/AC42)))*Y42</f>
        <v/>
      </c>
      <c r="AE42" s="32">
        <f>IF(F42="Sand",0,10^(INDEX(Korelasi!$C$5:$C$11,MIN(MATCH(MIN(MAX(K42,30),120),Korelasi!$A$5:$A$11,1),6))+(MIN(MAX(K42,30),120)-INDEX(Korelasi!$A$5:$A$11,MIN(MATCH(MIN(MAX(K42,30),120),Korelasi!$A$5:$A$11,1),6)))/(INDEX(Korelasi!$A$5:$A$11,MIN(MATCH(MIN(MAX(K42,30),120),Korelasi!$A$5:$A$11,1),6)+1)-INDEX(Korelasi!$A$5:$A$11,MIN(MATCH(MIN(MAX(K42,30),120),Korelasi!$A$5:$A$11,1),6)))*(INDEX(Korelasi!$C$5:$C$11,MIN(MATCH(MIN(MAX(K42,30),120),Korelasi!$A$5:$A$11,1),6)+1)-INDEX(Korelasi!$C$5:$C$11,MIN(MATCH(MIN(MAX(K42,30),120),Korelasi!$A$5:$A$11,1),6)))))</f>
        <v/>
      </c>
      <c r="AF42" s="33">
        <f>IF(OR(F42="Sand",Y42=0),0,Input!$G$25*(D42/2)^2/(AE42*1E-4*31536000))</f>
        <v/>
      </c>
      <c r="AG42" s="13">
        <f>MAX(0,MIN(C42,Input!$G$15)-B42)</f>
        <v/>
      </c>
      <c r="AH42" s="13">
        <f>MAX(0,MIN(C42,Input!$G$15)-MAX(B42,$G$8))</f>
        <v/>
      </c>
      <c r="AI42" s="13">
        <f>MAX(0,MIN(C42,$G$106)-B42)</f>
        <v/>
      </c>
      <c r="AJ42" s="34" t="inlineStr">
        <is>
          <t>data salinan BH-01</t>
        </is>
      </c>
    </row>
    <row r="43">
      <c r="A43" s="20" t="n">
        <v>31</v>
      </c>
      <c r="B43" s="21" t="n">
        <v>45</v>
      </c>
      <c r="C43" s="21" t="n">
        <v>46.5</v>
      </c>
      <c r="D43" s="13">
        <f>C43-B43</f>
        <v/>
      </c>
      <c r="E43" s="13">
        <f>(B43+C43)/2</f>
        <v/>
      </c>
      <c r="F43" s="22" t="inlineStr">
        <is>
          <t>Clay</t>
        </is>
      </c>
      <c r="G43" s="23" t="n">
        <v>33</v>
      </c>
      <c r="H43" s="12">
        <f>IF(E43&gt;$G$5,$G$7,$G$6)</f>
        <v/>
      </c>
      <c r="I43" s="12">
        <f>I42+H43*D43</f>
        <v/>
      </c>
      <c r="J43" s="12">
        <f>I43-H43*D43/2-10*MAX(E43-$G$5,0)</f>
        <v/>
      </c>
      <c r="K43" s="24" t="n">
        <v>28.071</v>
      </c>
      <c r="L43" s="24" t="n">
        <v>18.832</v>
      </c>
      <c r="M43" s="12">
        <f>IF(K43="","",K43-L43)</f>
        <v/>
      </c>
      <c r="N43" s="25" t="n">
        <v>0.59</v>
      </c>
      <c r="O43" s="26">
        <f>IF(F43="Sand",0,Input!$G$19*G43)</f>
        <v/>
      </c>
      <c r="P43" s="12">
        <f>IF(F43="Sand",27.1+0.3*MIN(Input!$G$20*G43,60)-0.00054*MIN(Input!$G$20*G43,60)^2,MIN(MAX(DEGREES(ASIN(0.8-0.094*LN(MAX(IF(M43="",10,M43),5)))),20),30))</f>
        <v/>
      </c>
      <c r="Q43" s="27">
        <f>IF(F43="Sand",Input!$G$21*Input!$G$20*G43,Input!$G$22*O43)</f>
        <v/>
      </c>
      <c r="R43" s="13">
        <f>IF(F43="Sand",Input!$G$26,0.5)</f>
        <v/>
      </c>
      <c r="S43" s="13">
        <f>Input!$G$10/2/E43</f>
        <v/>
      </c>
      <c r="T43" s="13">
        <f>Input!$G$11/2/E43</f>
        <v/>
      </c>
      <c r="U43" s="28">
        <f>1/(4*PI())*(2*S43*T43*SQRT(S43^2+T43^2+1)/(S43^2+T43^2+1+S43^2*T43^2)*(S43^2+T43^2+2)/(S43^2+T43^2+1)+ATAN2(S43^2+T43^2+1-S43^2*T43^2,2*S43*T43*SQRT(S43^2+T43^2+1)))</f>
        <v/>
      </c>
      <c r="V43" s="12">
        <f>4*Input!$G$9*U43</f>
        <v/>
      </c>
      <c r="W43" s="29">
        <f>((Input!$G$11/Input!$G$10)*LN((1+SQRT((Input!$G$11/Input!$G$10)^2+1))*SQRT((Input!$G$11/Input!$G$10)^2+(C43/(Input!$G$10/2))^2)/((Input!$G$11/Input!$G$10)*(1+SQRT((Input!$G$11/Input!$G$10)^2+(C43/(Input!$G$10/2))^2+1))))+LN(((Input!$G$11/Input!$G$10)+SQRT((Input!$G$11/Input!$G$10)^2+1))*SQRT(1+(C43/(Input!$G$10/2))^2)/((Input!$G$11/Input!$G$10)+SQRT((Input!$G$11/Input!$G$10)^2+(C43/(Input!$G$10/2))^2+1))))/PI()</f>
        <v/>
      </c>
      <c r="X43" s="29">
        <f>(C43/(Input!$G$10/2))/(2*PI())*ATAN((Input!$G$11/Input!$G$10)/((C43/(Input!$G$10/2))*SQRT((Input!$G$11/Input!$G$10)^2+(C43/(Input!$G$10/2))^2+1)))</f>
        <v/>
      </c>
      <c r="Y43" s="13">
        <f>MAX(0,C43-MAX(B43,$G$8))/D43*IF(V43&gt;=Input!$G$27*J43,1,0)</f>
        <v/>
      </c>
      <c r="Z43" s="12">
        <f>4*Input!$G$9*(Input!$G$10/2)*(1-R43^2)/Q43*((W43-W42)+(1-2*R43)/(1-R43)*(X43-X42))*1000*Y43</f>
        <v/>
      </c>
      <c r="AA43" s="30">
        <f>IF(F43="Sand",0,0.009*(K43-10))</f>
        <v/>
      </c>
      <c r="AB43" s="30">
        <f>AA43*Input!$G$23</f>
        <v/>
      </c>
      <c r="AC43" s="26">
        <f>IF(F43="Sand",0,MAX(O43/Input!$G$24,J43))</f>
        <v/>
      </c>
      <c r="AD43" s="31">
        <f>IF(F43="Sand",0,1000*D43/(1+N43)*IF(J43+V43&lt;=AC43,AB43*LOG10((J43+V43)/J43),AB43*LOG10(AC43/J43)+AA43*LOG10((J43+V43)/AC43)))*Y43</f>
        <v/>
      </c>
      <c r="AE43" s="32">
        <f>IF(F43="Sand",0,10^(INDEX(Korelasi!$C$5:$C$11,MIN(MATCH(MIN(MAX(K43,30),120),Korelasi!$A$5:$A$11,1),6))+(MIN(MAX(K43,30),120)-INDEX(Korelasi!$A$5:$A$11,MIN(MATCH(MIN(MAX(K43,30),120),Korelasi!$A$5:$A$11,1),6)))/(INDEX(Korelasi!$A$5:$A$11,MIN(MATCH(MIN(MAX(K43,30),120),Korelasi!$A$5:$A$11,1),6)+1)-INDEX(Korelasi!$A$5:$A$11,MIN(MATCH(MIN(MAX(K43,30),120),Korelasi!$A$5:$A$11,1),6)))*(INDEX(Korelasi!$C$5:$C$11,MIN(MATCH(MIN(MAX(K43,30),120),Korelasi!$A$5:$A$11,1),6)+1)-INDEX(Korelasi!$C$5:$C$11,MIN(MATCH(MIN(MAX(K43,30),120),Korelasi!$A$5:$A$11,1),6)))))</f>
        <v/>
      </c>
      <c r="AF43" s="33">
        <f>IF(OR(F43="Sand",Y43=0),0,Input!$G$25*(D43/2)^2/(AE43*1E-4*31536000))</f>
        <v/>
      </c>
      <c r="AG43" s="13">
        <f>MAX(0,MIN(C43,Input!$G$15)-B43)</f>
        <v/>
      </c>
      <c r="AH43" s="13">
        <f>MAX(0,MIN(C43,Input!$G$15)-MAX(B43,$G$8))</f>
        <v/>
      </c>
      <c r="AI43" s="13">
        <f>MAX(0,MIN(C43,$G$106)-B43)</f>
        <v/>
      </c>
      <c r="AJ43" s="34" t="inlineStr">
        <is>
          <t>data salinan BH-01; LL/PL/e0 = rata-rata BH</t>
        </is>
      </c>
    </row>
    <row r="44">
      <c r="A44" s="20" t="n">
        <v>32</v>
      </c>
      <c r="B44" s="21" t="n">
        <v>46.5</v>
      </c>
      <c r="C44" s="21" t="n">
        <v>48</v>
      </c>
      <c r="D44" s="13">
        <f>C44-B44</f>
        <v/>
      </c>
      <c r="E44" s="13">
        <f>(B44+C44)/2</f>
        <v/>
      </c>
      <c r="F44" s="22" t="inlineStr">
        <is>
          <t>Clay</t>
        </is>
      </c>
      <c r="G44" s="23" t="n">
        <v>36</v>
      </c>
      <c r="H44" s="12">
        <f>IF(E44&gt;$G$5,$G$7,$G$6)</f>
        <v/>
      </c>
      <c r="I44" s="12">
        <f>I43+H44*D44</f>
        <v/>
      </c>
      <c r="J44" s="12">
        <f>I44-H44*D44/2-10*MAX(E44-$G$5,0)</f>
        <v/>
      </c>
      <c r="K44" s="24" t="n">
        <v>39.36</v>
      </c>
      <c r="L44" s="24" t="n">
        <v>25.37</v>
      </c>
      <c r="M44" s="12">
        <f>IF(K44="","",K44-L44)</f>
        <v/>
      </c>
      <c r="N44" s="25" t="n">
        <v>0.841</v>
      </c>
      <c r="O44" s="26">
        <f>IF(F44="Sand",0,Input!$G$19*G44)</f>
        <v/>
      </c>
      <c r="P44" s="12">
        <f>IF(F44="Sand",27.1+0.3*MIN(Input!$G$20*G44,60)-0.00054*MIN(Input!$G$20*G44,60)^2,MIN(MAX(DEGREES(ASIN(0.8-0.094*LN(MAX(IF(M44="",10,M44),5)))),20),30))</f>
        <v/>
      </c>
      <c r="Q44" s="27">
        <f>IF(F44="Sand",Input!$G$21*Input!$G$20*G44,Input!$G$22*O44)</f>
        <v/>
      </c>
      <c r="R44" s="13">
        <f>IF(F44="Sand",Input!$G$26,0.5)</f>
        <v/>
      </c>
      <c r="S44" s="13">
        <f>Input!$G$10/2/E44</f>
        <v/>
      </c>
      <c r="T44" s="13">
        <f>Input!$G$11/2/E44</f>
        <v/>
      </c>
      <c r="U44" s="28">
        <f>1/(4*PI())*(2*S44*T44*SQRT(S44^2+T44^2+1)/(S44^2+T44^2+1+S44^2*T44^2)*(S44^2+T44^2+2)/(S44^2+T44^2+1)+ATAN2(S44^2+T44^2+1-S44^2*T44^2,2*S44*T44*SQRT(S44^2+T44^2+1)))</f>
        <v/>
      </c>
      <c r="V44" s="12">
        <f>4*Input!$G$9*U44</f>
        <v/>
      </c>
      <c r="W44" s="29">
        <f>((Input!$G$11/Input!$G$10)*LN((1+SQRT((Input!$G$11/Input!$G$10)^2+1))*SQRT((Input!$G$11/Input!$G$10)^2+(C44/(Input!$G$10/2))^2)/((Input!$G$11/Input!$G$10)*(1+SQRT((Input!$G$11/Input!$G$10)^2+(C44/(Input!$G$10/2))^2+1))))+LN(((Input!$G$11/Input!$G$10)+SQRT((Input!$G$11/Input!$G$10)^2+1))*SQRT(1+(C44/(Input!$G$10/2))^2)/((Input!$G$11/Input!$G$10)+SQRT((Input!$G$11/Input!$G$10)^2+(C44/(Input!$G$10/2))^2+1))))/PI()</f>
        <v/>
      </c>
      <c r="X44" s="29">
        <f>(C44/(Input!$G$10/2))/(2*PI())*ATAN((Input!$G$11/Input!$G$10)/((C44/(Input!$G$10/2))*SQRT((Input!$G$11/Input!$G$10)^2+(C44/(Input!$G$10/2))^2+1)))</f>
        <v/>
      </c>
      <c r="Y44" s="13">
        <f>MAX(0,C44-MAX(B44,$G$8))/D44*IF(V44&gt;=Input!$G$27*J44,1,0)</f>
        <v/>
      </c>
      <c r="Z44" s="12">
        <f>4*Input!$G$9*(Input!$G$10/2)*(1-R44^2)/Q44*((W44-W43)+(1-2*R44)/(1-R44)*(X44-X43))*1000*Y44</f>
        <v/>
      </c>
      <c r="AA44" s="30">
        <f>IF(F44="Sand",0,0.009*(K44-10))</f>
        <v/>
      </c>
      <c r="AB44" s="30">
        <f>AA44*Input!$G$23</f>
        <v/>
      </c>
      <c r="AC44" s="26">
        <f>IF(F44="Sand",0,MAX(O44/Input!$G$24,J44))</f>
        <v/>
      </c>
      <c r="AD44" s="31">
        <f>IF(F44="Sand",0,1000*D44/(1+N44)*IF(J44+V44&lt;=AC44,AB44*LOG10((J44+V44)/J44),AB44*LOG10(AC44/J44)+AA44*LOG10((J44+V44)/AC44)))*Y44</f>
        <v/>
      </c>
      <c r="AE44" s="32">
        <f>IF(F44="Sand",0,10^(INDEX(Korelasi!$C$5:$C$11,MIN(MATCH(MIN(MAX(K44,30),120),Korelasi!$A$5:$A$11,1),6))+(MIN(MAX(K44,30),120)-INDEX(Korelasi!$A$5:$A$11,MIN(MATCH(MIN(MAX(K44,30),120),Korelasi!$A$5:$A$11,1),6)))/(INDEX(Korelasi!$A$5:$A$11,MIN(MATCH(MIN(MAX(K44,30),120),Korelasi!$A$5:$A$11,1),6)+1)-INDEX(Korelasi!$A$5:$A$11,MIN(MATCH(MIN(MAX(K44,30),120),Korelasi!$A$5:$A$11,1),6)))*(INDEX(Korelasi!$C$5:$C$11,MIN(MATCH(MIN(MAX(K44,30),120),Korelasi!$A$5:$A$11,1),6)+1)-INDEX(Korelasi!$C$5:$C$11,MIN(MATCH(MIN(MAX(K44,30),120),Korelasi!$A$5:$A$11,1),6)))))</f>
        <v/>
      </c>
      <c r="AF44" s="33">
        <f>IF(OR(F44="Sand",Y44=0),0,Input!$G$25*(D44/2)^2/(AE44*1E-4*31536000))</f>
        <v/>
      </c>
      <c r="AG44" s="13">
        <f>MAX(0,MIN(C44,Input!$G$15)-B44)</f>
        <v/>
      </c>
      <c r="AH44" s="13">
        <f>MAX(0,MIN(C44,Input!$G$15)-MAX(B44,$G$8))</f>
        <v/>
      </c>
      <c r="AI44" s="13">
        <f>MAX(0,MIN(C44,$G$106)-B44)</f>
        <v/>
      </c>
      <c r="AJ44" s="34" t="inlineStr">
        <is>
          <t>data salinan BH-01</t>
        </is>
      </c>
    </row>
    <row r="45">
      <c r="A45" s="20" t="n">
        <v>33</v>
      </c>
      <c r="B45" s="21" t="n">
        <v>48</v>
      </c>
      <c r="C45" s="21" t="n">
        <v>49.5</v>
      </c>
      <c r="D45" s="13">
        <f>C45-B45</f>
        <v/>
      </c>
      <c r="E45" s="13">
        <f>(B45+C45)/2</f>
        <v/>
      </c>
      <c r="F45" s="22" t="inlineStr">
        <is>
          <t>Clay</t>
        </is>
      </c>
      <c r="G45" s="23" t="n">
        <v>31</v>
      </c>
      <c r="H45" s="12">
        <f>IF(E45&gt;$G$5,$G$7,$G$6)</f>
        <v/>
      </c>
      <c r="I45" s="12">
        <f>I44+H45*D45</f>
        <v/>
      </c>
      <c r="J45" s="12">
        <f>I45-H45*D45/2-10*MAX(E45-$G$5,0)</f>
        <v/>
      </c>
      <c r="K45" s="24" t="n">
        <v>28.071</v>
      </c>
      <c r="L45" s="24" t="n">
        <v>18.832</v>
      </c>
      <c r="M45" s="12">
        <f>IF(K45="","",K45-L45)</f>
        <v/>
      </c>
      <c r="N45" s="25" t="n">
        <v>0.59</v>
      </c>
      <c r="O45" s="26">
        <f>IF(F45="Sand",0,Input!$G$19*G45)</f>
        <v/>
      </c>
      <c r="P45" s="12">
        <f>IF(F45="Sand",27.1+0.3*MIN(Input!$G$20*G45,60)-0.00054*MIN(Input!$G$20*G45,60)^2,MIN(MAX(DEGREES(ASIN(0.8-0.094*LN(MAX(IF(M45="",10,M45),5)))),20),30))</f>
        <v/>
      </c>
      <c r="Q45" s="27">
        <f>IF(F45="Sand",Input!$G$21*Input!$G$20*G45,Input!$G$22*O45)</f>
        <v/>
      </c>
      <c r="R45" s="13">
        <f>IF(F45="Sand",Input!$G$26,0.5)</f>
        <v/>
      </c>
      <c r="S45" s="13">
        <f>Input!$G$10/2/E45</f>
        <v/>
      </c>
      <c r="T45" s="13">
        <f>Input!$G$11/2/E45</f>
        <v/>
      </c>
      <c r="U45" s="28">
        <f>1/(4*PI())*(2*S45*T45*SQRT(S45^2+T45^2+1)/(S45^2+T45^2+1+S45^2*T45^2)*(S45^2+T45^2+2)/(S45^2+T45^2+1)+ATAN2(S45^2+T45^2+1-S45^2*T45^2,2*S45*T45*SQRT(S45^2+T45^2+1)))</f>
        <v/>
      </c>
      <c r="V45" s="12">
        <f>4*Input!$G$9*U45</f>
        <v/>
      </c>
      <c r="W45" s="29">
        <f>((Input!$G$11/Input!$G$10)*LN((1+SQRT((Input!$G$11/Input!$G$10)^2+1))*SQRT((Input!$G$11/Input!$G$10)^2+(C45/(Input!$G$10/2))^2)/((Input!$G$11/Input!$G$10)*(1+SQRT((Input!$G$11/Input!$G$10)^2+(C45/(Input!$G$10/2))^2+1))))+LN(((Input!$G$11/Input!$G$10)+SQRT((Input!$G$11/Input!$G$10)^2+1))*SQRT(1+(C45/(Input!$G$10/2))^2)/((Input!$G$11/Input!$G$10)+SQRT((Input!$G$11/Input!$G$10)^2+(C45/(Input!$G$10/2))^2+1))))/PI()</f>
        <v/>
      </c>
      <c r="X45" s="29">
        <f>(C45/(Input!$G$10/2))/(2*PI())*ATAN((Input!$G$11/Input!$G$10)/((C45/(Input!$G$10/2))*SQRT((Input!$G$11/Input!$G$10)^2+(C45/(Input!$G$10/2))^2+1)))</f>
        <v/>
      </c>
      <c r="Y45" s="13">
        <f>MAX(0,C45-MAX(B45,$G$8))/D45*IF(V45&gt;=Input!$G$27*J45,1,0)</f>
        <v/>
      </c>
      <c r="Z45" s="12">
        <f>4*Input!$G$9*(Input!$G$10/2)*(1-R45^2)/Q45*((W45-W44)+(1-2*R45)/(1-R45)*(X45-X44))*1000*Y45</f>
        <v/>
      </c>
      <c r="AA45" s="30">
        <f>IF(F45="Sand",0,0.009*(K45-10))</f>
        <v/>
      </c>
      <c r="AB45" s="30">
        <f>AA45*Input!$G$23</f>
        <v/>
      </c>
      <c r="AC45" s="26">
        <f>IF(F45="Sand",0,MAX(O45/Input!$G$24,J45))</f>
        <v/>
      </c>
      <c r="AD45" s="31">
        <f>IF(F45="Sand",0,1000*D45/(1+N45)*IF(J45+V45&lt;=AC45,AB45*LOG10((J45+V45)/J45),AB45*LOG10(AC45/J45)+AA45*LOG10((J45+V45)/AC45)))*Y45</f>
        <v/>
      </c>
      <c r="AE45" s="32">
        <f>IF(F45="Sand",0,10^(INDEX(Korelasi!$C$5:$C$11,MIN(MATCH(MIN(MAX(K45,30),120),Korelasi!$A$5:$A$11,1),6))+(MIN(MAX(K45,30),120)-INDEX(Korelasi!$A$5:$A$11,MIN(MATCH(MIN(MAX(K45,30),120),Korelasi!$A$5:$A$11,1),6)))/(INDEX(Korelasi!$A$5:$A$11,MIN(MATCH(MIN(MAX(K45,30),120),Korelasi!$A$5:$A$11,1),6)+1)-INDEX(Korelasi!$A$5:$A$11,MIN(MATCH(MIN(MAX(K45,30),120),Korelasi!$A$5:$A$11,1),6)))*(INDEX(Korelasi!$C$5:$C$11,MIN(MATCH(MIN(MAX(K45,30),120),Korelasi!$A$5:$A$11,1),6)+1)-INDEX(Korelasi!$C$5:$C$11,MIN(MATCH(MIN(MAX(K45,30),120),Korelasi!$A$5:$A$11,1),6)))))</f>
        <v/>
      </c>
      <c r="AF45" s="33">
        <f>IF(OR(F45="Sand",Y45=0),0,Input!$G$25*(D45/2)^2/(AE45*1E-4*31536000))</f>
        <v/>
      </c>
      <c r="AG45" s="13">
        <f>MAX(0,MIN(C45,Input!$G$15)-B45)</f>
        <v/>
      </c>
      <c r="AH45" s="13">
        <f>MAX(0,MIN(C45,Input!$G$15)-MAX(B45,$G$8))</f>
        <v/>
      </c>
      <c r="AI45" s="13">
        <f>MAX(0,MIN(C45,$G$106)-B45)</f>
        <v/>
      </c>
      <c r="AJ45" s="34" t="inlineStr">
        <is>
          <t>data salinan BH-01; LL/PL/e0 = rata-rata BH</t>
        </is>
      </c>
    </row>
    <row r="46">
      <c r="A46" s="20" t="n">
        <v>34</v>
      </c>
      <c r="B46" s="21" t="n">
        <v>49.5</v>
      </c>
      <c r="C46" s="21" t="n">
        <v>51</v>
      </c>
      <c r="D46" s="13">
        <f>C46-B46</f>
        <v/>
      </c>
      <c r="E46" s="13">
        <f>(B46+C46)/2</f>
        <v/>
      </c>
      <c r="F46" s="22" t="inlineStr">
        <is>
          <t>Sand</t>
        </is>
      </c>
      <c r="G46" s="23" t="n">
        <v>30</v>
      </c>
      <c r="H46" s="12">
        <f>IF(E46&gt;$G$5,$G$7,$G$6)</f>
        <v/>
      </c>
      <c r="I46" s="12">
        <f>I45+H46*D46</f>
        <v/>
      </c>
      <c r="J46" s="12">
        <f>I46-H46*D46/2-10*MAX(E46-$G$5,0)</f>
        <v/>
      </c>
      <c r="K46" s="24" t="n"/>
      <c r="L46" s="24" t="n"/>
      <c r="M46" s="12">
        <f>IF(K46="","",K46-L46)</f>
        <v/>
      </c>
      <c r="N46" s="25" t="n">
        <v>0.357</v>
      </c>
      <c r="O46" s="26">
        <f>IF(F46="Sand",0,Input!$G$19*G46)</f>
        <v/>
      </c>
      <c r="P46" s="12">
        <f>IF(F46="Sand",27.1+0.3*MIN(Input!$G$20*G46,60)-0.00054*MIN(Input!$G$20*G46,60)^2,MIN(MAX(DEGREES(ASIN(0.8-0.094*LN(MAX(IF(M46="",10,M46),5)))),20),30))</f>
        <v/>
      </c>
      <c r="Q46" s="27">
        <f>IF(F46="Sand",Input!$G$21*Input!$G$20*G46,Input!$G$22*O46)</f>
        <v/>
      </c>
      <c r="R46" s="13">
        <f>IF(F46="Sand",Input!$G$26,0.5)</f>
        <v/>
      </c>
      <c r="S46" s="13">
        <f>Input!$G$10/2/E46</f>
        <v/>
      </c>
      <c r="T46" s="13">
        <f>Input!$G$11/2/E46</f>
        <v/>
      </c>
      <c r="U46" s="28">
        <f>1/(4*PI())*(2*S46*T46*SQRT(S46^2+T46^2+1)/(S46^2+T46^2+1+S46^2*T46^2)*(S46^2+T46^2+2)/(S46^2+T46^2+1)+ATAN2(S46^2+T46^2+1-S46^2*T46^2,2*S46*T46*SQRT(S46^2+T46^2+1)))</f>
        <v/>
      </c>
      <c r="V46" s="12">
        <f>4*Input!$G$9*U46</f>
        <v/>
      </c>
      <c r="W46" s="29">
        <f>((Input!$G$11/Input!$G$10)*LN((1+SQRT((Input!$G$11/Input!$G$10)^2+1))*SQRT((Input!$G$11/Input!$G$10)^2+(C46/(Input!$G$10/2))^2)/((Input!$G$11/Input!$G$10)*(1+SQRT((Input!$G$11/Input!$G$10)^2+(C46/(Input!$G$10/2))^2+1))))+LN(((Input!$G$11/Input!$G$10)+SQRT((Input!$G$11/Input!$G$10)^2+1))*SQRT(1+(C46/(Input!$G$10/2))^2)/((Input!$G$11/Input!$G$10)+SQRT((Input!$G$11/Input!$G$10)^2+(C46/(Input!$G$10/2))^2+1))))/PI()</f>
        <v/>
      </c>
      <c r="X46" s="29">
        <f>(C46/(Input!$G$10/2))/(2*PI())*ATAN((Input!$G$11/Input!$G$10)/((C46/(Input!$G$10/2))*SQRT((Input!$G$11/Input!$G$10)^2+(C46/(Input!$G$10/2))^2+1)))</f>
        <v/>
      </c>
      <c r="Y46" s="13">
        <f>MAX(0,C46-MAX(B46,$G$8))/D46*IF(V46&gt;=Input!$G$27*J46,1,0)</f>
        <v/>
      </c>
      <c r="Z46" s="12">
        <f>4*Input!$G$9*(Input!$G$10/2)*(1-R46^2)/Q46*((W46-W45)+(1-2*R46)/(1-R46)*(X46-X45))*1000*Y46</f>
        <v/>
      </c>
      <c r="AA46" s="30">
        <f>IF(F46="Sand",0,0.009*(K46-10))</f>
        <v/>
      </c>
      <c r="AB46" s="30">
        <f>AA46*Input!$G$23</f>
        <v/>
      </c>
      <c r="AC46" s="26">
        <f>IF(F46="Sand",0,MAX(O46/Input!$G$24,J46))</f>
        <v/>
      </c>
      <c r="AD46" s="31">
        <f>IF(F46="Sand",0,1000*D46/(1+N46)*IF(J46+V46&lt;=AC46,AB46*LOG10((J46+V46)/J46),AB46*LOG10(AC46/J46)+AA46*LOG10((J46+V46)/AC46)))*Y46</f>
        <v/>
      </c>
      <c r="AE46" s="32">
        <f>IF(F46="Sand",0,10^(INDEX(Korelasi!$C$5:$C$11,MIN(MATCH(MIN(MAX(K46,30),120),Korelasi!$A$5:$A$11,1),6))+(MIN(MAX(K46,30),120)-INDEX(Korelasi!$A$5:$A$11,MIN(MATCH(MIN(MAX(K46,30),120),Korelasi!$A$5:$A$11,1),6)))/(INDEX(Korelasi!$A$5:$A$11,MIN(MATCH(MIN(MAX(K46,30),120),Korelasi!$A$5:$A$11,1),6)+1)-INDEX(Korelasi!$A$5:$A$11,MIN(MATCH(MIN(MAX(K46,30),120),Korelasi!$A$5:$A$11,1),6)))*(INDEX(Korelasi!$C$5:$C$11,MIN(MATCH(MIN(MAX(K46,30),120),Korelasi!$A$5:$A$11,1),6)+1)-INDEX(Korelasi!$C$5:$C$11,MIN(MATCH(MIN(MAX(K46,30),120),Korelasi!$A$5:$A$11,1),6)))))</f>
        <v/>
      </c>
      <c r="AF46" s="33">
        <f>IF(OR(F46="Sand",Y46=0),0,Input!$G$25*(D46/2)^2/(AE46*1E-4*31536000))</f>
        <v/>
      </c>
      <c r="AG46" s="13">
        <f>MAX(0,MIN(C46,Input!$G$15)-B46)</f>
        <v/>
      </c>
      <c r="AH46" s="13">
        <f>MAX(0,MIN(C46,Input!$G$15)-MAX(B46,$G$8))</f>
        <v/>
      </c>
      <c r="AI46" s="13">
        <f>MAX(0,MIN(C46,$G$106)-B46)</f>
        <v/>
      </c>
      <c r="AJ46" s="34" t="inlineStr">
        <is>
          <t>data salinan BH-01</t>
        </is>
      </c>
    </row>
    <row r="47">
      <c r="A47" s="20" t="n">
        <v>35</v>
      </c>
      <c r="B47" s="21" t="n">
        <v>51</v>
      </c>
      <c r="C47" s="21" t="n">
        <v>52.5</v>
      </c>
      <c r="D47" s="13">
        <f>C47-B47</f>
        <v/>
      </c>
      <c r="E47" s="13">
        <f>(B47+C47)/2</f>
        <v/>
      </c>
      <c r="F47" s="22" t="inlineStr">
        <is>
          <t>Sand</t>
        </is>
      </c>
      <c r="G47" s="23" t="n">
        <v>34</v>
      </c>
      <c r="H47" s="12">
        <f>IF(E47&gt;$G$5,$G$7,$G$6)</f>
        <v/>
      </c>
      <c r="I47" s="12">
        <f>I46+H47*D47</f>
        <v/>
      </c>
      <c r="J47" s="12">
        <f>I47-H47*D47/2-10*MAX(E47-$G$5,0)</f>
        <v/>
      </c>
      <c r="K47" s="24" t="n"/>
      <c r="L47" s="24" t="n"/>
      <c r="M47" s="12">
        <f>IF(K47="","",K47-L47)</f>
        <v/>
      </c>
      <c r="N47" s="25" t="n">
        <v>0.65</v>
      </c>
      <c r="O47" s="26">
        <f>IF(F47="Sand",0,Input!$G$19*G47)</f>
        <v/>
      </c>
      <c r="P47" s="12">
        <f>IF(F47="Sand",27.1+0.3*MIN(Input!$G$20*G47,60)-0.00054*MIN(Input!$G$20*G47,60)^2,MIN(MAX(DEGREES(ASIN(0.8-0.094*LN(MAX(IF(M47="",10,M47),5)))),20),30))</f>
        <v/>
      </c>
      <c r="Q47" s="27">
        <f>IF(F47="Sand",Input!$G$21*Input!$G$20*G47,Input!$G$22*O47)</f>
        <v/>
      </c>
      <c r="R47" s="13">
        <f>IF(F47="Sand",Input!$G$26,0.5)</f>
        <v/>
      </c>
      <c r="S47" s="13">
        <f>Input!$G$10/2/E47</f>
        <v/>
      </c>
      <c r="T47" s="13">
        <f>Input!$G$11/2/E47</f>
        <v/>
      </c>
      <c r="U47" s="28">
        <f>1/(4*PI())*(2*S47*T47*SQRT(S47^2+T47^2+1)/(S47^2+T47^2+1+S47^2*T47^2)*(S47^2+T47^2+2)/(S47^2+T47^2+1)+ATAN2(S47^2+T47^2+1-S47^2*T47^2,2*S47*T47*SQRT(S47^2+T47^2+1)))</f>
        <v/>
      </c>
      <c r="V47" s="12">
        <f>4*Input!$G$9*U47</f>
        <v/>
      </c>
      <c r="W47" s="29">
        <f>((Input!$G$11/Input!$G$10)*LN((1+SQRT((Input!$G$11/Input!$G$10)^2+1))*SQRT((Input!$G$11/Input!$G$10)^2+(C47/(Input!$G$10/2))^2)/((Input!$G$11/Input!$G$10)*(1+SQRT((Input!$G$11/Input!$G$10)^2+(C47/(Input!$G$10/2))^2+1))))+LN(((Input!$G$11/Input!$G$10)+SQRT((Input!$G$11/Input!$G$10)^2+1))*SQRT(1+(C47/(Input!$G$10/2))^2)/((Input!$G$11/Input!$G$10)+SQRT((Input!$G$11/Input!$G$10)^2+(C47/(Input!$G$10/2))^2+1))))/PI()</f>
        <v/>
      </c>
      <c r="X47" s="29">
        <f>(C47/(Input!$G$10/2))/(2*PI())*ATAN((Input!$G$11/Input!$G$10)/((C47/(Input!$G$10/2))*SQRT((Input!$G$11/Input!$G$10)^2+(C47/(Input!$G$10/2))^2+1)))</f>
        <v/>
      </c>
      <c r="Y47" s="13">
        <f>MAX(0,C47-MAX(B47,$G$8))/D47*IF(V47&gt;=Input!$G$27*J47,1,0)</f>
        <v/>
      </c>
      <c r="Z47" s="12">
        <f>4*Input!$G$9*(Input!$G$10/2)*(1-R47^2)/Q47*((W47-W46)+(1-2*R47)/(1-R47)*(X47-X46))*1000*Y47</f>
        <v/>
      </c>
      <c r="AA47" s="30">
        <f>IF(F47="Sand",0,0.009*(K47-10))</f>
        <v/>
      </c>
      <c r="AB47" s="30">
        <f>AA47*Input!$G$23</f>
        <v/>
      </c>
      <c r="AC47" s="26">
        <f>IF(F47="Sand",0,MAX(O47/Input!$G$24,J47))</f>
        <v/>
      </c>
      <c r="AD47" s="31">
        <f>IF(F47="Sand",0,1000*D47/(1+N47)*IF(J47+V47&lt;=AC47,AB47*LOG10((J47+V47)/J47),AB47*LOG10(AC47/J47)+AA47*LOG10((J47+V47)/AC47)))*Y47</f>
        <v/>
      </c>
      <c r="AE47" s="32">
        <f>IF(F47="Sand",0,10^(INDEX(Korelasi!$C$5:$C$11,MIN(MATCH(MIN(MAX(K47,30),120),Korelasi!$A$5:$A$11,1),6))+(MIN(MAX(K47,30),120)-INDEX(Korelasi!$A$5:$A$11,MIN(MATCH(MIN(MAX(K47,30),120),Korelasi!$A$5:$A$11,1),6)))/(INDEX(Korelasi!$A$5:$A$11,MIN(MATCH(MIN(MAX(K47,30),120),Korelasi!$A$5:$A$11,1),6)+1)-INDEX(Korelasi!$A$5:$A$11,MIN(MATCH(MIN(MAX(K47,30),120),Korelasi!$A$5:$A$11,1),6)))*(INDEX(Korelasi!$C$5:$C$11,MIN(MATCH(MIN(MAX(K47,30),120),Korelasi!$A$5:$A$11,1),6)+1)-INDEX(Korelasi!$C$5:$C$11,MIN(MATCH(MIN(MAX(K47,30),120),Korelasi!$A$5:$A$11,1),6)))))</f>
        <v/>
      </c>
      <c r="AF47" s="33">
        <f>IF(OR(F47="Sand",Y47=0),0,Input!$G$25*(D47/2)^2/(AE47*1E-4*31536000))</f>
        <v/>
      </c>
      <c r="AG47" s="13">
        <f>MAX(0,MIN(C47,Input!$G$15)-B47)</f>
        <v/>
      </c>
      <c r="AH47" s="13">
        <f>MAX(0,MIN(C47,Input!$G$15)-MAX(B47,$G$8))</f>
        <v/>
      </c>
      <c r="AI47" s="13">
        <f>MAX(0,MIN(C47,$G$106)-B47)</f>
        <v/>
      </c>
      <c r="AJ47" s="34" t="inlineStr">
        <is>
          <t>data salinan BH-01</t>
        </is>
      </c>
    </row>
    <row r="48">
      <c r="A48" s="20" t="n">
        <v>36</v>
      </c>
      <c r="B48" s="21" t="n">
        <v>52.5</v>
      </c>
      <c r="C48" s="21" t="n">
        <v>54</v>
      </c>
      <c r="D48" s="13">
        <f>C48-B48</f>
        <v/>
      </c>
      <c r="E48" s="13">
        <f>(B48+C48)/2</f>
        <v/>
      </c>
      <c r="F48" s="22" t="inlineStr">
        <is>
          <t>Clay</t>
        </is>
      </c>
      <c r="G48" s="23" t="n">
        <v>31</v>
      </c>
      <c r="H48" s="12">
        <f>IF(E48&gt;$G$5,$G$7,$G$6)</f>
        <v/>
      </c>
      <c r="I48" s="12">
        <f>I47+H48*D48</f>
        <v/>
      </c>
      <c r="J48" s="12">
        <f>I48-H48*D48/2-10*MAX(E48-$G$5,0)</f>
        <v/>
      </c>
      <c r="K48" s="24" t="n">
        <v>28.071</v>
      </c>
      <c r="L48" s="24" t="n">
        <v>18.832</v>
      </c>
      <c r="M48" s="12">
        <f>IF(K48="","",K48-L48)</f>
        <v/>
      </c>
      <c r="N48" s="25" t="n">
        <v>0.59</v>
      </c>
      <c r="O48" s="26">
        <f>IF(F48="Sand",0,Input!$G$19*G48)</f>
        <v/>
      </c>
      <c r="P48" s="12">
        <f>IF(F48="Sand",27.1+0.3*MIN(Input!$G$20*G48,60)-0.00054*MIN(Input!$G$20*G48,60)^2,MIN(MAX(DEGREES(ASIN(0.8-0.094*LN(MAX(IF(M48="",10,M48),5)))),20),30))</f>
        <v/>
      </c>
      <c r="Q48" s="27">
        <f>IF(F48="Sand",Input!$G$21*Input!$G$20*G48,Input!$G$22*O48)</f>
        <v/>
      </c>
      <c r="R48" s="13">
        <f>IF(F48="Sand",Input!$G$26,0.5)</f>
        <v/>
      </c>
      <c r="S48" s="13">
        <f>Input!$G$10/2/E48</f>
        <v/>
      </c>
      <c r="T48" s="13">
        <f>Input!$G$11/2/E48</f>
        <v/>
      </c>
      <c r="U48" s="28">
        <f>1/(4*PI())*(2*S48*T48*SQRT(S48^2+T48^2+1)/(S48^2+T48^2+1+S48^2*T48^2)*(S48^2+T48^2+2)/(S48^2+T48^2+1)+ATAN2(S48^2+T48^2+1-S48^2*T48^2,2*S48*T48*SQRT(S48^2+T48^2+1)))</f>
        <v/>
      </c>
      <c r="V48" s="12">
        <f>4*Input!$G$9*U48</f>
        <v/>
      </c>
      <c r="W48" s="29">
        <f>((Input!$G$11/Input!$G$10)*LN((1+SQRT((Input!$G$11/Input!$G$10)^2+1))*SQRT((Input!$G$11/Input!$G$10)^2+(C48/(Input!$G$10/2))^2)/((Input!$G$11/Input!$G$10)*(1+SQRT((Input!$G$11/Input!$G$10)^2+(C48/(Input!$G$10/2))^2+1))))+LN(((Input!$G$11/Input!$G$10)+SQRT((Input!$G$11/Input!$G$10)^2+1))*SQRT(1+(C48/(Input!$G$10/2))^2)/((Input!$G$11/Input!$G$10)+SQRT((Input!$G$11/Input!$G$10)^2+(C48/(Input!$G$10/2))^2+1))))/PI()</f>
        <v/>
      </c>
      <c r="X48" s="29">
        <f>(C48/(Input!$G$10/2))/(2*PI())*ATAN((Input!$G$11/Input!$G$10)/((C48/(Input!$G$10/2))*SQRT((Input!$G$11/Input!$G$10)^2+(C48/(Input!$G$10/2))^2+1)))</f>
        <v/>
      </c>
      <c r="Y48" s="13">
        <f>MAX(0,C48-MAX(B48,$G$8))/D48*IF(V48&gt;=Input!$G$27*J48,1,0)</f>
        <v/>
      </c>
      <c r="Z48" s="12">
        <f>4*Input!$G$9*(Input!$G$10/2)*(1-R48^2)/Q48*((W48-W47)+(1-2*R48)/(1-R48)*(X48-X47))*1000*Y48</f>
        <v/>
      </c>
      <c r="AA48" s="30">
        <f>IF(F48="Sand",0,0.009*(K48-10))</f>
        <v/>
      </c>
      <c r="AB48" s="30">
        <f>AA48*Input!$G$23</f>
        <v/>
      </c>
      <c r="AC48" s="26">
        <f>IF(F48="Sand",0,MAX(O48/Input!$G$24,J48))</f>
        <v/>
      </c>
      <c r="AD48" s="31">
        <f>IF(F48="Sand",0,1000*D48/(1+N48)*IF(J48+V48&lt;=AC48,AB48*LOG10((J48+V48)/J48),AB48*LOG10(AC48/J48)+AA48*LOG10((J48+V48)/AC48)))*Y48</f>
        <v/>
      </c>
      <c r="AE48" s="32">
        <f>IF(F48="Sand",0,10^(INDEX(Korelasi!$C$5:$C$11,MIN(MATCH(MIN(MAX(K48,30),120),Korelasi!$A$5:$A$11,1),6))+(MIN(MAX(K48,30),120)-INDEX(Korelasi!$A$5:$A$11,MIN(MATCH(MIN(MAX(K48,30),120),Korelasi!$A$5:$A$11,1),6)))/(INDEX(Korelasi!$A$5:$A$11,MIN(MATCH(MIN(MAX(K48,30),120),Korelasi!$A$5:$A$11,1),6)+1)-INDEX(Korelasi!$A$5:$A$11,MIN(MATCH(MIN(MAX(K48,30),120),Korelasi!$A$5:$A$11,1),6)))*(INDEX(Korelasi!$C$5:$C$11,MIN(MATCH(MIN(MAX(K48,30),120),Korelasi!$A$5:$A$11,1),6)+1)-INDEX(Korelasi!$C$5:$C$11,MIN(MATCH(MIN(MAX(K48,30),120),Korelasi!$A$5:$A$11,1),6)))))</f>
        <v/>
      </c>
      <c r="AF48" s="33">
        <f>IF(OR(F48="Sand",Y48=0),0,Input!$G$25*(D48/2)^2/(AE48*1E-4*31536000))</f>
        <v/>
      </c>
      <c r="AG48" s="13">
        <f>MAX(0,MIN(C48,Input!$G$15)-B48)</f>
        <v/>
      </c>
      <c r="AH48" s="13">
        <f>MAX(0,MIN(C48,Input!$G$15)-MAX(B48,$G$8))</f>
        <v/>
      </c>
      <c r="AI48" s="13">
        <f>MAX(0,MIN(C48,$G$106)-B48)</f>
        <v/>
      </c>
      <c r="AJ48" s="34" t="inlineStr">
        <is>
          <t>data salinan BH-01; LL/PL/e0 = rata-rata BH</t>
        </is>
      </c>
    </row>
    <row r="49">
      <c r="A49" s="20" t="n">
        <v>37</v>
      </c>
      <c r="B49" s="21" t="n">
        <v>54</v>
      </c>
      <c r="C49" s="21" t="n">
        <v>55.5</v>
      </c>
      <c r="D49" s="13">
        <f>C49-B49</f>
        <v/>
      </c>
      <c r="E49" s="13">
        <f>(B49+C49)/2</f>
        <v/>
      </c>
      <c r="F49" s="22" t="inlineStr">
        <is>
          <t>Sand</t>
        </is>
      </c>
      <c r="G49" s="23" t="n">
        <v>29</v>
      </c>
      <c r="H49" s="12">
        <f>IF(E49&gt;$G$5,$G$7,$G$6)</f>
        <v/>
      </c>
      <c r="I49" s="12">
        <f>I48+H49*D49</f>
        <v/>
      </c>
      <c r="J49" s="12">
        <f>I49-H49*D49/2-10*MAX(E49-$G$5,0)</f>
        <v/>
      </c>
      <c r="K49" s="24" t="n"/>
      <c r="L49" s="24" t="n"/>
      <c r="M49" s="12">
        <f>IF(K49="","",K49-L49)</f>
        <v/>
      </c>
      <c r="N49" s="25" t="n">
        <v>0.65</v>
      </c>
      <c r="O49" s="26">
        <f>IF(F49="Sand",0,Input!$G$19*G49)</f>
        <v/>
      </c>
      <c r="P49" s="12">
        <f>IF(F49="Sand",27.1+0.3*MIN(Input!$G$20*G49,60)-0.00054*MIN(Input!$G$20*G49,60)^2,MIN(MAX(DEGREES(ASIN(0.8-0.094*LN(MAX(IF(M49="",10,M49),5)))),20),30))</f>
        <v/>
      </c>
      <c r="Q49" s="27">
        <f>IF(F49="Sand",Input!$G$21*Input!$G$20*G49,Input!$G$22*O49)</f>
        <v/>
      </c>
      <c r="R49" s="13">
        <f>IF(F49="Sand",Input!$G$26,0.5)</f>
        <v/>
      </c>
      <c r="S49" s="13">
        <f>Input!$G$10/2/E49</f>
        <v/>
      </c>
      <c r="T49" s="13">
        <f>Input!$G$11/2/E49</f>
        <v/>
      </c>
      <c r="U49" s="28">
        <f>1/(4*PI())*(2*S49*T49*SQRT(S49^2+T49^2+1)/(S49^2+T49^2+1+S49^2*T49^2)*(S49^2+T49^2+2)/(S49^2+T49^2+1)+ATAN2(S49^2+T49^2+1-S49^2*T49^2,2*S49*T49*SQRT(S49^2+T49^2+1)))</f>
        <v/>
      </c>
      <c r="V49" s="12">
        <f>4*Input!$G$9*U49</f>
        <v/>
      </c>
      <c r="W49" s="29">
        <f>((Input!$G$11/Input!$G$10)*LN((1+SQRT((Input!$G$11/Input!$G$10)^2+1))*SQRT((Input!$G$11/Input!$G$10)^2+(C49/(Input!$G$10/2))^2)/((Input!$G$11/Input!$G$10)*(1+SQRT((Input!$G$11/Input!$G$10)^2+(C49/(Input!$G$10/2))^2+1))))+LN(((Input!$G$11/Input!$G$10)+SQRT((Input!$G$11/Input!$G$10)^2+1))*SQRT(1+(C49/(Input!$G$10/2))^2)/((Input!$G$11/Input!$G$10)+SQRT((Input!$G$11/Input!$G$10)^2+(C49/(Input!$G$10/2))^2+1))))/PI()</f>
        <v/>
      </c>
      <c r="X49" s="29">
        <f>(C49/(Input!$G$10/2))/(2*PI())*ATAN((Input!$G$11/Input!$G$10)/((C49/(Input!$G$10/2))*SQRT((Input!$G$11/Input!$G$10)^2+(C49/(Input!$G$10/2))^2+1)))</f>
        <v/>
      </c>
      <c r="Y49" s="13">
        <f>MAX(0,C49-MAX(B49,$G$8))/D49*IF(V49&gt;=Input!$G$27*J49,1,0)</f>
        <v/>
      </c>
      <c r="Z49" s="12">
        <f>4*Input!$G$9*(Input!$G$10/2)*(1-R49^2)/Q49*((W49-W48)+(1-2*R49)/(1-R49)*(X49-X48))*1000*Y49</f>
        <v/>
      </c>
      <c r="AA49" s="30">
        <f>IF(F49="Sand",0,0.009*(K49-10))</f>
        <v/>
      </c>
      <c r="AB49" s="30">
        <f>AA49*Input!$G$23</f>
        <v/>
      </c>
      <c r="AC49" s="26">
        <f>IF(F49="Sand",0,MAX(O49/Input!$G$24,J49))</f>
        <v/>
      </c>
      <c r="AD49" s="31">
        <f>IF(F49="Sand",0,1000*D49/(1+N49)*IF(J49+V49&lt;=AC49,AB49*LOG10((J49+V49)/J49),AB49*LOG10(AC49/J49)+AA49*LOG10((J49+V49)/AC49)))*Y49</f>
        <v/>
      </c>
      <c r="AE49" s="32">
        <f>IF(F49="Sand",0,10^(INDEX(Korelasi!$C$5:$C$11,MIN(MATCH(MIN(MAX(K49,30),120),Korelasi!$A$5:$A$11,1),6))+(MIN(MAX(K49,30),120)-INDEX(Korelasi!$A$5:$A$11,MIN(MATCH(MIN(MAX(K49,30),120),Korelasi!$A$5:$A$11,1),6)))/(INDEX(Korelasi!$A$5:$A$11,MIN(MATCH(MIN(MAX(K49,30),120),Korelasi!$A$5:$A$11,1),6)+1)-INDEX(Korelasi!$A$5:$A$11,MIN(MATCH(MIN(MAX(K49,30),120),Korelasi!$A$5:$A$11,1),6)))*(INDEX(Korelasi!$C$5:$C$11,MIN(MATCH(MIN(MAX(K49,30),120),Korelasi!$A$5:$A$11,1),6)+1)-INDEX(Korelasi!$C$5:$C$11,MIN(MATCH(MIN(MAX(K49,30),120),Korelasi!$A$5:$A$11,1),6)))))</f>
        <v/>
      </c>
      <c r="AF49" s="33">
        <f>IF(OR(F49="Sand",Y49=0),0,Input!$G$25*(D49/2)^2/(AE49*1E-4*31536000))</f>
        <v/>
      </c>
      <c r="AG49" s="13">
        <f>MAX(0,MIN(C49,Input!$G$15)-B49)</f>
        <v/>
      </c>
      <c r="AH49" s="13">
        <f>MAX(0,MIN(C49,Input!$G$15)-MAX(B49,$G$8))</f>
        <v/>
      </c>
      <c r="AI49" s="13">
        <f>MAX(0,MIN(C49,$G$106)-B49)</f>
        <v/>
      </c>
      <c r="AJ49" s="34" t="inlineStr">
        <is>
          <t>data salinan BH-01</t>
        </is>
      </c>
    </row>
    <row r="50">
      <c r="A50" s="20" t="n">
        <v>38</v>
      </c>
      <c r="B50" s="21" t="n">
        <v>55.5</v>
      </c>
      <c r="C50" s="21" t="n">
        <v>57</v>
      </c>
      <c r="D50" s="13">
        <f>C50-B50</f>
        <v/>
      </c>
      <c r="E50" s="13">
        <f>(B50+C50)/2</f>
        <v/>
      </c>
      <c r="F50" s="22" t="inlineStr">
        <is>
          <t>Sand</t>
        </is>
      </c>
      <c r="G50" s="23" t="n">
        <v>25</v>
      </c>
      <c r="H50" s="12">
        <f>IF(E50&gt;$G$5,$G$7,$G$6)</f>
        <v/>
      </c>
      <c r="I50" s="12">
        <f>I49+H50*D50</f>
        <v/>
      </c>
      <c r="J50" s="12">
        <f>I50-H50*D50/2-10*MAX(E50-$G$5,0)</f>
        <v/>
      </c>
      <c r="K50" s="24" t="n"/>
      <c r="L50" s="24" t="n"/>
      <c r="M50" s="12">
        <f>IF(K50="","",K50-L50)</f>
        <v/>
      </c>
      <c r="N50" s="25" t="n">
        <v>0.65</v>
      </c>
      <c r="O50" s="26">
        <f>IF(F50="Sand",0,Input!$G$19*G50)</f>
        <v/>
      </c>
      <c r="P50" s="12">
        <f>IF(F50="Sand",27.1+0.3*MIN(Input!$G$20*G50,60)-0.00054*MIN(Input!$G$20*G50,60)^2,MIN(MAX(DEGREES(ASIN(0.8-0.094*LN(MAX(IF(M50="",10,M50),5)))),20),30))</f>
        <v/>
      </c>
      <c r="Q50" s="27">
        <f>IF(F50="Sand",Input!$G$21*Input!$G$20*G50,Input!$G$22*O50)</f>
        <v/>
      </c>
      <c r="R50" s="13">
        <f>IF(F50="Sand",Input!$G$26,0.5)</f>
        <v/>
      </c>
      <c r="S50" s="13">
        <f>Input!$G$10/2/E50</f>
        <v/>
      </c>
      <c r="T50" s="13">
        <f>Input!$G$11/2/E50</f>
        <v/>
      </c>
      <c r="U50" s="28">
        <f>1/(4*PI())*(2*S50*T50*SQRT(S50^2+T50^2+1)/(S50^2+T50^2+1+S50^2*T50^2)*(S50^2+T50^2+2)/(S50^2+T50^2+1)+ATAN2(S50^2+T50^2+1-S50^2*T50^2,2*S50*T50*SQRT(S50^2+T50^2+1)))</f>
        <v/>
      </c>
      <c r="V50" s="12">
        <f>4*Input!$G$9*U50</f>
        <v/>
      </c>
      <c r="W50" s="29">
        <f>((Input!$G$11/Input!$G$10)*LN((1+SQRT((Input!$G$11/Input!$G$10)^2+1))*SQRT((Input!$G$11/Input!$G$10)^2+(C50/(Input!$G$10/2))^2)/((Input!$G$11/Input!$G$10)*(1+SQRT((Input!$G$11/Input!$G$10)^2+(C50/(Input!$G$10/2))^2+1))))+LN(((Input!$G$11/Input!$G$10)+SQRT((Input!$G$11/Input!$G$10)^2+1))*SQRT(1+(C50/(Input!$G$10/2))^2)/((Input!$G$11/Input!$G$10)+SQRT((Input!$G$11/Input!$G$10)^2+(C50/(Input!$G$10/2))^2+1))))/PI()</f>
        <v/>
      </c>
      <c r="X50" s="29">
        <f>(C50/(Input!$G$10/2))/(2*PI())*ATAN((Input!$G$11/Input!$G$10)/((C50/(Input!$G$10/2))*SQRT((Input!$G$11/Input!$G$10)^2+(C50/(Input!$G$10/2))^2+1)))</f>
        <v/>
      </c>
      <c r="Y50" s="13">
        <f>MAX(0,C50-MAX(B50,$G$8))/D50*IF(V50&gt;=Input!$G$27*J50,1,0)</f>
        <v/>
      </c>
      <c r="Z50" s="12">
        <f>4*Input!$G$9*(Input!$G$10/2)*(1-R50^2)/Q50*((W50-W49)+(1-2*R50)/(1-R50)*(X50-X49))*1000*Y50</f>
        <v/>
      </c>
      <c r="AA50" s="30">
        <f>IF(F50="Sand",0,0.009*(K50-10))</f>
        <v/>
      </c>
      <c r="AB50" s="30">
        <f>AA50*Input!$G$23</f>
        <v/>
      </c>
      <c r="AC50" s="26">
        <f>IF(F50="Sand",0,MAX(O50/Input!$G$24,J50))</f>
        <v/>
      </c>
      <c r="AD50" s="31">
        <f>IF(F50="Sand",0,1000*D50/(1+N50)*IF(J50+V50&lt;=AC50,AB50*LOG10((J50+V50)/J50),AB50*LOG10(AC50/J50)+AA50*LOG10((J50+V50)/AC50)))*Y50</f>
        <v/>
      </c>
      <c r="AE50" s="32">
        <f>IF(F50="Sand",0,10^(INDEX(Korelasi!$C$5:$C$11,MIN(MATCH(MIN(MAX(K50,30),120),Korelasi!$A$5:$A$11,1),6))+(MIN(MAX(K50,30),120)-INDEX(Korelasi!$A$5:$A$11,MIN(MATCH(MIN(MAX(K50,30),120),Korelasi!$A$5:$A$11,1),6)))/(INDEX(Korelasi!$A$5:$A$11,MIN(MATCH(MIN(MAX(K50,30),120),Korelasi!$A$5:$A$11,1),6)+1)-INDEX(Korelasi!$A$5:$A$11,MIN(MATCH(MIN(MAX(K50,30),120),Korelasi!$A$5:$A$11,1),6)))*(INDEX(Korelasi!$C$5:$C$11,MIN(MATCH(MIN(MAX(K50,30),120),Korelasi!$A$5:$A$11,1),6)+1)-INDEX(Korelasi!$C$5:$C$11,MIN(MATCH(MIN(MAX(K50,30),120),Korelasi!$A$5:$A$11,1),6)))))</f>
        <v/>
      </c>
      <c r="AF50" s="33">
        <f>IF(OR(F50="Sand",Y50=0),0,Input!$G$25*(D50/2)^2/(AE50*1E-4*31536000))</f>
        <v/>
      </c>
      <c r="AG50" s="13">
        <f>MAX(0,MIN(C50,Input!$G$15)-B50)</f>
        <v/>
      </c>
      <c r="AH50" s="13">
        <f>MAX(0,MIN(C50,Input!$G$15)-MAX(B50,$G$8))</f>
        <v/>
      </c>
      <c r="AI50" s="13">
        <f>MAX(0,MIN(C50,$G$106)-B50)</f>
        <v/>
      </c>
      <c r="AJ50" s="34" t="inlineStr">
        <is>
          <t>data salinan BH-01</t>
        </is>
      </c>
    </row>
    <row r="51">
      <c r="A51" s="20" t="n">
        <v>39</v>
      </c>
      <c r="B51" s="21" t="n">
        <v>57</v>
      </c>
      <c r="C51" s="21" t="n">
        <v>58.5</v>
      </c>
      <c r="D51" s="13">
        <f>C51-B51</f>
        <v/>
      </c>
      <c r="E51" s="13">
        <f>(B51+C51)/2</f>
        <v/>
      </c>
      <c r="F51" s="22" t="inlineStr">
        <is>
          <t>Sand</t>
        </is>
      </c>
      <c r="G51" s="23" t="n">
        <v>35</v>
      </c>
      <c r="H51" s="12">
        <f>IF(E51&gt;$G$5,$G$7,$G$6)</f>
        <v/>
      </c>
      <c r="I51" s="12">
        <f>I50+H51*D51</f>
        <v/>
      </c>
      <c r="J51" s="12">
        <f>I51-H51*D51/2-10*MAX(E51-$G$5,0)</f>
        <v/>
      </c>
      <c r="K51" s="24" t="n"/>
      <c r="L51" s="24" t="n"/>
      <c r="M51" s="12">
        <f>IF(K51="","",K51-L51)</f>
        <v/>
      </c>
      <c r="N51" s="25" t="n">
        <v>0.65</v>
      </c>
      <c r="O51" s="26">
        <f>IF(F51="Sand",0,Input!$G$19*G51)</f>
        <v/>
      </c>
      <c r="P51" s="12">
        <f>IF(F51="Sand",27.1+0.3*MIN(Input!$G$20*G51,60)-0.00054*MIN(Input!$G$20*G51,60)^2,MIN(MAX(DEGREES(ASIN(0.8-0.094*LN(MAX(IF(M51="",10,M51),5)))),20),30))</f>
        <v/>
      </c>
      <c r="Q51" s="27">
        <f>IF(F51="Sand",Input!$G$21*Input!$G$20*G51,Input!$G$22*O51)</f>
        <v/>
      </c>
      <c r="R51" s="13">
        <f>IF(F51="Sand",Input!$G$26,0.5)</f>
        <v/>
      </c>
      <c r="S51" s="13">
        <f>Input!$G$10/2/E51</f>
        <v/>
      </c>
      <c r="T51" s="13">
        <f>Input!$G$11/2/E51</f>
        <v/>
      </c>
      <c r="U51" s="28">
        <f>1/(4*PI())*(2*S51*T51*SQRT(S51^2+T51^2+1)/(S51^2+T51^2+1+S51^2*T51^2)*(S51^2+T51^2+2)/(S51^2+T51^2+1)+ATAN2(S51^2+T51^2+1-S51^2*T51^2,2*S51*T51*SQRT(S51^2+T51^2+1)))</f>
        <v/>
      </c>
      <c r="V51" s="12">
        <f>4*Input!$G$9*U51</f>
        <v/>
      </c>
      <c r="W51" s="29">
        <f>((Input!$G$11/Input!$G$10)*LN((1+SQRT((Input!$G$11/Input!$G$10)^2+1))*SQRT((Input!$G$11/Input!$G$10)^2+(C51/(Input!$G$10/2))^2)/((Input!$G$11/Input!$G$10)*(1+SQRT((Input!$G$11/Input!$G$10)^2+(C51/(Input!$G$10/2))^2+1))))+LN(((Input!$G$11/Input!$G$10)+SQRT((Input!$G$11/Input!$G$10)^2+1))*SQRT(1+(C51/(Input!$G$10/2))^2)/((Input!$G$11/Input!$G$10)+SQRT((Input!$G$11/Input!$G$10)^2+(C51/(Input!$G$10/2))^2+1))))/PI()</f>
        <v/>
      </c>
      <c r="X51" s="29">
        <f>(C51/(Input!$G$10/2))/(2*PI())*ATAN((Input!$G$11/Input!$G$10)/((C51/(Input!$G$10/2))*SQRT((Input!$G$11/Input!$G$10)^2+(C51/(Input!$G$10/2))^2+1)))</f>
        <v/>
      </c>
      <c r="Y51" s="13">
        <f>MAX(0,C51-MAX(B51,$G$8))/D51*IF(V51&gt;=Input!$G$27*J51,1,0)</f>
        <v/>
      </c>
      <c r="Z51" s="12">
        <f>4*Input!$G$9*(Input!$G$10/2)*(1-R51^2)/Q51*((W51-W50)+(1-2*R51)/(1-R51)*(X51-X50))*1000*Y51</f>
        <v/>
      </c>
      <c r="AA51" s="30">
        <f>IF(F51="Sand",0,0.009*(K51-10))</f>
        <v/>
      </c>
      <c r="AB51" s="30">
        <f>AA51*Input!$G$23</f>
        <v/>
      </c>
      <c r="AC51" s="26">
        <f>IF(F51="Sand",0,MAX(O51/Input!$G$24,J51))</f>
        <v/>
      </c>
      <c r="AD51" s="31">
        <f>IF(F51="Sand",0,1000*D51/(1+N51)*IF(J51+V51&lt;=AC51,AB51*LOG10((J51+V51)/J51),AB51*LOG10(AC51/J51)+AA51*LOG10((J51+V51)/AC51)))*Y51</f>
        <v/>
      </c>
      <c r="AE51" s="32">
        <f>IF(F51="Sand",0,10^(INDEX(Korelasi!$C$5:$C$11,MIN(MATCH(MIN(MAX(K51,30),120),Korelasi!$A$5:$A$11,1),6))+(MIN(MAX(K51,30),120)-INDEX(Korelasi!$A$5:$A$11,MIN(MATCH(MIN(MAX(K51,30),120),Korelasi!$A$5:$A$11,1),6)))/(INDEX(Korelasi!$A$5:$A$11,MIN(MATCH(MIN(MAX(K51,30),120),Korelasi!$A$5:$A$11,1),6)+1)-INDEX(Korelasi!$A$5:$A$11,MIN(MATCH(MIN(MAX(K51,30),120),Korelasi!$A$5:$A$11,1),6)))*(INDEX(Korelasi!$C$5:$C$11,MIN(MATCH(MIN(MAX(K51,30),120),Korelasi!$A$5:$A$11,1),6)+1)-INDEX(Korelasi!$C$5:$C$11,MIN(MATCH(MIN(MAX(K51,30),120),Korelasi!$A$5:$A$11,1),6)))))</f>
        <v/>
      </c>
      <c r="AF51" s="33">
        <f>IF(OR(F51="Sand",Y51=0),0,Input!$G$25*(D51/2)^2/(AE51*1E-4*31536000))</f>
        <v/>
      </c>
      <c r="AG51" s="13">
        <f>MAX(0,MIN(C51,Input!$G$15)-B51)</f>
        <v/>
      </c>
      <c r="AH51" s="13">
        <f>MAX(0,MIN(C51,Input!$G$15)-MAX(B51,$G$8))</f>
        <v/>
      </c>
      <c r="AI51" s="13">
        <f>MAX(0,MIN(C51,$G$106)-B51)</f>
        <v/>
      </c>
      <c r="AJ51" s="34" t="inlineStr">
        <is>
          <t>data salinan BH-01</t>
        </is>
      </c>
    </row>
    <row r="52">
      <c r="A52" s="20" t="n">
        <v>40</v>
      </c>
      <c r="B52" s="21" t="n">
        <v>58.5</v>
      </c>
      <c r="C52" s="21" t="n">
        <v>59.5</v>
      </c>
      <c r="D52" s="13">
        <f>C52-B52</f>
        <v/>
      </c>
      <c r="E52" s="13">
        <f>(B52+C52)/2</f>
        <v/>
      </c>
      <c r="F52" s="22" t="inlineStr">
        <is>
          <t>Sand</t>
        </is>
      </c>
      <c r="G52" s="23" t="n">
        <v>42</v>
      </c>
      <c r="H52" s="12">
        <f>IF(E52&gt;$G$5,$G$7,$G$6)</f>
        <v/>
      </c>
      <c r="I52" s="12">
        <f>I51+H52*D52</f>
        <v/>
      </c>
      <c r="J52" s="12">
        <f>I52-H52*D52/2-10*MAX(E52-$G$5,0)</f>
        <v/>
      </c>
      <c r="K52" s="24" t="n"/>
      <c r="L52" s="24" t="n"/>
      <c r="M52" s="12">
        <f>IF(K52="","",K52-L52)</f>
        <v/>
      </c>
      <c r="N52" s="25" t="n">
        <v>0.65</v>
      </c>
      <c r="O52" s="26">
        <f>IF(F52="Sand",0,Input!$G$19*G52)</f>
        <v/>
      </c>
      <c r="P52" s="12">
        <f>IF(F52="Sand",27.1+0.3*MIN(Input!$G$20*G52,60)-0.00054*MIN(Input!$G$20*G52,60)^2,MIN(MAX(DEGREES(ASIN(0.8-0.094*LN(MAX(IF(M52="",10,M52),5)))),20),30))</f>
        <v/>
      </c>
      <c r="Q52" s="27">
        <f>IF(F52="Sand",Input!$G$21*Input!$G$20*G52,Input!$G$22*O52)</f>
        <v/>
      </c>
      <c r="R52" s="13">
        <f>IF(F52="Sand",Input!$G$26,0.5)</f>
        <v/>
      </c>
      <c r="S52" s="13">
        <f>Input!$G$10/2/E52</f>
        <v/>
      </c>
      <c r="T52" s="13">
        <f>Input!$G$11/2/E52</f>
        <v/>
      </c>
      <c r="U52" s="28">
        <f>1/(4*PI())*(2*S52*T52*SQRT(S52^2+T52^2+1)/(S52^2+T52^2+1+S52^2*T52^2)*(S52^2+T52^2+2)/(S52^2+T52^2+1)+ATAN2(S52^2+T52^2+1-S52^2*T52^2,2*S52*T52*SQRT(S52^2+T52^2+1)))</f>
        <v/>
      </c>
      <c r="V52" s="12">
        <f>4*Input!$G$9*U52</f>
        <v/>
      </c>
      <c r="W52" s="29">
        <f>((Input!$G$11/Input!$G$10)*LN((1+SQRT((Input!$G$11/Input!$G$10)^2+1))*SQRT((Input!$G$11/Input!$G$10)^2+(C52/(Input!$G$10/2))^2)/((Input!$G$11/Input!$G$10)*(1+SQRT((Input!$G$11/Input!$G$10)^2+(C52/(Input!$G$10/2))^2+1))))+LN(((Input!$G$11/Input!$G$10)+SQRT((Input!$G$11/Input!$G$10)^2+1))*SQRT(1+(C52/(Input!$G$10/2))^2)/((Input!$G$11/Input!$G$10)+SQRT((Input!$G$11/Input!$G$10)^2+(C52/(Input!$G$10/2))^2+1))))/PI()</f>
        <v/>
      </c>
      <c r="X52" s="29">
        <f>(C52/(Input!$G$10/2))/(2*PI())*ATAN((Input!$G$11/Input!$G$10)/((C52/(Input!$G$10/2))*SQRT((Input!$G$11/Input!$G$10)^2+(C52/(Input!$G$10/2))^2+1)))</f>
        <v/>
      </c>
      <c r="Y52" s="13">
        <f>MAX(0,C52-MAX(B52,$G$8))/D52*IF(V52&gt;=Input!$G$27*J52,1,0)</f>
        <v/>
      </c>
      <c r="Z52" s="12">
        <f>4*Input!$G$9*(Input!$G$10/2)*(1-R52^2)/Q52*((W52-W51)+(1-2*R52)/(1-R52)*(X52-X51))*1000*Y52</f>
        <v/>
      </c>
      <c r="AA52" s="30">
        <f>IF(F52="Sand",0,0.009*(K52-10))</f>
        <v/>
      </c>
      <c r="AB52" s="30">
        <f>AA52*Input!$G$23</f>
        <v/>
      </c>
      <c r="AC52" s="26">
        <f>IF(F52="Sand",0,MAX(O52/Input!$G$24,J52))</f>
        <v/>
      </c>
      <c r="AD52" s="31">
        <f>IF(F52="Sand",0,1000*D52/(1+N52)*IF(J52+V52&lt;=AC52,AB52*LOG10((J52+V52)/J52),AB52*LOG10(AC52/J52)+AA52*LOG10((J52+V52)/AC52)))*Y52</f>
        <v/>
      </c>
      <c r="AE52" s="32">
        <f>IF(F52="Sand",0,10^(INDEX(Korelasi!$C$5:$C$11,MIN(MATCH(MIN(MAX(K52,30),120),Korelasi!$A$5:$A$11,1),6))+(MIN(MAX(K52,30),120)-INDEX(Korelasi!$A$5:$A$11,MIN(MATCH(MIN(MAX(K52,30),120),Korelasi!$A$5:$A$11,1),6)))/(INDEX(Korelasi!$A$5:$A$11,MIN(MATCH(MIN(MAX(K52,30),120),Korelasi!$A$5:$A$11,1),6)+1)-INDEX(Korelasi!$A$5:$A$11,MIN(MATCH(MIN(MAX(K52,30),120),Korelasi!$A$5:$A$11,1),6)))*(INDEX(Korelasi!$C$5:$C$11,MIN(MATCH(MIN(MAX(K52,30),120),Korelasi!$A$5:$A$11,1),6)+1)-INDEX(Korelasi!$C$5:$C$11,MIN(MATCH(MIN(MAX(K52,30),120),Korelasi!$A$5:$A$11,1),6)))))</f>
        <v/>
      </c>
      <c r="AF52" s="33">
        <f>IF(OR(F52="Sand",Y52=0),0,Input!$G$25*(D52/2)^2/(AE52*1E-4*31536000))</f>
        <v/>
      </c>
      <c r="AG52" s="13">
        <f>MAX(0,MIN(C52,Input!$G$15)-B52)</f>
        <v/>
      </c>
      <c r="AH52" s="13">
        <f>MAX(0,MIN(C52,Input!$G$15)-MAX(B52,$G$8))</f>
        <v/>
      </c>
      <c r="AI52" s="13">
        <f>MAX(0,MIN(C52,$G$106)-B52)</f>
        <v/>
      </c>
      <c r="AJ52" s="34" t="inlineStr">
        <is>
          <t>data salinan BH-01</t>
        </is>
      </c>
    </row>
    <row r="53">
      <c r="A53" s="20" t="n">
        <v>41</v>
      </c>
      <c r="B53" s="21" t="n">
        <v>59.5</v>
      </c>
      <c r="C53" s="21" t="n">
        <v>60</v>
      </c>
      <c r="D53" s="13">
        <f>C53-B53</f>
        <v/>
      </c>
      <c r="E53" s="13">
        <f>(B53+C53)/2</f>
        <v/>
      </c>
      <c r="F53" s="22" t="inlineStr">
        <is>
          <t>Sand</t>
        </is>
      </c>
      <c r="G53" s="23" t="n">
        <v>46</v>
      </c>
      <c r="H53" s="12">
        <f>IF(E53&gt;$G$5,$G$7,$G$6)</f>
        <v/>
      </c>
      <c r="I53" s="12">
        <f>I52+H53*D53</f>
        <v/>
      </c>
      <c r="J53" s="12">
        <f>I53-H53*D53/2-10*MAX(E53-$G$5,0)</f>
        <v/>
      </c>
      <c r="K53" s="24" t="n"/>
      <c r="L53" s="24" t="n"/>
      <c r="M53" s="12">
        <f>IF(K53="","",K53-L53)</f>
        <v/>
      </c>
      <c r="N53" s="25" t="n">
        <v>0.65</v>
      </c>
      <c r="O53" s="26">
        <f>IF(F53="Sand",0,Input!$G$19*G53)</f>
        <v/>
      </c>
      <c r="P53" s="12">
        <f>IF(F53="Sand",27.1+0.3*MIN(Input!$G$20*G53,60)-0.00054*MIN(Input!$G$20*G53,60)^2,MIN(MAX(DEGREES(ASIN(0.8-0.094*LN(MAX(IF(M53="",10,M53),5)))),20),30))</f>
        <v/>
      </c>
      <c r="Q53" s="27">
        <f>IF(F53="Sand",Input!$G$21*Input!$G$20*G53,Input!$G$22*O53)</f>
        <v/>
      </c>
      <c r="R53" s="13">
        <f>IF(F53="Sand",Input!$G$26,0.5)</f>
        <v/>
      </c>
      <c r="S53" s="13">
        <f>Input!$G$10/2/E53</f>
        <v/>
      </c>
      <c r="T53" s="13">
        <f>Input!$G$11/2/E53</f>
        <v/>
      </c>
      <c r="U53" s="28">
        <f>1/(4*PI())*(2*S53*T53*SQRT(S53^2+T53^2+1)/(S53^2+T53^2+1+S53^2*T53^2)*(S53^2+T53^2+2)/(S53^2+T53^2+1)+ATAN2(S53^2+T53^2+1-S53^2*T53^2,2*S53*T53*SQRT(S53^2+T53^2+1)))</f>
        <v/>
      </c>
      <c r="V53" s="12">
        <f>4*Input!$G$9*U53</f>
        <v/>
      </c>
      <c r="W53" s="29">
        <f>((Input!$G$11/Input!$G$10)*LN((1+SQRT((Input!$G$11/Input!$G$10)^2+1))*SQRT((Input!$G$11/Input!$G$10)^2+(C53/(Input!$G$10/2))^2)/((Input!$G$11/Input!$G$10)*(1+SQRT((Input!$G$11/Input!$G$10)^2+(C53/(Input!$G$10/2))^2+1))))+LN(((Input!$G$11/Input!$G$10)+SQRT((Input!$G$11/Input!$G$10)^2+1))*SQRT(1+(C53/(Input!$G$10/2))^2)/((Input!$G$11/Input!$G$10)+SQRT((Input!$G$11/Input!$G$10)^2+(C53/(Input!$G$10/2))^2+1))))/PI()</f>
        <v/>
      </c>
      <c r="X53" s="29">
        <f>(C53/(Input!$G$10/2))/(2*PI())*ATAN((Input!$G$11/Input!$G$10)/((C53/(Input!$G$10/2))*SQRT((Input!$G$11/Input!$G$10)^2+(C53/(Input!$G$10/2))^2+1)))</f>
        <v/>
      </c>
      <c r="Y53" s="13">
        <f>MAX(0,C53-MAX(B53,$G$8))/D53*IF(V53&gt;=Input!$G$27*J53,1,0)</f>
        <v/>
      </c>
      <c r="Z53" s="12">
        <f>4*Input!$G$9*(Input!$G$10/2)*(1-R53^2)/Q53*((W53-W52)+(1-2*R53)/(1-R53)*(X53-X52))*1000*Y53</f>
        <v/>
      </c>
      <c r="AA53" s="30">
        <f>IF(F53="Sand",0,0.009*(K53-10))</f>
        <v/>
      </c>
      <c r="AB53" s="30">
        <f>AA53*Input!$G$23</f>
        <v/>
      </c>
      <c r="AC53" s="26">
        <f>IF(F53="Sand",0,MAX(O53/Input!$G$24,J53))</f>
        <v/>
      </c>
      <c r="AD53" s="31">
        <f>IF(F53="Sand",0,1000*D53/(1+N53)*IF(J53+V53&lt;=AC53,AB53*LOG10((J53+V53)/J53),AB53*LOG10(AC53/J53)+AA53*LOG10((J53+V53)/AC53)))*Y53</f>
        <v/>
      </c>
      <c r="AE53" s="32">
        <f>IF(F53="Sand",0,10^(INDEX(Korelasi!$C$5:$C$11,MIN(MATCH(MIN(MAX(K53,30),120),Korelasi!$A$5:$A$11,1),6))+(MIN(MAX(K53,30),120)-INDEX(Korelasi!$A$5:$A$11,MIN(MATCH(MIN(MAX(K53,30),120),Korelasi!$A$5:$A$11,1),6)))/(INDEX(Korelasi!$A$5:$A$11,MIN(MATCH(MIN(MAX(K53,30),120),Korelasi!$A$5:$A$11,1),6)+1)-INDEX(Korelasi!$A$5:$A$11,MIN(MATCH(MIN(MAX(K53,30),120),Korelasi!$A$5:$A$11,1),6)))*(INDEX(Korelasi!$C$5:$C$11,MIN(MATCH(MIN(MAX(K53,30),120),Korelasi!$A$5:$A$11,1),6)+1)-INDEX(Korelasi!$C$5:$C$11,MIN(MATCH(MIN(MAX(K53,30),120),Korelasi!$A$5:$A$11,1),6)))))</f>
        <v/>
      </c>
      <c r="AF53" s="33">
        <f>IF(OR(F53="Sand",Y53=0),0,Input!$G$25*(D53/2)^2/(AE53*1E-4*31536000))</f>
        <v/>
      </c>
      <c r="AG53" s="13">
        <f>MAX(0,MIN(C53,Input!$G$15)-B53)</f>
        <v/>
      </c>
      <c r="AH53" s="13">
        <f>MAX(0,MIN(C53,Input!$G$15)-MAX(B53,$G$8))</f>
        <v/>
      </c>
      <c r="AI53" s="13">
        <f>MAX(0,MIN(C53,$G$106)-B53)</f>
        <v/>
      </c>
      <c r="AJ53" s="34" t="inlineStr">
        <is>
          <t>data salinan BH-01</t>
        </is>
      </c>
    </row>
    <row r="54">
      <c r="A54" s="2" t="inlineStr">
        <is>
          <t>Sel kuning = data (SPT, lab, laporan). Jenis: Sand / Silt / Clay. Sublapisan di bawah kedalaman bor memakai data borehole terdekat (lihat Ket.).</t>
        </is>
      </c>
    </row>
    <row r="56">
      <c r="A56" s="3" t="inlineStr">
        <is>
          <t>3. DAYA DUKUNG TANAH DASAR (Terzaghi/Vesic, SNI 8460:2017)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</row>
    <row r="57">
      <c r="A57" s="2" t="inlineStr">
        <is>
          <t>Kondisi undrained (jangka pendek) dihitung bila ada lanau/lempung dalam 0 - Hb; kondisi drained (jangka panjang) selalu dihitung; daya dukung = nilai terkecil. Tanah 0 - Dr yang diganti dianggap material granular (Input bagian D).</t>
        </is>
      </c>
    </row>
    <row r="58">
      <c r="A58" s="15" t="inlineStr">
        <is>
          <t>a) TANPA PERBAIKAN</t>
        </is>
      </c>
    </row>
    <row r="59">
      <c r="A59" s="5" t="inlineStr">
        <is>
          <t>Tebal lanau/lempung asli dalam 0 - Hb</t>
        </is>
      </c>
      <c r="F59" s="6" t="inlineStr">
        <is>
          <t>Σh</t>
        </is>
      </c>
      <c r="G59" s="35">
        <f>SUMPRODUCT(--(F13:F53&lt;&gt;"Sand"),AG13:AG53)</f>
        <v/>
      </c>
      <c r="H59" s="5" t="inlineStr">
        <is>
          <t>m</t>
        </is>
      </c>
      <c r="I59" s="2" t="inlineStr"/>
    </row>
    <row r="60">
      <c r="A60" s="5" t="inlineStr">
        <is>
          <t>cu rata-rata lanau/lempung (0 - Hb)</t>
        </is>
      </c>
      <c r="F60" s="6" t="inlineStr">
        <is>
          <t>cu</t>
        </is>
      </c>
      <c r="G60" s="35">
        <f>IF($G$59=0,0,SUMPRODUCT(--(F13:F53&lt;&gt;"Sand"),AG13:AG53,O13:O53)/$G$59)</f>
        <v/>
      </c>
      <c r="H60" s="5" t="inlineStr">
        <is>
          <t>kPa</t>
        </is>
      </c>
      <c r="I60" s="2" t="inlineStr">
        <is>
          <t>cu = k·N</t>
        </is>
      </c>
    </row>
    <row r="61">
      <c r="A61" s="5" t="inlineStr">
        <is>
          <t>φ' rata-rata (0 - Hb)</t>
        </is>
      </c>
      <c r="F61" s="6" t="inlineStr">
        <is>
          <t>φ'</t>
        </is>
      </c>
      <c r="G61" s="35">
        <f>(SUMPRODUCT(AG13:AG53,P13:P53)+MIN(0,Input!$G$15)*Input!$G$31)/Input!$G$15</f>
        <v/>
      </c>
      <c r="H61" s="5" t="inlineStr">
        <is>
          <t>°</t>
        </is>
      </c>
      <c r="I61" s="2" t="inlineStr">
        <is>
          <t>lapisan diganti memakai φ' material pengganti</t>
        </is>
      </c>
    </row>
    <row r="62">
      <c r="A62" s="5" t="inlineStr">
        <is>
          <t>Berat isi efektif rata-rata (0 - Hb)</t>
        </is>
      </c>
      <c r="F62" s="6" t="inlineStr">
        <is>
          <t>γ'</t>
        </is>
      </c>
      <c r="G62" s="35">
        <f>(SUMPRODUCT(AG13:AG53,H13:H53)+MIN(0,Input!$G$15)*Input!$G$30)/Input!$G$15-10*MAX(0,Input!$G$15-$G$5)/Input!$G$15</f>
        <v/>
      </c>
      <c r="H62" s="5" t="inlineStr">
        <is>
          <t>kN/m³</t>
        </is>
      </c>
      <c r="I62" s="2" t="inlineStr"/>
    </row>
    <row r="63">
      <c r="A63" s="5" t="inlineStr">
        <is>
          <t>Undrained: faktor bentuk (Nc = 5,14)</t>
        </is>
      </c>
      <c r="F63" s="6" t="inlineStr">
        <is>
          <t>sc</t>
        </is>
      </c>
      <c r="G63" s="35">
        <f>1+0.2*Input!$G$10/Input!$G$11</f>
        <v/>
      </c>
      <c r="H63" s="5" t="inlineStr">
        <is>
          <t>-</t>
        </is>
      </c>
      <c r="I63" s="2" t="inlineStr"/>
    </row>
    <row r="64">
      <c r="A64" s="5" t="inlineStr">
        <is>
          <t>qu undrained = cu·Nc·sc</t>
        </is>
      </c>
      <c r="F64" s="6" t="inlineStr">
        <is>
          <t>qu,u</t>
        </is>
      </c>
      <c r="G64" s="36">
        <f>IF($G$59=0,"-",$G$60*5.14*$G$63)</f>
        <v/>
      </c>
      <c r="H64" s="5" t="inlineStr">
        <is>
          <t>kPa</t>
        </is>
      </c>
      <c r="I64" s="2" t="inlineStr">
        <is>
          <t>tidak berlaku bila tidak ada lanau/lempung</t>
        </is>
      </c>
    </row>
    <row r="65">
      <c r="A65" s="5" t="inlineStr">
        <is>
          <t>Drained: Nq = e^(π tanφ)·tan²(45+φ/2)</t>
        </is>
      </c>
      <c r="F65" s="6" t="inlineStr">
        <is>
          <t>Nq</t>
        </is>
      </c>
      <c r="G65" s="35">
        <f>EXP(PI()*TAN(RADIANS($G$61)))*TAN(RADIANS(45+$G$61/2))^2</f>
        <v/>
      </c>
      <c r="H65" s="5" t="inlineStr">
        <is>
          <t>-</t>
        </is>
      </c>
      <c r="I65" s="2" t="inlineStr"/>
    </row>
    <row r="66">
      <c r="A66" s="5" t="inlineStr">
        <is>
          <t>Nγ = 2(Nq+1)tanφ (Vesic 1975)</t>
        </is>
      </c>
      <c r="F66" s="6" t="inlineStr">
        <is>
          <t>Nγ</t>
        </is>
      </c>
      <c r="G66" s="35">
        <f>2*($G$65+1)*TAN(RADIANS($G$61))</f>
        <v/>
      </c>
      <c r="H66" s="5" t="inlineStr">
        <is>
          <t>-</t>
        </is>
      </c>
      <c r="I66" s="2" t="inlineStr"/>
    </row>
    <row r="67">
      <c r="A67" s="5" t="inlineStr">
        <is>
          <t>sγ = 1 - 0,4B/L ;  rγ = 1 - 0,25log(B/2) (Bowles 1996)</t>
        </is>
      </c>
      <c r="F67" s="6" t="inlineStr">
        <is>
          <t>sγ·rγ</t>
        </is>
      </c>
      <c r="G67" s="35">
        <f>(1-0.4*Input!$G$10/Input!$G$11)*IF(Input!$G$10&gt;2,1-0.25*LOG10(Input!$G$10/2),1)</f>
        <v/>
      </c>
      <c r="H67" s="5" t="inlineStr">
        <is>
          <t>-</t>
        </is>
      </c>
      <c r="I67" s="2" t="inlineStr"/>
    </row>
    <row r="68">
      <c r="A68" s="5" t="inlineStr">
        <is>
          <t>qu drained = 0,5·γ'·B·Nγ·sγ·rγ   (c' = 0, q = 0)</t>
        </is>
      </c>
      <c r="F68" s="6" t="inlineStr">
        <is>
          <t>qu,d</t>
        </is>
      </c>
      <c r="G68" s="36">
        <f>0.5*$G$62*Input!$G$10*$G$66*$G$67</f>
        <v/>
      </c>
      <c r="H68" s="5" t="inlineStr">
        <is>
          <t>kPa</t>
        </is>
      </c>
      <c r="I68" s="2" t="inlineStr"/>
    </row>
    <row r="69">
      <c r="A69" s="5" t="inlineStr">
        <is>
          <t>Daya dukung ultimit menentukan</t>
        </is>
      </c>
      <c r="F69" s="6" t="inlineStr">
        <is>
          <t>qu</t>
        </is>
      </c>
      <c r="G69" s="37">
        <f>IF($G$59=0,$G$68,MIN($G$64,$G$68))</f>
        <v/>
      </c>
      <c r="H69" s="5" t="inlineStr">
        <is>
          <t>kPa</t>
        </is>
      </c>
      <c r="I69" s="2" t="inlineStr"/>
    </row>
    <row r="70">
      <c r="A70" s="5" t="inlineStr">
        <is>
          <t>Daya dukung izin = qu / SF</t>
        </is>
      </c>
      <c r="F70" s="6" t="inlineStr">
        <is>
          <t>qall</t>
        </is>
      </c>
      <c r="G70" s="37">
        <f>$G$69/Input!$G$14</f>
        <v/>
      </c>
      <c r="H70" s="5" t="inlineStr">
        <is>
          <t>kPa</t>
        </is>
      </c>
      <c r="I70" s="2" t="inlineStr"/>
    </row>
    <row r="71">
      <c r="A71" s="5" t="inlineStr">
        <is>
          <t>Tekanan kerja (timbunan + beban merata)</t>
        </is>
      </c>
      <c r="F71" s="6" t="inlineStr">
        <is>
          <t>q</t>
        </is>
      </c>
      <c r="G71" s="36">
        <f>Input!$G$9</f>
        <v/>
      </c>
      <c r="H71" s="5" t="inlineStr">
        <is>
          <t>kPa</t>
        </is>
      </c>
      <c r="I71" s="2" t="inlineStr"/>
    </row>
    <row r="72">
      <c r="A72" s="5" t="inlineStr">
        <is>
          <t>Kontrol daya dukung</t>
        </is>
      </c>
      <c r="F72" s="6" t="inlineStr"/>
      <c r="G72" s="38">
        <f>IF($G$70&gt;=Input!$G$9,"qall ≥ q … OK","qall &lt; q … NG")</f>
        <v/>
      </c>
      <c r="H72" s="5" t="inlineStr"/>
      <c r="I72" s="2" t="inlineStr"/>
    </row>
    <row r="73">
      <c r="A73" s="5" t="inlineStr">
        <is>
          <t>Faktor keamanan aktual = qu / q</t>
        </is>
      </c>
      <c r="F73" s="6" t="inlineStr">
        <is>
          <t>FS</t>
        </is>
      </c>
      <c r="G73" s="35">
        <f>$G$69/Input!$G$9</f>
        <v/>
      </c>
      <c r="H73" s="5" t="inlineStr">
        <is>
          <t>-</t>
        </is>
      </c>
      <c r="I73" s="2" t="inlineStr"/>
    </row>
    <row r="74">
      <c r="A74" s="5" t="inlineStr">
        <is>
          <t>Tinggi timbunan izin (dengan beban merata)</t>
        </is>
      </c>
      <c r="F74" s="6" t="inlineStr">
        <is>
          <t>H izin</t>
        </is>
      </c>
      <c r="G74" s="35">
        <f>MAX(0,($G$70-Input!$G$8)/Input!$G$7)</f>
        <v/>
      </c>
      <c r="H74" s="5" t="inlineStr">
        <is>
          <t>m</t>
        </is>
      </c>
      <c r="I74" s="2" t="inlineStr">
        <is>
          <t>H izin = (qall - qs)/γf</t>
        </is>
      </c>
    </row>
    <row r="76">
      <c r="A76" s="15" t="inlineStr">
        <is>
          <t>b) DENGAN PENGGANTIAN TANAH 0 - Dr (kondisi desain)</t>
        </is>
      </c>
    </row>
    <row r="77">
      <c r="A77" s="5" t="inlineStr">
        <is>
          <t>Tebal lanau/lempung asli dalam 0 - Hb</t>
        </is>
      </c>
      <c r="F77" s="6" t="inlineStr">
        <is>
          <t>Σh</t>
        </is>
      </c>
      <c r="G77" s="35">
        <f>SUMPRODUCT(--(F13:F53&lt;&gt;"Sand"),AH13:AH53)</f>
        <v/>
      </c>
      <c r="H77" s="5" t="inlineStr">
        <is>
          <t>m</t>
        </is>
      </c>
      <c r="I77" s="2" t="inlineStr"/>
    </row>
    <row r="78">
      <c r="A78" s="5" t="inlineStr">
        <is>
          <t>cu rata-rata lanau/lempung (0 - Hb)</t>
        </is>
      </c>
      <c r="F78" s="6" t="inlineStr">
        <is>
          <t>cu</t>
        </is>
      </c>
      <c r="G78" s="35">
        <f>IF($G$77=0,0,SUMPRODUCT(--(F13:F53&lt;&gt;"Sand"),AH13:AH53,O13:O53)/$G$77)</f>
        <v/>
      </c>
      <c r="H78" s="5" t="inlineStr">
        <is>
          <t>kPa</t>
        </is>
      </c>
      <c r="I78" s="2" t="inlineStr">
        <is>
          <t>cu = k·N</t>
        </is>
      </c>
    </row>
    <row r="79">
      <c r="A79" s="5" t="inlineStr">
        <is>
          <t>φ' rata-rata (0 - Hb)</t>
        </is>
      </c>
      <c r="F79" s="6" t="inlineStr">
        <is>
          <t>φ'</t>
        </is>
      </c>
      <c r="G79" s="35">
        <f>(SUMPRODUCT(AH13:AH53,P13:P53)+MIN($G$8,Input!$G$15)*Input!$G$31)/Input!$G$15</f>
        <v/>
      </c>
      <c r="H79" s="5" t="inlineStr">
        <is>
          <t>°</t>
        </is>
      </c>
      <c r="I79" s="2" t="inlineStr">
        <is>
          <t>lapisan diganti memakai φ' material pengganti</t>
        </is>
      </c>
    </row>
    <row r="80">
      <c r="A80" s="5" t="inlineStr">
        <is>
          <t>Berat isi efektif rata-rata (0 - Hb)</t>
        </is>
      </c>
      <c r="F80" s="6" t="inlineStr">
        <is>
          <t>γ'</t>
        </is>
      </c>
      <c r="G80" s="35">
        <f>(SUMPRODUCT(AH13:AH53,H13:H53)+MIN($G$8,Input!$G$15)*Input!$G$30)/Input!$G$15-10*MAX(0,Input!$G$15-$G$5)/Input!$G$15</f>
        <v/>
      </c>
      <c r="H80" s="5" t="inlineStr">
        <is>
          <t>kN/m³</t>
        </is>
      </c>
      <c r="I80" s="2" t="inlineStr"/>
    </row>
    <row r="81">
      <c r="A81" s="5" t="inlineStr">
        <is>
          <t>Undrained: faktor bentuk (Nc = 5,14)</t>
        </is>
      </c>
      <c r="F81" s="6" t="inlineStr">
        <is>
          <t>sc</t>
        </is>
      </c>
      <c r="G81" s="35">
        <f>1+0.2*Input!$G$10/Input!$G$11</f>
        <v/>
      </c>
      <c r="H81" s="5" t="inlineStr">
        <is>
          <t>-</t>
        </is>
      </c>
      <c r="I81" s="2" t="inlineStr"/>
    </row>
    <row r="82">
      <c r="A82" s="5" t="inlineStr">
        <is>
          <t>qu undrained = cu·Nc·sc</t>
        </is>
      </c>
      <c r="F82" s="6" t="inlineStr">
        <is>
          <t>qu,u</t>
        </is>
      </c>
      <c r="G82" s="36">
        <f>IF($G$77=0,"-",$G$78*5.14*$G$81)</f>
        <v/>
      </c>
      <c r="H82" s="5" t="inlineStr">
        <is>
          <t>kPa</t>
        </is>
      </c>
      <c r="I82" s="2" t="inlineStr">
        <is>
          <t>tidak berlaku bila tidak ada lanau/lempung</t>
        </is>
      </c>
    </row>
    <row r="83">
      <c r="A83" s="5" t="inlineStr">
        <is>
          <t>Drained: Nq = e^(π tanφ)·tan²(45+φ/2)</t>
        </is>
      </c>
      <c r="F83" s="6" t="inlineStr">
        <is>
          <t>Nq</t>
        </is>
      </c>
      <c r="G83" s="35">
        <f>EXP(PI()*TAN(RADIANS($G$79)))*TAN(RADIANS(45+$G$79/2))^2</f>
        <v/>
      </c>
      <c r="H83" s="5" t="inlineStr">
        <is>
          <t>-</t>
        </is>
      </c>
      <c r="I83" s="2" t="inlineStr"/>
    </row>
    <row r="84">
      <c r="A84" s="5" t="inlineStr">
        <is>
          <t>Nγ = 2(Nq+1)tanφ (Vesic 1975)</t>
        </is>
      </c>
      <c r="F84" s="6" t="inlineStr">
        <is>
          <t>Nγ</t>
        </is>
      </c>
      <c r="G84" s="35">
        <f>2*($G$83+1)*TAN(RADIANS($G$79))</f>
        <v/>
      </c>
      <c r="H84" s="5" t="inlineStr">
        <is>
          <t>-</t>
        </is>
      </c>
      <c r="I84" s="2" t="inlineStr"/>
    </row>
    <row r="85">
      <c r="A85" s="5" t="inlineStr">
        <is>
          <t>sγ = 1 - 0,4B/L ;  rγ = 1 - 0,25log(B/2) (Bowles 1996)</t>
        </is>
      </c>
      <c r="F85" s="6" t="inlineStr">
        <is>
          <t>sγ·rγ</t>
        </is>
      </c>
      <c r="G85" s="35">
        <f>(1-0.4*Input!$G$10/Input!$G$11)*IF(Input!$G$10&gt;2,1-0.25*LOG10(Input!$G$10/2),1)</f>
        <v/>
      </c>
      <c r="H85" s="5" t="inlineStr">
        <is>
          <t>-</t>
        </is>
      </c>
      <c r="I85" s="2" t="inlineStr"/>
    </row>
    <row r="86">
      <c r="A86" s="5" t="inlineStr">
        <is>
          <t>qu drained = 0,5·γ'·B·Nγ·sγ·rγ   (c' = 0, q = 0)</t>
        </is>
      </c>
      <c r="F86" s="6" t="inlineStr">
        <is>
          <t>qu,d</t>
        </is>
      </c>
      <c r="G86" s="36">
        <f>0.5*$G$80*Input!$G$10*$G$84*$G$85</f>
        <v/>
      </c>
      <c r="H86" s="5" t="inlineStr">
        <is>
          <t>kPa</t>
        </is>
      </c>
      <c r="I86" s="2" t="inlineStr"/>
    </row>
    <row r="87">
      <c r="A87" s="5" t="inlineStr">
        <is>
          <t>Daya dukung ultimit menentukan</t>
        </is>
      </c>
      <c r="F87" s="6" t="inlineStr">
        <is>
          <t>qu</t>
        </is>
      </c>
      <c r="G87" s="37">
        <f>IF($G$77=0,$G$86,MIN($G$82,$G$86))</f>
        <v/>
      </c>
      <c r="H87" s="5" t="inlineStr">
        <is>
          <t>kPa</t>
        </is>
      </c>
      <c r="I87" s="2" t="inlineStr"/>
    </row>
    <row r="88">
      <c r="A88" s="5" t="inlineStr">
        <is>
          <t>Daya dukung izin = qu / SF</t>
        </is>
      </c>
      <c r="F88" s="6" t="inlineStr">
        <is>
          <t>qall</t>
        </is>
      </c>
      <c r="G88" s="37">
        <f>$G$87/Input!$G$14</f>
        <v/>
      </c>
      <c r="H88" s="5" t="inlineStr">
        <is>
          <t>kPa</t>
        </is>
      </c>
      <c r="I88" s="2" t="inlineStr"/>
    </row>
    <row r="89">
      <c r="A89" s="5" t="inlineStr">
        <is>
          <t>Tekanan kerja (timbunan + beban merata)</t>
        </is>
      </c>
      <c r="F89" s="6" t="inlineStr">
        <is>
          <t>q</t>
        </is>
      </c>
      <c r="G89" s="36">
        <f>Input!$G$9</f>
        <v/>
      </c>
      <c r="H89" s="5" t="inlineStr">
        <is>
          <t>kPa</t>
        </is>
      </c>
      <c r="I89" s="2" t="inlineStr"/>
    </row>
    <row r="90">
      <c r="A90" s="5" t="inlineStr">
        <is>
          <t>Kontrol daya dukung</t>
        </is>
      </c>
      <c r="F90" s="6" t="inlineStr"/>
      <c r="G90" s="38">
        <f>IF($G$88&gt;=Input!$G$9,"qall ≥ q … OK","qall &lt; q … NG")</f>
        <v/>
      </c>
      <c r="H90" s="5" t="inlineStr"/>
      <c r="I90" s="2" t="inlineStr"/>
    </row>
    <row r="91">
      <c r="A91" s="5" t="inlineStr">
        <is>
          <t>Faktor keamanan aktual = qu / q</t>
        </is>
      </c>
      <c r="F91" s="6" t="inlineStr">
        <is>
          <t>FS</t>
        </is>
      </c>
      <c r="G91" s="35">
        <f>$G$87/Input!$G$9</f>
        <v/>
      </c>
      <c r="H91" s="5" t="inlineStr">
        <is>
          <t>-</t>
        </is>
      </c>
      <c r="I91" s="2" t="inlineStr"/>
    </row>
    <row r="92">
      <c r="A92" s="5" t="inlineStr">
        <is>
          <t>Tinggi timbunan izin (dengan beban merata)</t>
        </is>
      </c>
      <c r="F92" s="6" t="inlineStr">
        <is>
          <t>H izin</t>
        </is>
      </c>
      <c r="G92" s="35">
        <f>MAX(0,($G$88-Input!$G$8)/Input!$G$7)</f>
        <v/>
      </c>
      <c r="H92" s="5" t="inlineStr">
        <is>
          <t>m</t>
        </is>
      </c>
      <c r="I92" s="2" t="inlineStr">
        <is>
          <t>H izin = (qall - qs)/γf</t>
        </is>
      </c>
    </row>
    <row r="94">
      <c r="A94" s="15" t="inlineStr">
        <is>
          <t>c) Tanah pasiran - daya dukung izin berbasis penurunan 25 mm (Meyerhof 1965, Bowles 1996)</t>
        </is>
      </c>
    </row>
    <row r="95">
      <c r="A95" s="5" t="inlineStr">
        <is>
          <t>N60 rata-rata lapisan pasir (0 - Hb)</t>
        </is>
      </c>
      <c r="F95" s="6" t="inlineStr">
        <is>
          <t>N60</t>
        </is>
      </c>
      <c r="G95" s="36">
        <f>IFERROR(SUMPRODUCT(--(F13:F53="Sand"),AG13:AG53,G13:G53)/SUMPRODUCT(--(F13:F53="Sand"),AG13:AG53)*Input!$G$20,"-")</f>
        <v/>
      </c>
      <c r="H95" s="5" t="inlineStr">
        <is>
          <t>-</t>
        </is>
      </c>
      <c r="I95" s="2" t="inlineStr"/>
    </row>
    <row r="96">
      <c r="A96" s="5" t="inlineStr">
        <is>
          <t>qa (S = 25 mm) = (N55/0,08)·((B+0,3)/B)²·Kd</t>
        </is>
      </c>
      <c r="F96" s="6" t="inlineStr">
        <is>
          <t>qa</t>
        </is>
      </c>
      <c r="G96" s="36">
        <f>IFERROR(($G$95*60/55)/0.08*((Input!$G$10+0.3)/Input!$G$10)^2,"-")</f>
        <v/>
      </c>
      <c r="H96" s="5" t="inlineStr">
        <is>
          <t>kPa</t>
        </is>
      </c>
      <c r="I96" s="2" t="inlineStr">
        <is>
          <t>Kd = 1 (beban di permukaan)</t>
        </is>
      </c>
    </row>
    <row r="97">
      <c r="A97" s="2" t="inlineStr">
        <is>
          <t>Pada tanah pasiran daya dukung geser hampir selalu jauh di atas beban; penentu desain adalah penurunan (bagian 4).</t>
        </is>
      </c>
    </row>
    <row r="99">
      <c r="A99" s="3" t="inlineStr">
        <is>
          <t>4. PENURUNAN SEGERA (IMMEDIATE SETTLEMENT) - kondisi desain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</row>
    <row r="100">
      <c r="A100" s="2" t="inlineStr">
        <is>
          <t>d) Teori elastis berlapis (Steinbrenner 1934; Bowles 1996): pusat area fleksibel B×L, tiap lapisan Si = 4q(B/2)(1-ν²)/E·[ΔF1 + (1-2ν)/(1-ν)·ΔF2]. Pasir: E drained, ν pasir; lanau/lempung: Eu undrained, ν = 0,5.</t>
        </is>
      </c>
    </row>
    <row r="101">
      <c r="A101" s="5" t="inlineStr">
        <is>
          <t>Penurunan segera total (dalam kedalaman pengaruh)</t>
        </is>
      </c>
      <c r="F101" s="6" t="inlineStr">
        <is>
          <t>Si</t>
        </is>
      </c>
      <c r="G101" s="37">
        <f>SUM(Z13:Z53)</f>
        <v/>
      </c>
      <c r="H101" s="5" t="inlineStr">
        <is>
          <t>mm</t>
        </is>
      </c>
      <c r="I101" s="2" t="inlineStr"/>
    </row>
    <row r="102">
      <c r="A102" s="5" t="inlineStr">
        <is>
          <t xml:space="preserve">   - dari lapisan pasir</t>
        </is>
      </c>
      <c r="F102" s="6" t="inlineStr"/>
      <c r="G102" s="36">
        <f>SUMPRODUCT(--(F13:F53="Sand"),Z13:Z53)</f>
        <v/>
      </c>
      <c r="H102" s="5" t="inlineStr">
        <is>
          <t>mm</t>
        </is>
      </c>
      <c r="I102" s="2" t="inlineStr"/>
    </row>
    <row r="103">
      <c r="A103" s="5" t="inlineStr">
        <is>
          <t xml:space="preserve">   - dari lapisan lanau/lempung (undrained)</t>
        </is>
      </c>
      <c r="F103" s="6" t="inlineStr"/>
      <c r="G103" s="36">
        <f>$G$101-$G$102</f>
        <v/>
      </c>
      <c r="H103" s="5" t="inlineStr">
        <is>
          <t>mm</t>
        </is>
      </c>
      <c r="I103" s="2" t="inlineStr"/>
    </row>
    <row r="105">
      <c r="A105" s="15" t="inlineStr">
        <is>
          <t>e) Pemeriksaan tanah pasiran - Burland &amp; Burbidge (1985), pasir NC:  S = fs·fl·q·B^0,7·Ic,   Ic = 1,71/N̄^1,4</t>
        </is>
      </c>
    </row>
    <row r="106">
      <c r="A106" s="5" t="inlineStr">
        <is>
          <t>Kedalaman pengaruh zI = B^0,763</t>
        </is>
      </c>
      <c r="F106" s="6" t="inlineStr">
        <is>
          <t>zI</t>
        </is>
      </c>
      <c r="G106" s="35">
        <f>MIN(Input!$G$10^0.763,C53)</f>
        <v/>
      </c>
      <c r="H106" s="5" t="inlineStr">
        <is>
          <t>m</t>
        </is>
      </c>
      <c r="I106" s="2" t="inlineStr"/>
    </row>
    <row r="107">
      <c r="A107" s="5" t="inlineStr">
        <is>
          <t>N rata-rata dalam zI (N terukur)</t>
        </is>
      </c>
      <c r="F107" s="6" t="inlineStr">
        <is>
          <t>N̄</t>
        </is>
      </c>
      <c r="G107" s="36">
        <f>SUMPRODUCT(AI13:AI53,G13:G53)/$G$106</f>
        <v/>
      </c>
      <c r="H107" s="5" t="inlineStr">
        <is>
          <t>-</t>
        </is>
      </c>
      <c r="I107" s="2" t="inlineStr"/>
    </row>
    <row r="108">
      <c r="A108" s="5" t="inlineStr">
        <is>
          <t>Indeks kompresibilitas</t>
        </is>
      </c>
      <c r="F108" s="6" t="inlineStr">
        <is>
          <t>Ic</t>
        </is>
      </c>
      <c r="G108" s="39">
        <f>1.71/$G$107^1.4</f>
        <v/>
      </c>
      <c r="H108" s="5" t="inlineStr">
        <is>
          <t>-</t>
        </is>
      </c>
      <c r="I108" s="2" t="inlineStr"/>
    </row>
    <row r="109">
      <c r="A109" s="5" t="inlineStr">
        <is>
          <t>Faktor bentuk fs = [1,25(L/B)/(L/B+0,25)]²</t>
        </is>
      </c>
      <c r="F109" s="6" t="inlineStr">
        <is>
          <t>fs</t>
        </is>
      </c>
      <c r="G109" s="35">
        <f>(1.25*Input!$G$11/Input!$G$10/(Input!$G$11/Input!$G$10+0.25))^2</f>
        <v/>
      </c>
      <c r="H109" s="5" t="inlineStr">
        <is>
          <t>-</t>
        </is>
      </c>
      <c r="I109" s="2" t="inlineStr"/>
    </row>
    <row r="110">
      <c r="A110" s="5" t="inlineStr">
        <is>
          <t>Penurunan (B&amp;B), fl = 1</t>
        </is>
      </c>
      <c r="F110" s="6" t="inlineStr">
        <is>
          <t>S</t>
        </is>
      </c>
      <c r="G110" s="37">
        <f>$G$109*Input!$G$9*Input!$G$10^0.7*$G$108</f>
        <v/>
      </c>
      <c r="H110" s="5" t="inlineStr">
        <is>
          <t>mm</t>
        </is>
      </c>
      <c r="I110" s="2" t="inlineStr"/>
    </row>
    <row r="111">
      <c r="A111" s="2" t="inlineStr">
        <is>
          <t>B&amp;B menganggap seluruh zona pengaruh berupa pasir; bila ada lanau/lempung, pakai butir d) sebagai nilai desain.</t>
        </is>
      </c>
    </row>
    <row r="113">
      <c r="A113" s="3" t="inlineStr">
        <is>
          <t>5. PENURUNAN KONSOLIDASI PRIMER &amp; WAKTU KONSOLIDASI (lapisan lanau/lempung) - kondisi desain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</row>
    <row r="114">
      <c r="A114" s="2" t="inlineStr">
        <is>
          <t>Sc = h/(1+e0)·[Cr·log(σ'p/σ'0) + Cc·log((σ'0+Δσ)/σ'p)] (Das 2019); Δσ Boussinesq di pusat area; σ'p = max(cu/0,22 ; σ'0); t90 = Tv·Hdr²/Cv, drainase ganda (Hdr = h/2) karena diapit pasir.</t>
        </is>
      </c>
    </row>
    <row r="115">
      <c r="A115" s="5" t="inlineStr">
        <is>
          <t>Penurunan konsolidasi total</t>
        </is>
      </c>
      <c r="F115" s="6" t="inlineStr">
        <is>
          <t>Sc</t>
        </is>
      </c>
      <c r="G115" s="37">
        <f>SUM(AD13:AD53)</f>
        <v/>
      </c>
      <c r="H115" s="5" t="inlineStr">
        <is>
          <t>mm</t>
        </is>
      </c>
      <c r="I115" s="2" t="inlineStr"/>
    </row>
    <row r="116">
      <c r="A116" s="5" t="inlineStr">
        <is>
          <t>Waktu konsolidasi 90% (lapisan terlama)</t>
        </is>
      </c>
      <c r="F116" s="6" t="inlineStr">
        <is>
          <t>t90</t>
        </is>
      </c>
      <c r="G116" s="35">
        <f>MAX(AF13:AF53)</f>
        <v/>
      </c>
      <c r="H116" s="5" t="inlineStr">
        <is>
          <t>tahun</t>
        </is>
      </c>
      <c r="I116" s="2" t="inlineStr"/>
    </row>
    <row r="118">
      <c r="A118" s="3" t="inlineStr">
        <is>
          <t>6. RINGKASAN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</row>
    <row r="119">
      <c r="A119" s="5" t="inlineStr">
        <is>
          <t>Penurunan total jangka panjang = Si + Sc</t>
        </is>
      </c>
      <c r="F119" s="6" t="inlineStr">
        <is>
          <t>S</t>
        </is>
      </c>
      <c r="G119" s="37">
        <f>$G$101+$G$115</f>
        <v/>
      </c>
      <c r="H119" s="5" t="inlineStr">
        <is>
          <t>mm</t>
        </is>
      </c>
      <c r="I119" s="2" t="inlineStr"/>
    </row>
    <row r="120">
      <c r="A120" s="5" t="inlineStr">
        <is>
          <t>Kontrol terhadap batas penurunan</t>
        </is>
      </c>
      <c r="F120" s="6" t="inlineStr"/>
      <c r="G120" s="38">
        <f>IF($G$119&lt;=Input!$G$16,"S ≤ S izin … OK","S &gt; S izin … NG")</f>
        <v/>
      </c>
      <c r="H120" s="5" t="inlineStr"/>
      <c r="I120" s="2" t="inlineStr"/>
    </row>
    <row r="121">
      <c r="A121" s="2" t="inlineStr">
        <is>
          <t>Penurunan pasca-likuefaksi saat gempa (laporan likuefaksi, Tabel 5.4: 100 - 383 mm) TIDAK termasuk; ditinjau terpisah.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J121"/>
  <sheetViews>
    <sheetView showGridLines="0" zoomScale="85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8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6" customWidth="1" min="16" max="16"/>
    <col width="9" customWidth="1" min="17" max="17"/>
    <col width="5" customWidth="1" min="18" max="18"/>
    <col width="6" customWidth="1" min="19" max="19"/>
    <col width="6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6" customWidth="1" min="27" max="27"/>
    <col width="6" customWidth="1" min="28" max="28"/>
    <col width="8" customWidth="1" min="29" max="29"/>
    <col width="7" customWidth="1" min="30" max="30"/>
    <col width="9" customWidth="1" min="31" max="31"/>
    <col width="7" customWidth="1" min="32" max="32"/>
    <col width="6" customWidth="1" min="33" max="33"/>
    <col width="6" customWidth="1" min="34" max="34"/>
    <col width="6" customWidth="1" min="35" max="35"/>
    <col width="34" customWidth="1" min="36" max="36"/>
  </cols>
  <sheetData>
    <row r="1">
      <c r="A1" s="1" t="inlineStr">
        <is>
          <t>ANALISIS DAYA DUKUNG, PENURUNAN SEGERA &amp; KONSOLIDASI - BH-05 (Wellpad A)</t>
        </is>
      </c>
    </row>
    <row r="2">
      <c r="A2" s="2" t="inlineStr">
        <is>
          <t>PSPE Bora Pulu - timbunan + beban merata (lihat sheet Input)</t>
        </is>
      </c>
    </row>
    <row r="4">
      <c r="A4" s="3" t="inlineStr">
        <is>
          <t>1. PARAMETER BOREHOLE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5" t="inlineStr">
        <is>
          <t>Muka air tanah (GWL)</t>
        </is>
      </c>
      <c r="G5" s="19" t="n">
        <v>7</v>
      </c>
      <c r="H5" s="5" t="inlineStr">
        <is>
          <t>m</t>
        </is>
      </c>
      <c r="I5" s="2" t="inlineStr">
        <is>
          <t>GWL analisis likuefaksi (Report BP-00-GEO-RPT-003)</t>
        </is>
      </c>
    </row>
    <row r="6">
      <c r="A6" s="5" t="inlineStr">
        <is>
          <t>Berat isi di atas GWL</t>
        </is>
      </c>
      <c r="G6" s="19" t="n">
        <v>18.3</v>
      </c>
      <c r="H6" s="5" t="inlineStr">
        <is>
          <t>kN/m³</t>
        </is>
      </c>
      <c r="I6" s="2" t="inlineStr">
        <is>
          <t>Report Tabel 5.1 (hasil lab)</t>
        </is>
      </c>
    </row>
    <row r="7">
      <c r="A7" s="5" t="inlineStr">
        <is>
          <t>Berat isi di bawah GWL</t>
        </is>
      </c>
      <c r="G7" s="19" t="n">
        <v>18.2</v>
      </c>
      <c r="H7" s="5" t="inlineStr">
        <is>
          <t>kN/m³</t>
        </is>
      </c>
      <c r="I7" s="2" t="inlineStr">
        <is>
          <t>Report Tabel 5.1 (hasil lab)</t>
        </is>
      </c>
    </row>
    <row r="8">
      <c r="A8" s="5" t="inlineStr">
        <is>
          <t>Kedalaman penggantian tanah (replacement) - kondisi desain</t>
        </is>
      </c>
      <c r="G8" s="19" t="n">
        <v>0</v>
      </c>
      <c r="H8" s="5" t="inlineStr">
        <is>
          <t>m</t>
        </is>
      </c>
      <c r="I8" s="2" t="inlineStr">
        <is>
          <t>0 = tanpa perbaikan; tanah 0 - Dr diganti material granular (sheet Input bagian D)</t>
        </is>
      </c>
    </row>
    <row r="10">
      <c r="A10" s="3" t="inlineStr">
        <is>
          <t>2. TABEL TANAH &amp; PERHITUNGAN PER LAPISAN (sublapisan = interval SPT 1,5 m)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</row>
    <row r="11" ht="26" customHeight="1">
      <c r="A11" s="9" t="inlineStr">
        <is>
          <t>No</t>
        </is>
      </c>
      <c r="B11" s="9" t="inlineStr">
        <is>
          <t>Atas</t>
        </is>
      </c>
      <c r="C11" s="9" t="inlineStr">
        <is>
          <t>Bawah</t>
        </is>
      </c>
      <c r="D11" s="9" t="inlineStr">
        <is>
          <t>Tebal h</t>
        </is>
      </c>
      <c r="E11" s="9" t="inlineStr">
        <is>
          <t>Tengah z</t>
        </is>
      </c>
      <c r="F11" s="9" t="inlineStr">
        <is>
          <t>Jenis</t>
        </is>
      </c>
      <c r="G11" s="9" t="inlineStr">
        <is>
          <t>N-SPT</t>
        </is>
      </c>
      <c r="H11" s="9" t="inlineStr">
        <is>
          <t>γ</t>
        </is>
      </c>
      <c r="I11" s="9" t="inlineStr">
        <is>
          <t>σv bawah</t>
        </is>
      </c>
      <c r="J11" s="9" t="inlineStr">
        <is>
          <t>σ'v0 tengah</t>
        </is>
      </c>
      <c r="K11" s="9" t="inlineStr">
        <is>
          <t>LL</t>
        </is>
      </c>
      <c r="L11" s="9" t="inlineStr">
        <is>
          <t>PL</t>
        </is>
      </c>
      <c r="M11" s="9" t="inlineStr">
        <is>
          <t>PI</t>
        </is>
      </c>
      <c r="N11" s="9" t="inlineStr">
        <is>
          <t>e0</t>
        </is>
      </c>
      <c r="O11" s="9" t="inlineStr">
        <is>
          <t>cu</t>
        </is>
      </c>
      <c r="P11" s="9" t="inlineStr">
        <is>
          <t>φ'</t>
        </is>
      </c>
      <c r="Q11" s="9" t="inlineStr">
        <is>
          <t>E</t>
        </is>
      </c>
      <c r="R11" s="9" t="inlineStr">
        <is>
          <t>ν</t>
        </is>
      </c>
      <c r="S11" s="9" t="inlineStr">
        <is>
          <t>m=B/2z</t>
        </is>
      </c>
      <c r="T11" s="9" t="inlineStr">
        <is>
          <t>n=L/2z</t>
        </is>
      </c>
      <c r="U11" s="9" t="inlineStr">
        <is>
          <t>I Bouss.</t>
        </is>
      </c>
      <c r="V11" s="9" t="inlineStr">
        <is>
          <t>Δσz pusat</t>
        </is>
      </c>
      <c r="W11" s="9" t="inlineStr">
        <is>
          <t>F1 (bawah)</t>
        </is>
      </c>
      <c r="X11" s="9" t="inlineStr">
        <is>
          <t>F2 (bawah)</t>
        </is>
      </c>
      <c r="Y11" s="9" t="inlineStr">
        <is>
          <t>faktor aktif</t>
        </is>
      </c>
      <c r="Z11" s="9" t="inlineStr">
        <is>
          <t>Si</t>
        </is>
      </c>
      <c r="AA11" s="9" t="inlineStr">
        <is>
          <t>Cc</t>
        </is>
      </c>
      <c r="AB11" s="9" t="inlineStr">
        <is>
          <t>Cr</t>
        </is>
      </c>
      <c r="AC11" s="9" t="inlineStr">
        <is>
          <t>σ'p</t>
        </is>
      </c>
      <c r="AD11" s="9" t="inlineStr">
        <is>
          <t>Sc</t>
        </is>
      </c>
      <c r="AE11" s="9" t="inlineStr">
        <is>
          <t>Cv</t>
        </is>
      </c>
      <c r="AF11" s="9" t="inlineStr">
        <is>
          <t>t90</t>
        </is>
      </c>
      <c r="AG11" s="9" t="inlineStr">
        <is>
          <t>Δ 0-Hb</t>
        </is>
      </c>
      <c r="AH11" s="9" t="inlineStr">
        <is>
          <t>Δ 0-Hb sisa</t>
        </is>
      </c>
      <c r="AI11" s="9" t="inlineStr">
        <is>
          <t>Δ 0-zI</t>
        </is>
      </c>
      <c r="AJ11" s="9" t="inlineStr">
        <is>
          <t>Ket.</t>
        </is>
      </c>
    </row>
    <row r="12">
      <c r="A12" s="9" t="inlineStr"/>
      <c r="B12" s="9" t="inlineStr">
        <is>
          <t>m</t>
        </is>
      </c>
      <c r="C12" s="9" t="inlineStr">
        <is>
          <t>m</t>
        </is>
      </c>
      <c r="D12" s="9" t="inlineStr">
        <is>
          <t>m</t>
        </is>
      </c>
      <c r="E12" s="9" t="inlineStr">
        <is>
          <t>m</t>
        </is>
      </c>
      <c r="F12" s="9" t="inlineStr"/>
      <c r="G12" s="9" t="inlineStr"/>
      <c r="H12" s="9" t="inlineStr">
        <is>
          <t>kN/m³</t>
        </is>
      </c>
      <c r="I12" s="9" t="inlineStr">
        <is>
          <t>kPa</t>
        </is>
      </c>
      <c r="J12" s="9" t="inlineStr">
        <is>
          <t>kPa</t>
        </is>
      </c>
      <c r="K12" s="9" t="inlineStr">
        <is>
          <t>%</t>
        </is>
      </c>
      <c r="L12" s="9" t="inlineStr">
        <is>
          <t>%</t>
        </is>
      </c>
      <c r="M12" s="9" t="inlineStr">
        <is>
          <t>%</t>
        </is>
      </c>
      <c r="N12" s="9" t="inlineStr">
        <is>
          <t>-</t>
        </is>
      </c>
      <c r="O12" s="9" t="inlineStr">
        <is>
          <t>kPa</t>
        </is>
      </c>
      <c r="P12" s="9" t="inlineStr">
        <is>
          <t>°</t>
        </is>
      </c>
      <c r="Q12" s="9" t="inlineStr">
        <is>
          <t>kPa</t>
        </is>
      </c>
      <c r="R12" s="9" t="inlineStr">
        <is>
          <t>-</t>
        </is>
      </c>
      <c r="S12" s="9" t="inlineStr">
        <is>
          <t>-</t>
        </is>
      </c>
      <c r="T12" s="9" t="inlineStr">
        <is>
          <t>-</t>
        </is>
      </c>
      <c r="U12" s="9" t="inlineStr">
        <is>
          <t>-</t>
        </is>
      </c>
      <c r="V12" s="9" t="inlineStr">
        <is>
          <t>kPa</t>
        </is>
      </c>
      <c r="W12" s="9" t="inlineStr">
        <is>
          <t>-</t>
        </is>
      </c>
      <c r="X12" s="9" t="inlineStr">
        <is>
          <t>-</t>
        </is>
      </c>
      <c r="Y12" s="9" t="inlineStr">
        <is>
          <t>-</t>
        </is>
      </c>
      <c r="Z12" s="9" t="inlineStr">
        <is>
          <t>mm</t>
        </is>
      </c>
      <c r="AA12" s="9" t="inlineStr">
        <is>
          <t>-</t>
        </is>
      </c>
      <c r="AB12" s="9" t="inlineStr">
        <is>
          <t>-</t>
        </is>
      </c>
      <c r="AC12" s="9" t="inlineStr">
        <is>
          <t>kPa</t>
        </is>
      </c>
      <c r="AD12" s="9" t="inlineStr">
        <is>
          <t>mm</t>
        </is>
      </c>
      <c r="AE12" s="9" t="inlineStr">
        <is>
          <t>cm²/s</t>
        </is>
      </c>
      <c r="AF12" s="9" t="inlineStr">
        <is>
          <t>tahun</t>
        </is>
      </c>
      <c r="AG12" s="9" t="inlineStr">
        <is>
          <t>m</t>
        </is>
      </c>
      <c r="AH12" s="9" t="inlineStr">
        <is>
          <t>m</t>
        </is>
      </c>
      <c r="AI12" s="9" t="inlineStr">
        <is>
          <t>m</t>
        </is>
      </c>
      <c r="AJ12" s="9" t="inlineStr"/>
    </row>
    <row r="13">
      <c r="A13" s="20" t="n">
        <v>1</v>
      </c>
      <c r="B13" s="21" t="n">
        <v>0</v>
      </c>
      <c r="C13" s="21" t="n">
        <v>1.5</v>
      </c>
      <c r="D13" s="13">
        <f>C13-B13</f>
        <v/>
      </c>
      <c r="E13" s="13">
        <f>(B13+C13)/2</f>
        <v/>
      </c>
      <c r="F13" s="22" t="inlineStr">
        <is>
          <t>Sand</t>
        </is>
      </c>
      <c r="G13" s="23" t="n">
        <v>46</v>
      </c>
      <c r="H13" s="12">
        <f>IF(E13&gt;$G$5,$G$7,$G$6)</f>
        <v/>
      </c>
      <c r="I13" s="12">
        <f>H13*D13</f>
        <v/>
      </c>
      <c r="J13" s="12">
        <f>I13-H13*D13/2-10*MAX(E13-$G$5,0)</f>
        <v/>
      </c>
      <c r="K13" s="24" t="n"/>
      <c r="L13" s="24" t="n"/>
      <c r="M13" s="12">
        <f>IF(K13="","",K13-L13)</f>
        <v/>
      </c>
      <c r="N13" s="25" t="n">
        <v>0.65</v>
      </c>
      <c r="O13" s="26">
        <f>IF(F13="Sand",0,Input!$G$19*G13)</f>
        <v/>
      </c>
      <c r="P13" s="12">
        <f>IF(F13="Sand",27.1+0.3*MIN(Input!$G$20*G13,60)-0.00054*MIN(Input!$G$20*G13,60)^2,MIN(MAX(DEGREES(ASIN(0.8-0.094*LN(MAX(IF(M13="",10,M13),5)))),20),30))</f>
        <v/>
      </c>
      <c r="Q13" s="27">
        <f>IF(F13="Sand",Input!$G$21*Input!$G$20*G13,Input!$G$22*O13)</f>
        <v/>
      </c>
      <c r="R13" s="13">
        <f>IF(F13="Sand",Input!$G$26,0.5)</f>
        <v/>
      </c>
      <c r="S13" s="13">
        <f>Input!$G$10/2/E13</f>
        <v/>
      </c>
      <c r="T13" s="13">
        <f>Input!$G$11/2/E13</f>
        <v/>
      </c>
      <c r="U13" s="28">
        <f>1/(4*PI())*(2*S13*T13*SQRT(S13^2+T13^2+1)/(S13^2+T13^2+1+S13^2*T13^2)*(S13^2+T13^2+2)/(S13^2+T13^2+1)+ATAN2(S13^2+T13^2+1-S13^2*T13^2,2*S13*T13*SQRT(S13^2+T13^2+1)))</f>
        <v/>
      </c>
      <c r="V13" s="12">
        <f>4*Input!$G$9*U13</f>
        <v/>
      </c>
      <c r="W13" s="29">
        <f>((Input!$G$11/Input!$G$10)*LN((1+SQRT((Input!$G$11/Input!$G$10)^2+1))*SQRT((Input!$G$11/Input!$G$10)^2+(C13/(Input!$G$10/2))^2)/((Input!$G$11/Input!$G$10)*(1+SQRT((Input!$G$11/Input!$G$10)^2+(C13/(Input!$G$10/2))^2+1))))+LN(((Input!$G$11/Input!$G$10)+SQRT((Input!$G$11/Input!$G$10)^2+1))*SQRT(1+(C13/(Input!$G$10/2))^2)/((Input!$G$11/Input!$G$10)+SQRT((Input!$G$11/Input!$G$10)^2+(C13/(Input!$G$10/2))^2+1))))/PI()</f>
        <v/>
      </c>
      <c r="X13" s="29">
        <f>(C13/(Input!$G$10/2))/(2*PI())*ATAN((Input!$G$11/Input!$G$10)/((C13/(Input!$G$10/2))*SQRT((Input!$G$11/Input!$G$10)^2+(C13/(Input!$G$10/2))^2+1)))</f>
        <v/>
      </c>
      <c r="Y13" s="13">
        <f>MAX(0,C13-MAX(B13,$G$8))/D13*IF(V13&gt;=Input!$G$27*J13,1,0)</f>
        <v/>
      </c>
      <c r="Z13" s="12">
        <f>4*Input!$G$9*(Input!$G$10/2)*(1-R13^2)/Q13*((W13-0)+(1-2*R13)/(1-R13)*(X13-0))*1000*Y13</f>
        <v/>
      </c>
      <c r="AA13" s="30">
        <f>IF(F13="Sand",0,0.009*(K13-10))</f>
        <v/>
      </c>
      <c r="AB13" s="30">
        <f>AA13*Input!$G$23</f>
        <v/>
      </c>
      <c r="AC13" s="26">
        <f>IF(F13="Sand",0,MAX(O13/Input!$G$24,J13))</f>
        <v/>
      </c>
      <c r="AD13" s="31">
        <f>IF(F13="Sand",0,1000*D13/(1+N13)*IF(J13+V13&lt;=AC13,AB13*LOG10((J13+V13)/J13),AB13*LOG10(AC13/J13)+AA13*LOG10((J13+V13)/AC13)))*Y13</f>
        <v/>
      </c>
      <c r="AE13" s="32">
        <f>IF(F13="Sand",0,10^(INDEX(Korelasi!$C$5:$C$11,MIN(MATCH(MIN(MAX(K13,30),120),Korelasi!$A$5:$A$11,1),6))+(MIN(MAX(K13,30),120)-INDEX(Korelasi!$A$5:$A$11,MIN(MATCH(MIN(MAX(K13,30),120),Korelasi!$A$5:$A$11,1),6)))/(INDEX(Korelasi!$A$5:$A$11,MIN(MATCH(MIN(MAX(K13,30),120),Korelasi!$A$5:$A$11,1),6)+1)-INDEX(Korelasi!$A$5:$A$11,MIN(MATCH(MIN(MAX(K13,30),120),Korelasi!$A$5:$A$11,1),6)))*(INDEX(Korelasi!$C$5:$C$11,MIN(MATCH(MIN(MAX(K13,30),120),Korelasi!$A$5:$A$11,1),6)+1)-INDEX(Korelasi!$C$5:$C$11,MIN(MATCH(MIN(MAX(K13,30),120),Korelasi!$A$5:$A$11,1),6)))))</f>
        <v/>
      </c>
      <c r="AF13" s="33">
        <f>IF(OR(F13="Sand",Y13=0),0,Input!$G$25*(D13/2)^2/(AE13*1E-4*31536000))</f>
        <v/>
      </c>
      <c r="AG13" s="13">
        <f>MAX(0,MIN(C13,Input!$G$15)-B13)</f>
        <v/>
      </c>
      <c r="AH13" s="13">
        <f>MAX(0,MIN(C13,Input!$G$15)-MAX(B13,$G$8))</f>
        <v/>
      </c>
      <c r="AI13" s="13">
        <f>MAX(0,MIN(C13,$G$106)-B13)</f>
        <v/>
      </c>
      <c r="AJ13" s="34" t="inlineStr">
        <is>
          <t>0-1,5 m tidak di-SPT: N lapisan berikut</t>
        </is>
      </c>
    </row>
    <row r="14">
      <c r="A14" s="20" t="n">
        <v>2</v>
      </c>
      <c r="B14" s="21" t="n">
        <v>1.5</v>
      </c>
      <c r="C14" s="21" t="n">
        <v>3</v>
      </c>
      <c r="D14" s="13">
        <f>C14-B14</f>
        <v/>
      </c>
      <c r="E14" s="13">
        <f>(B14+C14)/2</f>
        <v/>
      </c>
      <c r="F14" s="22" t="inlineStr">
        <is>
          <t>Sand</t>
        </is>
      </c>
      <c r="G14" s="23" t="n">
        <v>46</v>
      </c>
      <c r="H14" s="12">
        <f>IF(E14&gt;$G$5,$G$7,$G$6)</f>
        <v/>
      </c>
      <c r="I14" s="12">
        <f>I13+H14*D14</f>
        <v/>
      </c>
      <c r="J14" s="12">
        <f>I14-H14*D14/2-10*MAX(E14-$G$5,0)</f>
        <v/>
      </c>
      <c r="K14" s="24" t="n"/>
      <c r="L14" s="24" t="n"/>
      <c r="M14" s="12">
        <f>IF(K14="","",K14-L14)</f>
        <v/>
      </c>
      <c r="N14" s="25" t="n">
        <v>0.659</v>
      </c>
      <c r="O14" s="26">
        <f>IF(F14="Sand",0,Input!$G$19*G14)</f>
        <v/>
      </c>
      <c r="P14" s="12">
        <f>IF(F14="Sand",27.1+0.3*MIN(Input!$G$20*G14,60)-0.00054*MIN(Input!$G$20*G14,60)^2,MIN(MAX(DEGREES(ASIN(0.8-0.094*LN(MAX(IF(M14="",10,M14),5)))),20),30))</f>
        <v/>
      </c>
      <c r="Q14" s="27">
        <f>IF(F14="Sand",Input!$G$21*Input!$G$20*G14,Input!$G$22*O14)</f>
        <v/>
      </c>
      <c r="R14" s="13">
        <f>IF(F14="Sand",Input!$G$26,0.5)</f>
        <v/>
      </c>
      <c r="S14" s="13">
        <f>Input!$G$10/2/E14</f>
        <v/>
      </c>
      <c r="T14" s="13">
        <f>Input!$G$11/2/E14</f>
        <v/>
      </c>
      <c r="U14" s="28">
        <f>1/(4*PI())*(2*S14*T14*SQRT(S14^2+T14^2+1)/(S14^2+T14^2+1+S14^2*T14^2)*(S14^2+T14^2+2)/(S14^2+T14^2+1)+ATAN2(S14^2+T14^2+1-S14^2*T14^2,2*S14*T14*SQRT(S14^2+T14^2+1)))</f>
        <v/>
      </c>
      <c r="V14" s="12">
        <f>4*Input!$G$9*U14</f>
        <v/>
      </c>
      <c r="W14" s="29">
        <f>((Input!$G$11/Input!$G$10)*LN((1+SQRT((Input!$G$11/Input!$G$10)^2+1))*SQRT((Input!$G$11/Input!$G$10)^2+(C14/(Input!$G$10/2))^2)/((Input!$G$11/Input!$G$10)*(1+SQRT((Input!$G$11/Input!$G$10)^2+(C14/(Input!$G$10/2))^2+1))))+LN(((Input!$G$11/Input!$G$10)+SQRT((Input!$G$11/Input!$G$10)^2+1))*SQRT(1+(C14/(Input!$G$10/2))^2)/((Input!$G$11/Input!$G$10)+SQRT((Input!$G$11/Input!$G$10)^2+(C14/(Input!$G$10/2))^2+1))))/PI()</f>
        <v/>
      </c>
      <c r="X14" s="29">
        <f>(C14/(Input!$G$10/2))/(2*PI())*ATAN((Input!$G$11/Input!$G$10)/((C14/(Input!$G$10/2))*SQRT((Input!$G$11/Input!$G$10)^2+(C14/(Input!$G$10/2))^2+1)))</f>
        <v/>
      </c>
      <c r="Y14" s="13">
        <f>MAX(0,C14-MAX(B14,$G$8))/D14*IF(V14&gt;=Input!$G$27*J14,1,0)</f>
        <v/>
      </c>
      <c r="Z14" s="12">
        <f>4*Input!$G$9*(Input!$G$10/2)*(1-R14^2)/Q14*((W14-W13)+(1-2*R14)/(1-R14)*(X14-X13))*1000*Y14</f>
        <v/>
      </c>
      <c r="AA14" s="30">
        <f>IF(F14="Sand",0,0.009*(K14-10))</f>
        <v/>
      </c>
      <c r="AB14" s="30">
        <f>AA14*Input!$G$23</f>
        <v/>
      </c>
      <c r="AC14" s="26">
        <f>IF(F14="Sand",0,MAX(O14/Input!$G$24,J14))</f>
        <v/>
      </c>
      <c r="AD14" s="31">
        <f>IF(F14="Sand",0,1000*D14/(1+N14)*IF(J14+V14&lt;=AC14,AB14*LOG10((J14+V14)/J14),AB14*LOG10(AC14/J14)+AA14*LOG10((J14+V14)/AC14)))*Y14</f>
        <v/>
      </c>
      <c r="AE14" s="32">
        <f>IF(F14="Sand",0,10^(INDEX(Korelasi!$C$5:$C$11,MIN(MATCH(MIN(MAX(K14,30),120),Korelasi!$A$5:$A$11,1),6))+(MIN(MAX(K14,30),120)-INDEX(Korelasi!$A$5:$A$11,MIN(MATCH(MIN(MAX(K14,30),120),Korelasi!$A$5:$A$11,1),6)))/(INDEX(Korelasi!$A$5:$A$11,MIN(MATCH(MIN(MAX(K14,30),120),Korelasi!$A$5:$A$11,1),6)+1)-INDEX(Korelasi!$A$5:$A$11,MIN(MATCH(MIN(MAX(K14,30),120),Korelasi!$A$5:$A$11,1),6)))*(INDEX(Korelasi!$C$5:$C$11,MIN(MATCH(MIN(MAX(K14,30),120),Korelasi!$A$5:$A$11,1),6)+1)-INDEX(Korelasi!$C$5:$C$11,MIN(MATCH(MIN(MAX(K14,30),120),Korelasi!$A$5:$A$11,1),6)))))</f>
        <v/>
      </c>
      <c r="AF14" s="33">
        <f>IF(OR(F14="Sand",Y14=0),0,Input!$G$25*(D14/2)^2/(AE14*1E-4*31536000))</f>
        <v/>
      </c>
      <c r="AG14" s="13">
        <f>MAX(0,MIN(C14,Input!$G$15)-B14)</f>
        <v/>
      </c>
      <c r="AH14" s="13">
        <f>MAX(0,MIN(C14,Input!$G$15)-MAX(B14,$G$8))</f>
        <v/>
      </c>
      <c r="AI14" s="13">
        <f>MAX(0,MIN(C14,$G$106)-B14)</f>
        <v/>
      </c>
      <c r="AJ14" s="34" t="inlineStr"/>
    </row>
    <row r="15">
      <c r="A15" s="20" t="n">
        <v>3</v>
      </c>
      <c r="B15" s="21" t="n">
        <v>3</v>
      </c>
      <c r="C15" s="21" t="n">
        <v>4.5</v>
      </c>
      <c r="D15" s="13">
        <f>C15-B15</f>
        <v/>
      </c>
      <c r="E15" s="13">
        <f>(B15+C15)/2</f>
        <v/>
      </c>
      <c r="F15" s="22" t="inlineStr">
        <is>
          <t>Sand</t>
        </is>
      </c>
      <c r="G15" s="23" t="n">
        <v>50</v>
      </c>
      <c r="H15" s="12">
        <f>IF(E15&gt;$G$5,$G$7,$G$6)</f>
        <v/>
      </c>
      <c r="I15" s="12">
        <f>I14+H15*D15</f>
        <v/>
      </c>
      <c r="J15" s="12">
        <f>I15-H15*D15/2-10*MAX(E15-$G$5,0)</f>
        <v/>
      </c>
      <c r="K15" s="24" t="n"/>
      <c r="L15" s="24" t="n"/>
      <c r="M15" s="12">
        <f>IF(K15="","",K15-L15)</f>
        <v/>
      </c>
      <c r="N15" s="25" t="n">
        <v>0.65</v>
      </c>
      <c r="O15" s="26">
        <f>IF(F15="Sand",0,Input!$G$19*G15)</f>
        <v/>
      </c>
      <c r="P15" s="12">
        <f>IF(F15="Sand",27.1+0.3*MIN(Input!$G$20*G15,60)-0.00054*MIN(Input!$G$20*G15,60)^2,MIN(MAX(DEGREES(ASIN(0.8-0.094*LN(MAX(IF(M15="",10,M15),5)))),20),30))</f>
        <v/>
      </c>
      <c r="Q15" s="27">
        <f>IF(F15="Sand",Input!$G$21*Input!$G$20*G15,Input!$G$22*O15)</f>
        <v/>
      </c>
      <c r="R15" s="13">
        <f>IF(F15="Sand",Input!$G$26,0.5)</f>
        <v/>
      </c>
      <c r="S15" s="13">
        <f>Input!$G$10/2/E15</f>
        <v/>
      </c>
      <c r="T15" s="13">
        <f>Input!$G$11/2/E15</f>
        <v/>
      </c>
      <c r="U15" s="28">
        <f>1/(4*PI())*(2*S15*T15*SQRT(S15^2+T15^2+1)/(S15^2+T15^2+1+S15^2*T15^2)*(S15^2+T15^2+2)/(S15^2+T15^2+1)+ATAN2(S15^2+T15^2+1-S15^2*T15^2,2*S15*T15*SQRT(S15^2+T15^2+1)))</f>
        <v/>
      </c>
      <c r="V15" s="12">
        <f>4*Input!$G$9*U15</f>
        <v/>
      </c>
      <c r="W15" s="29">
        <f>((Input!$G$11/Input!$G$10)*LN((1+SQRT((Input!$G$11/Input!$G$10)^2+1))*SQRT((Input!$G$11/Input!$G$10)^2+(C15/(Input!$G$10/2))^2)/((Input!$G$11/Input!$G$10)*(1+SQRT((Input!$G$11/Input!$G$10)^2+(C15/(Input!$G$10/2))^2+1))))+LN(((Input!$G$11/Input!$G$10)+SQRT((Input!$G$11/Input!$G$10)^2+1))*SQRT(1+(C15/(Input!$G$10/2))^2)/((Input!$G$11/Input!$G$10)+SQRT((Input!$G$11/Input!$G$10)^2+(C15/(Input!$G$10/2))^2+1))))/PI()</f>
        <v/>
      </c>
      <c r="X15" s="29">
        <f>(C15/(Input!$G$10/2))/(2*PI())*ATAN((Input!$G$11/Input!$G$10)/((C15/(Input!$G$10/2))*SQRT((Input!$G$11/Input!$G$10)^2+(C15/(Input!$G$10/2))^2+1)))</f>
        <v/>
      </c>
      <c r="Y15" s="13">
        <f>MAX(0,C15-MAX(B15,$G$8))/D15*IF(V15&gt;=Input!$G$27*J15,1,0)</f>
        <v/>
      </c>
      <c r="Z15" s="12">
        <f>4*Input!$G$9*(Input!$G$10/2)*(1-R15^2)/Q15*((W15-W14)+(1-2*R15)/(1-R15)*(X15-X14))*1000*Y15</f>
        <v/>
      </c>
      <c r="AA15" s="30">
        <f>IF(F15="Sand",0,0.009*(K15-10))</f>
        <v/>
      </c>
      <c r="AB15" s="30">
        <f>AA15*Input!$G$23</f>
        <v/>
      </c>
      <c r="AC15" s="26">
        <f>IF(F15="Sand",0,MAX(O15/Input!$G$24,J15))</f>
        <v/>
      </c>
      <c r="AD15" s="31">
        <f>IF(F15="Sand",0,1000*D15/(1+N15)*IF(J15+V15&lt;=AC15,AB15*LOG10((J15+V15)/J15),AB15*LOG10(AC15/J15)+AA15*LOG10((J15+V15)/AC15)))*Y15</f>
        <v/>
      </c>
      <c r="AE15" s="32">
        <f>IF(F15="Sand",0,10^(INDEX(Korelasi!$C$5:$C$11,MIN(MATCH(MIN(MAX(K15,30),120),Korelasi!$A$5:$A$11,1),6))+(MIN(MAX(K15,30),120)-INDEX(Korelasi!$A$5:$A$11,MIN(MATCH(MIN(MAX(K15,30),120),Korelasi!$A$5:$A$11,1),6)))/(INDEX(Korelasi!$A$5:$A$11,MIN(MATCH(MIN(MAX(K15,30),120),Korelasi!$A$5:$A$11,1),6)+1)-INDEX(Korelasi!$A$5:$A$11,MIN(MATCH(MIN(MAX(K15,30),120),Korelasi!$A$5:$A$11,1),6)))*(INDEX(Korelasi!$C$5:$C$11,MIN(MATCH(MIN(MAX(K15,30),120),Korelasi!$A$5:$A$11,1),6)+1)-INDEX(Korelasi!$C$5:$C$11,MIN(MATCH(MIN(MAX(K15,30),120),Korelasi!$A$5:$A$11,1),6)))))</f>
        <v/>
      </c>
      <c r="AF15" s="33">
        <f>IF(OR(F15="Sand",Y15=0),0,Input!$G$25*(D15/2)^2/(AE15*1E-4*31536000))</f>
        <v/>
      </c>
      <c r="AG15" s="13">
        <f>MAX(0,MIN(C15,Input!$G$15)-B15)</f>
        <v/>
      </c>
      <c r="AH15" s="13">
        <f>MAX(0,MIN(C15,Input!$G$15)-MAX(B15,$G$8))</f>
        <v/>
      </c>
      <c r="AI15" s="13">
        <f>MAX(0,MIN(C15,$G$106)-B15)</f>
        <v/>
      </c>
      <c r="AJ15" s="34" t="inlineStr"/>
    </row>
    <row r="16">
      <c r="A16" s="20" t="n">
        <v>4</v>
      </c>
      <c r="B16" s="21" t="n">
        <v>4.5</v>
      </c>
      <c r="C16" s="21" t="n">
        <v>6</v>
      </c>
      <c r="D16" s="13">
        <f>C16-B16</f>
        <v/>
      </c>
      <c r="E16" s="13">
        <f>(B16+C16)/2</f>
        <v/>
      </c>
      <c r="F16" s="22" t="inlineStr">
        <is>
          <t>Sand</t>
        </is>
      </c>
      <c r="G16" s="23" t="n">
        <v>50</v>
      </c>
      <c r="H16" s="12">
        <f>IF(E16&gt;$G$5,$G$7,$G$6)</f>
        <v/>
      </c>
      <c r="I16" s="12">
        <f>I15+H16*D16</f>
        <v/>
      </c>
      <c r="J16" s="12">
        <f>I16-H16*D16/2-10*MAX(E16-$G$5,0)</f>
        <v/>
      </c>
      <c r="K16" s="24" t="n"/>
      <c r="L16" s="24" t="n"/>
      <c r="M16" s="12">
        <f>IF(K16="","",K16-L16)</f>
        <v/>
      </c>
      <c r="N16" s="25" t="n">
        <v>0.783</v>
      </c>
      <c r="O16" s="26">
        <f>IF(F16="Sand",0,Input!$G$19*G16)</f>
        <v/>
      </c>
      <c r="P16" s="12">
        <f>IF(F16="Sand",27.1+0.3*MIN(Input!$G$20*G16,60)-0.00054*MIN(Input!$G$20*G16,60)^2,MIN(MAX(DEGREES(ASIN(0.8-0.094*LN(MAX(IF(M16="",10,M16),5)))),20),30))</f>
        <v/>
      </c>
      <c r="Q16" s="27">
        <f>IF(F16="Sand",Input!$G$21*Input!$G$20*G16,Input!$G$22*O16)</f>
        <v/>
      </c>
      <c r="R16" s="13">
        <f>IF(F16="Sand",Input!$G$26,0.5)</f>
        <v/>
      </c>
      <c r="S16" s="13">
        <f>Input!$G$10/2/E16</f>
        <v/>
      </c>
      <c r="T16" s="13">
        <f>Input!$G$11/2/E16</f>
        <v/>
      </c>
      <c r="U16" s="28">
        <f>1/(4*PI())*(2*S16*T16*SQRT(S16^2+T16^2+1)/(S16^2+T16^2+1+S16^2*T16^2)*(S16^2+T16^2+2)/(S16^2+T16^2+1)+ATAN2(S16^2+T16^2+1-S16^2*T16^2,2*S16*T16*SQRT(S16^2+T16^2+1)))</f>
        <v/>
      </c>
      <c r="V16" s="12">
        <f>4*Input!$G$9*U16</f>
        <v/>
      </c>
      <c r="W16" s="29">
        <f>((Input!$G$11/Input!$G$10)*LN((1+SQRT((Input!$G$11/Input!$G$10)^2+1))*SQRT((Input!$G$11/Input!$G$10)^2+(C16/(Input!$G$10/2))^2)/((Input!$G$11/Input!$G$10)*(1+SQRT((Input!$G$11/Input!$G$10)^2+(C16/(Input!$G$10/2))^2+1))))+LN(((Input!$G$11/Input!$G$10)+SQRT((Input!$G$11/Input!$G$10)^2+1))*SQRT(1+(C16/(Input!$G$10/2))^2)/((Input!$G$11/Input!$G$10)+SQRT((Input!$G$11/Input!$G$10)^2+(C16/(Input!$G$10/2))^2+1))))/PI()</f>
        <v/>
      </c>
      <c r="X16" s="29">
        <f>(C16/(Input!$G$10/2))/(2*PI())*ATAN((Input!$G$11/Input!$G$10)/((C16/(Input!$G$10/2))*SQRT((Input!$G$11/Input!$G$10)^2+(C16/(Input!$G$10/2))^2+1)))</f>
        <v/>
      </c>
      <c r="Y16" s="13">
        <f>MAX(0,C16-MAX(B16,$G$8))/D16*IF(V16&gt;=Input!$G$27*J16,1,0)</f>
        <v/>
      </c>
      <c r="Z16" s="12">
        <f>4*Input!$G$9*(Input!$G$10/2)*(1-R16^2)/Q16*((W16-W15)+(1-2*R16)/(1-R16)*(X16-X15))*1000*Y16</f>
        <v/>
      </c>
      <c r="AA16" s="30">
        <f>IF(F16="Sand",0,0.009*(K16-10))</f>
        <v/>
      </c>
      <c r="AB16" s="30">
        <f>AA16*Input!$G$23</f>
        <v/>
      </c>
      <c r="AC16" s="26">
        <f>IF(F16="Sand",0,MAX(O16/Input!$G$24,J16))</f>
        <v/>
      </c>
      <c r="AD16" s="31">
        <f>IF(F16="Sand",0,1000*D16/(1+N16)*IF(J16+V16&lt;=AC16,AB16*LOG10((J16+V16)/J16),AB16*LOG10(AC16/J16)+AA16*LOG10((J16+V16)/AC16)))*Y16</f>
        <v/>
      </c>
      <c r="AE16" s="32">
        <f>IF(F16="Sand",0,10^(INDEX(Korelasi!$C$5:$C$11,MIN(MATCH(MIN(MAX(K16,30),120),Korelasi!$A$5:$A$11,1),6))+(MIN(MAX(K16,30),120)-INDEX(Korelasi!$A$5:$A$11,MIN(MATCH(MIN(MAX(K16,30),120),Korelasi!$A$5:$A$11,1),6)))/(INDEX(Korelasi!$A$5:$A$11,MIN(MATCH(MIN(MAX(K16,30),120),Korelasi!$A$5:$A$11,1),6)+1)-INDEX(Korelasi!$A$5:$A$11,MIN(MATCH(MIN(MAX(K16,30),120),Korelasi!$A$5:$A$11,1),6)))*(INDEX(Korelasi!$C$5:$C$11,MIN(MATCH(MIN(MAX(K16,30),120),Korelasi!$A$5:$A$11,1),6)+1)-INDEX(Korelasi!$C$5:$C$11,MIN(MATCH(MIN(MAX(K16,30),120),Korelasi!$A$5:$A$11,1),6)))))</f>
        <v/>
      </c>
      <c r="AF16" s="33">
        <f>IF(OR(F16="Sand",Y16=0),0,Input!$G$25*(D16/2)^2/(AE16*1E-4*31536000))</f>
        <v/>
      </c>
      <c r="AG16" s="13">
        <f>MAX(0,MIN(C16,Input!$G$15)-B16)</f>
        <v/>
      </c>
      <c r="AH16" s="13">
        <f>MAX(0,MIN(C16,Input!$G$15)-MAX(B16,$G$8))</f>
        <v/>
      </c>
      <c r="AI16" s="13">
        <f>MAX(0,MIN(C16,$G$106)-B16)</f>
        <v/>
      </c>
      <c r="AJ16" s="34" t="inlineStr"/>
    </row>
    <row r="17">
      <c r="A17" s="20" t="n">
        <v>5</v>
      </c>
      <c r="B17" s="21" t="n">
        <v>6</v>
      </c>
      <c r="C17" s="21" t="n">
        <v>7.5</v>
      </c>
      <c r="D17" s="13">
        <f>C17-B17</f>
        <v/>
      </c>
      <c r="E17" s="13">
        <f>(B17+C17)/2</f>
        <v/>
      </c>
      <c r="F17" s="22" t="inlineStr">
        <is>
          <t>Sand</t>
        </is>
      </c>
      <c r="G17" s="23" t="n">
        <v>32</v>
      </c>
      <c r="H17" s="12">
        <f>IF(E17&gt;$G$5,$G$7,$G$6)</f>
        <v/>
      </c>
      <c r="I17" s="12">
        <f>I16+H17*D17</f>
        <v/>
      </c>
      <c r="J17" s="12">
        <f>I17-H17*D17/2-10*MAX(E17-$G$5,0)</f>
        <v/>
      </c>
      <c r="K17" s="24" t="n"/>
      <c r="L17" s="24" t="n"/>
      <c r="M17" s="12">
        <f>IF(K17="","",K17-L17)</f>
        <v/>
      </c>
      <c r="N17" s="25" t="n">
        <v>0.43</v>
      </c>
      <c r="O17" s="26">
        <f>IF(F17="Sand",0,Input!$G$19*G17)</f>
        <v/>
      </c>
      <c r="P17" s="12">
        <f>IF(F17="Sand",27.1+0.3*MIN(Input!$G$20*G17,60)-0.00054*MIN(Input!$G$20*G17,60)^2,MIN(MAX(DEGREES(ASIN(0.8-0.094*LN(MAX(IF(M17="",10,M17),5)))),20),30))</f>
        <v/>
      </c>
      <c r="Q17" s="27">
        <f>IF(F17="Sand",Input!$G$21*Input!$G$20*G17,Input!$G$22*O17)</f>
        <v/>
      </c>
      <c r="R17" s="13">
        <f>IF(F17="Sand",Input!$G$26,0.5)</f>
        <v/>
      </c>
      <c r="S17" s="13">
        <f>Input!$G$10/2/E17</f>
        <v/>
      </c>
      <c r="T17" s="13">
        <f>Input!$G$11/2/E17</f>
        <v/>
      </c>
      <c r="U17" s="28">
        <f>1/(4*PI())*(2*S17*T17*SQRT(S17^2+T17^2+1)/(S17^2+T17^2+1+S17^2*T17^2)*(S17^2+T17^2+2)/(S17^2+T17^2+1)+ATAN2(S17^2+T17^2+1-S17^2*T17^2,2*S17*T17*SQRT(S17^2+T17^2+1)))</f>
        <v/>
      </c>
      <c r="V17" s="12">
        <f>4*Input!$G$9*U17</f>
        <v/>
      </c>
      <c r="W17" s="29">
        <f>((Input!$G$11/Input!$G$10)*LN((1+SQRT((Input!$G$11/Input!$G$10)^2+1))*SQRT((Input!$G$11/Input!$G$10)^2+(C17/(Input!$G$10/2))^2)/((Input!$G$11/Input!$G$10)*(1+SQRT((Input!$G$11/Input!$G$10)^2+(C17/(Input!$G$10/2))^2+1))))+LN(((Input!$G$11/Input!$G$10)+SQRT((Input!$G$11/Input!$G$10)^2+1))*SQRT(1+(C17/(Input!$G$10/2))^2)/((Input!$G$11/Input!$G$10)+SQRT((Input!$G$11/Input!$G$10)^2+(C17/(Input!$G$10/2))^2+1))))/PI()</f>
        <v/>
      </c>
      <c r="X17" s="29">
        <f>(C17/(Input!$G$10/2))/(2*PI())*ATAN((Input!$G$11/Input!$G$10)/((C17/(Input!$G$10/2))*SQRT((Input!$G$11/Input!$G$10)^2+(C17/(Input!$G$10/2))^2+1)))</f>
        <v/>
      </c>
      <c r="Y17" s="13">
        <f>MAX(0,C17-MAX(B17,$G$8))/D17*IF(V17&gt;=Input!$G$27*J17,1,0)</f>
        <v/>
      </c>
      <c r="Z17" s="12">
        <f>4*Input!$G$9*(Input!$G$10/2)*(1-R17^2)/Q17*((W17-W16)+(1-2*R17)/(1-R17)*(X17-X16))*1000*Y17</f>
        <v/>
      </c>
      <c r="AA17" s="30">
        <f>IF(F17="Sand",0,0.009*(K17-10))</f>
        <v/>
      </c>
      <c r="AB17" s="30">
        <f>AA17*Input!$G$23</f>
        <v/>
      </c>
      <c r="AC17" s="26">
        <f>IF(F17="Sand",0,MAX(O17/Input!$G$24,J17))</f>
        <v/>
      </c>
      <c r="AD17" s="31">
        <f>IF(F17="Sand",0,1000*D17/(1+N17)*IF(J17+V17&lt;=AC17,AB17*LOG10((J17+V17)/J17),AB17*LOG10(AC17/J17)+AA17*LOG10((J17+V17)/AC17)))*Y17</f>
        <v/>
      </c>
      <c r="AE17" s="32">
        <f>IF(F17="Sand",0,10^(INDEX(Korelasi!$C$5:$C$11,MIN(MATCH(MIN(MAX(K17,30),120),Korelasi!$A$5:$A$11,1),6))+(MIN(MAX(K17,30),120)-INDEX(Korelasi!$A$5:$A$11,MIN(MATCH(MIN(MAX(K17,30),120),Korelasi!$A$5:$A$11,1),6)))/(INDEX(Korelasi!$A$5:$A$11,MIN(MATCH(MIN(MAX(K17,30),120),Korelasi!$A$5:$A$11,1),6)+1)-INDEX(Korelasi!$A$5:$A$11,MIN(MATCH(MIN(MAX(K17,30),120),Korelasi!$A$5:$A$11,1),6)))*(INDEX(Korelasi!$C$5:$C$11,MIN(MATCH(MIN(MAX(K17,30),120),Korelasi!$A$5:$A$11,1),6)+1)-INDEX(Korelasi!$C$5:$C$11,MIN(MATCH(MIN(MAX(K17,30),120),Korelasi!$A$5:$A$11,1),6)))))</f>
        <v/>
      </c>
      <c r="AF17" s="33">
        <f>IF(OR(F17="Sand",Y17=0),0,Input!$G$25*(D17/2)^2/(AE17*1E-4*31536000))</f>
        <v/>
      </c>
      <c r="AG17" s="13">
        <f>MAX(0,MIN(C17,Input!$G$15)-B17)</f>
        <v/>
      </c>
      <c r="AH17" s="13">
        <f>MAX(0,MIN(C17,Input!$G$15)-MAX(B17,$G$8))</f>
        <v/>
      </c>
      <c r="AI17" s="13">
        <f>MAX(0,MIN(C17,$G$106)-B17)</f>
        <v/>
      </c>
      <c r="AJ17" s="34" t="inlineStr"/>
    </row>
    <row r="18">
      <c r="A18" s="20" t="n">
        <v>6</v>
      </c>
      <c r="B18" s="21" t="n">
        <v>7.5</v>
      </c>
      <c r="C18" s="21" t="n">
        <v>9</v>
      </c>
      <c r="D18" s="13">
        <f>C18-B18</f>
        <v/>
      </c>
      <c r="E18" s="13">
        <f>(B18+C18)/2</f>
        <v/>
      </c>
      <c r="F18" s="22" t="inlineStr">
        <is>
          <t>Sand</t>
        </is>
      </c>
      <c r="G18" s="23" t="n">
        <v>28</v>
      </c>
      <c r="H18" s="12">
        <f>IF(E18&gt;$G$5,$G$7,$G$6)</f>
        <v/>
      </c>
      <c r="I18" s="12">
        <f>I17+H18*D18</f>
        <v/>
      </c>
      <c r="J18" s="12">
        <f>I18-H18*D18/2-10*MAX(E18-$G$5,0)</f>
        <v/>
      </c>
      <c r="K18" s="24" t="n"/>
      <c r="L18" s="24" t="n"/>
      <c r="M18" s="12">
        <f>IF(K18="","",K18-L18)</f>
        <v/>
      </c>
      <c r="N18" s="25" t="n">
        <v>0.715</v>
      </c>
      <c r="O18" s="26">
        <f>IF(F18="Sand",0,Input!$G$19*G18)</f>
        <v/>
      </c>
      <c r="P18" s="12">
        <f>IF(F18="Sand",27.1+0.3*MIN(Input!$G$20*G18,60)-0.00054*MIN(Input!$G$20*G18,60)^2,MIN(MAX(DEGREES(ASIN(0.8-0.094*LN(MAX(IF(M18="",10,M18),5)))),20),30))</f>
        <v/>
      </c>
      <c r="Q18" s="27">
        <f>IF(F18="Sand",Input!$G$21*Input!$G$20*G18,Input!$G$22*O18)</f>
        <v/>
      </c>
      <c r="R18" s="13">
        <f>IF(F18="Sand",Input!$G$26,0.5)</f>
        <v/>
      </c>
      <c r="S18" s="13">
        <f>Input!$G$10/2/E18</f>
        <v/>
      </c>
      <c r="T18" s="13">
        <f>Input!$G$11/2/E18</f>
        <v/>
      </c>
      <c r="U18" s="28">
        <f>1/(4*PI())*(2*S18*T18*SQRT(S18^2+T18^2+1)/(S18^2+T18^2+1+S18^2*T18^2)*(S18^2+T18^2+2)/(S18^2+T18^2+1)+ATAN2(S18^2+T18^2+1-S18^2*T18^2,2*S18*T18*SQRT(S18^2+T18^2+1)))</f>
        <v/>
      </c>
      <c r="V18" s="12">
        <f>4*Input!$G$9*U18</f>
        <v/>
      </c>
      <c r="W18" s="29">
        <f>((Input!$G$11/Input!$G$10)*LN((1+SQRT((Input!$G$11/Input!$G$10)^2+1))*SQRT((Input!$G$11/Input!$G$10)^2+(C18/(Input!$G$10/2))^2)/((Input!$G$11/Input!$G$10)*(1+SQRT((Input!$G$11/Input!$G$10)^2+(C18/(Input!$G$10/2))^2+1))))+LN(((Input!$G$11/Input!$G$10)+SQRT((Input!$G$11/Input!$G$10)^2+1))*SQRT(1+(C18/(Input!$G$10/2))^2)/((Input!$G$11/Input!$G$10)+SQRT((Input!$G$11/Input!$G$10)^2+(C18/(Input!$G$10/2))^2+1))))/PI()</f>
        <v/>
      </c>
      <c r="X18" s="29">
        <f>(C18/(Input!$G$10/2))/(2*PI())*ATAN((Input!$G$11/Input!$G$10)/((C18/(Input!$G$10/2))*SQRT((Input!$G$11/Input!$G$10)^2+(C18/(Input!$G$10/2))^2+1)))</f>
        <v/>
      </c>
      <c r="Y18" s="13">
        <f>MAX(0,C18-MAX(B18,$G$8))/D18*IF(V18&gt;=Input!$G$27*J18,1,0)</f>
        <v/>
      </c>
      <c r="Z18" s="12">
        <f>4*Input!$G$9*(Input!$G$10/2)*(1-R18^2)/Q18*((W18-W17)+(1-2*R18)/(1-R18)*(X18-X17))*1000*Y18</f>
        <v/>
      </c>
      <c r="AA18" s="30">
        <f>IF(F18="Sand",0,0.009*(K18-10))</f>
        <v/>
      </c>
      <c r="AB18" s="30">
        <f>AA18*Input!$G$23</f>
        <v/>
      </c>
      <c r="AC18" s="26">
        <f>IF(F18="Sand",0,MAX(O18/Input!$G$24,J18))</f>
        <v/>
      </c>
      <c r="AD18" s="31">
        <f>IF(F18="Sand",0,1000*D18/(1+N18)*IF(J18+V18&lt;=AC18,AB18*LOG10((J18+V18)/J18),AB18*LOG10(AC18/J18)+AA18*LOG10((J18+V18)/AC18)))*Y18</f>
        <v/>
      </c>
      <c r="AE18" s="32">
        <f>IF(F18="Sand",0,10^(INDEX(Korelasi!$C$5:$C$11,MIN(MATCH(MIN(MAX(K18,30),120),Korelasi!$A$5:$A$11,1),6))+(MIN(MAX(K18,30),120)-INDEX(Korelasi!$A$5:$A$11,MIN(MATCH(MIN(MAX(K18,30),120),Korelasi!$A$5:$A$11,1),6)))/(INDEX(Korelasi!$A$5:$A$11,MIN(MATCH(MIN(MAX(K18,30),120),Korelasi!$A$5:$A$11,1),6)+1)-INDEX(Korelasi!$A$5:$A$11,MIN(MATCH(MIN(MAX(K18,30),120),Korelasi!$A$5:$A$11,1),6)))*(INDEX(Korelasi!$C$5:$C$11,MIN(MATCH(MIN(MAX(K18,30),120),Korelasi!$A$5:$A$11,1),6)+1)-INDEX(Korelasi!$C$5:$C$11,MIN(MATCH(MIN(MAX(K18,30),120),Korelasi!$A$5:$A$11,1),6)))))</f>
        <v/>
      </c>
      <c r="AF18" s="33">
        <f>IF(OR(F18="Sand",Y18=0),0,Input!$G$25*(D18/2)^2/(AE18*1E-4*31536000))</f>
        <v/>
      </c>
      <c r="AG18" s="13">
        <f>MAX(0,MIN(C18,Input!$G$15)-B18)</f>
        <v/>
      </c>
      <c r="AH18" s="13">
        <f>MAX(0,MIN(C18,Input!$G$15)-MAX(B18,$G$8))</f>
        <v/>
      </c>
      <c r="AI18" s="13">
        <f>MAX(0,MIN(C18,$G$106)-B18)</f>
        <v/>
      </c>
      <c r="AJ18" s="34" t="inlineStr"/>
    </row>
    <row r="19">
      <c r="A19" s="20" t="n">
        <v>7</v>
      </c>
      <c r="B19" s="21" t="n">
        <v>9</v>
      </c>
      <c r="C19" s="21" t="n">
        <v>10.5</v>
      </c>
      <c r="D19" s="13">
        <f>C19-B19</f>
        <v/>
      </c>
      <c r="E19" s="13">
        <f>(B19+C19)/2</f>
        <v/>
      </c>
      <c r="F19" s="22" t="inlineStr">
        <is>
          <t>Silt</t>
        </is>
      </c>
      <c r="G19" s="23" t="n">
        <v>35</v>
      </c>
      <c r="H19" s="12">
        <f>IF(E19&gt;$G$5,$G$7,$G$6)</f>
        <v/>
      </c>
      <c r="I19" s="12">
        <f>I18+H19*D19</f>
        <v/>
      </c>
      <c r="J19" s="12">
        <f>I19-H19*D19/2-10*MAX(E19-$G$5,0)</f>
        <v/>
      </c>
      <c r="K19" s="24" t="n">
        <v>25.866</v>
      </c>
      <c r="L19" s="24" t="n">
        <v>19.5</v>
      </c>
      <c r="M19" s="12">
        <f>IF(K19="","",K19-L19)</f>
        <v/>
      </c>
      <c r="N19" s="25" t="n">
        <v>0.779</v>
      </c>
      <c r="O19" s="26">
        <f>IF(F19="Sand",0,Input!$G$19*G19)</f>
        <v/>
      </c>
      <c r="P19" s="12">
        <f>IF(F19="Sand",27.1+0.3*MIN(Input!$G$20*G19,60)-0.00054*MIN(Input!$G$20*G19,60)^2,MIN(MAX(DEGREES(ASIN(0.8-0.094*LN(MAX(IF(M19="",10,M19),5)))),20),30))</f>
        <v/>
      </c>
      <c r="Q19" s="27">
        <f>IF(F19="Sand",Input!$G$21*Input!$G$20*G19,Input!$G$22*O19)</f>
        <v/>
      </c>
      <c r="R19" s="13">
        <f>IF(F19="Sand",Input!$G$26,0.5)</f>
        <v/>
      </c>
      <c r="S19" s="13">
        <f>Input!$G$10/2/E19</f>
        <v/>
      </c>
      <c r="T19" s="13">
        <f>Input!$G$11/2/E19</f>
        <v/>
      </c>
      <c r="U19" s="28">
        <f>1/(4*PI())*(2*S19*T19*SQRT(S19^2+T19^2+1)/(S19^2+T19^2+1+S19^2*T19^2)*(S19^2+T19^2+2)/(S19^2+T19^2+1)+ATAN2(S19^2+T19^2+1-S19^2*T19^2,2*S19*T19*SQRT(S19^2+T19^2+1)))</f>
        <v/>
      </c>
      <c r="V19" s="12">
        <f>4*Input!$G$9*U19</f>
        <v/>
      </c>
      <c r="W19" s="29">
        <f>((Input!$G$11/Input!$G$10)*LN((1+SQRT((Input!$G$11/Input!$G$10)^2+1))*SQRT((Input!$G$11/Input!$G$10)^2+(C19/(Input!$G$10/2))^2)/((Input!$G$11/Input!$G$10)*(1+SQRT((Input!$G$11/Input!$G$10)^2+(C19/(Input!$G$10/2))^2+1))))+LN(((Input!$G$11/Input!$G$10)+SQRT((Input!$G$11/Input!$G$10)^2+1))*SQRT(1+(C19/(Input!$G$10/2))^2)/((Input!$G$11/Input!$G$10)+SQRT((Input!$G$11/Input!$G$10)^2+(C19/(Input!$G$10/2))^2+1))))/PI()</f>
        <v/>
      </c>
      <c r="X19" s="29">
        <f>(C19/(Input!$G$10/2))/(2*PI())*ATAN((Input!$G$11/Input!$G$10)/((C19/(Input!$G$10/2))*SQRT((Input!$G$11/Input!$G$10)^2+(C19/(Input!$G$10/2))^2+1)))</f>
        <v/>
      </c>
      <c r="Y19" s="13">
        <f>MAX(0,C19-MAX(B19,$G$8))/D19*IF(V19&gt;=Input!$G$27*J19,1,0)</f>
        <v/>
      </c>
      <c r="Z19" s="12">
        <f>4*Input!$G$9*(Input!$G$10/2)*(1-R19^2)/Q19*((W19-W18)+(1-2*R19)/(1-R19)*(X19-X18))*1000*Y19</f>
        <v/>
      </c>
      <c r="AA19" s="30">
        <f>IF(F19="Sand",0,0.009*(K19-10))</f>
        <v/>
      </c>
      <c r="AB19" s="30">
        <f>AA19*Input!$G$23</f>
        <v/>
      </c>
      <c r="AC19" s="26">
        <f>IF(F19="Sand",0,MAX(O19/Input!$G$24,J19))</f>
        <v/>
      </c>
      <c r="AD19" s="31">
        <f>IF(F19="Sand",0,1000*D19/(1+N19)*IF(J19+V19&lt;=AC19,AB19*LOG10((J19+V19)/J19),AB19*LOG10(AC19/J19)+AA19*LOG10((J19+V19)/AC19)))*Y19</f>
        <v/>
      </c>
      <c r="AE19" s="32">
        <f>IF(F19="Sand",0,10^(INDEX(Korelasi!$C$5:$C$11,MIN(MATCH(MIN(MAX(K19,30),120),Korelasi!$A$5:$A$11,1),6))+(MIN(MAX(K19,30),120)-INDEX(Korelasi!$A$5:$A$11,MIN(MATCH(MIN(MAX(K19,30),120),Korelasi!$A$5:$A$11,1),6)))/(INDEX(Korelasi!$A$5:$A$11,MIN(MATCH(MIN(MAX(K19,30),120),Korelasi!$A$5:$A$11,1),6)+1)-INDEX(Korelasi!$A$5:$A$11,MIN(MATCH(MIN(MAX(K19,30),120),Korelasi!$A$5:$A$11,1),6)))*(INDEX(Korelasi!$C$5:$C$11,MIN(MATCH(MIN(MAX(K19,30),120),Korelasi!$A$5:$A$11,1),6)+1)-INDEX(Korelasi!$C$5:$C$11,MIN(MATCH(MIN(MAX(K19,30),120),Korelasi!$A$5:$A$11,1),6)))))</f>
        <v/>
      </c>
      <c r="AF19" s="33">
        <f>IF(OR(F19="Sand",Y19=0),0,Input!$G$25*(D19/2)^2/(AE19*1E-4*31536000))</f>
        <v/>
      </c>
      <c r="AG19" s="13">
        <f>MAX(0,MIN(C19,Input!$G$15)-B19)</f>
        <v/>
      </c>
      <c r="AH19" s="13">
        <f>MAX(0,MIN(C19,Input!$G$15)-MAX(B19,$G$8))</f>
        <v/>
      </c>
      <c r="AI19" s="13">
        <f>MAX(0,MIN(C19,$G$106)-B19)</f>
        <v/>
      </c>
      <c r="AJ19" s="34" t="inlineStr"/>
    </row>
    <row r="20">
      <c r="A20" s="20" t="n">
        <v>8</v>
      </c>
      <c r="B20" s="21" t="n">
        <v>10.5</v>
      </c>
      <c r="C20" s="21" t="n">
        <v>12</v>
      </c>
      <c r="D20" s="13">
        <f>C20-B20</f>
        <v/>
      </c>
      <c r="E20" s="13">
        <f>(B20+C20)/2</f>
        <v/>
      </c>
      <c r="F20" s="22" t="inlineStr">
        <is>
          <t>Sand</t>
        </is>
      </c>
      <c r="G20" s="23" t="n">
        <v>40</v>
      </c>
      <c r="H20" s="12">
        <f>IF(E20&gt;$G$5,$G$7,$G$6)</f>
        <v/>
      </c>
      <c r="I20" s="12">
        <f>I19+H20*D20</f>
        <v/>
      </c>
      <c r="J20" s="12">
        <f>I20-H20*D20/2-10*MAX(E20-$G$5,0)</f>
        <v/>
      </c>
      <c r="K20" s="24" t="n"/>
      <c r="L20" s="24" t="n"/>
      <c r="M20" s="12">
        <f>IF(K20="","",K20-L20)</f>
        <v/>
      </c>
      <c r="N20" s="25" t="n">
        <v>0.441</v>
      </c>
      <c r="O20" s="26">
        <f>IF(F20="Sand",0,Input!$G$19*G20)</f>
        <v/>
      </c>
      <c r="P20" s="12">
        <f>IF(F20="Sand",27.1+0.3*MIN(Input!$G$20*G20,60)-0.00054*MIN(Input!$G$20*G20,60)^2,MIN(MAX(DEGREES(ASIN(0.8-0.094*LN(MAX(IF(M20="",10,M20),5)))),20),30))</f>
        <v/>
      </c>
      <c r="Q20" s="27">
        <f>IF(F20="Sand",Input!$G$21*Input!$G$20*G20,Input!$G$22*O20)</f>
        <v/>
      </c>
      <c r="R20" s="13">
        <f>IF(F20="Sand",Input!$G$26,0.5)</f>
        <v/>
      </c>
      <c r="S20" s="13">
        <f>Input!$G$10/2/E20</f>
        <v/>
      </c>
      <c r="T20" s="13">
        <f>Input!$G$11/2/E20</f>
        <v/>
      </c>
      <c r="U20" s="28">
        <f>1/(4*PI())*(2*S20*T20*SQRT(S20^2+T20^2+1)/(S20^2+T20^2+1+S20^2*T20^2)*(S20^2+T20^2+2)/(S20^2+T20^2+1)+ATAN2(S20^2+T20^2+1-S20^2*T20^2,2*S20*T20*SQRT(S20^2+T20^2+1)))</f>
        <v/>
      </c>
      <c r="V20" s="12">
        <f>4*Input!$G$9*U20</f>
        <v/>
      </c>
      <c r="W20" s="29">
        <f>((Input!$G$11/Input!$G$10)*LN((1+SQRT((Input!$G$11/Input!$G$10)^2+1))*SQRT((Input!$G$11/Input!$G$10)^2+(C20/(Input!$G$10/2))^2)/((Input!$G$11/Input!$G$10)*(1+SQRT((Input!$G$11/Input!$G$10)^2+(C20/(Input!$G$10/2))^2+1))))+LN(((Input!$G$11/Input!$G$10)+SQRT((Input!$G$11/Input!$G$10)^2+1))*SQRT(1+(C20/(Input!$G$10/2))^2)/((Input!$G$11/Input!$G$10)+SQRT((Input!$G$11/Input!$G$10)^2+(C20/(Input!$G$10/2))^2+1))))/PI()</f>
        <v/>
      </c>
      <c r="X20" s="29">
        <f>(C20/(Input!$G$10/2))/(2*PI())*ATAN((Input!$G$11/Input!$G$10)/((C20/(Input!$G$10/2))*SQRT((Input!$G$11/Input!$G$10)^2+(C20/(Input!$G$10/2))^2+1)))</f>
        <v/>
      </c>
      <c r="Y20" s="13">
        <f>MAX(0,C20-MAX(B20,$G$8))/D20*IF(V20&gt;=Input!$G$27*J20,1,0)</f>
        <v/>
      </c>
      <c r="Z20" s="12">
        <f>4*Input!$G$9*(Input!$G$10/2)*(1-R20^2)/Q20*((W20-W19)+(1-2*R20)/(1-R20)*(X20-X19))*1000*Y20</f>
        <v/>
      </c>
      <c r="AA20" s="30">
        <f>IF(F20="Sand",0,0.009*(K20-10))</f>
        <v/>
      </c>
      <c r="AB20" s="30">
        <f>AA20*Input!$G$23</f>
        <v/>
      </c>
      <c r="AC20" s="26">
        <f>IF(F20="Sand",0,MAX(O20/Input!$G$24,J20))</f>
        <v/>
      </c>
      <c r="AD20" s="31">
        <f>IF(F20="Sand",0,1000*D20/(1+N20)*IF(J20+V20&lt;=AC20,AB20*LOG10((J20+V20)/J20),AB20*LOG10(AC20/J20)+AA20*LOG10((J20+V20)/AC20)))*Y20</f>
        <v/>
      </c>
      <c r="AE20" s="32">
        <f>IF(F20="Sand",0,10^(INDEX(Korelasi!$C$5:$C$11,MIN(MATCH(MIN(MAX(K20,30),120),Korelasi!$A$5:$A$11,1),6))+(MIN(MAX(K20,30),120)-INDEX(Korelasi!$A$5:$A$11,MIN(MATCH(MIN(MAX(K20,30),120),Korelasi!$A$5:$A$11,1),6)))/(INDEX(Korelasi!$A$5:$A$11,MIN(MATCH(MIN(MAX(K20,30),120),Korelasi!$A$5:$A$11,1),6)+1)-INDEX(Korelasi!$A$5:$A$11,MIN(MATCH(MIN(MAX(K20,30),120),Korelasi!$A$5:$A$11,1),6)))*(INDEX(Korelasi!$C$5:$C$11,MIN(MATCH(MIN(MAX(K20,30),120),Korelasi!$A$5:$A$11,1),6)+1)-INDEX(Korelasi!$C$5:$C$11,MIN(MATCH(MIN(MAX(K20,30),120),Korelasi!$A$5:$A$11,1),6)))))</f>
        <v/>
      </c>
      <c r="AF20" s="33">
        <f>IF(OR(F20="Sand",Y20=0),0,Input!$G$25*(D20/2)^2/(AE20*1E-4*31536000))</f>
        <v/>
      </c>
      <c r="AG20" s="13">
        <f>MAX(0,MIN(C20,Input!$G$15)-B20)</f>
        <v/>
      </c>
      <c r="AH20" s="13">
        <f>MAX(0,MIN(C20,Input!$G$15)-MAX(B20,$G$8))</f>
        <v/>
      </c>
      <c r="AI20" s="13">
        <f>MAX(0,MIN(C20,$G$106)-B20)</f>
        <v/>
      </c>
      <c r="AJ20" s="34" t="inlineStr"/>
    </row>
    <row r="21">
      <c r="A21" s="20" t="n">
        <v>9</v>
      </c>
      <c r="B21" s="21" t="n">
        <v>12</v>
      </c>
      <c r="C21" s="21" t="n">
        <v>13.5</v>
      </c>
      <c r="D21" s="13">
        <f>C21-B21</f>
        <v/>
      </c>
      <c r="E21" s="13">
        <f>(B21+C21)/2</f>
        <v/>
      </c>
      <c r="F21" s="22" t="inlineStr">
        <is>
          <t>Sand</t>
        </is>
      </c>
      <c r="G21" s="23" t="n">
        <v>42</v>
      </c>
      <c r="H21" s="12">
        <f>IF(E21&gt;$G$5,$G$7,$G$6)</f>
        <v/>
      </c>
      <c r="I21" s="12">
        <f>I20+H21*D21</f>
        <v/>
      </c>
      <c r="J21" s="12">
        <f>I21-H21*D21/2-10*MAX(E21-$G$5,0)</f>
        <v/>
      </c>
      <c r="K21" s="24" t="n"/>
      <c r="L21" s="24" t="n"/>
      <c r="M21" s="12">
        <f>IF(K21="","",K21-L21)</f>
        <v/>
      </c>
      <c r="N21" s="25" t="n">
        <v>0.71</v>
      </c>
      <c r="O21" s="26">
        <f>IF(F21="Sand",0,Input!$G$19*G21)</f>
        <v/>
      </c>
      <c r="P21" s="12">
        <f>IF(F21="Sand",27.1+0.3*MIN(Input!$G$20*G21,60)-0.00054*MIN(Input!$G$20*G21,60)^2,MIN(MAX(DEGREES(ASIN(0.8-0.094*LN(MAX(IF(M21="",10,M21),5)))),20),30))</f>
        <v/>
      </c>
      <c r="Q21" s="27">
        <f>IF(F21="Sand",Input!$G$21*Input!$G$20*G21,Input!$G$22*O21)</f>
        <v/>
      </c>
      <c r="R21" s="13">
        <f>IF(F21="Sand",Input!$G$26,0.5)</f>
        <v/>
      </c>
      <c r="S21" s="13">
        <f>Input!$G$10/2/E21</f>
        <v/>
      </c>
      <c r="T21" s="13">
        <f>Input!$G$11/2/E21</f>
        <v/>
      </c>
      <c r="U21" s="28">
        <f>1/(4*PI())*(2*S21*T21*SQRT(S21^2+T21^2+1)/(S21^2+T21^2+1+S21^2*T21^2)*(S21^2+T21^2+2)/(S21^2+T21^2+1)+ATAN2(S21^2+T21^2+1-S21^2*T21^2,2*S21*T21*SQRT(S21^2+T21^2+1)))</f>
        <v/>
      </c>
      <c r="V21" s="12">
        <f>4*Input!$G$9*U21</f>
        <v/>
      </c>
      <c r="W21" s="29">
        <f>((Input!$G$11/Input!$G$10)*LN((1+SQRT((Input!$G$11/Input!$G$10)^2+1))*SQRT((Input!$G$11/Input!$G$10)^2+(C21/(Input!$G$10/2))^2)/((Input!$G$11/Input!$G$10)*(1+SQRT((Input!$G$11/Input!$G$10)^2+(C21/(Input!$G$10/2))^2+1))))+LN(((Input!$G$11/Input!$G$10)+SQRT((Input!$G$11/Input!$G$10)^2+1))*SQRT(1+(C21/(Input!$G$10/2))^2)/((Input!$G$11/Input!$G$10)+SQRT((Input!$G$11/Input!$G$10)^2+(C21/(Input!$G$10/2))^2+1))))/PI()</f>
        <v/>
      </c>
      <c r="X21" s="29">
        <f>(C21/(Input!$G$10/2))/(2*PI())*ATAN((Input!$G$11/Input!$G$10)/((C21/(Input!$G$10/2))*SQRT((Input!$G$11/Input!$G$10)^2+(C21/(Input!$G$10/2))^2+1)))</f>
        <v/>
      </c>
      <c r="Y21" s="13">
        <f>MAX(0,C21-MAX(B21,$G$8))/D21*IF(V21&gt;=Input!$G$27*J21,1,0)</f>
        <v/>
      </c>
      <c r="Z21" s="12">
        <f>4*Input!$G$9*(Input!$G$10/2)*(1-R21^2)/Q21*((W21-W20)+(1-2*R21)/(1-R21)*(X21-X20))*1000*Y21</f>
        <v/>
      </c>
      <c r="AA21" s="30">
        <f>IF(F21="Sand",0,0.009*(K21-10))</f>
        <v/>
      </c>
      <c r="AB21" s="30">
        <f>AA21*Input!$G$23</f>
        <v/>
      </c>
      <c r="AC21" s="26">
        <f>IF(F21="Sand",0,MAX(O21/Input!$G$24,J21))</f>
        <v/>
      </c>
      <c r="AD21" s="31">
        <f>IF(F21="Sand",0,1000*D21/(1+N21)*IF(J21+V21&lt;=AC21,AB21*LOG10((J21+V21)/J21),AB21*LOG10(AC21/J21)+AA21*LOG10((J21+V21)/AC21)))*Y21</f>
        <v/>
      </c>
      <c r="AE21" s="32">
        <f>IF(F21="Sand",0,10^(INDEX(Korelasi!$C$5:$C$11,MIN(MATCH(MIN(MAX(K21,30),120),Korelasi!$A$5:$A$11,1),6))+(MIN(MAX(K21,30),120)-INDEX(Korelasi!$A$5:$A$11,MIN(MATCH(MIN(MAX(K21,30),120),Korelasi!$A$5:$A$11,1),6)))/(INDEX(Korelasi!$A$5:$A$11,MIN(MATCH(MIN(MAX(K21,30),120),Korelasi!$A$5:$A$11,1),6)+1)-INDEX(Korelasi!$A$5:$A$11,MIN(MATCH(MIN(MAX(K21,30),120),Korelasi!$A$5:$A$11,1),6)))*(INDEX(Korelasi!$C$5:$C$11,MIN(MATCH(MIN(MAX(K21,30),120),Korelasi!$A$5:$A$11,1),6)+1)-INDEX(Korelasi!$C$5:$C$11,MIN(MATCH(MIN(MAX(K21,30),120),Korelasi!$A$5:$A$11,1),6)))))</f>
        <v/>
      </c>
      <c r="AF21" s="33">
        <f>IF(OR(F21="Sand",Y21=0),0,Input!$G$25*(D21/2)^2/(AE21*1E-4*31536000))</f>
        <v/>
      </c>
      <c r="AG21" s="13">
        <f>MAX(0,MIN(C21,Input!$G$15)-B21)</f>
        <v/>
      </c>
      <c r="AH21" s="13">
        <f>MAX(0,MIN(C21,Input!$G$15)-MAX(B21,$G$8))</f>
        <v/>
      </c>
      <c r="AI21" s="13">
        <f>MAX(0,MIN(C21,$G$106)-B21)</f>
        <v/>
      </c>
      <c r="AJ21" s="34" t="inlineStr"/>
    </row>
    <row r="22">
      <c r="A22" s="20" t="n">
        <v>10</v>
      </c>
      <c r="B22" s="21" t="n">
        <v>13.5</v>
      </c>
      <c r="C22" s="21" t="n">
        <v>15</v>
      </c>
      <c r="D22" s="13">
        <f>C22-B22</f>
        <v/>
      </c>
      <c r="E22" s="13">
        <f>(B22+C22)/2</f>
        <v/>
      </c>
      <c r="F22" s="22" t="inlineStr">
        <is>
          <t>Sand</t>
        </is>
      </c>
      <c r="G22" s="23" t="n">
        <v>42</v>
      </c>
      <c r="H22" s="12">
        <f>IF(E22&gt;$G$5,$G$7,$G$6)</f>
        <v/>
      </c>
      <c r="I22" s="12">
        <f>I21+H22*D22</f>
        <v/>
      </c>
      <c r="J22" s="12">
        <f>I22-H22*D22/2-10*MAX(E22-$G$5,0)</f>
        <v/>
      </c>
      <c r="K22" s="24" t="n"/>
      <c r="L22" s="24" t="n"/>
      <c r="M22" s="12">
        <f>IF(K22="","",K22-L22)</f>
        <v/>
      </c>
      <c r="N22" s="25" t="n">
        <v>0.546</v>
      </c>
      <c r="O22" s="26">
        <f>IF(F22="Sand",0,Input!$G$19*G22)</f>
        <v/>
      </c>
      <c r="P22" s="12">
        <f>IF(F22="Sand",27.1+0.3*MIN(Input!$G$20*G22,60)-0.00054*MIN(Input!$G$20*G22,60)^2,MIN(MAX(DEGREES(ASIN(0.8-0.094*LN(MAX(IF(M22="",10,M22),5)))),20),30))</f>
        <v/>
      </c>
      <c r="Q22" s="27">
        <f>IF(F22="Sand",Input!$G$21*Input!$G$20*G22,Input!$G$22*O22)</f>
        <v/>
      </c>
      <c r="R22" s="13">
        <f>IF(F22="Sand",Input!$G$26,0.5)</f>
        <v/>
      </c>
      <c r="S22" s="13">
        <f>Input!$G$10/2/E22</f>
        <v/>
      </c>
      <c r="T22" s="13">
        <f>Input!$G$11/2/E22</f>
        <v/>
      </c>
      <c r="U22" s="28">
        <f>1/(4*PI())*(2*S22*T22*SQRT(S22^2+T22^2+1)/(S22^2+T22^2+1+S22^2*T22^2)*(S22^2+T22^2+2)/(S22^2+T22^2+1)+ATAN2(S22^2+T22^2+1-S22^2*T22^2,2*S22*T22*SQRT(S22^2+T22^2+1)))</f>
        <v/>
      </c>
      <c r="V22" s="12">
        <f>4*Input!$G$9*U22</f>
        <v/>
      </c>
      <c r="W22" s="29">
        <f>((Input!$G$11/Input!$G$10)*LN((1+SQRT((Input!$G$11/Input!$G$10)^2+1))*SQRT((Input!$G$11/Input!$G$10)^2+(C22/(Input!$G$10/2))^2)/((Input!$G$11/Input!$G$10)*(1+SQRT((Input!$G$11/Input!$G$10)^2+(C22/(Input!$G$10/2))^2+1))))+LN(((Input!$G$11/Input!$G$10)+SQRT((Input!$G$11/Input!$G$10)^2+1))*SQRT(1+(C22/(Input!$G$10/2))^2)/((Input!$G$11/Input!$G$10)+SQRT((Input!$G$11/Input!$G$10)^2+(C22/(Input!$G$10/2))^2+1))))/PI()</f>
        <v/>
      </c>
      <c r="X22" s="29">
        <f>(C22/(Input!$G$10/2))/(2*PI())*ATAN((Input!$G$11/Input!$G$10)/((C22/(Input!$G$10/2))*SQRT((Input!$G$11/Input!$G$10)^2+(C22/(Input!$G$10/2))^2+1)))</f>
        <v/>
      </c>
      <c r="Y22" s="13">
        <f>MAX(0,C22-MAX(B22,$G$8))/D22*IF(V22&gt;=Input!$G$27*J22,1,0)</f>
        <v/>
      </c>
      <c r="Z22" s="12">
        <f>4*Input!$G$9*(Input!$G$10/2)*(1-R22^2)/Q22*((W22-W21)+(1-2*R22)/(1-R22)*(X22-X21))*1000*Y22</f>
        <v/>
      </c>
      <c r="AA22" s="30">
        <f>IF(F22="Sand",0,0.009*(K22-10))</f>
        <v/>
      </c>
      <c r="AB22" s="30">
        <f>AA22*Input!$G$23</f>
        <v/>
      </c>
      <c r="AC22" s="26">
        <f>IF(F22="Sand",0,MAX(O22/Input!$G$24,J22))</f>
        <v/>
      </c>
      <c r="AD22" s="31">
        <f>IF(F22="Sand",0,1000*D22/(1+N22)*IF(J22+V22&lt;=AC22,AB22*LOG10((J22+V22)/J22),AB22*LOG10(AC22/J22)+AA22*LOG10((J22+V22)/AC22)))*Y22</f>
        <v/>
      </c>
      <c r="AE22" s="32">
        <f>IF(F22="Sand",0,10^(INDEX(Korelasi!$C$5:$C$11,MIN(MATCH(MIN(MAX(K22,30),120),Korelasi!$A$5:$A$11,1),6))+(MIN(MAX(K22,30),120)-INDEX(Korelasi!$A$5:$A$11,MIN(MATCH(MIN(MAX(K22,30),120),Korelasi!$A$5:$A$11,1),6)))/(INDEX(Korelasi!$A$5:$A$11,MIN(MATCH(MIN(MAX(K22,30),120),Korelasi!$A$5:$A$11,1),6)+1)-INDEX(Korelasi!$A$5:$A$11,MIN(MATCH(MIN(MAX(K22,30),120),Korelasi!$A$5:$A$11,1),6)))*(INDEX(Korelasi!$C$5:$C$11,MIN(MATCH(MIN(MAX(K22,30),120),Korelasi!$A$5:$A$11,1),6)+1)-INDEX(Korelasi!$C$5:$C$11,MIN(MATCH(MIN(MAX(K22,30),120),Korelasi!$A$5:$A$11,1),6)))))</f>
        <v/>
      </c>
      <c r="AF22" s="33">
        <f>IF(OR(F22="Sand",Y22=0),0,Input!$G$25*(D22/2)^2/(AE22*1E-4*31536000))</f>
        <v/>
      </c>
      <c r="AG22" s="13">
        <f>MAX(0,MIN(C22,Input!$G$15)-B22)</f>
        <v/>
      </c>
      <c r="AH22" s="13">
        <f>MAX(0,MIN(C22,Input!$G$15)-MAX(B22,$G$8))</f>
        <v/>
      </c>
      <c r="AI22" s="13">
        <f>MAX(0,MIN(C22,$G$106)-B22)</f>
        <v/>
      </c>
      <c r="AJ22" s="34" t="inlineStr"/>
    </row>
    <row r="23">
      <c r="A23" s="20" t="n">
        <v>11</v>
      </c>
      <c r="B23" s="21" t="n">
        <v>15</v>
      </c>
      <c r="C23" s="21" t="n">
        <v>16.5</v>
      </c>
      <c r="D23" s="13">
        <f>C23-B23</f>
        <v/>
      </c>
      <c r="E23" s="13">
        <f>(B23+C23)/2</f>
        <v/>
      </c>
      <c r="F23" s="22" t="inlineStr">
        <is>
          <t>Sand</t>
        </is>
      </c>
      <c r="G23" s="23" t="n">
        <v>50</v>
      </c>
      <c r="H23" s="12">
        <f>IF(E23&gt;$G$5,$G$7,$G$6)</f>
        <v/>
      </c>
      <c r="I23" s="12">
        <f>I22+H23*D23</f>
        <v/>
      </c>
      <c r="J23" s="12">
        <f>I23-H23*D23/2-10*MAX(E23-$G$5,0)</f>
        <v/>
      </c>
      <c r="K23" s="24" t="n"/>
      <c r="L23" s="24" t="n"/>
      <c r="M23" s="12">
        <f>IF(K23="","",K23-L23)</f>
        <v/>
      </c>
      <c r="N23" s="25" t="n">
        <v>0.65</v>
      </c>
      <c r="O23" s="26">
        <f>IF(F23="Sand",0,Input!$G$19*G23)</f>
        <v/>
      </c>
      <c r="P23" s="12">
        <f>IF(F23="Sand",27.1+0.3*MIN(Input!$G$20*G23,60)-0.00054*MIN(Input!$G$20*G23,60)^2,MIN(MAX(DEGREES(ASIN(0.8-0.094*LN(MAX(IF(M23="",10,M23),5)))),20),30))</f>
        <v/>
      </c>
      <c r="Q23" s="27">
        <f>IF(F23="Sand",Input!$G$21*Input!$G$20*G23,Input!$G$22*O23)</f>
        <v/>
      </c>
      <c r="R23" s="13">
        <f>IF(F23="Sand",Input!$G$26,0.5)</f>
        <v/>
      </c>
      <c r="S23" s="13">
        <f>Input!$G$10/2/E23</f>
        <v/>
      </c>
      <c r="T23" s="13">
        <f>Input!$G$11/2/E23</f>
        <v/>
      </c>
      <c r="U23" s="28">
        <f>1/(4*PI())*(2*S23*T23*SQRT(S23^2+T23^2+1)/(S23^2+T23^2+1+S23^2*T23^2)*(S23^2+T23^2+2)/(S23^2+T23^2+1)+ATAN2(S23^2+T23^2+1-S23^2*T23^2,2*S23*T23*SQRT(S23^2+T23^2+1)))</f>
        <v/>
      </c>
      <c r="V23" s="12">
        <f>4*Input!$G$9*U23</f>
        <v/>
      </c>
      <c r="W23" s="29">
        <f>((Input!$G$11/Input!$G$10)*LN((1+SQRT((Input!$G$11/Input!$G$10)^2+1))*SQRT((Input!$G$11/Input!$G$10)^2+(C23/(Input!$G$10/2))^2)/((Input!$G$11/Input!$G$10)*(1+SQRT((Input!$G$11/Input!$G$10)^2+(C23/(Input!$G$10/2))^2+1))))+LN(((Input!$G$11/Input!$G$10)+SQRT((Input!$G$11/Input!$G$10)^2+1))*SQRT(1+(C23/(Input!$G$10/2))^2)/((Input!$G$11/Input!$G$10)+SQRT((Input!$G$11/Input!$G$10)^2+(C23/(Input!$G$10/2))^2+1))))/PI()</f>
        <v/>
      </c>
      <c r="X23" s="29">
        <f>(C23/(Input!$G$10/2))/(2*PI())*ATAN((Input!$G$11/Input!$G$10)/((C23/(Input!$G$10/2))*SQRT((Input!$G$11/Input!$G$10)^2+(C23/(Input!$G$10/2))^2+1)))</f>
        <v/>
      </c>
      <c r="Y23" s="13">
        <f>MAX(0,C23-MAX(B23,$G$8))/D23*IF(V23&gt;=Input!$G$27*J23,1,0)</f>
        <v/>
      </c>
      <c r="Z23" s="12">
        <f>4*Input!$G$9*(Input!$G$10/2)*(1-R23^2)/Q23*((W23-W22)+(1-2*R23)/(1-R23)*(X23-X22))*1000*Y23</f>
        <v/>
      </c>
      <c r="AA23" s="30">
        <f>IF(F23="Sand",0,0.009*(K23-10))</f>
        <v/>
      </c>
      <c r="AB23" s="30">
        <f>AA23*Input!$G$23</f>
        <v/>
      </c>
      <c r="AC23" s="26">
        <f>IF(F23="Sand",0,MAX(O23/Input!$G$24,J23))</f>
        <v/>
      </c>
      <c r="AD23" s="31">
        <f>IF(F23="Sand",0,1000*D23/(1+N23)*IF(J23+V23&lt;=AC23,AB23*LOG10((J23+V23)/J23),AB23*LOG10(AC23/J23)+AA23*LOG10((J23+V23)/AC23)))*Y23</f>
        <v/>
      </c>
      <c r="AE23" s="32">
        <f>IF(F23="Sand",0,10^(INDEX(Korelasi!$C$5:$C$11,MIN(MATCH(MIN(MAX(K23,30),120),Korelasi!$A$5:$A$11,1),6))+(MIN(MAX(K23,30),120)-INDEX(Korelasi!$A$5:$A$11,MIN(MATCH(MIN(MAX(K23,30),120),Korelasi!$A$5:$A$11,1),6)))/(INDEX(Korelasi!$A$5:$A$11,MIN(MATCH(MIN(MAX(K23,30),120),Korelasi!$A$5:$A$11,1),6)+1)-INDEX(Korelasi!$A$5:$A$11,MIN(MATCH(MIN(MAX(K23,30),120),Korelasi!$A$5:$A$11,1),6)))*(INDEX(Korelasi!$C$5:$C$11,MIN(MATCH(MIN(MAX(K23,30),120),Korelasi!$A$5:$A$11,1),6)+1)-INDEX(Korelasi!$C$5:$C$11,MIN(MATCH(MIN(MAX(K23,30),120),Korelasi!$A$5:$A$11,1),6)))))</f>
        <v/>
      </c>
      <c r="AF23" s="33">
        <f>IF(OR(F23="Sand",Y23=0),0,Input!$G$25*(D23/2)^2/(AE23*1E-4*31536000))</f>
        <v/>
      </c>
      <c r="AG23" s="13">
        <f>MAX(0,MIN(C23,Input!$G$15)-B23)</f>
        <v/>
      </c>
      <c r="AH23" s="13">
        <f>MAX(0,MIN(C23,Input!$G$15)-MAX(B23,$G$8))</f>
        <v/>
      </c>
      <c r="AI23" s="13">
        <f>MAX(0,MIN(C23,$G$106)-B23)</f>
        <v/>
      </c>
      <c r="AJ23" s="34" t="inlineStr"/>
    </row>
    <row r="24">
      <c r="A24" s="20" t="n">
        <v>12</v>
      </c>
      <c r="B24" s="21" t="n">
        <v>16.5</v>
      </c>
      <c r="C24" s="21" t="n">
        <v>18</v>
      </c>
      <c r="D24" s="13">
        <f>C24-B24</f>
        <v/>
      </c>
      <c r="E24" s="13">
        <f>(B24+C24)/2</f>
        <v/>
      </c>
      <c r="F24" s="22" t="inlineStr">
        <is>
          <t>Sand</t>
        </is>
      </c>
      <c r="G24" s="23" t="n">
        <v>30</v>
      </c>
      <c r="H24" s="12">
        <f>IF(E24&gt;$G$5,$G$7,$G$6)</f>
        <v/>
      </c>
      <c r="I24" s="12">
        <f>I23+H24*D24</f>
        <v/>
      </c>
      <c r="J24" s="12">
        <f>I24-H24*D24/2-10*MAX(E24-$G$5,0)</f>
        <v/>
      </c>
      <c r="K24" s="24" t="n"/>
      <c r="L24" s="24" t="n"/>
      <c r="M24" s="12">
        <f>IF(K24="","",K24-L24)</f>
        <v/>
      </c>
      <c r="N24" s="25" t="n">
        <v>0.757</v>
      </c>
      <c r="O24" s="26">
        <f>IF(F24="Sand",0,Input!$G$19*G24)</f>
        <v/>
      </c>
      <c r="P24" s="12">
        <f>IF(F24="Sand",27.1+0.3*MIN(Input!$G$20*G24,60)-0.00054*MIN(Input!$G$20*G24,60)^2,MIN(MAX(DEGREES(ASIN(0.8-0.094*LN(MAX(IF(M24="",10,M24),5)))),20),30))</f>
        <v/>
      </c>
      <c r="Q24" s="27">
        <f>IF(F24="Sand",Input!$G$21*Input!$G$20*G24,Input!$G$22*O24)</f>
        <v/>
      </c>
      <c r="R24" s="13">
        <f>IF(F24="Sand",Input!$G$26,0.5)</f>
        <v/>
      </c>
      <c r="S24" s="13">
        <f>Input!$G$10/2/E24</f>
        <v/>
      </c>
      <c r="T24" s="13">
        <f>Input!$G$11/2/E24</f>
        <v/>
      </c>
      <c r="U24" s="28">
        <f>1/(4*PI())*(2*S24*T24*SQRT(S24^2+T24^2+1)/(S24^2+T24^2+1+S24^2*T24^2)*(S24^2+T24^2+2)/(S24^2+T24^2+1)+ATAN2(S24^2+T24^2+1-S24^2*T24^2,2*S24*T24*SQRT(S24^2+T24^2+1)))</f>
        <v/>
      </c>
      <c r="V24" s="12">
        <f>4*Input!$G$9*U24</f>
        <v/>
      </c>
      <c r="W24" s="29">
        <f>((Input!$G$11/Input!$G$10)*LN((1+SQRT((Input!$G$11/Input!$G$10)^2+1))*SQRT((Input!$G$11/Input!$G$10)^2+(C24/(Input!$G$10/2))^2)/((Input!$G$11/Input!$G$10)*(1+SQRT((Input!$G$11/Input!$G$10)^2+(C24/(Input!$G$10/2))^2+1))))+LN(((Input!$G$11/Input!$G$10)+SQRT((Input!$G$11/Input!$G$10)^2+1))*SQRT(1+(C24/(Input!$G$10/2))^2)/((Input!$G$11/Input!$G$10)+SQRT((Input!$G$11/Input!$G$10)^2+(C24/(Input!$G$10/2))^2+1))))/PI()</f>
        <v/>
      </c>
      <c r="X24" s="29">
        <f>(C24/(Input!$G$10/2))/(2*PI())*ATAN((Input!$G$11/Input!$G$10)/((C24/(Input!$G$10/2))*SQRT((Input!$G$11/Input!$G$10)^2+(C24/(Input!$G$10/2))^2+1)))</f>
        <v/>
      </c>
      <c r="Y24" s="13">
        <f>MAX(0,C24-MAX(B24,$G$8))/D24*IF(V24&gt;=Input!$G$27*J24,1,0)</f>
        <v/>
      </c>
      <c r="Z24" s="12">
        <f>4*Input!$G$9*(Input!$G$10/2)*(1-R24^2)/Q24*((W24-W23)+(1-2*R24)/(1-R24)*(X24-X23))*1000*Y24</f>
        <v/>
      </c>
      <c r="AA24" s="30">
        <f>IF(F24="Sand",0,0.009*(K24-10))</f>
        <v/>
      </c>
      <c r="AB24" s="30">
        <f>AA24*Input!$G$23</f>
        <v/>
      </c>
      <c r="AC24" s="26">
        <f>IF(F24="Sand",0,MAX(O24/Input!$G$24,J24))</f>
        <v/>
      </c>
      <c r="AD24" s="31">
        <f>IF(F24="Sand",0,1000*D24/(1+N24)*IF(J24+V24&lt;=AC24,AB24*LOG10((J24+V24)/J24),AB24*LOG10(AC24/J24)+AA24*LOG10((J24+V24)/AC24)))*Y24</f>
        <v/>
      </c>
      <c r="AE24" s="32">
        <f>IF(F24="Sand",0,10^(INDEX(Korelasi!$C$5:$C$11,MIN(MATCH(MIN(MAX(K24,30),120),Korelasi!$A$5:$A$11,1),6))+(MIN(MAX(K24,30),120)-INDEX(Korelasi!$A$5:$A$11,MIN(MATCH(MIN(MAX(K24,30),120),Korelasi!$A$5:$A$11,1),6)))/(INDEX(Korelasi!$A$5:$A$11,MIN(MATCH(MIN(MAX(K24,30),120),Korelasi!$A$5:$A$11,1),6)+1)-INDEX(Korelasi!$A$5:$A$11,MIN(MATCH(MIN(MAX(K24,30),120),Korelasi!$A$5:$A$11,1),6)))*(INDEX(Korelasi!$C$5:$C$11,MIN(MATCH(MIN(MAX(K24,30),120),Korelasi!$A$5:$A$11,1),6)+1)-INDEX(Korelasi!$C$5:$C$11,MIN(MATCH(MIN(MAX(K24,30),120),Korelasi!$A$5:$A$11,1),6)))))</f>
        <v/>
      </c>
      <c r="AF24" s="33">
        <f>IF(OR(F24="Sand",Y24=0),0,Input!$G$25*(D24/2)^2/(AE24*1E-4*31536000))</f>
        <v/>
      </c>
      <c r="AG24" s="13">
        <f>MAX(0,MIN(C24,Input!$G$15)-B24)</f>
        <v/>
      </c>
      <c r="AH24" s="13">
        <f>MAX(0,MIN(C24,Input!$G$15)-MAX(B24,$G$8))</f>
        <v/>
      </c>
      <c r="AI24" s="13">
        <f>MAX(0,MIN(C24,$G$106)-B24)</f>
        <v/>
      </c>
      <c r="AJ24" s="34" t="inlineStr"/>
    </row>
    <row r="25">
      <c r="A25" s="20" t="n">
        <v>13</v>
      </c>
      <c r="B25" s="21" t="n">
        <v>18</v>
      </c>
      <c r="C25" s="21" t="n">
        <v>19.5</v>
      </c>
      <c r="D25" s="13">
        <f>C25-B25</f>
        <v/>
      </c>
      <c r="E25" s="13">
        <f>(B25+C25)/2</f>
        <v/>
      </c>
      <c r="F25" s="22" t="inlineStr">
        <is>
          <t>Sand</t>
        </is>
      </c>
      <c r="G25" s="23" t="n">
        <v>26</v>
      </c>
      <c r="H25" s="12">
        <f>IF(E25&gt;$G$5,$G$7,$G$6)</f>
        <v/>
      </c>
      <c r="I25" s="12">
        <f>I24+H25*D25</f>
        <v/>
      </c>
      <c r="J25" s="12">
        <f>I25-H25*D25/2-10*MAX(E25-$G$5,0)</f>
        <v/>
      </c>
      <c r="K25" s="24" t="n"/>
      <c r="L25" s="24" t="n"/>
      <c r="M25" s="12">
        <f>IF(K25="","",K25-L25)</f>
        <v/>
      </c>
      <c r="N25" s="25" t="n">
        <v>0.801</v>
      </c>
      <c r="O25" s="26">
        <f>IF(F25="Sand",0,Input!$G$19*G25)</f>
        <v/>
      </c>
      <c r="P25" s="12">
        <f>IF(F25="Sand",27.1+0.3*MIN(Input!$G$20*G25,60)-0.00054*MIN(Input!$G$20*G25,60)^2,MIN(MAX(DEGREES(ASIN(0.8-0.094*LN(MAX(IF(M25="",10,M25),5)))),20),30))</f>
        <v/>
      </c>
      <c r="Q25" s="27">
        <f>IF(F25="Sand",Input!$G$21*Input!$G$20*G25,Input!$G$22*O25)</f>
        <v/>
      </c>
      <c r="R25" s="13">
        <f>IF(F25="Sand",Input!$G$26,0.5)</f>
        <v/>
      </c>
      <c r="S25" s="13">
        <f>Input!$G$10/2/E25</f>
        <v/>
      </c>
      <c r="T25" s="13">
        <f>Input!$G$11/2/E25</f>
        <v/>
      </c>
      <c r="U25" s="28">
        <f>1/(4*PI())*(2*S25*T25*SQRT(S25^2+T25^2+1)/(S25^2+T25^2+1+S25^2*T25^2)*(S25^2+T25^2+2)/(S25^2+T25^2+1)+ATAN2(S25^2+T25^2+1-S25^2*T25^2,2*S25*T25*SQRT(S25^2+T25^2+1)))</f>
        <v/>
      </c>
      <c r="V25" s="12">
        <f>4*Input!$G$9*U25</f>
        <v/>
      </c>
      <c r="W25" s="29">
        <f>((Input!$G$11/Input!$G$10)*LN((1+SQRT((Input!$G$11/Input!$G$10)^2+1))*SQRT((Input!$G$11/Input!$G$10)^2+(C25/(Input!$G$10/2))^2)/((Input!$G$11/Input!$G$10)*(1+SQRT((Input!$G$11/Input!$G$10)^2+(C25/(Input!$G$10/2))^2+1))))+LN(((Input!$G$11/Input!$G$10)+SQRT((Input!$G$11/Input!$G$10)^2+1))*SQRT(1+(C25/(Input!$G$10/2))^2)/((Input!$G$11/Input!$G$10)+SQRT((Input!$G$11/Input!$G$10)^2+(C25/(Input!$G$10/2))^2+1))))/PI()</f>
        <v/>
      </c>
      <c r="X25" s="29">
        <f>(C25/(Input!$G$10/2))/(2*PI())*ATAN((Input!$G$11/Input!$G$10)/((C25/(Input!$G$10/2))*SQRT((Input!$G$11/Input!$G$10)^2+(C25/(Input!$G$10/2))^2+1)))</f>
        <v/>
      </c>
      <c r="Y25" s="13">
        <f>MAX(0,C25-MAX(B25,$G$8))/D25*IF(V25&gt;=Input!$G$27*J25,1,0)</f>
        <v/>
      </c>
      <c r="Z25" s="12">
        <f>4*Input!$G$9*(Input!$G$10/2)*(1-R25^2)/Q25*((W25-W24)+(1-2*R25)/(1-R25)*(X25-X24))*1000*Y25</f>
        <v/>
      </c>
      <c r="AA25" s="30">
        <f>IF(F25="Sand",0,0.009*(K25-10))</f>
        <v/>
      </c>
      <c r="AB25" s="30">
        <f>AA25*Input!$G$23</f>
        <v/>
      </c>
      <c r="AC25" s="26">
        <f>IF(F25="Sand",0,MAX(O25/Input!$G$24,J25))</f>
        <v/>
      </c>
      <c r="AD25" s="31">
        <f>IF(F25="Sand",0,1000*D25/(1+N25)*IF(J25+V25&lt;=AC25,AB25*LOG10((J25+V25)/J25),AB25*LOG10(AC25/J25)+AA25*LOG10((J25+V25)/AC25)))*Y25</f>
        <v/>
      </c>
      <c r="AE25" s="32">
        <f>IF(F25="Sand",0,10^(INDEX(Korelasi!$C$5:$C$11,MIN(MATCH(MIN(MAX(K25,30),120),Korelasi!$A$5:$A$11,1),6))+(MIN(MAX(K25,30),120)-INDEX(Korelasi!$A$5:$A$11,MIN(MATCH(MIN(MAX(K25,30),120),Korelasi!$A$5:$A$11,1),6)))/(INDEX(Korelasi!$A$5:$A$11,MIN(MATCH(MIN(MAX(K25,30),120),Korelasi!$A$5:$A$11,1),6)+1)-INDEX(Korelasi!$A$5:$A$11,MIN(MATCH(MIN(MAX(K25,30),120),Korelasi!$A$5:$A$11,1),6)))*(INDEX(Korelasi!$C$5:$C$11,MIN(MATCH(MIN(MAX(K25,30),120),Korelasi!$A$5:$A$11,1),6)+1)-INDEX(Korelasi!$C$5:$C$11,MIN(MATCH(MIN(MAX(K25,30),120),Korelasi!$A$5:$A$11,1),6)))))</f>
        <v/>
      </c>
      <c r="AF25" s="33">
        <f>IF(OR(F25="Sand",Y25=0),0,Input!$G$25*(D25/2)^2/(AE25*1E-4*31536000))</f>
        <v/>
      </c>
      <c r="AG25" s="13">
        <f>MAX(0,MIN(C25,Input!$G$15)-B25)</f>
        <v/>
      </c>
      <c r="AH25" s="13">
        <f>MAX(0,MIN(C25,Input!$G$15)-MAX(B25,$G$8))</f>
        <v/>
      </c>
      <c r="AI25" s="13">
        <f>MAX(0,MIN(C25,$G$106)-B25)</f>
        <v/>
      </c>
      <c r="AJ25" s="34" t="inlineStr"/>
    </row>
    <row r="26">
      <c r="A26" s="20" t="n">
        <v>14</v>
      </c>
      <c r="B26" s="21" t="n">
        <v>19.5</v>
      </c>
      <c r="C26" s="21" t="n">
        <v>21</v>
      </c>
      <c r="D26" s="13">
        <f>C26-B26</f>
        <v/>
      </c>
      <c r="E26" s="13">
        <f>(B26+C26)/2</f>
        <v/>
      </c>
      <c r="F26" s="22" t="inlineStr">
        <is>
          <t>Sand</t>
        </is>
      </c>
      <c r="G26" s="23" t="n">
        <v>41</v>
      </c>
      <c r="H26" s="12">
        <f>IF(E26&gt;$G$5,$G$7,$G$6)</f>
        <v/>
      </c>
      <c r="I26" s="12">
        <f>I25+H26*D26</f>
        <v/>
      </c>
      <c r="J26" s="12">
        <f>I26-H26*D26/2-10*MAX(E26-$G$5,0)</f>
        <v/>
      </c>
      <c r="K26" s="24" t="n"/>
      <c r="L26" s="24" t="n"/>
      <c r="M26" s="12">
        <f>IF(K26="","",K26-L26)</f>
        <v/>
      </c>
      <c r="N26" s="25" t="n">
        <v>0.673</v>
      </c>
      <c r="O26" s="26">
        <f>IF(F26="Sand",0,Input!$G$19*G26)</f>
        <v/>
      </c>
      <c r="P26" s="12">
        <f>IF(F26="Sand",27.1+0.3*MIN(Input!$G$20*G26,60)-0.00054*MIN(Input!$G$20*G26,60)^2,MIN(MAX(DEGREES(ASIN(0.8-0.094*LN(MAX(IF(M26="",10,M26),5)))),20),30))</f>
        <v/>
      </c>
      <c r="Q26" s="27">
        <f>IF(F26="Sand",Input!$G$21*Input!$G$20*G26,Input!$G$22*O26)</f>
        <v/>
      </c>
      <c r="R26" s="13">
        <f>IF(F26="Sand",Input!$G$26,0.5)</f>
        <v/>
      </c>
      <c r="S26" s="13">
        <f>Input!$G$10/2/E26</f>
        <v/>
      </c>
      <c r="T26" s="13">
        <f>Input!$G$11/2/E26</f>
        <v/>
      </c>
      <c r="U26" s="28">
        <f>1/(4*PI())*(2*S26*T26*SQRT(S26^2+T26^2+1)/(S26^2+T26^2+1+S26^2*T26^2)*(S26^2+T26^2+2)/(S26^2+T26^2+1)+ATAN2(S26^2+T26^2+1-S26^2*T26^2,2*S26*T26*SQRT(S26^2+T26^2+1)))</f>
        <v/>
      </c>
      <c r="V26" s="12">
        <f>4*Input!$G$9*U26</f>
        <v/>
      </c>
      <c r="W26" s="29">
        <f>((Input!$G$11/Input!$G$10)*LN((1+SQRT((Input!$G$11/Input!$G$10)^2+1))*SQRT((Input!$G$11/Input!$G$10)^2+(C26/(Input!$G$10/2))^2)/((Input!$G$11/Input!$G$10)*(1+SQRT((Input!$G$11/Input!$G$10)^2+(C26/(Input!$G$10/2))^2+1))))+LN(((Input!$G$11/Input!$G$10)+SQRT((Input!$G$11/Input!$G$10)^2+1))*SQRT(1+(C26/(Input!$G$10/2))^2)/((Input!$G$11/Input!$G$10)+SQRT((Input!$G$11/Input!$G$10)^2+(C26/(Input!$G$10/2))^2+1))))/PI()</f>
        <v/>
      </c>
      <c r="X26" s="29">
        <f>(C26/(Input!$G$10/2))/(2*PI())*ATAN((Input!$G$11/Input!$G$10)/((C26/(Input!$G$10/2))*SQRT((Input!$G$11/Input!$G$10)^2+(C26/(Input!$G$10/2))^2+1)))</f>
        <v/>
      </c>
      <c r="Y26" s="13">
        <f>MAX(0,C26-MAX(B26,$G$8))/D26*IF(V26&gt;=Input!$G$27*J26,1,0)</f>
        <v/>
      </c>
      <c r="Z26" s="12">
        <f>4*Input!$G$9*(Input!$G$10/2)*(1-R26^2)/Q26*((W26-W25)+(1-2*R26)/(1-R26)*(X26-X25))*1000*Y26</f>
        <v/>
      </c>
      <c r="AA26" s="30">
        <f>IF(F26="Sand",0,0.009*(K26-10))</f>
        <v/>
      </c>
      <c r="AB26" s="30">
        <f>AA26*Input!$G$23</f>
        <v/>
      </c>
      <c r="AC26" s="26">
        <f>IF(F26="Sand",0,MAX(O26/Input!$G$24,J26))</f>
        <v/>
      </c>
      <c r="AD26" s="31">
        <f>IF(F26="Sand",0,1000*D26/(1+N26)*IF(J26+V26&lt;=AC26,AB26*LOG10((J26+V26)/J26),AB26*LOG10(AC26/J26)+AA26*LOG10((J26+V26)/AC26)))*Y26</f>
        <v/>
      </c>
      <c r="AE26" s="32">
        <f>IF(F26="Sand",0,10^(INDEX(Korelasi!$C$5:$C$11,MIN(MATCH(MIN(MAX(K26,30),120),Korelasi!$A$5:$A$11,1),6))+(MIN(MAX(K26,30),120)-INDEX(Korelasi!$A$5:$A$11,MIN(MATCH(MIN(MAX(K26,30),120),Korelasi!$A$5:$A$11,1),6)))/(INDEX(Korelasi!$A$5:$A$11,MIN(MATCH(MIN(MAX(K26,30),120),Korelasi!$A$5:$A$11,1),6)+1)-INDEX(Korelasi!$A$5:$A$11,MIN(MATCH(MIN(MAX(K26,30),120),Korelasi!$A$5:$A$11,1),6)))*(INDEX(Korelasi!$C$5:$C$11,MIN(MATCH(MIN(MAX(K26,30),120),Korelasi!$A$5:$A$11,1),6)+1)-INDEX(Korelasi!$C$5:$C$11,MIN(MATCH(MIN(MAX(K26,30),120),Korelasi!$A$5:$A$11,1),6)))))</f>
        <v/>
      </c>
      <c r="AF26" s="33">
        <f>IF(OR(F26="Sand",Y26=0),0,Input!$G$25*(D26/2)^2/(AE26*1E-4*31536000))</f>
        <v/>
      </c>
      <c r="AG26" s="13">
        <f>MAX(0,MIN(C26,Input!$G$15)-B26)</f>
        <v/>
      </c>
      <c r="AH26" s="13">
        <f>MAX(0,MIN(C26,Input!$G$15)-MAX(B26,$G$8))</f>
        <v/>
      </c>
      <c r="AI26" s="13">
        <f>MAX(0,MIN(C26,$G$106)-B26)</f>
        <v/>
      </c>
      <c r="AJ26" s="34" t="inlineStr"/>
    </row>
    <row r="27">
      <c r="A27" s="20" t="n">
        <v>15</v>
      </c>
      <c r="B27" s="21" t="n">
        <v>21</v>
      </c>
      <c r="C27" s="21" t="n">
        <v>22.5</v>
      </c>
      <c r="D27" s="13">
        <f>C27-B27</f>
        <v/>
      </c>
      <c r="E27" s="13">
        <f>(B27+C27)/2</f>
        <v/>
      </c>
      <c r="F27" s="22" t="inlineStr">
        <is>
          <t>Sand</t>
        </is>
      </c>
      <c r="G27" s="23" t="n">
        <v>40</v>
      </c>
      <c r="H27" s="12">
        <f>IF(E27&gt;$G$5,$G$7,$G$6)</f>
        <v/>
      </c>
      <c r="I27" s="12">
        <f>I26+H27*D27</f>
        <v/>
      </c>
      <c r="J27" s="12">
        <f>I27-H27*D27/2-10*MAX(E27-$G$5,0)</f>
        <v/>
      </c>
      <c r="K27" s="24" t="n"/>
      <c r="L27" s="24" t="n"/>
      <c r="M27" s="12">
        <f>IF(K27="","",K27-L27)</f>
        <v/>
      </c>
      <c r="N27" s="25" t="n">
        <v>0.65</v>
      </c>
      <c r="O27" s="26">
        <f>IF(F27="Sand",0,Input!$G$19*G27)</f>
        <v/>
      </c>
      <c r="P27" s="12">
        <f>IF(F27="Sand",27.1+0.3*MIN(Input!$G$20*G27,60)-0.00054*MIN(Input!$G$20*G27,60)^2,MIN(MAX(DEGREES(ASIN(0.8-0.094*LN(MAX(IF(M27="",10,M27),5)))),20),30))</f>
        <v/>
      </c>
      <c r="Q27" s="27">
        <f>IF(F27="Sand",Input!$G$21*Input!$G$20*G27,Input!$G$22*O27)</f>
        <v/>
      </c>
      <c r="R27" s="13">
        <f>IF(F27="Sand",Input!$G$26,0.5)</f>
        <v/>
      </c>
      <c r="S27" s="13">
        <f>Input!$G$10/2/E27</f>
        <v/>
      </c>
      <c r="T27" s="13">
        <f>Input!$G$11/2/E27</f>
        <v/>
      </c>
      <c r="U27" s="28">
        <f>1/(4*PI())*(2*S27*T27*SQRT(S27^2+T27^2+1)/(S27^2+T27^2+1+S27^2*T27^2)*(S27^2+T27^2+2)/(S27^2+T27^2+1)+ATAN2(S27^2+T27^2+1-S27^2*T27^2,2*S27*T27*SQRT(S27^2+T27^2+1)))</f>
        <v/>
      </c>
      <c r="V27" s="12">
        <f>4*Input!$G$9*U27</f>
        <v/>
      </c>
      <c r="W27" s="29">
        <f>((Input!$G$11/Input!$G$10)*LN((1+SQRT((Input!$G$11/Input!$G$10)^2+1))*SQRT((Input!$G$11/Input!$G$10)^2+(C27/(Input!$G$10/2))^2)/((Input!$G$11/Input!$G$10)*(1+SQRT((Input!$G$11/Input!$G$10)^2+(C27/(Input!$G$10/2))^2+1))))+LN(((Input!$G$11/Input!$G$10)+SQRT((Input!$G$11/Input!$G$10)^2+1))*SQRT(1+(C27/(Input!$G$10/2))^2)/((Input!$G$11/Input!$G$10)+SQRT((Input!$G$11/Input!$G$10)^2+(C27/(Input!$G$10/2))^2+1))))/PI()</f>
        <v/>
      </c>
      <c r="X27" s="29">
        <f>(C27/(Input!$G$10/2))/(2*PI())*ATAN((Input!$G$11/Input!$G$10)/((C27/(Input!$G$10/2))*SQRT((Input!$G$11/Input!$G$10)^2+(C27/(Input!$G$10/2))^2+1)))</f>
        <v/>
      </c>
      <c r="Y27" s="13">
        <f>MAX(0,C27-MAX(B27,$G$8))/D27*IF(V27&gt;=Input!$G$27*J27,1,0)</f>
        <v/>
      </c>
      <c r="Z27" s="12">
        <f>4*Input!$G$9*(Input!$G$10/2)*(1-R27^2)/Q27*((W27-W26)+(1-2*R27)/(1-R27)*(X27-X26))*1000*Y27</f>
        <v/>
      </c>
      <c r="AA27" s="30">
        <f>IF(F27="Sand",0,0.009*(K27-10))</f>
        <v/>
      </c>
      <c r="AB27" s="30">
        <f>AA27*Input!$G$23</f>
        <v/>
      </c>
      <c r="AC27" s="26">
        <f>IF(F27="Sand",0,MAX(O27/Input!$G$24,J27))</f>
        <v/>
      </c>
      <c r="AD27" s="31">
        <f>IF(F27="Sand",0,1000*D27/(1+N27)*IF(J27+V27&lt;=AC27,AB27*LOG10((J27+V27)/J27),AB27*LOG10(AC27/J27)+AA27*LOG10((J27+V27)/AC27)))*Y27</f>
        <v/>
      </c>
      <c r="AE27" s="32">
        <f>IF(F27="Sand",0,10^(INDEX(Korelasi!$C$5:$C$11,MIN(MATCH(MIN(MAX(K27,30),120),Korelasi!$A$5:$A$11,1),6))+(MIN(MAX(K27,30),120)-INDEX(Korelasi!$A$5:$A$11,MIN(MATCH(MIN(MAX(K27,30),120),Korelasi!$A$5:$A$11,1),6)))/(INDEX(Korelasi!$A$5:$A$11,MIN(MATCH(MIN(MAX(K27,30),120),Korelasi!$A$5:$A$11,1),6)+1)-INDEX(Korelasi!$A$5:$A$11,MIN(MATCH(MIN(MAX(K27,30),120),Korelasi!$A$5:$A$11,1),6)))*(INDEX(Korelasi!$C$5:$C$11,MIN(MATCH(MIN(MAX(K27,30),120),Korelasi!$A$5:$A$11,1),6)+1)-INDEX(Korelasi!$C$5:$C$11,MIN(MATCH(MIN(MAX(K27,30),120),Korelasi!$A$5:$A$11,1),6)))))</f>
        <v/>
      </c>
      <c r="AF27" s="33">
        <f>IF(OR(F27="Sand",Y27=0),0,Input!$G$25*(D27/2)^2/(AE27*1E-4*31536000))</f>
        <v/>
      </c>
      <c r="AG27" s="13">
        <f>MAX(0,MIN(C27,Input!$G$15)-B27)</f>
        <v/>
      </c>
      <c r="AH27" s="13">
        <f>MAX(0,MIN(C27,Input!$G$15)-MAX(B27,$G$8))</f>
        <v/>
      </c>
      <c r="AI27" s="13">
        <f>MAX(0,MIN(C27,$G$106)-B27)</f>
        <v/>
      </c>
      <c r="AJ27" s="34" t="inlineStr"/>
    </row>
    <row r="28">
      <c r="A28" s="20" t="n">
        <v>16</v>
      </c>
      <c r="B28" s="21" t="n">
        <v>22.5</v>
      </c>
      <c r="C28" s="21" t="n">
        <v>24</v>
      </c>
      <c r="D28" s="13">
        <f>C28-B28</f>
        <v/>
      </c>
      <c r="E28" s="13">
        <f>(B28+C28)/2</f>
        <v/>
      </c>
      <c r="F28" s="22" t="inlineStr">
        <is>
          <t>Sand</t>
        </is>
      </c>
      <c r="G28" s="23" t="n">
        <v>50</v>
      </c>
      <c r="H28" s="12">
        <f>IF(E28&gt;$G$5,$G$7,$G$6)</f>
        <v/>
      </c>
      <c r="I28" s="12">
        <f>I27+H28*D28</f>
        <v/>
      </c>
      <c r="J28" s="12">
        <f>I28-H28*D28/2-10*MAX(E28-$G$5,0)</f>
        <v/>
      </c>
      <c r="K28" s="24" t="n"/>
      <c r="L28" s="24" t="n"/>
      <c r="M28" s="12">
        <f>IF(K28="","",K28-L28)</f>
        <v/>
      </c>
      <c r="N28" s="25" t="n">
        <v>0.65</v>
      </c>
      <c r="O28" s="26">
        <f>IF(F28="Sand",0,Input!$G$19*G28)</f>
        <v/>
      </c>
      <c r="P28" s="12">
        <f>IF(F28="Sand",27.1+0.3*MIN(Input!$G$20*G28,60)-0.00054*MIN(Input!$G$20*G28,60)^2,MIN(MAX(DEGREES(ASIN(0.8-0.094*LN(MAX(IF(M28="",10,M28),5)))),20),30))</f>
        <v/>
      </c>
      <c r="Q28" s="27">
        <f>IF(F28="Sand",Input!$G$21*Input!$G$20*G28,Input!$G$22*O28)</f>
        <v/>
      </c>
      <c r="R28" s="13">
        <f>IF(F28="Sand",Input!$G$26,0.5)</f>
        <v/>
      </c>
      <c r="S28" s="13">
        <f>Input!$G$10/2/E28</f>
        <v/>
      </c>
      <c r="T28" s="13">
        <f>Input!$G$11/2/E28</f>
        <v/>
      </c>
      <c r="U28" s="28">
        <f>1/(4*PI())*(2*S28*T28*SQRT(S28^2+T28^2+1)/(S28^2+T28^2+1+S28^2*T28^2)*(S28^2+T28^2+2)/(S28^2+T28^2+1)+ATAN2(S28^2+T28^2+1-S28^2*T28^2,2*S28*T28*SQRT(S28^2+T28^2+1)))</f>
        <v/>
      </c>
      <c r="V28" s="12">
        <f>4*Input!$G$9*U28</f>
        <v/>
      </c>
      <c r="W28" s="29">
        <f>((Input!$G$11/Input!$G$10)*LN((1+SQRT((Input!$G$11/Input!$G$10)^2+1))*SQRT((Input!$G$11/Input!$G$10)^2+(C28/(Input!$G$10/2))^2)/((Input!$G$11/Input!$G$10)*(1+SQRT((Input!$G$11/Input!$G$10)^2+(C28/(Input!$G$10/2))^2+1))))+LN(((Input!$G$11/Input!$G$10)+SQRT((Input!$G$11/Input!$G$10)^2+1))*SQRT(1+(C28/(Input!$G$10/2))^2)/((Input!$G$11/Input!$G$10)+SQRT((Input!$G$11/Input!$G$10)^2+(C28/(Input!$G$10/2))^2+1))))/PI()</f>
        <v/>
      </c>
      <c r="X28" s="29">
        <f>(C28/(Input!$G$10/2))/(2*PI())*ATAN((Input!$G$11/Input!$G$10)/((C28/(Input!$G$10/2))*SQRT((Input!$G$11/Input!$G$10)^2+(C28/(Input!$G$10/2))^2+1)))</f>
        <v/>
      </c>
      <c r="Y28" s="13">
        <f>MAX(0,C28-MAX(B28,$G$8))/D28*IF(V28&gt;=Input!$G$27*J28,1,0)</f>
        <v/>
      </c>
      <c r="Z28" s="12">
        <f>4*Input!$G$9*(Input!$G$10/2)*(1-R28^2)/Q28*((W28-W27)+(1-2*R28)/(1-R28)*(X28-X27))*1000*Y28</f>
        <v/>
      </c>
      <c r="AA28" s="30">
        <f>IF(F28="Sand",0,0.009*(K28-10))</f>
        <v/>
      </c>
      <c r="AB28" s="30">
        <f>AA28*Input!$G$23</f>
        <v/>
      </c>
      <c r="AC28" s="26">
        <f>IF(F28="Sand",0,MAX(O28/Input!$G$24,J28))</f>
        <v/>
      </c>
      <c r="AD28" s="31">
        <f>IF(F28="Sand",0,1000*D28/(1+N28)*IF(J28+V28&lt;=AC28,AB28*LOG10((J28+V28)/J28),AB28*LOG10(AC28/J28)+AA28*LOG10((J28+V28)/AC28)))*Y28</f>
        <v/>
      </c>
      <c r="AE28" s="32">
        <f>IF(F28="Sand",0,10^(INDEX(Korelasi!$C$5:$C$11,MIN(MATCH(MIN(MAX(K28,30),120),Korelasi!$A$5:$A$11,1),6))+(MIN(MAX(K28,30),120)-INDEX(Korelasi!$A$5:$A$11,MIN(MATCH(MIN(MAX(K28,30),120),Korelasi!$A$5:$A$11,1),6)))/(INDEX(Korelasi!$A$5:$A$11,MIN(MATCH(MIN(MAX(K28,30),120),Korelasi!$A$5:$A$11,1),6)+1)-INDEX(Korelasi!$A$5:$A$11,MIN(MATCH(MIN(MAX(K28,30),120),Korelasi!$A$5:$A$11,1),6)))*(INDEX(Korelasi!$C$5:$C$11,MIN(MATCH(MIN(MAX(K28,30),120),Korelasi!$A$5:$A$11,1),6)+1)-INDEX(Korelasi!$C$5:$C$11,MIN(MATCH(MIN(MAX(K28,30),120),Korelasi!$A$5:$A$11,1),6)))))</f>
        <v/>
      </c>
      <c r="AF28" s="33">
        <f>IF(OR(F28="Sand",Y28=0),0,Input!$G$25*(D28/2)^2/(AE28*1E-4*31536000))</f>
        <v/>
      </c>
      <c r="AG28" s="13">
        <f>MAX(0,MIN(C28,Input!$G$15)-B28)</f>
        <v/>
      </c>
      <c r="AH28" s="13">
        <f>MAX(0,MIN(C28,Input!$G$15)-MAX(B28,$G$8))</f>
        <v/>
      </c>
      <c r="AI28" s="13">
        <f>MAX(0,MIN(C28,$G$106)-B28)</f>
        <v/>
      </c>
      <c r="AJ28" s="34" t="inlineStr"/>
    </row>
    <row r="29">
      <c r="A29" s="20" t="n">
        <v>17</v>
      </c>
      <c r="B29" s="21" t="n">
        <v>24</v>
      </c>
      <c r="C29" s="21" t="n">
        <v>25.5</v>
      </c>
      <c r="D29" s="13">
        <f>C29-B29</f>
        <v/>
      </c>
      <c r="E29" s="13">
        <f>(B29+C29)/2</f>
        <v/>
      </c>
      <c r="F29" s="22" t="inlineStr">
        <is>
          <t>Sand</t>
        </is>
      </c>
      <c r="G29" s="23" t="n">
        <v>40</v>
      </c>
      <c r="H29" s="12">
        <f>IF(E29&gt;$G$5,$G$7,$G$6)</f>
        <v/>
      </c>
      <c r="I29" s="12">
        <f>I28+H29*D29</f>
        <v/>
      </c>
      <c r="J29" s="12">
        <f>I29-H29*D29/2-10*MAX(E29-$G$5,0)</f>
        <v/>
      </c>
      <c r="K29" s="24" t="n"/>
      <c r="L29" s="24" t="n"/>
      <c r="M29" s="12">
        <f>IF(K29="","",K29-L29)</f>
        <v/>
      </c>
      <c r="N29" s="25" t="n">
        <v>0.65</v>
      </c>
      <c r="O29" s="26">
        <f>IF(F29="Sand",0,Input!$G$19*G29)</f>
        <v/>
      </c>
      <c r="P29" s="12">
        <f>IF(F29="Sand",27.1+0.3*MIN(Input!$G$20*G29,60)-0.00054*MIN(Input!$G$20*G29,60)^2,MIN(MAX(DEGREES(ASIN(0.8-0.094*LN(MAX(IF(M29="",10,M29),5)))),20),30))</f>
        <v/>
      </c>
      <c r="Q29" s="27">
        <f>IF(F29="Sand",Input!$G$21*Input!$G$20*G29,Input!$G$22*O29)</f>
        <v/>
      </c>
      <c r="R29" s="13">
        <f>IF(F29="Sand",Input!$G$26,0.5)</f>
        <v/>
      </c>
      <c r="S29" s="13">
        <f>Input!$G$10/2/E29</f>
        <v/>
      </c>
      <c r="T29" s="13">
        <f>Input!$G$11/2/E29</f>
        <v/>
      </c>
      <c r="U29" s="28">
        <f>1/(4*PI())*(2*S29*T29*SQRT(S29^2+T29^2+1)/(S29^2+T29^2+1+S29^2*T29^2)*(S29^2+T29^2+2)/(S29^2+T29^2+1)+ATAN2(S29^2+T29^2+1-S29^2*T29^2,2*S29*T29*SQRT(S29^2+T29^2+1)))</f>
        <v/>
      </c>
      <c r="V29" s="12">
        <f>4*Input!$G$9*U29</f>
        <v/>
      </c>
      <c r="W29" s="29">
        <f>((Input!$G$11/Input!$G$10)*LN((1+SQRT((Input!$G$11/Input!$G$10)^2+1))*SQRT((Input!$G$11/Input!$G$10)^2+(C29/(Input!$G$10/2))^2)/((Input!$G$11/Input!$G$10)*(1+SQRT((Input!$G$11/Input!$G$10)^2+(C29/(Input!$G$10/2))^2+1))))+LN(((Input!$G$11/Input!$G$10)+SQRT((Input!$G$11/Input!$G$10)^2+1))*SQRT(1+(C29/(Input!$G$10/2))^2)/((Input!$G$11/Input!$G$10)+SQRT((Input!$G$11/Input!$G$10)^2+(C29/(Input!$G$10/2))^2+1))))/PI()</f>
        <v/>
      </c>
      <c r="X29" s="29">
        <f>(C29/(Input!$G$10/2))/(2*PI())*ATAN((Input!$G$11/Input!$G$10)/((C29/(Input!$G$10/2))*SQRT((Input!$G$11/Input!$G$10)^2+(C29/(Input!$G$10/2))^2+1)))</f>
        <v/>
      </c>
      <c r="Y29" s="13">
        <f>MAX(0,C29-MAX(B29,$G$8))/D29*IF(V29&gt;=Input!$G$27*J29,1,0)</f>
        <v/>
      </c>
      <c r="Z29" s="12">
        <f>4*Input!$G$9*(Input!$G$10/2)*(1-R29^2)/Q29*((W29-W28)+(1-2*R29)/(1-R29)*(X29-X28))*1000*Y29</f>
        <v/>
      </c>
      <c r="AA29" s="30">
        <f>IF(F29="Sand",0,0.009*(K29-10))</f>
        <v/>
      </c>
      <c r="AB29" s="30">
        <f>AA29*Input!$G$23</f>
        <v/>
      </c>
      <c r="AC29" s="26">
        <f>IF(F29="Sand",0,MAX(O29/Input!$G$24,J29))</f>
        <v/>
      </c>
      <c r="AD29" s="31">
        <f>IF(F29="Sand",0,1000*D29/(1+N29)*IF(J29+V29&lt;=AC29,AB29*LOG10((J29+V29)/J29),AB29*LOG10(AC29/J29)+AA29*LOG10((J29+V29)/AC29)))*Y29</f>
        <v/>
      </c>
      <c r="AE29" s="32">
        <f>IF(F29="Sand",0,10^(INDEX(Korelasi!$C$5:$C$11,MIN(MATCH(MIN(MAX(K29,30),120),Korelasi!$A$5:$A$11,1),6))+(MIN(MAX(K29,30),120)-INDEX(Korelasi!$A$5:$A$11,MIN(MATCH(MIN(MAX(K29,30),120),Korelasi!$A$5:$A$11,1),6)))/(INDEX(Korelasi!$A$5:$A$11,MIN(MATCH(MIN(MAX(K29,30),120),Korelasi!$A$5:$A$11,1),6)+1)-INDEX(Korelasi!$A$5:$A$11,MIN(MATCH(MIN(MAX(K29,30),120),Korelasi!$A$5:$A$11,1),6)))*(INDEX(Korelasi!$C$5:$C$11,MIN(MATCH(MIN(MAX(K29,30),120),Korelasi!$A$5:$A$11,1),6)+1)-INDEX(Korelasi!$C$5:$C$11,MIN(MATCH(MIN(MAX(K29,30),120),Korelasi!$A$5:$A$11,1),6)))))</f>
        <v/>
      </c>
      <c r="AF29" s="33">
        <f>IF(OR(F29="Sand",Y29=0),0,Input!$G$25*(D29/2)^2/(AE29*1E-4*31536000))</f>
        <v/>
      </c>
      <c r="AG29" s="13">
        <f>MAX(0,MIN(C29,Input!$G$15)-B29)</f>
        <v/>
      </c>
      <c r="AH29" s="13">
        <f>MAX(0,MIN(C29,Input!$G$15)-MAX(B29,$G$8))</f>
        <v/>
      </c>
      <c r="AI29" s="13">
        <f>MAX(0,MIN(C29,$G$106)-B29)</f>
        <v/>
      </c>
      <c r="AJ29" s="34" t="inlineStr"/>
    </row>
    <row r="30">
      <c r="A30" s="20" t="n">
        <v>18</v>
      </c>
      <c r="B30" s="21" t="n">
        <v>25.5</v>
      </c>
      <c r="C30" s="21" t="n">
        <v>27</v>
      </c>
      <c r="D30" s="13">
        <f>C30-B30</f>
        <v/>
      </c>
      <c r="E30" s="13">
        <f>(B30+C30)/2</f>
        <v/>
      </c>
      <c r="F30" s="22" t="inlineStr">
        <is>
          <t>Sand</t>
        </is>
      </c>
      <c r="G30" s="23" t="n">
        <v>21</v>
      </c>
      <c r="H30" s="12">
        <f>IF(E30&gt;$G$5,$G$7,$G$6)</f>
        <v/>
      </c>
      <c r="I30" s="12">
        <f>I29+H30*D30</f>
        <v/>
      </c>
      <c r="J30" s="12">
        <f>I30-H30*D30/2-10*MAX(E30-$G$5,0)</f>
        <v/>
      </c>
      <c r="K30" s="24" t="n"/>
      <c r="L30" s="24" t="n"/>
      <c r="M30" s="12">
        <f>IF(K30="","",K30-L30)</f>
        <v/>
      </c>
      <c r="N30" s="25" t="n">
        <v>0.73</v>
      </c>
      <c r="O30" s="26">
        <f>IF(F30="Sand",0,Input!$G$19*G30)</f>
        <v/>
      </c>
      <c r="P30" s="12">
        <f>IF(F30="Sand",27.1+0.3*MIN(Input!$G$20*G30,60)-0.00054*MIN(Input!$G$20*G30,60)^2,MIN(MAX(DEGREES(ASIN(0.8-0.094*LN(MAX(IF(M30="",10,M30),5)))),20),30))</f>
        <v/>
      </c>
      <c r="Q30" s="27">
        <f>IF(F30="Sand",Input!$G$21*Input!$G$20*G30,Input!$G$22*O30)</f>
        <v/>
      </c>
      <c r="R30" s="13">
        <f>IF(F30="Sand",Input!$G$26,0.5)</f>
        <v/>
      </c>
      <c r="S30" s="13">
        <f>Input!$G$10/2/E30</f>
        <v/>
      </c>
      <c r="T30" s="13">
        <f>Input!$G$11/2/E30</f>
        <v/>
      </c>
      <c r="U30" s="28">
        <f>1/(4*PI())*(2*S30*T30*SQRT(S30^2+T30^2+1)/(S30^2+T30^2+1+S30^2*T30^2)*(S30^2+T30^2+2)/(S30^2+T30^2+1)+ATAN2(S30^2+T30^2+1-S30^2*T30^2,2*S30*T30*SQRT(S30^2+T30^2+1)))</f>
        <v/>
      </c>
      <c r="V30" s="12">
        <f>4*Input!$G$9*U30</f>
        <v/>
      </c>
      <c r="W30" s="29">
        <f>((Input!$G$11/Input!$G$10)*LN((1+SQRT((Input!$G$11/Input!$G$10)^2+1))*SQRT((Input!$G$11/Input!$G$10)^2+(C30/(Input!$G$10/2))^2)/((Input!$G$11/Input!$G$10)*(1+SQRT((Input!$G$11/Input!$G$10)^2+(C30/(Input!$G$10/2))^2+1))))+LN(((Input!$G$11/Input!$G$10)+SQRT((Input!$G$11/Input!$G$10)^2+1))*SQRT(1+(C30/(Input!$G$10/2))^2)/((Input!$G$11/Input!$G$10)+SQRT((Input!$G$11/Input!$G$10)^2+(C30/(Input!$G$10/2))^2+1))))/PI()</f>
        <v/>
      </c>
      <c r="X30" s="29">
        <f>(C30/(Input!$G$10/2))/(2*PI())*ATAN((Input!$G$11/Input!$G$10)/((C30/(Input!$G$10/2))*SQRT((Input!$G$11/Input!$G$10)^2+(C30/(Input!$G$10/2))^2+1)))</f>
        <v/>
      </c>
      <c r="Y30" s="13">
        <f>MAX(0,C30-MAX(B30,$G$8))/D30*IF(V30&gt;=Input!$G$27*J30,1,0)</f>
        <v/>
      </c>
      <c r="Z30" s="12">
        <f>4*Input!$G$9*(Input!$G$10/2)*(1-R30^2)/Q30*((W30-W29)+(1-2*R30)/(1-R30)*(X30-X29))*1000*Y30</f>
        <v/>
      </c>
      <c r="AA30" s="30">
        <f>IF(F30="Sand",0,0.009*(K30-10))</f>
        <v/>
      </c>
      <c r="AB30" s="30">
        <f>AA30*Input!$G$23</f>
        <v/>
      </c>
      <c r="AC30" s="26">
        <f>IF(F30="Sand",0,MAX(O30/Input!$G$24,J30))</f>
        <v/>
      </c>
      <c r="AD30" s="31">
        <f>IF(F30="Sand",0,1000*D30/(1+N30)*IF(J30+V30&lt;=AC30,AB30*LOG10((J30+V30)/J30),AB30*LOG10(AC30/J30)+AA30*LOG10((J30+V30)/AC30)))*Y30</f>
        <v/>
      </c>
      <c r="AE30" s="32">
        <f>IF(F30="Sand",0,10^(INDEX(Korelasi!$C$5:$C$11,MIN(MATCH(MIN(MAX(K30,30),120),Korelasi!$A$5:$A$11,1),6))+(MIN(MAX(K30,30),120)-INDEX(Korelasi!$A$5:$A$11,MIN(MATCH(MIN(MAX(K30,30),120),Korelasi!$A$5:$A$11,1),6)))/(INDEX(Korelasi!$A$5:$A$11,MIN(MATCH(MIN(MAX(K30,30),120),Korelasi!$A$5:$A$11,1),6)+1)-INDEX(Korelasi!$A$5:$A$11,MIN(MATCH(MIN(MAX(K30,30),120),Korelasi!$A$5:$A$11,1),6)))*(INDEX(Korelasi!$C$5:$C$11,MIN(MATCH(MIN(MAX(K30,30),120),Korelasi!$A$5:$A$11,1),6)+1)-INDEX(Korelasi!$C$5:$C$11,MIN(MATCH(MIN(MAX(K30,30),120),Korelasi!$A$5:$A$11,1),6)))))</f>
        <v/>
      </c>
      <c r="AF30" s="33">
        <f>IF(OR(F30="Sand",Y30=0),0,Input!$G$25*(D30/2)^2/(AE30*1E-4*31536000))</f>
        <v/>
      </c>
      <c r="AG30" s="13">
        <f>MAX(0,MIN(C30,Input!$G$15)-B30)</f>
        <v/>
      </c>
      <c r="AH30" s="13">
        <f>MAX(0,MIN(C30,Input!$G$15)-MAX(B30,$G$8))</f>
        <v/>
      </c>
      <c r="AI30" s="13">
        <f>MAX(0,MIN(C30,$G$106)-B30)</f>
        <v/>
      </c>
      <c r="AJ30" s="34" t="inlineStr">
        <is>
          <t>data salinan BH-02</t>
        </is>
      </c>
    </row>
    <row r="31">
      <c r="A31" s="20" t="n">
        <v>19</v>
      </c>
      <c r="B31" s="21" t="n">
        <v>27</v>
      </c>
      <c r="C31" s="21" t="n">
        <v>28.5</v>
      </c>
      <c r="D31" s="13">
        <f>C31-B31</f>
        <v/>
      </c>
      <c r="E31" s="13">
        <f>(B31+C31)/2</f>
        <v/>
      </c>
      <c r="F31" s="22" t="inlineStr">
        <is>
          <t>Sand</t>
        </is>
      </c>
      <c r="G31" s="23" t="n">
        <v>31</v>
      </c>
      <c r="H31" s="12">
        <f>IF(E31&gt;$G$5,$G$7,$G$6)</f>
        <v/>
      </c>
      <c r="I31" s="12">
        <f>I30+H31*D31</f>
        <v/>
      </c>
      <c r="J31" s="12">
        <f>I31-H31*D31/2-10*MAX(E31-$G$5,0)</f>
        <v/>
      </c>
      <c r="K31" s="24" t="n"/>
      <c r="L31" s="24" t="n"/>
      <c r="M31" s="12">
        <f>IF(K31="","",K31-L31)</f>
        <v/>
      </c>
      <c r="N31" s="25" t="n">
        <v>0.65</v>
      </c>
      <c r="O31" s="26">
        <f>IF(F31="Sand",0,Input!$G$19*G31)</f>
        <v/>
      </c>
      <c r="P31" s="12">
        <f>IF(F31="Sand",27.1+0.3*MIN(Input!$G$20*G31,60)-0.00054*MIN(Input!$G$20*G31,60)^2,MIN(MAX(DEGREES(ASIN(0.8-0.094*LN(MAX(IF(M31="",10,M31),5)))),20),30))</f>
        <v/>
      </c>
      <c r="Q31" s="27">
        <f>IF(F31="Sand",Input!$G$21*Input!$G$20*G31,Input!$G$22*O31)</f>
        <v/>
      </c>
      <c r="R31" s="13">
        <f>IF(F31="Sand",Input!$G$26,0.5)</f>
        <v/>
      </c>
      <c r="S31" s="13">
        <f>Input!$G$10/2/E31</f>
        <v/>
      </c>
      <c r="T31" s="13">
        <f>Input!$G$11/2/E31</f>
        <v/>
      </c>
      <c r="U31" s="28">
        <f>1/(4*PI())*(2*S31*T31*SQRT(S31^2+T31^2+1)/(S31^2+T31^2+1+S31^2*T31^2)*(S31^2+T31^2+2)/(S31^2+T31^2+1)+ATAN2(S31^2+T31^2+1-S31^2*T31^2,2*S31*T31*SQRT(S31^2+T31^2+1)))</f>
        <v/>
      </c>
      <c r="V31" s="12">
        <f>4*Input!$G$9*U31</f>
        <v/>
      </c>
      <c r="W31" s="29">
        <f>((Input!$G$11/Input!$G$10)*LN((1+SQRT((Input!$G$11/Input!$G$10)^2+1))*SQRT((Input!$G$11/Input!$G$10)^2+(C31/(Input!$G$10/2))^2)/((Input!$G$11/Input!$G$10)*(1+SQRT((Input!$G$11/Input!$G$10)^2+(C31/(Input!$G$10/2))^2+1))))+LN(((Input!$G$11/Input!$G$10)+SQRT((Input!$G$11/Input!$G$10)^2+1))*SQRT(1+(C31/(Input!$G$10/2))^2)/((Input!$G$11/Input!$G$10)+SQRT((Input!$G$11/Input!$G$10)^2+(C31/(Input!$G$10/2))^2+1))))/PI()</f>
        <v/>
      </c>
      <c r="X31" s="29">
        <f>(C31/(Input!$G$10/2))/(2*PI())*ATAN((Input!$G$11/Input!$G$10)/((C31/(Input!$G$10/2))*SQRT((Input!$G$11/Input!$G$10)^2+(C31/(Input!$G$10/2))^2+1)))</f>
        <v/>
      </c>
      <c r="Y31" s="13">
        <f>MAX(0,C31-MAX(B31,$G$8))/D31*IF(V31&gt;=Input!$G$27*J31,1,0)</f>
        <v/>
      </c>
      <c r="Z31" s="12">
        <f>4*Input!$G$9*(Input!$G$10/2)*(1-R31^2)/Q31*((W31-W30)+(1-2*R31)/(1-R31)*(X31-X30))*1000*Y31</f>
        <v/>
      </c>
      <c r="AA31" s="30">
        <f>IF(F31="Sand",0,0.009*(K31-10))</f>
        <v/>
      </c>
      <c r="AB31" s="30">
        <f>AA31*Input!$G$23</f>
        <v/>
      </c>
      <c r="AC31" s="26">
        <f>IF(F31="Sand",0,MAX(O31/Input!$G$24,J31))</f>
        <v/>
      </c>
      <c r="AD31" s="31">
        <f>IF(F31="Sand",0,1000*D31/(1+N31)*IF(J31+V31&lt;=AC31,AB31*LOG10((J31+V31)/J31),AB31*LOG10(AC31/J31)+AA31*LOG10((J31+V31)/AC31)))*Y31</f>
        <v/>
      </c>
      <c r="AE31" s="32">
        <f>IF(F31="Sand",0,10^(INDEX(Korelasi!$C$5:$C$11,MIN(MATCH(MIN(MAX(K31,30),120),Korelasi!$A$5:$A$11,1),6))+(MIN(MAX(K31,30),120)-INDEX(Korelasi!$A$5:$A$11,MIN(MATCH(MIN(MAX(K31,30),120),Korelasi!$A$5:$A$11,1),6)))/(INDEX(Korelasi!$A$5:$A$11,MIN(MATCH(MIN(MAX(K31,30),120),Korelasi!$A$5:$A$11,1),6)+1)-INDEX(Korelasi!$A$5:$A$11,MIN(MATCH(MIN(MAX(K31,30),120),Korelasi!$A$5:$A$11,1),6)))*(INDEX(Korelasi!$C$5:$C$11,MIN(MATCH(MIN(MAX(K31,30),120),Korelasi!$A$5:$A$11,1),6)+1)-INDEX(Korelasi!$C$5:$C$11,MIN(MATCH(MIN(MAX(K31,30),120),Korelasi!$A$5:$A$11,1),6)))))</f>
        <v/>
      </c>
      <c r="AF31" s="33">
        <f>IF(OR(F31="Sand",Y31=0),0,Input!$G$25*(D31/2)^2/(AE31*1E-4*31536000))</f>
        <v/>
      </c>
      <c r="AG31" s="13">
        <f>MAX(0,MIN(C31,Input!$G$15)-B31)</f>
        <v/>
      </c>
      <c r="AH31" s="13">
        <f>MAX(0,MIN(C31,Input!$G$15)-MAX(B31,$G$8))</f>
        <v/>
      </c>
      <c r="AI31" s="13">
        <f>MAX(0,MIN(C31,$G$106)-B31)</f>
        <v/>
      </c>
      <c r="AJ31" s="34" t="inlineStr">
        <is>
          <t>data salinan BH-02</t>
        </is>
      </c>
    </row>
    <row r="32">
      <c r="A32" s="20" t="n">
        <v>20</v>
      </c>
      <c r="B32" s="21" t="n">
        <v>28.5</v>
      </c>
      <c r="C32" s="21" t="n">
        <v>30</v>
      </c>
      <c r="D32" s="13">
        <f>C32-B32</f>
        <v/>
      </c>
      <c r="E32" s="13">
        <f>(B32+C32)/2</f>
        <v/>
      </c>
      <c r="F32" s="22" t="inlineStr">
        <is>
          <t>Sand</t>
        </is>
      </c>
      <c r="G32" s="23" t="n">
        <v>50</v>
      </c>
      <c r="H32" s="12">
        <f>IF(E32&gt;$G$5,$G$7,$G$6)</f>
        <v/>
      </c>
      <c r="I32" s="12">
        <f>I31+H32*D32</f>
        <v/>
      </c>
      <c r="J32" s="12">
        <f>I32-H32*D32/2-10*MAX(E32-$G$5,0)</f>
        <v/>
      </c>
      <c r="K32" s="24" t="n"/>
      <c r="L32" s="24" t="n"/>
      <c r="M32" s="12">
        <f>IF(K32="","",K32-L32)</f>
        <v/>
      </c>
      <c r="N32" s="25" t="n">
        <v>0.65</v>
      </c>
      <c r="O32" s="26">
        <f>IF(F32="Sand",0,Input!$G$19*G32)</f>
        <v/>
      </c>
      <c r="P32" s="12">
        <f>IF(F32="Sand",27.1+0.3*MIN(Input!$G$20*G32,60)-0.00054*MIN(Input!$G$20*G32,60)^2,MIN(MAX(DEGREES(ASIN(0.8-0.094*LN(MAX(IF(M32="",10,M32),5)))),20),30))</f>
        <v/>
      </c>
      <c r="Q32" s="27">
        <f>IF(F32="Sand",Input!$G$21*Input!$G$20*G32,Input!$G$22*O32)</f>
        <v/>
      </c>
      <c r="R32" s="13">
        <f>IF(F32="Sand",Input!$G$26,0.5)</f>
        <v/>
      </c>
      <c r="S32" s="13">
        <f>Input!$G$10/2/E32</f>
        <v/>
      </c>
      <c r="T32" s="13">
        <f>Input!$G$11/2/E32</f>
        <v/>
      </c>
      <c r="U32" s="28">
        <f>1/(4*PI())*(2*S32*T32*SQRT(S32^2+T32^2+1)/(S32^2+T32^2+1+S32^2*T32^2)*(S32^2+T32^2+2)/(S32^2+T32^2+1)+ATAN2(S32^2+T32^2+1-S32^2*T32^2,2*S32*T32*SQRT(S32^2+T32^2+1)))</f>
        <v/>
      </c>
      <c r="V32" s="12">
        <f>4*Input!$G$9*U32</f>
        <v/>
      </c>
      <c r="W32" s="29">
        <f>((Input!$G$11/Input!$G$10)*LN((1+SQRT((Input!$G$11/Input!$G$10)^2+1))*SQRT((Input!$G$11/Input!$G$10)^2+(C32/(Input!$G$10/2))^2)/((Input!$G$11/Input!$G$10)*(1+SQRT((Input!$G$11/Input!$G$10)^2+(C32/(Input!$G$10/2))^2+1))))+LN(((Input!$G$11/Input!$G$10)+SQRT((Input!$G$11/Input!$G$10)^2+1))*SQRT(1+(C32/(Input!$G$10/2))^2)/((Input!$G$11/Input!$G$10)+SQRT((Input!$G$11/Input!$G$10)^2+(C32/(Input!$G$10/2))^2+1))))/PI()</f>
        <v/>
      </c>
      <c r="X32" s="29">
        <f>(C32/(Input!$G$10/2))/(2*PI())*ATAN((Input!$G$11/Input!$G$10)/((C32/(Input!$G$10/2))*SQRT((Input!$G$11/Input!$G$10)^2+(C32/(Input!$G$10/2))^2+1)))</f>
        <v/>
      </c>
      <c r="Y32" s="13">
        <f>MAX(0,C32-MAX(B32,$G$8))/D32*IF(V32&gt;=Input!$G$27*J32,1,0)</f>
        <v/>
      </c>
      <c r="Z32" s="12">
        <f>4*Input!$G$9*(Input!$G$10/2)*(1-R32^2)/Q32*((W32-W31)+(1-2*R32)/(1-R32)*(X32-X31))*1000*Y32</f>
        <v/>
      </c>
      <c r="AA32" s="30">
        <f>IF(F32="Sand",0,0.009*(K32-10))</f>
        <v/>
      </c>
      <c r="AB32" s="30">
        <f>AA32*Input!$G$23</f>
        <v/>
      </c>
      <c r="AC32" s="26">
        <f>IF(F32="Sand",0,MAX(O32/Input!$G$24,J32))</f>
        <v/>
      </c>
      <c r="AD32" s="31">
        <f>IF(F32="Sand",0,1000*D32/(1+N32)*IF(J32+V32&lt;=AC32,AB32*LOG10((J32+V32)/J32),AB32*LOG10(AC32/J32)+AA32*LOG10((J32+V32)/AC32)))*Y32</f>
        <v/>
      </c>
      <c r="AE32" s="32">
        <f>IF(F32="Sand",0,10^(INDEX(Korelasi!$C$5:$C$11,MIN(MATCH(MIN(MAX(K32,30),120),Korelasi!$A$5:$A$11,1),6))+(MIN(MAX(K32,30),120)-INDEX(Korelasi!$A$5:$A$11,MIN(MATCH(MIN(MAX(K32,30),120),Korelasi!$A$5:$A$11,1),6)))/(INDEX(Korelasi!$A$5:$A$11,MIN(MATCH(MIN(MAX(K32,30),120),Korelasi!$A$5:$A$11,1),6)+1)-INDEX(Korelasi!$A$5:$A$11,MIN(MATCH(MIN(MAX(K32,30),120),Korelasi!$A$5:$A$11,1),6)))*(INDEX(Korelasi!$C$5:$C$11,MIN(MATCH(MIN(MAX(K32,30),120),Korelasi!$A$5:$A$11,1),6)+1)-INDEX(Korelasi!$C$5:$C$11,MIN(MATCH(MIN(MAX(K32,30),120),Korelasi!$A$5:$A$11,1),6)))))</f>
        <v/>
      </c>
      <c r="AF32" s="33">
        <f>IF(OR(F32="Sand",Y32=0),0,Input!$G$25*(D32/2)^2/(AE32*1E-4*31536000))</f>
        <v/>
      </c>
      <c r="AG32" s="13">
        <f>MAX(0,MIN(C32,Input!$G$15)-B32)</f>
        <v/>
      </c>
      <c r="AH32" s="13">
        <f>MAX(0,MIN(C32,Input!$G$15)-MAX(B32,$G$8))</f>
        <v/>
      </c>
      <c r="AI32" s="13">
        <f>MAX(0,MIN(C32,$G$106)-B32)</f>
        <v/>
      </c>
      <c r="AJ32" s="34" t="inlineStr">
        <is>
          <t>data salinan BH-02</t>
        </is>
      </c>
    </row>
    <row r="33">
      <c r="A33" s="20" t="n">
        <v>21</v>
      </c>
      <c r="B33" s="21" t="n">
        <v>30</v>
      </c>
      <c r="C33" s="21" t="n">
        <v>31.5</v>
      </c>
      <c r="D33" s="13">
        <f>C33-B33</f>
        <v/>
      </c>
      <c r="E33" s="13">
        <f>(B33+C33)/2</f>
        <v/>
      </c>
      <c r="F33" s="22" t="inlineStr">
        <is>
          <t>Sand</t>
        </is>
      </c>
      <c r="G33" s="23" t="n">
        <v>40</v>
      </c>
      <c r="H33" s="12">
        <f>IF(E33&gt;$G$5,$G$7,$G$6)</f>
        <v/>
      </c>
      <c r="I33" s="12">
        <f>I32+H33*D33</f>
        <v/>
      </c>
      <c r="J33" s="12">
        <f>I33-H33*D33/2-10*MAX(E33-$G$5,0)</f>
        <v/>
      </c>
      <c r="K33" s="24" t="n"/>
      <c r="L33" s="24" t="n"/>
      <c r="M33" s="12">
        <f>IF(K33="","",K33-L33)</f>
        <v/>
      </c>
      <c r="N33" s="25" t="n">
        <v>0.65</v>
      </c>
      <c r="O33" s="26">
        <f>IF(F33="Sand",0,Input!$G$19*G33)</f>
        <v/>
      </c>
      <c r="P33" s="12">
        <f>IF(F33="Sand",27.1+0.3*MIN(Input!$G$20*G33,60)-0.00054*MIN(Input!$G$20*G33,60)^2,MIN(MAX(DEGREES(ASIN(0.8-0.094*LN(MAX(IF(M33="",10,M33),5)))),20),30))</f>
        <v/>
      </c>
      <c r="Q33" s="27">
        <f>IF(F33="Sand",Input!$G$21*Input!$G$20*G33,Input!$G$22*O33)</f>
        <v/>
      </c>
      <c r="R33" s="13">
        <f>IF(F33="Sand",Input!$G$26,0.5)</f>
        <v/>
      </c>
      <c r="S33" s="13">
        <f>Input!$G$10/2/E33</f>
        <v/>
      </c>
      <c r="T33" s="13">
        <f>Input!$G$11/2/E33</f>
        <v/>
      </c>
      <c r="U33" s="28">
        <f>1/(4*PI())*(2*S33*T33*SQRT(S33^2+T33^2+1)/(S33^2+T33^2+1+S33^2*T33^2)*(S33^2+T33^2+2)/(S33^2+T33^2+1)+ATAN2(S33^2+T33^2+1-S33^2*T33^2,2*S33*T33*SQRT(S33^2+T33^2+1)))</f>
        <v/>
      </c>
      <c r="V33" s="12">
        <f>4*Input!$G$9*U33</f>
        <v/>
      </c>
      <c r="W33" s="29">
        <f>((Input!$G$11/Input!$G$10)*LN((1+SQRT((Input!$G$11/Input!$G$10)^2+1))*SQRT((Input!$G$11/Input!$G$10)^2+(C33/(Input!$G$10/2))^2)/((Input!$G$11/Input!$G$10)*(1+SQRT((Input!$G$11/Input!$G$10)^2+(C33/(Input!$G$10/2))^2+1))))+LN(((Input!$G$11/Input!$G$10)+SQRT((Input!$G$11/Input!$G$10)^2+1))*SQRT(1+(C33/(Input!$G$10/2))^2)/((Input!$G$11/Input!$G$10)+SQRT((Input!$G$11/Input!$G$10)^2+(C33/(Input!$G$10/2))^2+1))))/PI()</f>
        <v/>
      </c>
      <c r="X33" s="29">
        <f>(C33/(Input!$G$10/2))/(2*PI())*ATAN((Input!$G$11/Input!$G$10)/((C33/(Input!$G$10/2))*SQRT((Input!$G$11/Input!$G$10)^2+(C33/(Input!$G$10/2))^2+1)))</f>
        <v/>
      </c>
      <c r="Y33" s="13">
        <f>MAX(0,C33-MAX(B33,$G$8))/D33*IF(V33&gt;=Input!$G$27*J33,1,0)</f>
        <v/>
      </c>
      <c r="Z33" s="12">
        <f>4*Input!$G$9*(Input!$G$10/2)*(1-R33^2)/Q33*((W33-W32)+(1-2*R33)/(1-R33)*(X33-X32))*1000*Y33</f>
        <v/>
      </c>
      <c r="AA33" s="30">
        <f>IF(F33="Sand",0,0.009*(K33-10))</f>
        <v/>
      </c>
      <c r="AB33" s="30">
        <f>AA33*Input!$G$23</f>
        <v/>
      </c>
      <c r="AC33" s="26">
        <f>IF(F33="Sand",0,MAX(O33/Input!$G$24,J33))</f>
        <v/>
      </c>
      <c r="AD33" s="31">
        <f>IF(F33="Sand",0,1000*D33/(1+N33)*IF(J33+V33&lt;=AC33,AB33*LOG10((J33+V33)/J33),AB33*LOG10(AC33/J33)+AA33*LOG10((J33+V33)/AC33)))*Y33</f>
        <v/>
      </c>
      <c r="AE33" s="32">
        <f>IF(F33="Sand",0,10^(INDEX(Korelasi!$C$5:$C$11,MIN(MATCH(MIN(MAX(K33,30),120),Korelasi!$A$5:$A$11,1),6))+(MIN(MAX(K33,30),120)-INDEX(Korelasi!$A$5:$A$11,MIN(MATCH(MIN(MAX(K33,30),120),Korelasi!$A$5:$A$11,1),6)))/(INDEX(Korelasi!$A$5:$A$11,MIN(MATCH(MIN(MAX(K33,30),120),Korelasi!$A$5:$A$11,1),6)+1)-INDEX(Korelasi!$A$5:$A$11,MIN(MATCH(MIN(MAX(K33,30),120),Korelasi!$A$5:$A$11,1),6)))*(INDEX(Korelasi!$C$5:$C$11,MIN(MATCH(MIN(MAX(K33,30),120),Korelasi!$A$5:$A$11,1),6)+1)-INDEX(Korelasi!$C$5:$C$11,MIN(MATCH(MIN(MAX(K33,30),120),Korelasi!$A$5:$A$11,1),6)))))</f>
        <v/>
      </c>
      <c r="AF33" s="33">
        <f>IF(OR(F33="Sand",Y33=0),0,Input!$G$25*(D33/2)^2/(AE33*1E-4*31536000))</f>
        <v/>
      </c>
      <c r="AG33" s="13">
        <f>MAX(0,MIN(C33,Input!$G$15)-B33)</f>
        <v/>
      </c>
      <c r="AH33" s="13">
        <f>MAX(0,MIN(C33,Input!$G$15)-MAX(B33,$G$8))</f>
        <v/>
      </c>
      <c r="AI33" s="13">
        <f>MAX(0,MIN(C33,$G$106)-B33)</f>
        <v/>
      </c>
      <c r="AJ33" s="34" t="inlineStr">
        <is>
          <t>data salinan BH-02</t>
        </is>
      </c>
    </row>
    <row r="34">
      <c r="A34" s="20" t="n">
        <v>22</v>
      </c>
      <c r="B34" s="21" t="n">
        <v>31.5</v>
      </c>
      <c r="C34" s="21" t="n">
        <v>33</v>
      </c>
      <c r="D34" s="13">
        <f>C34-B34</f>
        <v/>
      </c>
      <c r="E34" s="13">
        <f>(B34+C34)/2</f>
        <v/>
      </c>
      <c r="F34" s="22" t="inlineStr">
        <is>
          <t>Sand</t>
        </is>
      </c>
      <c r="G34" s="23" t="n">
        <v>43</v>
      </c>
      <c r="H34" s="12">
        <f>IF(E34&gt;$G$5,$G$7,$G$6)</f>
        <v/>
      </c>
      <c r="I34" s="12">
        <f>I33+H34*D34</f>
        <v/>
      </c>
      <c r="J34" s="12">
        <f>I34-H34*D34/2-10*MAX(E34-$G$5,0)</f>
        <v/>
      </c>
      <c r="K34" s="24" t="n"/>
      <c r="L34" s="24" t="n"/>
      <c r="M34" s="12">
        <f>IF(K34="","",K34-L34)</f>
        <v/>
      </c>
      <c r="N34" s="25" t="n">
        <v>0.65</v>
      </c>
      <c r="O34" s="26">
        <f>IF(F34="Sand",0,Input!$G$19*G34)</f>
        <v/>
      </c>
      <c r="P34" s="12">
        <f>IF(F34="Sand",27.1+0.3*MIN(Input!$G$20*G34,60)-0.00054*MIN(Input!$G$20*G34,60)^2,MIN(MAX(DEGREES(ASIN(0.8-0.094*LN(MAX(IF(M34="",10,M34),5)))),20),30))</f>
        <v/>
      </c>
      <c r="Q34" s="27">
        <f>IF(F34="Sand",Input!$G$21*Input!$G$20*G34,Input!$G$22*O34)</f>
        <v/>
      </c>
      <c r="R34" s="13">
        <f>IF(F34="Sand",Input!$G$26,0.5)</f>
        <v/>
      </c>
      <c r="S34" s="13">
        <f>Input!$G$10/2/E34</f>
        <v/>
      </c>
      <c r="T34" s="13">
        <f>Input!$G$11/2/E34</f>
        <v/>
      </c>
      <c r="U34" s="28">
        <f>1/(4*PI())*(2*S34*T34*SQRT(S34^2+T34^2+1)/(S34^2+T34^2+1+S34^2*T34^2)*(S34^2+T34^2+2)/(S34^2+T34^2+1)+ATAN2(S34^2+T34^2+1-S34^2*T34^2,2*S34*T34*SQRT(S34^2+T34^2+1)))</f>
        <v/>
      </c>
      <c r="V34" s="12">
        <f>4*Input!$G$9*U34</f>
        <v/>
      </c>
      <c r="W34" s="29">
        <f>((Input!$G$11/Input!$G$10)*LN((1+SQRT((Input!$G$11/Input!$G$10)^2+1))*SQRT((Input!$G$11/Input!$G$10)^2+(C34/(Input!$G$10/2))^2)/((Input!$G$11/Input!$G$10)*(1+SQRT((Input!$G$11/Input!$G$10)^2+(C34/(Input!$G$10/2))^2+1))))+LN(((Input!$G$11/Input!$G$10)+SQRT((Input!$G$11/Input!$G$10)^2+1))*SQRT(1+(C34/(Input!$G$10/2))^2)/((Input!$G$11/Input!$G$10)+SQRT((Input!$G$11/Input!$G$10)^2+(C34/(Input!$G$10/2))^2+1))))/PI()</f>
        <v/>
      </c>
      <c r="X34" s="29">
        <f>(C34/(Input!$G$10/2))/(2*PI())*ATAN((Input!$G$11/Input!$G$10)/((C34/(Input!$G$10/2))*SQRT((Input!$G$11/Input!$G$10)^2+(C34/(Input!$G$10/2))^2+1)))</f>
        <v/>
      </c>
      <c r="Y34" s="13">
        <f>MAX(0,C34-MAX(B34,$G$8))/D34*IF(V34&gt;=Input!$G$27*J34,1,0)</f>
        <v/>
      </c>
      <c r="Z34" s="12">
        <f>4*Input!$G$9*(Input!$G$10/2)*(1-R34^2)/Q34*((W34-W33)+(1-2*R34)/(1-R34)*(X34-X33))*1000*Y34</f>
        <v/>
      </c>
      <c r="AA34" s="30">
        <f>IF(F34="Sand",0,0.009*(K34-10))</f>
        <v/>
      </c>
      <c r="AB34" s="30">
        <f>AA34*Input!$G$23</f>
        <v/>
      </c>
      <c r="AC34" s="26">
        <f>IF(F34="Sand",0,MAX(O34/Input!$G$24,J34))</f>
        <v/>
      </c>
      <c r="AD34" s="31">
        <f>IF(F34="Sand",0,1000*D34/(1+N34)*IF(J34+V34&lt;=AC34,AB34*LOG10((J34+V34)/J34),AB34*LOG10(AC34/J34)+AA34*LOG10((J34+V34)/AC34)))*Y34</f>
        <v/>
      </c>
      <c r="AE34" s="32">
        <f>IF(F34="Sand",0,10^(INDEX(Korelasi!$C$5:$C$11,MIN(MATCH(MIN(MAX(K34,30),120),Korelasi!$A$5:$A$11,1),6))+(MIN(MAX(K34,30),120)-INDEX(Korelasi!$A$5:$A$11,MIN(MATCH(MIN(MAX(K34,30),120),Korelasi!$A$5:$A$11,1),6)))/(INDEX(Korelasi!$A$5:$A$11,MIN(MATCH(MIN(MAX(K34,30),120),Korelasi!$A$5:$A$11,1),6)+1)-INDEX(Korelasi!$A$5:$A$11,MIN(MATCH(MIN(MAX(K34,30),120),Korelasi!$A$5:$A$11,1),6)))*(INDEX(Korelasi!$C$5:$C$11,MIN(MATCH(MIN(MAX(K34,30),120),Korelasi!$A$5:$A$11,1),6)+1)-INDEX(Korelasi!$C$5:$C$11,MIN(MATCH(MIN(MAX(K34,30),120),Korelasi!$A$5:$A$11,1),6)))))</f>
        <v/>
      </c>
      <c r="AF34" s="33">
        <f>IF(OR(F34="Sand",Y34=0),0,Input!$G$25*(D34/2)^2/(AE34*1E-4*31536000))</f>
        <v/>
      </c>
      <c r="AG34" s="13">
        <f>MAX(0,MIN(C34,Input!$G$15)-B34)</f>
        <v/>
      </c>
      <c r="AH34" s="13">
        <f>MAX(0,MIN(C34,Input!$G$15)-MAX(B34,$G$8))</f>
        <v/>
      </c>
      <c r="AI34" s="13">
        <f>MAX(0,MIN(C34,$G$106)-B34)</f>
        <v/>
      </c>
      <c r="AJ34" s="34" t="inlineStr">
        <is>
          <t>data salinan BH-02</t>
        </is>
      </c>
    </row>
    <row r="35">
      <c r="A35" s="20" t="n">
        <v>23</v>
      </c>
      <c r="B35" s="21" t="n">
        <v>33</v>
      </c>
      <c r="C35" s="21" t="n">
        <v>34.5</v>
      </c>
      <c r="D35" s="13">
        <f>C35-B35</f>
        <v/>
      </c>
      <c r="E35" s="13">
        <f>(B35+C35)/2</f>
        <v/>
      </c>
      <c r="F35" s="22" t="inlineStr">
        <is>
          <t>Sand</t>
        </is>
      </c>
      <c r="G35" s="23" t="n">
        <v>26</v>
      </c>
      <c r="H35" s="12">
        <f>IF(E35&gt;$G$5,$G$7,$G$6)</f>
        <v/>
      </c>
      <c r="I35" s="12">
        <f>I34+H35*D35</f>
        <v/>
      </c>
      <c r="J35" s="12">
        <f>I35-H35*D35/2-10*MAX(E35-$G$5,0)</f>
        <v/>
      </c>
      <c r="K35" s="24" t="n"/>
      <c r="L35" s="24" t="n"/>
      <c r="M35" s="12">
        <f>IF(K35="","",K35-L35)</f>
        <v/>
      </c>
      <c r="N35" s="25" t="n">
        <v>0.65</v>
      </c>
      <c r="O35" s="26">
        <f>IF(F35="Sand",0,Input!$G$19*G35)</f>
        <v/>
      </c>
      <c r="P35" s="12">
        <f>IF(F35="Sand",27.1+0.3*MIN(Input!$G$20*G35,60)-0.00054*MIN(Input!$G$20*G35,60)^2,MIN(MAX(DEGREES(ASIN(0.8-0.094*LN(MAX(IF(M35="",10,M35),5)))),20),30))</f>
        <v/>
      </c>
      <c r="Q35" s="27">
        <f>IF(F35="Sand",Input!$G$21*Input!$G$20*G35,Input!$G$22*O35)</f>
        <v/>
      </c>
      <c r="R35" s="13">
        <f>IF(F35="Sand",Input!$G$26,0.5)</f>
        <v/>
      </c>
      <c r="S35" s="13">
        <f>Input!$G$10/2/E35</f>
        <v/>
      </c>
      <c r="T35" s="13">
        <f>Input!$G$11/2/E35</f>
        <v/>
      </c>
      <c r="U35" s="28">
        <f>1/(4*PI())*(2*S35*T35*SQRT(S35^2+T35^2+1)/(S35^2+T35^2+1+S35^2*T35^2)*(S35^2+T35^2+2)/(S35^2+T35^2+1)+ATAN2(S35^2+T35^2+1-S35^2*T35^2,2*S35*T35*SQRT(S35^2+T35^2+1)))</f>
        <v/>
      </c>
      <c r="V35" s="12">
        <f>4*Input!$G$9*U35</f>
        <v/>
      </c>
      <c r="W35" s="29">
        <f>((Input!$G$11/Input!$G$10)*LN((1+SQRT((Input!$G$11/Input!$G$10)^2+1))*SQRT((Input!$G$11/Input!$G$10)^2+(C35/(Input!$G$10/2))^2)/((Input!$G$11/Input!$G$10)*(1+SQRT((Input!$G$11/Input!$G$10)^2+(C35/(Input!$G$10/2))^2+1))))+LN(((Input!$G$11/Input!$G$10)+SQRT((Input!$G$11/Input!$G$10)^2+1))*SQRT(1+(C35/(Input!$G$10/2))^2)/((Input!$G$11/Input!$G$10)+SQRT((Input!$G$11/Input!$G$10)^2+(C35/(Input!$G$10/2))^2+1))))/PI()</f>
        <v/>
      </c>
      <c r="X35" s="29">
        <f>(C35/(Input!$G$10/2))/(2*PI())*ATAN((Input!$G$11/Input!$G$10)/((C35/(Input!$G$10/2))*SQRT((Input!$G$11/Input!$G$10)^2+(C35/(Input!$G$10/2))^2+1)))</f>
        <v/>
      </c>
      <c r="Y35" s="13">
        <f>MAX(0,C35-MAX(B35,$G$8))/D35*IF(V35&gt;=Input!$G$27*J35,1,0)</f>
        <v/>
      </c>
      <c r="Z35" s="12">
        <f>4*Input!$G$9*(Input!$G$10/2)*(1-R35^2)/Q35*((W35-W34)+(1-2*R35)/(1-R35)*(X35-X34))*1000*Y35</f>
        <v/>
      </c>
      <c r="AA35" s="30">
        <f>IF(F35="Sand",0,0.009*(K35-10))</f>
        <v/>
      </c>
      <c r="AB35" s="30">
        <f>AA35*Input!$G$23</f>
        <v/>
      </c>
      <c r="AC35" s="26">
        <f>IF(F35="Sand",0,MAX(O35/Input!$G$24,J35))</f>
        <v/>
      </c>
      <c r="AD35" s="31">
        <f>IF(F35="Sand",0,1000*D35/(1+N35)*IF(J35+V35&lt;=AC35,AB35*LOG10((J35+V35)/J35),AB35*LOG10(AC35/J35)+AA35*LOG10((J35+V35)/AC35)))*Y35</f>
        <v/>
      </c>
      <c r="AE35" s="32">
        <f>IF(F35="Sand",0,10^(INDEX(Korelasi!$C$5:$C$11,MIN(MATCH(MIN(MAX(K35,30),120),Korelasi!$A$5:$A$11,1),6))+(MIN(MAX(K35,30),120)-INDEX(Korelasi!$A$5:$A$11,MIN(MATCH(MIN(MAX(K35,30),120),Korelasi!$A$5:$A$11,1),6)))/(INDEX(Korelasi!$A$5:$A$11,MIN(MATCH(MIN(MAX(K35,30),120),Korelasi!$A$5:$A$11,1),6)+1)-INDEX(Korelasi!$A$5:$A$11,MIN(MATCH(MIN(MAX(K35,30),120),Korelasi!$A$5:$A$11,1),6)))*(INDEX(Korelasi!$C$5:$C$11,MIN(MATCH(MIN(MAX(K35,30),120),Korelasi!$A$5:$A$11,1),6)+1)-INDEX(Korelasi!$C$5:$C$11,MIN(MATCH(MIN(MAX(K35,30),120),Korelasi!$A$5:$A$11,1),6)))))</f>
        <v/>
      </c>
      <c r="AF35" s="33">
        <f>IF(OR(F35="Sand",Y35=0),0,Input!$G$25*(D35/2)^2/(AE35*1E-4*31536000))</f>
        <v/>
      </c>
      <c r="AG35" s="13">
        <f>MAX(0,MIN(C35,Input!$G$15)-B35)</f>
        <v/>
      </c>
      <c r="AH35" s="13">
        <f>MAX(0,MIN(C35,Input!$G$15)-MAX(B35,$G$8))</f>
        <v/>
      </c>
      <c r="AI35" s="13">
        <f>MAX(0,MIN(C35,$G$106)-B35)</f>
        <v/>
      </c>
      <c r="AJ35" s="34" t="inlineStr">
        <is>
          <t>data salinan BH-02</t>
        </is>
      </c>
    </row>
    <row r="36">
      <c r="A36" s="20" t="n">
        <v>24</v>
      </c>
      <c r="B36" s="21" t="n">
        <v>34.5</v>
      </c>
      <c r="C36" s="21" t="n">
        <v>36</v>
      </c>
      <c r="D36" s="13">
        <f>C36-B36</f>
        <v/>
      </c>
      <c r="E36" s="13">
        <f>(B36+C36)/2</f>
        <v/>
      </c>
      <c r="F36" s="22" t="inlineStr">
        <is>
          <t>Sand</t>
        </is>
      </c>
      <c r="G36" s="23" t="n">
        <v>53</v>
      </c>
      <c r="H36" s="12">
        <f>IF(E36&gt;$G$5,$G$7,$G$6)</f>
        <v/>
      </c>
      <c r="I36" s="12">
        <f>I35+H36*D36</f>
        <v/>
      </c>
      <c r="J36" s="12">
        <f>I36-H36*D36/2-10*MAX(E36-$G$5,0)</f>
        <v/>
      </c>
      <c r="K36" s="24" t="n"/>
      <c r="L36" s="24" t="n"/>
      <c r="M36" s="12">
        <f>IF(K36="","",K36-L36)</f>
        <v/>
      </c>
      <c r="N36" s="25" t="n">
        <v>0.65</v>
      </c>
      <c r="O36" s="26">
        <f>IF(F36="Sand",0,Input!$G$19*G36)</f>
        <v/>
      </c>
      <c r="P36" s="12">
        <f>IF(F36="Sand",27.1+0.3*MIN(Input!$G$20*G36,60)-0.00054*MIN(Input!$G$20*G36,60)^2,MIN(MAX(DEGREES(ASIN(0.8-0.094*LN(MAX(IF(M36="",10,M36),5)))),20),30))</f>
        <v/>
      </c>
      <c r="Q36" s="27">
        <f>IF(F36="Sand",Input!$G$21*Input!$G$20*G36,Input!$G$22*O36)</f>
        <v/>
      </c>
      <c r="R36" s="13">
        <f>IF(F36="Sand",Input!$G$26,0.5)</f>
        <v/>
      </c>
      <c r="S36" s="13">
        <f>Input!$G$10/2/E36</f>
        <v/>
      </c>
      <c r="T36" s="13">
        <f>Input!$G$11/2/E36</f>
        <v/>
      </c>
      <c r="U36" s="28">
        <f>1/(4*PI())*(2*S36*T36*SQRT(S36^2+T36^2+1)/(S36^2+T36^2+1+S36^2*T36^2)*(S36^2+T36^2+2)/(S36^2+T36^2+1)+ATAN2(S36^2+T36^2+1-S36^2*T36^2,2*S36*T36*SQRT(S36^2+T36^2+1)))</f>
        <v/>
      </c>
      <c r="V36" s="12">
        <f>4*Input!$G$9*U36</f>
        <v/>
      </c>
      <c r="W36" s="29">
        <f>((Input!$G$11/Input!$G$10)*LN((1+SQRT((Input!$G$11/Input!$G$10)^2+1))*SQRT((Input!$G$11/Input!$G$10)^2+(C36/(Input!$G$10/2))^2)/((Input!$G$11/Input!$G$10)*(1+SQRT((Input!$G$11/Input!$G$10)^2+(C36/(Input!$G$10/2))^2+1))))+LN(((Input!$G$11/Input!$G$10)+SQRT((Input!$G$11/Input!$G$10)^2+1))*SQRT(1+(C36/(Input!$G$10/2))^2)/((Input!$G$11/Input!$G$10)+SQRT((Input!$G$11/Input!$G$10)^2+(C36/(Input!$G$10/2))^2+1))))/PI()</f>
        <v/>
      </c>
      <c r="X36" s="29">
        <f>(C36/(Input!$G$10/2))/(2*PI())*ATAN((Input!$G$11/Input!$G$10)/((C36/(Input!$G$10/2))*SQRT((Input!$G$11/Input!$G$10)^2+(C36/(Input!$G$10/2))^2+1)))</f>
        <v/>
      </c>
      <c r="Y36" s="13">
        <f>MAX(0,C36-MAX(B36,$G$8))/D36*IF(V36&gt;=Input!$G$27*J36,1,0)</f>
        <v/>
      </c>
      <c r="Z36" s="12">
        <f>4*Input!$G$9*(Input!$G$10/2)*(1-R36^2)/Q36*((W36-W35)+(1-2*R36)/(1-R36)*(X36-X35))*1000*Y36</f>
        <v/>
      </c>
      <c r="AA36" s="30">
        <f>IF(F36="Sand",0,0.009*(K36-10))</f>
        <v/>
      </c>
      <c r="AB36" s="30">
        <f>AA36*Input!$G$23</f>
        <v/>
      </c>
      <c r="AC36" s="26">
        <f>IF(F36="Sand",0,MAX(O36/Input!$G$24,J36))</f>
        <v/>
      </c>
      <c r="AD36" s="31">
        <f>IF(F36="Sand",0,1000*D36/(1+N36)*IF(J36+V36&lt;=AC36,AB36*LOG10((J36+V36)/J36),AB36*LOG10(AC36/J36)+AA36*LOG10((J36+V36)/AC36)))*Y36</f>
        <v/>
      </c>
      <c r="AE36" s="32">
        <f>IF(F36="Sand",0,10^(INDEX(Korelasi!$C$5:$C$11,MIN(MATCH(MIN(MAX(K36,30),120),Korelasi!$A$5:$A$11,1),6))+(MIN(MAX(K36,30),120)-INDEX(Korelasi!$A$5:$A$11,MIN(MATCH(MIN(MAX(K36,30),120),Korelasi!$A$5:$A$11,1),6)))/(INDEX(Korelasi!$A$5:$A$11,MIN(MATCH(MIN(MAX(K36,30),120),Korelasi!$A$5:$A$11,1),6)+1)-INDEX(Korelasi!$A$5:$A$11,MIN(MATCH(MIN(MAX(K36,30),120),Korelasi!$A$5:$A$11,1),6)))*(INDEX(Korelasi!$C$5:$C$11,MIN(MATCH(MIN(MAX(K36,30),120),Korelasi!$A$5:$A$11,1),6)+1)-INDEX(Korelasi!$C$5:$C$11,MIN(MATCH(MIN(MAX(K36,30),120),Korelasi!$A$5:$A$11,1),6)))))</f>
        <v/>
      </c>
      <c r="AF36" s="33">
        <f>IF(OR(F36="Sand",Y36=0),0,Input!$G$25*(D36/2)^2/(AE36*1E-4*31536000))</f>
        <v/>
      </c>
      <c r="AG36" s="13">
        <f>MAX(0,MIN(C36,Input!$G$15)-B36)</f>
        <v/>
      </c>
      <c r="AH36" s="13">
        <f>MAX(0,MIN(C36,Input!$G$15)-MAX(B36,$G$8))</f>
        <v/>
      </c>
      <c r="AI36" s="13">
        <f>MAX(0,MIN(C36,$G$106)-B36)</f>
        <v/>
      </c>
      <c r="AJ36" s="34" t="inlineStr">
        <is>
          <t>data salinan BH-02</t>
        </is>
      </c>
    </row>
    <row r="37">
      <c r="A37" s="20" t="n">
        <v>25</v>
      </c>
      <c r="B37" s="21" t="n">
        <v>36</v>
      </c>
      <c r="C37" s="21" t="n">
        <v>37.5</v>
      </c>
      <c r="D37" s="13">
        <f>C37-B37</f>
        <v/>
      </c>
      <c r="E37" s="13">
        <f>(B37+C37)/2</f>
        <v/>
      </c>
      <c r="F37" s="22" t="inlineStr">
        <is>
          <t>Sand</t>
        </is>
      </c>
      <c r="G37" s="23" t="n">
        <v>54</v>
      </c>
      <c r="H37" s="12">
        <f>IF(E37&gt;$G$5,$G$7,$G$6)</f>
        <v/>
      </c>
      <c r="I37" s="12">
        <f>I36+H37*D37</f>
        <v/>
      </c>
      <c r="J37" s="12">
        <f>I37-H37*D37/2-10*MAX(E37-$G$5,0)</f>
        <v/>
      </c>
      <c r="K37" s="24" t="n"/>
      <c r="L37" s="24" t="n"/>
      <c r="M37" s="12">
        <f>IF(K37="","",K37-L37)</f>
        <v/>
      </c>
      <c r="N37" s="25" t="n">
        <v>0.65</v>
      </c>
      <c r="O37" s="26">
        <f>IF(F37="Sand",0,Input!$G$19*G37)</f>
        <v/>
      </c>
      <c r="P37" s="12">
        <f>IF(F37="Sand",27.1+0.3*MIN(Input!$G$20*G37,60)-0.00054*MIN(Input!$G$20*G37,60)^2,MIN(MAX(DEGREES(ASIN(0.8-0.094*LN(MAX(IF(M37="",10,M37),5)))),20),30))</f>
        <v/>
      </c>
      <c r="Q37" s="27">
        <f>IF(F37="Sand",Input!$G$21*Input!$G$20*G37,Input!$G$22*O37)</f>
        <v/>
      </c>
      <c r="R37" s="13">
        <f>IF(F37="Sand",Input!$G$26,0.5)</f>
        <v/>
      </c>
      <c r="S37" s="13">
        <f>Input!$G$10/2/E37</f>
        <v/>
      </c>
      <c r="T37" s="13">
        <f>Input!$G$11/2/E37</f>
        <v/>
      </c>
      <c r="U37" s="28">
        <f>1/(4*PI())*(2*S37*T37*SQRT(S37^2+T37^2+1)/(S37^2+T37^2+1+S37^2*T37^2)*(S37^2+T37^2+2)/(S37^2+T37^2+1)+ATAN2(S37^2+T37^2+1-S37^2*T37^2,2*S37*T37*SQRT(S37^2+T37^2+1)))</f>
        <v/>
      </c>
      <c r="V37" s="12">
        <f>4*Input!$G$9*U37</f>
        <v/>
      </c>
      <c r="W37" s="29">
        <f>((Input!$G$11/Input!$G$10)*LN((1+SQRT((Input!$G$11/Input!$G$10)^2+1))*SQRT((Input!$G$11/Input!$G$10)^2+(C37/(Input!$G$10/2))^2)/((Input!$G$11/Input!$G$10)*(1+SQRT((Input!$G$11/Input!$G$10)^2+(C37/(Input!$G$10/2))^2+1))))+LN(((Input!$G$11/Input!$G$10)+SQRT((Input!$G$11/Input!$G$10)^2+1))*SQRT(1+(C37/(Input!$G$10/2))^2)/((Input!$G$11/Input!$G$10)+SQRT((Input!$G$11/Input!$G$10)^2+(C37/(Input!$G$10/2))^2+1))))/PI()</f>
        <v/>
      </c>
      <c r="X37" s="29">
        <f>(C37/(Input!$G$10/2))/(2*PI())*ATAN((Input!$G$11/Input!$G$10)/((C37/(Input!$G$10/2))*SQRT((Input!$G$11/Input!$G$10)^2+(C37/(Input!$G$10/2))^2+1)))</f>
        <v/>
      </c>
      <c r="Y37" s="13">
        <f>MAX(0,C37-MAX(B37,$G$8))/D37*IF(V37&gt;=Input!$G$27*J37,1,0)</f>
        <v/>
      </c>
      <c r="Z37" s="12">
        <f>4*Input!$G$9*(Input!$G$10/2)*(1-R37^2)/Q37*((W37-W36)+(1-2*R37)/(1-R37)*(X37-X36))*1000*Y37</f>
        <v/>
      </c>
      <c r="AA37" s="30">
        <f>IF(F37="Sand",0,0.009*(K37-10))</f>
        <v/>
      </c>
      <c r="AB37" s="30">
        <f>AA37*Input!$G$23</f>
        <v/>
      </c>
      <c r="AC37" s="26">
        <f>IF(F37="Sand",0,MAX(O37/Input!$G$24,J37))</f>
        <v/>
      </c>
      <c r="AD37" s="31">
        <f>IF(F37="Sand",0,1000*D37/(1+N37)*IF(J37+V37&lt;=AC37,AB37*LOG10((J37+V37)/J37),AB37*LOG10(AC37/J37)+AA37*LOG10((J37+V37)/AC37)))*Y37</f>
        <v/>
      </c>
      <c r="AE37" s="32">
        <f>IF(F37="Sand",0,10^(INDEX(Korelasi!$C$5:$C$11,MIN(MATCH(MIN(MAX(K37,30),120),Korelasi!$A$5:$A$11,1),6))+(MIN(MAX(K37,30),120)-INDEX(Korelasi!$A$5:$A$11,MIN(MATCH(MIN(MAX(K37,30),120),Korelasi!$A$5:$A$11,1),6)))/(INDEX(Korelasi!$A$5:$A$11,MIN(MATCH(MIN(MAX(K37,30),120),Korelasi!$A$5:$A$11,1),6)+1)-INDEX(Korelasi!$A$5:$A$11,MIN(MATCH(MIN(MAX(K37,30),120),Korelasi!$A$5:$A$11,1),6)))*(INDEX(Korelasi!$C$5:$C$11,MIN(MATCH(MIN(MAX(K37,30),120),Korelasi!$A$5:$A$11,1),6)+1)-INDEX(Korelasi!$C$5:$C$11,MIN(MATCH(MIN(MAX(K37,30),120),Korelasi!$A$5:$A$11,1),6)))))</f>
        <v/>
      </c>
      <c r="AF37" s="33">
        <f>IF(OR(F37="Sand",Y37=0),0,Input!$G$25*(D37/2)^2/(AE37*1E-4*31536000))</f>
        <v/>
      </c>
      <c r="AG37" s="13">
        <f>MAX(0,MIN(C37,Input!$G$15)-B37)</f>
        <v/>
      </c>
      <c r="AH37" s="13">
        <f>MAX(0,MIN(C37,Input!$G$15)-MAX(B37,$G$8))</f>
        <v/>
      </c>
      <c r="AI37" s="13">
        <f>MAX(0,MIN(C37,$G$106)-B37)</f>
        <v/>
      </c>
      <c r="AJ37" s="34" t="inlineStr">
        <is>
          <t>data salinan BH-02</t>
        </is>
      </c>
    </row>
    <row r="38">
      <c r="A38" s="20" t="n">
        <v>26</v>
      </c>
      <c r="B38" s="21" t="n">
        <v>37.5</v>
      </c>
      <c r="C38" s="21" t="n">
        <v>39</v>
      </c>
      <c r="D38" s="13">
        <f>C38-B38</f>
        <v/>
      </c>
      <c r="E38" s="13">
        <f>(B38+C38)/2</f>
        <v/>
      </c>
      <c r="F38" s="22" t="inlineStr">
        <is>
          <t>Sand</t>
        </is>
      </c>
      <c r="G38" s="23" t="n">
        <v>50</v>
      </c>
      <c r="H38" s="12">
        <f>IF(E38&gt;$G$5,$G$7,$G$6)</f>
        <v/>
      </c>
      <c r="I38" s="12">
        <f>I37+H38*D38</f>
        <v/>
      </c>
      <c r="J38" s="12">
        <f>I38-H38*D38/2-10*MAX(E38-$G$5,0)</f>
        <v/>
      </c>
      <c r="K38" s="24" t="n"/>
      <c r="L38" s="24" t="n"/>
      <c r="M38" s="12">
        <f>IF(K38="","",K38-L38)</f>
        <v/>
      </c>
      <c r="N38" s="25" t="n">
        <v>0.65</v>
      </c>
      <c r="O38" s="26">
        <f>IF(F38="Sand",0,Input!$G$19*G38)</f>
        <v/>
      </c>
      <c r="P38" s="12">
        <f>IF(F38="Sand",27.1+0.3*MIN(Input!$G$20*G38,60)-0.00054*MIN(Input!$G$20*G38,60)^2,MIN(MAX(DEGREES(ASIN(0.8-0.094*LN(MAX(IF(M38="",10,M38),5)))),20),30))</f>
        <v/>
      </c>
      <c r="Q38" s="27">
        <f>IF(F38="Sand",Input!$G$21*Input!$G$20*G38,Input!$G$22*O38)</f>
        <v/>
      </c>
      <c r="R38" s="13">
        <f>IF(F38="Sand",Input!$G$26,0.5)</f>
        <v/>
      </c>
      <c r="S38" s="13">
        <f>Input!$G$10/2/E38</f>
        <v/>
      </c>
      <c r="T38" s="13">
        <f>Input!$G$11/2/E38</f>
        <v/>
      </c>
      <c r="U38" s="28">
        <f>1/(4*PI())*(2*S38*T38*SQRT(S38^2+T38^2+1)/(S38^2+T38^2+1+S38^2*T38^2)*(S38^2+T38^2+2)/(S38^2+T38^2+1)+ATAN2(S38^2+T38^2+1-S38^2*T38^2,2*S38*T38*SQRT(S38^2+T38^2+1)))</f>
        <v/>
      </c>
      <c r="V38" s="12">
        <f>4*Input!$G$9*U38</f>
        <v/>
      </c>
      <c r="W38" s="29">
        <f>((Input!$G$11/Input!$G$10)*LN((1+SQRT((Input!$G$11/Input!$G$10)^2+1))*SQRT((Input!$G$11/Input!$G$10)^2+(C38/(Input!$G$10/2))^2)/((Input!$G$11/Input!$G$10)*(1+SQRT((Input!$G$11/Input!$G$10)^2+(C38/(Input!$G$10/2))^2+1))))+LN(((Input!$G$11/Input!$G$10)+SQRT((Input!$G$11/Input!$G$10)^2+1))*SQRT(1+(C38/(Input!$G$10/2))^2)/((Input!$G$11/Input!$G$10)+SQRT((Input!$G$11/Input!$G$10)^2+(C38/(Input!$G$10/2))^2+1))))/PI()</f>
        <v/>
      </c>
      <c r="X38" s="29">
        <f>(C38/(Input!$G$10/2))/(2*PI())*ATAN((Input!$G$11/Input!$G$10)/((C38/(Input!$G$10/2))*SQRT((Input!$G$11/Input!$G$10)^2+(C38/(Input!$G$10/2))^2+1)))</f>
        <v/>
      </c>
      <c r="Y38" s="13">
        <f>MAX(0,C38-MAX(B38,$G$8))/D38*IF(V38&gt;=Input!$G$27*J38,1,0)</f>
        <v/>
      </c>
      <c r="Z38" s="12">
        <f>4*Input!$G$9*(Input!$G$10/2)*(1-R38^2)/Q38*((W38-W37)+(1-2*R38)/(1-R38)*(X38-X37))*1000*Y38</f>
        <v/>
      </c>
      <c r="AA38" s="30">
        <f>IF(F38="Sand",0,0.009*(K38-10))</f>
        <v/>
      </c>
      <c r="AB38" s="30">
        <f>AA38*Input!$G$23</f>
        <v/>
      </c>
      <c r="AC38" s="26">
        <f>IF(F38="Sand",0,MAX(O38/Input!$G$24,J38))</f>
        <v/>
      </c>
      <c r="AD38" s="31">
        <f>IF(F38="Sand",0,1000*D38/(1+N38)*IF(J38+V38&lt;=AC38,AB38*LOG10((J38+V38)/J38),AB38*LOG10(AC38/J38)+AA38*LOG10((J38+V38)/AC38)))*Y38</f>
        <v/>
      </c>
      <c r="AE38" s="32">
        <f>IF(F38="Sand",0,10^(INDEX(Korelasi!$C$5:$C$11,MIN(MATCH(MIN(MAX(K38,30),120),Korelasi!$A$5:$A$11,1),6))+(MIN(MAX(K38,30),120)-INDEX(Korelasi!$A$5:$A$11,MIN(MATCH(MIN(MAX(K38,30),120),Korelasi!$A$5:$A$11,1),6)))/(INDEX(Korelasi!$A$5:$A$11,MIN(MATCH(MIN(MAX(K38,30),120),Korelasi!$A$5:$A$11,1),6)+1)-INDEX(Korelasi!$A$5:$A$11,MIN(MATCH(MIN(MAX(K38,30),120),Korelasi!$A$5:$A$11,1),6)))*(INDEX(Korelasi!$C$5:$C$11,MIN(MATCH(MIN(MAX(K38,30),120),Korelasi!$A$5:$A$11,1),6)+1)-INDEX(Korelasi!$C$5:$C$11,MIN(MATCH(MIN(MAX(K38,30),120),Korelasi!$A$5:$A$11,1),6)))))</f>
        <v/>
      </c>
      <c r="AF38" s="33">
        <f>IF(OR(F38="Sand",Y38=0),0,Input!$G$25*(D38/2)^2/(AE38*1E-4*31536000))</f>
        <v/>
      </c>
      <c r="AG38" s="13">
        <f>MAX(0,MIN(C38,Input!$G$15)-B38)</f>
        <v/>
      </c>
      <c r="AH38" s="13">
        <f>MAX(0,MIN(C38,Input!$G$15)-MAX(B38,$G$8))</f>
        <v/>
      </c>
      <c r="AI38" s="13">
        <f>MAX(0,MIN(C38,$G$106)-B38)</f>
        <v/>
      </c>
      <c r="AJ38" s="34" t="inlineStr">
        <is>
          <t>data salinan BH-02</t>
        </is>
      </c>
    </row>
    <row r="39">
      <c r="A39" s="20" t="n">
        <v>27</v>
      </c>
      <c r="B39" s="21" t="n">
        <v>39</v>
      </c>
      <c r="C39" s="21" t="n">
        <v>40.5</v>
      </c>
      <c r="D39" s="13">
        <f>C39-B39</f>
        <v/>
      </c>
      <c r="E39" s="13">
        <f>(B39+C39)/2</f>
        <v/>
      </c>
      <c r="F39" s="22" t="inlineStr">
        <is>
          <t>Sand</t>
        </is>
      </c>
      <c r="G39" s="23" t="n">
        <v>50</v>
      </c>
      <c r="H39" s="12">
        <f>IF(E39&gt;$G$5,$G$7,$G$6)</f>
        <v/>
      </c>
      <c r="I39" s="12">
        <f>I38+H39*D39</f>
        <v/>
      </c>
      <c r="J39" s="12">
        <f>I39-H39*D39/2-10*MAX(E39-$G$5,0)</f>
        <v/>
      </c>
      <c r="K39" s="24" t="n"/>
      <c r="L39" s="24" t="n"/>
      <c r="M39" s="12">
        <f>IF(K39="","",K39-L39)</f>
        <v/>
      </c>
      <c r="N39" s="25" t="n">
        <v>0.65</v>
      </c>
      <c r="O39" s="26">
        <f>IF(F39="Sand",0,Input!$G$19*G39)</f>
        <v/>
      </c>
      <c r="P39" s="12">
        <f>IF(F39="Sand",27.1+0.3*MIN(Input!$G$20*G39,60)-0.00054*MIN(Input!$G$20*G39,60)^2,MIN(MAX(DEGREES(ASIN(0.8-0.094*LN(MAX(IF(M39="",10,M39),5)))),20),30))</f>
        <v/>
      </c>
      <c r="Q39" s="27">
        <f>IF(F39="Sand",Input!$G$21*Input!$G$20*G39,Input!$G$22*O39)</f>
        <v/>
      </c>
      <c r="R39" s="13">
        <f>IF(F39="Sand",Input!$G$26,0.5)</f>
        <v/>
      </c>
      <c r="S39" s="13">
        <f>Input!$G$10/2/E39</f>
        <v/>
      </c>
      <c r="T39" s="13">
        <f>Input!$G$11/2/E39</f>
        <v/>
      </c>
      <c r="U39" s="28">
        <f>1/(4*PI())*(2*S39*T39*SQRT(S39^2+T39^2+1)/(S39^2+T39^2+1+S39^2*T39^2)*(S39^2+T39^2+2)/(S39^2+T39^2+1)+ATAN2(S39^2+T39^2+1-S39^2*T39^2,2*S39*T39*SQRT(S39^2+T39^2+1)))</f>
        <v/>
      </c>
      <c r="V39" s="12">
        <f>4*Input!$G$9*U39</f>
        <v/>
      </c>
      <c r="W39" s="29">
        <f>((Input!$G$11/Input!$G$10)*LN((1+SQRT((Input!$G$11/Input!$G$10)^2+1))*SQRT((Input!$G$11/Input!$G$10)^2+(C39/(Input!$G$10/2))^2)/((Input!$G$11/Input!$G$10)*(1+SQRT((Input!$G$11/Input!$G$10)^2+(C39/(Input!$G$10/2))^2+1))))+LN(((Input!$G$11/Input!$G$10)+SQRT((Input!$G$11/Input!$G$10)^2+1))*SQRT(1+(C39/(Input!$G$10/2))^2)/((Input!$G$11/Input!$G$10)+SQRT((Input!$G$11/Input!$G$10)^2+(C39/(Input!$G$10/2))^2+1))))/PI()</f>
        <v/>
      </c>
      <c r="X39" s="29">
        <f>(C39/(Input!$G$10/2))/(2*PI())*ATAN((Input!$G$11/Input!$G$10)/((C39/(Input!$G$10/2))*SQRT((Input!$G$11/Input!$G$10)^2+(C39/(Input!$G$10/2))^2+1)))</f>
        <v/>
      </c>
      <c r="Y39" s="13">
        <f>MAX(0,C39-MAX(B39,$G$8))/D39*IF(V39&gt;=Input!$G$27*J39,1,0)</f>
        <v/>
      </c>
      <c r="Z39" s="12">
        <f>4*Input!$G$9*(Input!$G$10/2)*(1-R39^2)/Q39*((W39-W38)+(1-2*R39)/(1-R39)*(X39-X38))*1000*Y39</f>
        <v/>
      </c>
      <c r="AA39" s="30">
        <f>IF(F39="Sand",0,0.009*(K39-10))</f>
        <v/>
      </c>
      <c r="AB39" s="30">
        <f>AA39*Input!$G$23</f>
        <v/>
      </c>
      <c r="AC39" s="26">
        <f>IF(F39="Sand",0,MAX(O39/Input!$G$24,J39))</f>
        <v/>
      </c>
      <c r="AD39" s="31">
        <f>IF(F39="Sand",0,1000*D39/(1+N39)*IF(J39+V39&lt;=AC39,AB39*LOG10((J39+V39)/J39),AB39*LOG10(AC39/J39)+AA39*LOG10((J39+V39)/AC39)))*Y39</f>
        <v/>
      </c>
      <c r="AE39" s="32">
        <f>IF(F39="Sand",0,10^(INDEX(Korelasi!$C$5:$C$11,MIN(MATCH(MIN(MAX(K39,30),120),Korelasi!$A$5:$A$11,1),6))+(MIN(MAX(K39,30),120)-INDEX(Korelasi!$A$5:$A$11,MIN(MATCH(MIN(MAX(K39,30),120),Korelasi!$A$5:$A$11,1),6)))/(INDEX(Korelasi!$A$5:$A$11,MIN(MATCH(MIN(MAX(K39,30),120),Korelasi!$A$5:$A$11,1),6)+1)-INDEX(Korelasi!$A$5:$A$11,MIN(MATCH(MIN(MAX(K39,30),120),Korelasi!$A$5:$A$11,1),6)))*(INDEX(Korelasi!$C$5:$C$11,MIN(MATCH(MIN(MAX(K39,30),120),Korelasi!$A$5:$A$11,1),6)+1)-INDEX(Korelasi!$C$5:$C$11,MIN(MATCH(MIN(MAX(K39,30),120),Korelasi!$A$5:$A$11,1),6)))))</f>
        <v/>
      </c>
      <c r="AF39" s="33">
        <f>IF(OR(F39="Sand",Y39=0),0,Input!$G$25*(D39/2)^2/(AE39*1E-4*31536000))</f>
        <v/>
      </c>
      <c r="AG39" s="13">
        <f>MAX(0,MIN(C39,Input!$G$15)-B39)</f>
        <v/>
      </c>
      <c r="AH39" s="13">
        <f>MAX(0,MIN(C39,Input!$G$15)-MAX(B39,$G$8))</f>
        <v/>
      </c>
      <c r="AI39" s="13">
        <f>MAX(0,MIN(C39,$G$106)-B39)</f>
        <v/>
      </c>
      <c r="AJ39" s="34" t="inlineStr">
        <is>
          <t>data salinan BH-02</t>
        </is>
      </c>
    </row>
    <row r="40">
      <c r="A40" s="20" t="n">
        <v>28</v>
      </c>
      <c r="B40" s="21" t="n">
        <v>40.5</v>
      </c>
      <c r="C40" s="21" t="n">
        <v>42</v>
      </c>
      <c r="D40" s="13">
        <f>C40-B40</f>
        <v/>
      </c>
      <c r="E40" s="13">
        <f>(B40+C40)/2</f>
        <v/>
      </c>
      <c r="F40" s="22" t="inlineStr">
        <is>
          <t>Sand</t>
        </is>
      </c>
      <c r="G40" s="23" t="n">
        <v>37</v>
      </c>
      <c r="H40" s="12">
        <f>IF(E40&gt;$G$5,$G$7,$G$6)</f>
        <v/>
      </c>
      <c r="I40" s="12">
        <f>I39+H40*D40</f>
        <v/>
      </c>
      <c r="J40" s="12">
        <f>I40-H40*D40/2-10*MAX(E40-$G$5,0)</f>
        <v/>
      </c>
      <c r="K40" s="24" t="n"/>
      <c r="L40" s="24" t="n"/>
      <c r="M40" s="12">
        <f>IF(K40="","",K40-L40)</f>
        <v/>
      </c>
      <c r="N40" s="25" t="n">
        <v>0.65</v>
      </c>
      <c r="O40" s="26">
        <f>IF(F40="Sand",0,Input!$G$19*G40)</f>
        <v/>
      </c>
      <c r="P40" s="12">
        <f>IF(F40="Sand",27.1+0.3*MIN(Input!$G$20*G40,60)-0.00054*MIN(Input!$G$20*G40,60)^2,MIN(MAX(DEGREES(ASIN(0.8-0.094*LN(MAX(IF(M40="",10,M40),5)))),20),30))</f>
        <v/>
      </c>
      <c r="Q40" s="27">
        <f>IF(F40="Sand",Input!$G$21*Input!$G$20*G40,Input!$G$22*O40)</f>
        <v/>
      </c>
      <c r="R40" s="13">
        <f>IF(F40="Sand",Input!$G$26,0.5)</f>
        <v/>
      </c>
      <c r="S40" s="13">
        <f>Input!$G$10/2/E40</f>
        <v/>
      </c>
      <c r="T40" s="13">
        <f>Input!$G$11/2/E40</f>
        <v/>
      </c>
      <c r="U40" s="28">
        <f>1/(4*PI())*(2*S40*T40*SQRT(S40^2+T40^2+1)/(S40^2+T40^2+1+S40^2*T40^2)*(S40^2+T40^2+2)/(S40^2+T40^2+1)+ATAN2(S40^2+T40^2+1-S40^2*T40^2,2*S40*T40*SQRT(S40^2+T40^2+1)))</f>
        <v/>
      </c>
      <c r="V40" s="12">
        <f>4*Input!$G$9*U40</f>
        <v/>
      </c>
      <c r="W40" s="29">
        <f>((Input!$G$11/Input!$G$10)*LN((1+SQRT((Input!$G$11/Input!$G$10)^2+1))*SQRT((Input!$G$11/Input!$G$10)^2+(C40/(Input!$G$10/2))^2)/((Input!$G$11/Input!$G$10)*(1+SQRT((Input!$G$11/Input!$G$10)^2+(C40/(Input!$G$10/2))^2+1))))+LN(((Input!$G$11/Input!$G$10)+SQRT((Input!$G$11/Input!$G$10)^2+1))*SQRT(1+(C40/(Input!$G$10/2))^2)/((Input!$G$11/Input!$G$10)+SQRT((Input!$G$11/Input!$G$10)^2+(C40/(Input!$G$10/2))^2+1))))/PI()</f>
        <v/>
      </c>
      <c r="X40" s="29">
        <f>(C40/(Input!$G$10/2))/(2*PI())*ATAN((Input!$G$11/Input!$G$10)/((C40/(Input!$G$10/2))*SQRT((Input!$G$11/Input!$G$10)^2+(C40/(Input!$G$10/2))^2+1)))</f>
        <v/>
      </c>
      <c r="Y40" s="13">
        <f>MAX(0,C40-MAX(B40,$G$8))/D40*IF(V40&gt;=Input!$G$27*J40,1,0)</f>
        <v/>
      </c>
      <c r="Z40" s="12">
        <f>4*Input!$G$9*(Input!$G$10/2)*(1-R40^2)/Q40*((W40-W39)+(1-2*R40)/(1-R40)*(X40-X39))*1000*Y40</f>
        <v/>
      </c>
      <c r="AA40" s="30">
        <f>IF(F40="Sand",0,0.009*(K40-10))</f>
        <v/>
      </c>
      <c r="AB40" s="30">
        <f>AA40*Input!$G$23</f>
        <v/>
      </c>
      <c r="AC40" s="26">
        <f>IF(F40="Sand",0,MAX(O40/Input!$G$24,J40))</f>
        <v/>
      </c>
      <c r="AD40" s="31">
        <f>IF(F40="Sand",0,1000*D40/(1+N40)*IF(J40+V40&lt;=AC40,AB40*LOG10((J40+V40)/J40),AB40*LOG10(AC40/J40)+AA40*LOG10((J40+V40)/AC40)))*Y40</f>
        <v/>
      </c>
      <c r="AE40" s="32">
        <f>IF(F40="Sand",0,10^(INDEX(Korelasi!$C$5:$C$11,MIN(MATCH(MIN(MAX(K40,30),120),Korelasi!$A$5:$A$11,1),6))+(MIN(MAX(K40,30),120)-INDEX(Korelasi!$A$5:$A$11,MIN(MATCH(MIN(MAX(K40,30),120),Korelasi!$A$5:$A$11,1),6)))/(INDEX(Korelasi!$A$5:$A$11,MIN(MATCH(MIN(MAX(K40,30),120),Korelasi!$A$5:$A$11,1),6)+1)-INDEX(Korelasi!$A$5:$A$11,MIN(MATCH(MIN(MAX(K40,30),120),Korelasi!$A$5:$A$11,1),6)))*(INDEX(Korelasi!$C$5:$C$11,MIN(MATCH(MIN(MAX(K40,30),120),Korelasi!$A$5:$A$11,1),6)+1)-INDEX(Korelasi!$C$5:$C$11,MIN(MATCH(MIN(MAX(K40,30),120),Korelasi!$A$5:$A$11,1),6)))))</f>
        <v/>
      </c>
      <c r="AF40" s="33">
        <f>IF(OR(F40="Sand",Y40=0),0,Input!$G$25*(D40/2)^2/(AE40*1E-4*31536000))</f>
        <v/>
      </c>
      <c r="AG40" s="13">
        <f>MAX(0,MIN(C40,Input!$G$15)-B40)</f>
        <v/>
      </c>
      <c r="AH40" s="13">
        <f>MAX(0,MIN(C40,Input!$G$15)-MAX(B40,$G$8))</f>
        <v/>
      </c>
      <c r="AI40" s="13">
        <f>MAX(0,MIN(C40,$G$106)-B40)</f>
        <v/>
      </c>
      <c r="AJ40" s="34" t="inlineStr">
        <is>
          <t>data salinan BH-02</t>
        </is>
      </c>
    </row>
    <row r="41">
      <c r="A41" s="20" t="n">
        <v>29</v>
      </c>
      <c r="B41" s="21" t="n">
        <v>42</v>
      </c>
      <c r="C41" s="21" t="n">
        <v>43.5</v>
      </c>
      <c r="D41" s="13">
        <f>C41-B41</f>
        <v/>
      </c>
      <c r="E41" s="13">
        <f>(B41+C41)/2</f>
        <v/>
      </c>
      <c r="F41" s="22" t="inlineStr">
        <is>
          <t>Sand</t>
        </is>
      </c>
      <c r="G41" s="23" t="n">
        <v>50</v>
      </c>
      <c r="H41" s="12">
        <f>IF(E41&gt;$G$5,$G$7,$G$6)</f>
        <v/>
      </c>
      <c r="I41" s="12">
        <f>I40+H41*D41</f>
        <v/>
      </c>
      <c r="J41" s="12">
        <f>I41-H41*D41/2-10*MAX(E41-$G$5,0)</f>
        <v/>
      </c>
      <c r="K41" s="24" t="n"/>
      <c r="L41" s="24" t="n"/>
      <c r="M41" s="12">
        <f>IF(K41="","",K41-L41)</f>
        <v/>
      </c>
      <c r="N41" s="25" t="n">
        <v>0.65</v>
      </c>
      <c r="O41" s="26">
        <f>IF(F41="Sand",0,Input!$G$19*G41)</f>
        <v/>
      </c>
      <c r="P41" s="12">
        <f>IF(F41="Sand",27.1+0.3*MIN(Input!$G$20*G41,60)-0.00054*MIN(Input!$G$20*G41,60)^2,MIN(MAX(DEGREES(ASIN(0.8-0.094*LN(MAX(IF(M41="",10,M41),5)))),20),30))</f>
        <v/>
      </c>
      <c r="Q41" s="27">
        <f>IF(F41="Sand",Input!$G$21*Input!$G$20*G41,Input!$G$22*O41)</f>
        <v/>
      </c>
      <c r="R41" s="13">
        <f>IF(F41="Sand",Input!$G$26,0.5)</f>
        <v/>
      </c>
      <c r="S41" s="13">
        <f>Input!$G$10/2/E41</f>
        <v/>
      </c>
      <c r="T41" s="13">
        <f>Input!$G$11/2/E41</f>
        <v/>
      </c>
      <c r="U41" s="28">
        <f>1/(4*PI())*(2*S41*T41*SQRT(S41^2+T41^2+1)/(S41^2+T41^2+1+S41^2*T41^2)*(S41^2+T41^2+2)/(S41^2+T41^2+1)+ATAN2(S41^2+T41^2+1-S41^2*T41^2,2*S41*T41*SQRT(S41^2+T41^2+1)))</f>
        <v/>
      </c>
      <c r="V41" s="12">
        <f>4*Input!$G$9*U41</f>
        <v/>
      </c>
      <c r="W41" s="29">
        <f>((Input!$G$11/Input!$G$10)*LN((1+SQRT((Input!$G$11/Input!$G$10)^2+1))*SQRT((Input!$G$11/Input!$G$10)^2+(C41/(Input!$G$10/2))^2)/((Input!$G$11/Input!$G$10)*(1+SQRT((Input!$G$11/Input!$G$10)^2+(C41/(Input!$G$10/2))^2+1))))+LN(((Input!$G$11/Input!$G$10)+SQRT((Input!$G$11/Input!$G$10)^2+1))*SQRT(1+(C41/(Input!$G$10/2))^2)/((Input!$G$11/Input!$G$10)+SQRT((Input!$G$11/Input!$G$10)^2+(C41/(Input!$G$10/2))^2+1))))/PI()</f>
        <v/>
      </c>
      <c r="X41" s="29">
        <f>(C41/(Input!$G$10/2))/(2*PI())*ATAN((Input!$G$11/Input!$G$10)/((C41/(Input!$G$10/2))*SQRT((Input!$G$11/Input!$G$10)^2+(C41/(Input!$G$10/2))^2+1)))</f>
        <v/>
      </c>
      <c r="Y41" s="13">
        <f>MAX(0,C41-MAX(B41,$G$8))/D41*IF(V41&gt;=Input!$G$27*J41,1,0)</f>
        <v/>
      </c>
      <c r="Z41" s="12">
        <f>4*Input!$G$9*(Input!$G$10/2)*(1-R41^2)/Q41*((W41-W40)+(1-2*R41)/(1-R41)*(X41-X40))*1000*Y41</f>
        <v/>
      </c>
      <c r="AA41" s="30">
        <f>IF(F41="Sand",0,0.009*(K41-10))</f>
        <v/>
      </c>
      <c r="AB41" s="30">
        <f>AA41*Input!$G$23</f>
        <v/>
      </c>
      <c r="AC41" s="26">
        <f>IF(F41="Sand",0,MAX(O41/Input!$G$24,J41))</f>
        <v/>
      </c>
      <c r="AD41" s="31">
        <f>IF(F41="Sand",0,1000*D41/(1+N41)*IF(J41+V41&lt;=AC41,AB41*LOG10((J41+V41)/J41),AB41*LOG10(AC41/J41)+AA41*LOG10((J41+V41)/AC41)))*Y41</f>
        <v/>
      </c>
      <c r="AE41" s="32">
        <f>IF(F41="Sand",0,10^(INDEX(Korelasi!$C$5:$C$11,MIN(MATCH(MIN(MAX(K41,30),120),Korelasi!$A$5:$A$11,1),6))+(MIN(MAX(K41,30),120)-INDEX(Korelasi!$A$5:$A$11,MIN(MATCH(MIN(MAX(K41,30),120),Korelasi!$A$5:$A$11,1),6)))/(INDEX(Korelasi!$A$5:$A$11,MIN(MATCH(MIN(MAX(K41,30),120),Korelasi!$A$5:$A$11,1),6)+1)-INDEX(Korelasi!$A$5:$A$11,MIN(MATCH(MIN(MAX(K41,30),120),Korelasi!$A$5:$A$11,1),6)))*(INDEX(Korelasi!$C$5:$C$11,MIN(MATCH(MIN(MAX(K41,30),120),Korelasi!$A$5:$A$11,1),6)+1)-INDEX(Korelasi!$C$5:$C$11,MIN(MATCH(MIN(MAX(K41,30),120),Korelasi!$A$5:$A$11,1),6)))))</f>
        <v/>
      </c>
      <c r="AF41" s="33">
        <f>IF(OR(F41="Sand",Y41=0),0,Input!$G$25*(D41/2)^2/(AE41*1E-4*31536000))</f>
        <v/>
      </c>
      <c r="AG41" s="13">
        <f>MAX(0,MIN(C41,Input!$G$15)-B41)</f>
        <v/>
      </c>
      <c r="AH41" s="13">
        <f>MAX(0,MIN(C41,Input!$G$15)-MAX(B41,$G$8))</f>
        <v/>
      </c>
      <c r="AI41" s="13">
        <f>MAX(0,MIN(C41,$G$106)-B41)</f>
        <v/>
      </c>
      <c r="AJ41" s="34" t="inlineStr">
        <is>
          <t>data salinan BH-02</t>
        </is>
      </c>
    </row>
    <row r="42">
      <c r="A42" s="20" t="n">
        <v>30</v>
      </c>
      <c r="B42" s="21" t="n">
        <v>43.5</v>
      </c>
      <c r="C42" s="21" t="n">
        <v>45</v>
      </c>
      <c r="D42" s="13">
        <f>C42-B42</f>
        <v/>
      </c>
      <c r="E42" s="13">
        <f>(B42+C42)/2</f>
        <v/>
      </c>
      <c r="F42" s="22" t="inlineStr">
        <is>
          <t>Sand</t>
        </is>
      </c>
      <c r="G42" s="23" t="n">
        <v>50</v>
      </c>
      <c r="H42" s="12">
        <f>IF(E42&gt;$G$5,$G$7,$G$6)</f>
        <v/>
      </c>
      <c r="I42" s="12">
        <f>I41+H42*D42</f>
        <v/>
      </c>
      <c r="J42" s="12">
        <f>I42-H42*D42/2-10*MAX(E42-$G$5,0)</f>
        <v/>
      </c>
      <c r="K42" s="24" t="n"/>
      <c r="L42" s="24" t="n"/>
      <c r="M42" s="12">
        <f>IF(K42="","",K42-L42)</f>
        <v/>
      </c>
      <c r="N42" s="25" t="n">
        <v>0.65</v>
      </c>
      <c r="O42" s="26">
        <f>IF(F42="Sand",0,Input!$G$19*G42)</f>
        <v/>
      </c>
      <c r="P42" s="12">
        <f>IF(F42="Sand",27.1+0.3*MIN(Input!$G$20*G42,60)-0.00054*MIN(Input!$G$20*G42,60)^2,MIN(MAX(DEGREES(ASIN(0.8-0.094*LN(MAX(IF(M42="",10,M42),5)))),20),30))</f>
        <v/>
      </c>
      <c r="Q42" s="27">
        <f>IF(F42="Sand",Input!$G$21*Input!$G$20*G42,Input!$G$22*O42)</f>
        <v/>
      </c>
      <c r="R42" s="13">
        <f>IF(F42="Sand",Input!$G$26,0.5)</f>
        <v/>
      </c>
      <c r="S42" s="13">
        <f>Input!$G$10/2/E42</f>
        <v/>
      </c>
      <c r="T42" s="13">
        <f>Input!$G$11/2/E42</f>
        <v/>
      </c>
      <c r="U42" s="28">
        <f>1/(4*PI())*(2*S42*T42*SQRT(S42^2+T42^2+1)/(S42^2+T42^2+1+S42^2*T42^2)*(S42^2+T42^2+2)/(S42^2+T42^2+1)+ATAN2(S42^2+T42^2+1-S42^2*T42^2,2*S42*T42*SQRT(S42^2+T42^2+1)))</f>
        <v/>
      </c>
      <c r="V42" s="12">
        <f>4*Input!$G$9*U42</f>
        <v/>
      </c>
      <c r="W42" s="29">
        <f>((Input!$G$11/Input!$G$10)*LN((1+SQRT((Input!$G$11/Input!$G$10)^2+1))*SQRT((Input!$G$11/Input!$G$10)^2+(C42/(Input!$G$10/2))^2)/((Input!$G$11/Input!$G$10)*(1+SQRT((Input!$G$11/Input!$G$10)^2+(C42/(Input!$G$10/2))^2+1))))+LN(((Input!$G$11/Input!$G$10)+SQRT((Input!$G$11/Input!$G$10)^2+1))*SQRT(1+(C42/(Input!$G$10/2))^2)/((Input!$G$11/Input!$G$10)+SQRT((Input!$G$11/Input!$G$10)^2+(C42/(Input!$G$10/2))^2+1))))/PI()</f>
        <v/>
      </c>
      <c r="X42" s="29">
        <f>(C42/(Input!$G$10/2))/(2*PI())*ATAN((Input!$G$11/Input!$G$10)/((C42/(Input!$G$10/2))*SQRT((Input!$G$11/Input!$G$10)^2+(C42/(Input!$G$10/2))^2+1)))</f>
        <v/>
      </c>
      <c r="Y42" s="13">
        <f>MAX(0,C42-MAX(B42,$G$8))/D42*IF(V42&gt;=Input!$G$27*J42,1,0)</f>
        <v/>
      </c>
      <c r="Z42" s="12">
        <f>4*Input!$G$9*(Input!$G$10/2)*(1-R42^2)/Q42*((W42-W41)+(1-2*R42)/(1-R42)*(X42-X41))*1000*Y42</f>
        <v/>
      </c>
      <c r="AA42" s="30">
        <f>IF(F42="Sand",0,0.009*(K42-10))</f>
        <v/>
      </c>
      <c r="AB42" s="30">
        <f>AA42*Input!$G$23</f>
        <v/>
      </c>
      <c r="AC42" s="26">
        <f>IF(F42="Sand",0,MAX(O42/Input!$G$24,J42))</f>
        <v/>
      </c>
      <c r="AD42" s="31">
        <f>IF(F42="Sand",0,1000*D42/(1+N42)*IF(J42+V42&lt;=AC42,AB42*LOG10((J42+V42)/J42),AB42*LOG10(AC42/J42)+AA42*LOG10((J42+V42)/AC42)))*Y42</f>
        <v/>
      </c>
      <c r="AE42" s="32">
        <f>IF(F42="Sand",0,10^(INDEX(Korelasi!$C$5:$C$11,MIN(MATCH(MIN(MAX(K42,30),120),Korelasi!$A$5:$A$11,1),6))+(MIN(MAX(K42,30),120)-INDEX(Korelasi!$A$5:$A$11,MIN(MATCH(MIN(MAX(K42,30),120),Korelasi!$A$5:$A$11,1),6)))/(INDEX(Korelasi!$A$5:$A$11,MIN(MATCH(MIN(MAX(K42,30),120),Korelasi!$A$5:$A$11,1),6)+1)-INDEX(Korelasi!$A$5:$A$11,MIN(MATCH(MIN(MAX(K42,30),120),Korelasi!$A$5:$A$11,1),6)))*(INDEX(Korelasi!$C$5:$C$11,MIN(MATCH(MIN(MAX(K42,30),120),Korelasi!$A$5:$A$11,1),6)+1)-INDEX(Korelasi!$C$5:$C$11,MIN(MATCH(MIN(MAX(K42,30),120),Korelasi!$A$5:$A$11,1),6)))))</f>
        <v/>
      </c>
      <c r="AF42" s="33">
        <f>IF(OR(F42="Sand",Y42=0),0,Input!$G$25*(D42/2)^2/(AE42*1E-4*31536000))</f>
        <v/>
      </c>
      <c r="AG42" s="13">
        <f>MAX(0,MIN(C42,Input!$G$15)-B42)</f>
        <v/>
      </c>
      <c r="AH42" s="13">
        <f>MAX(0,MIN(C42,Input!$G$15)-MAX(B42,$G$8))</f>
        <v/>
      </c>
      <c r="AI42" s="13">
        <f>MAX(0,MIN(C42,$G$106)-B42)</f>
        <v/>
      </c>
      <c r="AJ42" s="34" t="inlineStr">
        <is>
          <t>data salinan BH-02</t>
        </is>
      </c>
    </row>
    <row r="43">
      <c r="A43" s="20" t="n">
        <v>31</v>
      </c>
      <c r="B43" s="21" t="n">
        <v>45</v>
      </c>
      <c r="C43" s="21" t="n">
        <v>46.5</v>
      </c>
      <c r="D43" s="13">
        <f>C43-B43</f>
        <v/>
      </c>
      <c r="E43" s="13">
        <f>(B43+C43)/2</f>
        <v/>
      </c>
      <c r="F43" s="22" t="inlineStr">
        <is>
          <t>Sand</t>
        </is>
      </c>
      <c r="G43" s="23" t="n">
        <v>50</v>
      </c>
      <c r="H43" s="12">
        <f>IF(E43&gt;$G$5,$G$7,$G$6)</f>
        <v/>
      </c>
      <c r="I43" s="12">
        <f>I42+H43*D43</f>
        <v/>
      </c>
      <c r="J43" s="12">
        <f>I43-H43*D43/2-10*MAX(E43-$G$5,0)</f>
        <v/>
      </c>
      <c r="K43" s="24" t="n"/>
      <c r="L43" s="24" t="n"/>
      <c r="M43" s="12">
        <f>IF(K43="","",K43-L43)</f>
        <v/>
      </c>
      <c r="N43" s="25" t="n">
        <v>0.65</v>
      </c>
      <c r="O43" s="26">
        <f>IF(F43="Sand",0,Input!$G$19*G43)</f>
        <v/>
      </c>
      <c r="P43" s="12">
        <f>IF(F43="Sand",27.1+0.3*MIN(Input!$G$20*G43,60)-0.00054*MIN(Input!$G$20*G43,60)^2,MIN(MAX(DEGREES(ASIN(0.8-0.094*LN(MAX(IF(M43="",10,M43),5)))),20),30))</f>
        <v/>
      </c>
      <c r="Q43" s="27">
        <f>IF(F43="Sand",Input!$G$21*Input!$G$20*G43,Input!$G$22*O43)</f>
        <v/>
      </c>
      <c r="R43" s="13">
        <f>IF(F43="Sand",Input!$G$26,0.5)</f>
        <v/>
      </c>
      <c r="S43" s="13">
        <f>Input!$G$10/2/E43</f>
        <v/>
      </c>
      <c r="T43" s="13">
        <f>Input!$G$11/2/E43</f>
        <v/>
      </c>
      <c r="U43" s="28">
        <f>1/(4*PI())*(2*S43*T43*SQRT(S43^2+T43^2+1)/(S43^2+T43^2+1+S43^2*T43^2)*(S43^2+T43^2+2)/(S43^2+T43^2+1)+ATAN2(S43^2+T43^2+1-S43^2*T43^2,2*S43*T43*SQRT(S43^2+T43^2+1)))</f>
        <v/>
      </c>
      <c r="V43" s="12">
        <f>4*Input!$G$9*U43</f>
        <v/>
      </c>
      <c r="W43" s="29">
        <f>((Input!$G$11/Input!$G$10)*LN((1+SQRT((Input!$G$11/Input!$G$10)^2+1))*SQRT((Input!$G$11/Input!$G$10)^2+(C43/(Input!$G$10/2))^2)/((Input!$G$11/Input!$G$10)*(1+SQRT((Input!$G$11/Input!$G$10)^2+(C43/(Input!$G$10/2))^2+1))))+LN(((Input!$G$11/Input!$G$10)+SQRT((Input!$G$11/Input!$G$10)^2+1))*SQRT(1+(C43/(Input!$G$10/2))^2)/((Input!$G$11/Input!$G$10)+SQRT((Input!$G$11/Input!$G$10)^2+(C43/(Input!$G$10/2))^2+1))))/PI()</f>
        <v/>
      </c>
      <c r="X43" s="29">
        <f>(C43/(Input!$G$10/2))/(2*PI())*ATAN((Input!$G$11/Input!$G$10)/((C43/(Input!$G$10/2))*SQRT((Input!$G$11/Input!$G$10)^2+(C43/(Input!$G$10/2))^2+1)))</f>
        <v/>
      </c>
      <c r="Y43" s="13">
        <f>MAX(0,C43-MAX(B43,$G$8))/D43*IF(V43&gt;=Input!$G$27*J43,1,0)</f>
        <v/>
      </c>
      <c r="Z43" s="12">
        <f>4*Input!$G$9*(Input!$G$10/2)*(1-R43^2)/Q43*((W43-W42)+(1-2*R43)/(1-R43)*(X43-X42))*1000*Y43</f>
        <v/>
      </c>
      <c r="AA43" s="30">
        <f>IF(F43="Sand",0,0.009*(K43-10))</f>
        <v/>
      </c>
      <c r="AB43" s="30">
        <f>AA43*Input!$G$23</f>
        <v/>
      </c>
      <c r="AC43" s="26">
        <f>IF(F43="Sand",0,MAX(O43/Input!$G$24,J43))</f>
        <v/>
      </c>
      <c r="AD43" s="31">
        <f>IF(F43="Sand",0,1000*D43/(1+N43)*IF(J43+V43&lt;=AC43,AB43*LOG10((J43+V43)/J43),AB43*LOG10(AC43/J43)+AA43*LOG10((J43+V43)/AC43)))*Y43</f>
        <v/>
      </c>
      <c r="AE43" s="32">
        <f>IF(F43="Sand",0,10^(INDEX(Korelasi!$C$5:$C$11,MIN(MATCH(MIN(MAX(K43,30),120),Korelasi!$A$5:$A$11,1),6))+(MIN(MAX(K43,30),120)-INDEX(Korelasi!$A$5:$A$11,MIN(MATCH(MIN(MAX(K43,30),120),Korelasi!$A$5:$A$11,1),6)))/(INDEX(Korelasi!$A$5:$A$11,MIN(MATCH(MIN(MAX(K43,30),120),Korelasi!$A$5:$A$11,1),6)+1)-INDEX(Korelasi!$A$5:$A$11,MIN(MATCH(MIN(MAX(K43,30),120),Korelasi!$A$5:$A$11,1),6)))*(INDEX(Korelasi!$C$5:$C$11,MIN(MATCH(MIN(MAX(K43,30),120),Korelasi!$A$5:$A$11,1),6)+1)-INDEX(Korelasi!$C$5:$C$11,MIN(MATCH(MIN(MAX(K43,30),120),Korelasi!$A$5:$A$11,1),6)))))</f>
        <v/>
      </c>
      <c r="AF43" s="33">
        <f>IF(OR(F43="Sand",Y43=0),0,Input!$G$25*(D43/2)^2/(AE43*1E-4*31536000))</f>
        <v/>
      </c>
      <c r="AG43" s="13">
        <f>MAX(0,MIN(C43,Input!$G$15)-B43)</f>
        <v/>
      </c>
      <c r="AH43" s="13">
        <f>MAX(0,MIN(C43,Input!$G$15)-MAX(B43,$G$8))</f>
        <v/>
      </c>
      <c r="AI43" s="13">
        <f>MAX(0,MIN(C43,$G$106)-B43)</f>
        <v/>
      </c>
      <c r="AJ43" s="34" t="inlineStr">
        <is>
          <t>data salinan BH-02</t>
        </is>
      </c>
    </row>
    <row r="44">
      <c r="A44" s="20" t="n">
        <v>32</v>
      </c>
      <c r="B44" s="21" t="n">
        <v>46.5</v>
      </c>
      <c r="C44" s="21" t="n">
        <v>48</v>
      </c>
      <c r="D44" s="13">
        <f>C44-B44</f>
        <v/>
      </c>
      <c r="E44" s="13">
        <f>(B44+C44)/2</f>
        <v/>
      </c>
      <c r="F44" s="22" t="inlineStr">
        <is>
          <t>Sand</t>
        </is>
      </c>
      <c r="G44" s="23" t="n">
        <v>50</v>
      </c>
      <c r="H44" s="12">
        <f>IF(E44&gt;$G$5,$G$7,$G$6)</f>
        <v/>
      </c>
      <c r="I44" s="12">
        <f>I43+H44*D44</f>
        <v/>
      </c>
      <c r="J44" s="12">
        <f>I44-H44*D44/2-10*MAX(E44-$G$5,0)</f>
        <v/>
      </c>
      <c r="K44" s="24" t="n"/>
      <c r="L44" s="24" t="n"/>
      <c r="M44" s="12">
        <f>IF(K44="","",K44-L44)</f>
        <v/>
      </c>
      <c r="N44" s="25" t="n">
        <v>0.65</v>
      </c>
      <c r="O44" s="26">
        <f>IF(F44="Sand",0,Input!$G$19*G44)</f>
        <v/>
      </c>
      <c r="P44" s="12">
        <f>IF(F44="Sand",27.1+0.3*MIN(Input!$G$20*G44,60)-0.00054*MIN(Input!$G$20*G44,60)^2,MIN(MAX(DEGREES(ASIN(0.8-0.094*LN(MAX(IF(M44="",10,M44),5)))),20),30))</f>
        <v/>
      </c>
      <c r="Q44" s="27">
        <f>IF(F44="Sand",Input!$G$21*Input!$G$20*G44,Input!$G$22*O44)</f>
        <v/>
      </c>
      <c r="R44" s="13">
        <f>IF(F44="Sand",Input!$G$26,0.5)</f>
        <v/>
      </c>
      <c r="S44" s="13">
        <f>Input!$G$10/2/E44</f>
        <v/>
      </c>
      <c r="T44" s="13">
        <f>Input!$G$11/2/E44</f>
        <v/>
      </c>
      <c r="U44" s="28">
        <f>1/(4*PI())*(2*S44*T44*SQRT(S44^2+T44^2+1)/(S44^2+T44^2+1+S44^2*T44^2)*(S44^2+T44^2+2)/(S44^2+T44^2+1)+ATAN2(S44^2+T44^2+1-S44^2*T44^2,2*S44*T44*SQRT(S44^2+T44^2+1)))</f>
        <v/>
      </c>
      <c r="V44" s="12">
        <f>4*Input!$G$9*U44</f>
        <v/>
      </c>
      <c r="W44" s="29">
        <f>((Input!$G$11/Input!$G$10)*LN((1+SQRT((Input!$G$11/Input!$G$10)^2+1))*SQRT((Input!$G$11/Input!$G$10)^2+(C44/(Input!$G$10/2))^2)/((Input!$G$11/Input!$G$10)*(1+SQRT((Input!$G$11/Input!$G$10)^2+(C44/(Input!$G$10/2))^2+1))))+LN(((Input!$G$11/Input!$G$10)+SQRT((Input!$G$11/Input!$G$10)^2+1))*SQRT(1+(C44/(Input!$G$10/2))^2)/((Input!$G$11/Input!$G$10)+SQRT((Input!$G$11/Input!$G$10)^2+(C44/(Input!$G$10/2))^2+1))))/PI()</f>
        <v/>
      </c>
      <c r="X44" s="29">
        <f>(C44/(Input!$G$10/2))/(2*PI())*ATAN((Input!$G$11/Input!$G$10)/((C44/(Input!$G$10/2))*SQRT((Input!$G$11/Input!$G$10)^2+(C44/(Input!$G$10/2))^2+1)))</f>
        <v/>
      </c>
      <c r="Y44" s="13">
        <f>MAX(0,C44-MAX(B44,$G$8))/D44*IF(V44&gt;=Input!$G$27*J44,1,0)</f>
        <v/>
      </c>
      <c r="Z44" s="12">
        <f>4*Input!$G$9*(Input!$G$10/2)*(1-R44^2)/Q44*((W44-W43)+(1-2*R44)/(1-R44)*(X44-X43))*1000*Y44</f>
        <v/>
      </c>
      <c r="AA44" s="30">
        <f>IF(F44="Sand",0,0.009*(K44-10))</f>
        <v/>
      </c>
      <c r="AB44" s="30">
        <f>AA44*Input!$G$23</f>
        <v/>
      </c>
      <c r="AC44" s="26">
        <f>IF(F44="Sand",0,MAX(O44/Input!$G$24,J44))</f>
        <v/>
      </c>
      <c r="AD44" s="31">
        <f>IF(F44="Sand",0,1000*D44/(1+N44)*IF(J44+V44&lt;=AC44,AB44*LOG10((J44+V44)/J44),AB44*LOG10(AC44/J44)+AA44*LOG10((J44+V44)/AC44)))*Y44</f>
        <v/>
      </c>
      <c r="AE44" s="32">
        <f>IF(F44="Sand",0,10^(INDEX(Korelasi!$C$5:$C$11,MIN(MATCH(MIN(MAX(K44,30),120),Korelasi!$A$5:$A$11,1),6))+(MIN(MAX(K44,30),120)-INDEX(Korelasi!$A$5:$A$11,MIN(MATCH(MIN(MAX(K44,30),120),Korelasi!$A$5:$A$11,1),6)))/(INDEX(Korelasi!$A$5:$A$11,MIN(MATCH(MIN(MAX(K44,30),120),Korelasi!$A$5:$A$11,1),6)+1)-INDEX(Korelasi!$A$5:$A$11,MIN(MATCH(MIN(MAX(K44,30),120),Korelasi!$A$5:$A$11,1),6)))*(INDEX(Korelasi!$C$5:$C$11,MIN(MATCH(MIN(MAX(K44,30),120),Korelasi!$A$5:$A$11,1),6)+1)-INDEX(Korelasi!$C$5:$C$11,MIN(MATCH(MIN(MAX(K44,30),120),Korelasi!$A$5:$A$11,1),6)))))</f>
        <v/>
      </c>
      <c r="AF44" s="33">
        <f>IF(OR(F44="Sand",Y44=0),0,Input!$G$25*(D44/2)^2/(AE44*1E-4*31536000))</f>
        <v/>
      </c>
      <c r="AG44" s="13">
        <f>MAX(0,MIN(C44,Input!$G$15)-B44)</f>
        <v/>
      </c>
      <c r="AH44" s="13">
        <f>MAX(0,MIN(C44,Input!$G$15)-MAX(B44,$G$8))</f>
        <v/>
      </c>
      <c r="AI44" s="13">
        <f>MAX(0,MIN(C44,$G$106)-B44)</f>
        <v/>
      </c>
      <c r="AJ44" s="34" t="inlineStr">
        <is>
          <t>data salinan BH-02</t>
        </is>
      </c>
    </row>
    <row r="45">
      <c r="A45" s="20" t="n">
        <v>33</v>
      </c>
      <c r="B45" s="21" t="n">
        <v>48</v>
      </c>
      <c r="C45" s="21" t="n">
        <v>49.5</v>
      </c>
      <c r="D45" s="13">
        <f>C45-B45</f>
        <v/>
      </c>
      <c r="E45" s="13">
        <f>(B45+C45)/2</f>
        <v/>
      </c>
      <c r="F45" s="22" t="inlineStr">
        <is>
          <t>Sand</t>
        </is>
      </c>
      <c r="G45" s="23" t="n">
        <v>27</v>
      </c>
      <c r="H45" s="12">
        <f>IF(E45&gt;$G$5,$G$7,$G$6)</f>
        <v/>
      </c>
      <c r="I45" s="12">
        <f>I44+H45*D45</f>
        <v/>
      </c>
      <c r="J45" s="12">
        <f>I45-H45*D45/2-10*MAX(E45-$G$5,0)</f>
        <v/>
      </c>
      <c r="K45" s="24" t="n"/>
      <c r="L45" s="24" t="n"/>
      <c r="M45" s="12">
        <f>IF(K45="","",K45-L45)</f>
        <v/>
      </c>
      <c r="N45" s="25" t="n">
        <v>0.65</v>
      </c>
      <c r="O45" s="26">
        <f>IF(F45="Sand",0,Input!$G$19*G45)</f>
        <v/>
      </c>
      <c r="P45" s="12">
        <f>IF(F45="Sand",27.1+0.3*MIN(Input!$G$20*G45,60)-0.00054*MIN(Input!$G$20*G45,60)^2,MIN(MAX(DEGREES(ASIN(0.8-0.094*LN(MAX(IF(M45="",10,M45),5)))),20),30))</f>
        <v/>
      </c>
      <c r="Q45" s="27">
        <f>IF(F45="Sand",Input!$G$21*Input!$G$20*G45,Input!$G$22*O45)</f>
        <v/>
      </c>
      <c r="R45" s="13">
        <f>IF(F45="Sand",Input!$G$26,0.5)</f>
        <v/>
      </c>
      <c r="S45" s="13">
        <f>Input!$G$10/2/E45</f>
        <v/>
      </c>
      <c r="T45" s="13">
        <f>Input!$G$11/2/E45</f>
        <v/>
      </c>
      <c r="U45" s="28">
        <f>1/(4*PI())*(2*S45*T45*SQRT(S45^2+T45^2+1)/(S45^2+T45^2+1+S45^2*T45^2)*(S45^2+T45^2+2)/(S45^2+T45^2+1)+ATAN2(S45^2+T45^2+1-S45^2*T45^2,2*S45*T45*SQRT(S45^2+T45^2+1)))</f>
        <v/>
      </c>
      <c r="V45" s="12">
        <f>4*Input!$G$9*U45</f>
        <v/>
      </c>
      <c r="W45" s="29">
        <f>((Input!$G$11/Input!$G$10)*LN((1+SQRT((Input!$G$11/Input!$G$10)^2+1))*SQRT((Input!$G$11/Input!$G$10)^2+(C45/(Input!$G$10/2))^2)/((Input!$G$11/Input!$G$10)*(1+SQRT((Input!$G$11/Input!$G$10)^2+(C45/(Input!$G$10/2))^2+1))))+LN(((Input!$G$11/Input!$G$10)+SQRT((Input!$G$11/Input!$G$10)^2+1))*SQRT(1+(C45/(Input!$G$10/2))^2)/((Input!$G$11/Input!$G$10)+SQRT((Input!$G$11/Input!$G$10)^2+(C45/(Input!$G$10/2))^2+1))))/PI()</f>
        <v/>
      </c>
      <c r="X45" s="29">
        <f>(C45/(Input!$G$10/2))/(2*PI())*ATAN((Input!$G$11/Input!$G$10)/((C45/(Input!$G$10/2))*SQRT((Input!$G$11/Input!$G$10)^2+(C45/(Input!$G$10/2))^2+1)))</f>
        <v/>
      </c>
      <c r="Y45" s="13">
        <f>MAX(0,C45-MAX(B45,$G$8))/D45*IF(V45&gt;=Input!$G$27*J45,1,0)</f>
        <v/>
      </c>
      <c r="Z45" s="12">
        <f>4*Input!$G$9*(Input!$G$10/2)*(1-R45^2)/Q45*((W45-W44)+(1-2*R45)/(1-R45)*(X45-X44))*1000*Y45</f>
        <v/>
      </c>
      <c r="AA45" s="30">
        <f>IF(F45="Sand",0,0.009*(K45-10))</f>
        <v/>
      </c>
      <c r="AB45" s="30">
        <f>AA45*Input!$G$23</f>
        <v/>
      </c>
      <c r="AC45" s="26">
        <f>IF(F45="Sand",0,MAX(O45/Input!$G$24,J45))</f>
        <v/>
      </c>
      <c r="AD45" s="31">
        <f>IF(F45="Sand",0,1000*D45/(1+N45)*IF(J45+V45&lt;=AC45,AB45*LOG10((J45+V45)/J45),AB45*LOG10(AC45/J45)+AA45*LOG10((J45+V45)/AC45)))*Y45</f>
        <v/>
      </c>
      <c r="AE45" s="32">
        <f>IF(F45="Sand",0,10^(INDEX(Korelasi!$C$5:$C$11,MIN(MATCH(MIN(MAX(K45,30),120),Korelasi!$A$5:$A$11,1),6))+(MIN(MAX(K45,30),120)-INDEX(Korelasi!$A$5:$A$11,MIN(MATCH(MIN(MAX(K45,30),120),Korelasi!$A$5:$A$11,1),6)))/(INDEX(Korelasi!$A$5:$A$11,MIN(MATCH(MIN(MAX(K45,30),120),Korelasi!$A$5:$A$11,1),6)+1)-INDEX(Korelasi!$A$5:$A$11,MIN(MATCH(MIN(MAX(K45,30),120),Korelasi!$A$5:$A$11,1),6)))*(INDEX(Korelasi!$C$5:$C$11,MIN(MATCH(MIN(MAX(K45,30),120),Korelasi!$A$5:$A$11,1),6)+1)-INDEX(Korelasi!$C$5:$C$11,MIN(MATCH(MIN(MAX(K45,30),120),Korelasi!$A$5:$A$11,1),6)))))</f>
        <v/>
      </c>
      <c r="AF45" s="33">
        <f>IF(OR(F45="Sand",Y45=0),0,Input!$G$25*(D45/2)^2/(AE45*1E-4*31536000))</f>
        <v/>
      </c>
      <c r="AG45" s="13">
        <f>MAX(0,MIN(C45,Input!$G$15)-B45)</f>
        <v/>
      </c>
      <c r="AH45" s="13">
        <f>MAX(0,MIN(C45,Input!$G$15)-MAX(B45,$G$8))</f>
        <v/>
      </c>
      <c r="AI45" s="13">
        <f>MAX(0,MIN(C45,$G$106)-B45)</f>
        <v/>
      </c>
      <c r="AJ45" s="34" t="inlineStr">
        <is>
          <t>data salinan BH-02</t>
        </is>
      </c>
    </row>
    <row r="46">
      <c r="A46" s="20" t="n">
        <v>34</v>
      </c>
      <c r="B46" s="21" t="n">
        <v>49.5</v>
      </c>
      <c r="C46" s="21" t="n">
        <v>51</v>
      </c>
      <c r="D46" s="13">
        <f>C46-B46</f>
        <v/>
      </c>
      <c r="E46" s="13">
        <f>(B46+C46)/2</f>
        <v/>
      </c>
      <c r="F46" s="22" t="inlineStr">
        <is>
          <t>Sand</t>
        </is>
      </c>
      <c r="G46" s="23" t="n">
        <v>25</v>
      </c>
      <c r="H46" s="12">
        <f>IF(E46&gt;$G$5,$G$7,$G$6)</f>
        <v/>
      </c>
      <c r="I46" s="12">
        <f>I45+H46*D46</f>
        <v/>
      </c>
      <c r="J46" s="12">
        <f>I46-H46*D46/2-10*MAX(E46-$G$5,0)</f>
        <v/>
      </c>
      <c r="K46" s="24" t="n"/>
      <c r="L46" s="24" t="n"/>
      <c r="M46" s="12">
        <f>IF(K46="","",K46-L46)</f>
        <v/>
      </c>
      <c r="N46" s="25" t="n">
        <v>0.65</v>
      </c>
      <c r="O46" s="26">
        <f>IF(F46="Sand",0,Input!$G$19*G46)</f>
        <v/>
      </c>
      <c r="P46" s="12">
        <f>IF(F46="Sand",27.1+0.3*MIN(Input!$G$20*G46,60)-0.00054*MIN(Input!$G$20*G46,60)^2,MIN(MAX(DEGREES(ASIN(0.8-0.094*LN(MAX(IF(M46="",10,M46),5)))),20),30))</f>
        <v/>
      </c>
      <c r="Q46" s="27">
        <f>IF(F46="Sand",Input!$G$21*Input!$G$20*G46,Input!$G$22*O46)</f>
        <v/>
      </c>
      <c r="R46" s="13">
        <f>IF(F46="Sand",Input!$G$26,0.5)</f>
        <v/>
      </c>
      <c r="S46" s="13">
        <f>Input!$G$10/2/E46</f>
        <v/>
      </c>
      <c r="T46" s="13">
        <f>Input!$G$11/2/E46</f>
        <v/>
      </c>
      <c r="U46" s="28">
        <f>1/(4*PI())*(2*S46*T46*SQRT(S46^2+T46^2+1)/(S46^2+T46^2+1+S46^2*T46^2)*(S46^2+T46^2+2)/(S46^2+T46^2+1)+ATAN2(S46^2+T46^2+1-S46^2*T46^2,2*S46*T46*SQRT(S46^2+T46^2+1)))</f>
        <v/>
      </c>
      <c r="V46" s="12">
        <f>4*Input!$G$9*U46</f>
        <v/>
      </c>
      <c r="W46" s="29">
        <f>((Input!$G$11/Input!$G$10)*LN((1+SQRT((Input!$G$11/Input!$G$10)^2+1))*SQRT((Input!$G$11/Input!$G$10)^2+(C46/(Input!$G$10/2))^2)/((Input!$G$11/Input!$G$10)*(1+SQRT((Input!$G$11/Input!$G$10)^2+(C46/(Input!$G$10/2))^2+1))))+LN(((Input!$G$11/Input!$G$10)+SQRT((Input!$G$11/Input!$G$10)^2+1))*SQRT(1+(C46/(Input!$G$10/2))^2)/((Input!$G$11/Input!$G$10)+SQRT((Input!$G$11/Input!$G$10)^2+(C46/(Input!$G$10/2))^2+1))))/PI()</f>
        <v/>
      </c>
      <c r="X46" s="29">
        <f>(C46/(Input!$G$10/2))/(2*PI())*ATAN((Input!$G$11/Input!$G$10)/((C46/(Input!$G$10/2))*SQRT((Input!$G$11/Input!$G$10)^2+(C46/(Input!$G$10/2))^2+1)))</f>
        <v/>
      </c>
      <c r="Y46" s="13">
        <f>MAX(0,C46-MAX(B46,$G$8))/D46*IF(V46&gt;=Input!$G$27*J46,1,0)</f>
        <v/>
      </c>
      <c r="Z46" s="12">
        <f>4*Input!$G$9*(Input!$G$10/2)*(1-R46^2)/Q46*((W46-W45)+(1-2*R46)/(1-R46)*(X46-X45))*1000*Y46</f>
        <v/>
      </c>
      <c r="AA46" s="30">
        <f>IF(F46="Sand",0,0.009*(K46-10))</f>
        <v/>
      </c>
      <c r="AB46" s="30">
        <f>AA46*Input!$G$23</f>
        <v/>
      </c>
      <c r="AC46" s="26">
        <f>IF(F46="Sand",0,MAX(O46/Input!$G$24,J46))</f>
        <v/>
      </c>
      <c r="AD46" s="31">
        <f>IF(F46="Sand",0,1000*D46/(1+N46)*IF(J46+V46&lt;=AC46,AB46*LOG10((J46+V46)/J46),AB46*LOG10(AC46/J46)+AA46*LOG10((J46+V46)/AC46)))*Y46</f>
        <v/>
      </c>
      <c r="AE46" s="32">
        <f>IF(F46="Sand",0,10^(INDEX(Korelasi!$C$5:$C$11,MIN(MATCH(MIN(MAX(K46,30),120),Korelasi!$A$5:$A$11,1),6))+(MIN(MAX(K46,30),120)-INDEX(Korelasi!$A$5:$A$11,MIN(MATCH(MIN(MAX(K46,30),120),Korelasi!$A$5:$A$11,1),6)))/(INDEX(Korelasi!$A$5:$A$11,MIN(MATCH(MIN(MAX(K46,30),120),Korelasi!$A$5:$A$11,1),6)+1)-INDEX(Korelasi!$A$5:$A$11,MIN(MATCH(MIN(MAX(K46,30),120),Korelasi!$A$5:$A$11,1),6)))*(INDEX(Korelasi!$C$5:$C$11,MIN(MATCH(MIN(MAX(K46,30),120),Korelasi!$A$5:$A$11,1),6)+1)-INDEX(Korelasi!$C$5:$C$11,MIN(MATCH(MIN(MAX(K46,30),120),Korelasi!$A$5:$A$11,1),6)))))</f>
        <v/>
      </c>
      <c r="AF46" s="33">
        <f>IF(OR(F46="Sand",Y46=0),0,Input!$G$25*(D46/2)^2/(AE46*1E-4*31536000))</f>
        <v/>
      </c>
      <c r="AG46" s="13">
        <f>MAX(0,MIN(C46,Input!$G$15)-B46)</f>
        <v/>
      </c>
      <c r="AH46" s="13">
        <f>MAX(0,MIN(C46,Input!$G$15)-MAX(B46,$G$8))</f>
        <v/>
      </c>
      <c r="AI46" s="13">
        <f>MAX(0,MIN(C46,$G$106)-B46)</f>
        <v/>
      </c>
      <c r="AJ46" s="34" t="inlineStr">
        <is>
          <t>data salinan BH-02</t>
        </is>
      </c>
    </row>
    <row r="47">
      <c r="A47" s="20" t="n">
        <v>35</v>
      </c>
      <c r="B47" s="21" t="n">
        <v>51</v>
      </c>
      <c r="C47" s="21" t="n">
        <v>52.5</v>
      </c>
      <c r="D47" s="13">
        <f>C47-B47</f>
        <v/>
      </c>
      <c r="E47" s="13">
        <f>(B47+C47)/2</f>
        <v/>
      </c>
      <c r="F47" s="22" t="inlineStr">
        <is>
          <t>Sand</t>
        </is>
      </c>
      <c r="G47" s="23" t="n">
        <v>29</v>
      </c>
      <c r="H47" s="12">
        <f>IF(E47&gt;$G$5,$G$7,$G$6)</f>
        <v/>
      </c>
      <c r="I47" s="12">
        <f>I46+H47*D47</f>
        <v/>
      </c>
      <c r="J47" s="12">
        <f>I47-H47*D47/2-10*MAX(E47-$G$5,0)</f>
        <v/>
      </c>
      <c r="K47" s="24" t="n"/>
      <c r="L47" s="24" t="n"/>
      <c r="M47" s="12">
        <f>IF(K47="","",K47-L47)</f>
        <v/>
      </c>
      <c r="N47" s="25" t="n">
        <v>0.65</v>
      </c>
      <c r="O47" s="26">
        <f>IF(F47="Sand",0,Input!$G$19*G47)</f>
        <v/>
      </c>
      <c r="P47" s="12">
        <f>IF(F47="Sand",27.1+0.3*MIN(Input!$G$20*G47,60)-0.00054*MIN(Input!$G$20*G47,60)^2,MIN(MAX(DEGREES(ASIN(0.8-0.094*LN(MAX(IF(M47="",10,M47),5)))),20),30))</f>
        <v/>
      </c>
      <c r="Q47" s="27">
        <f>IF(F47="Sand",Input!$G$21*Input!$G$20*G47,Input!$G$22*O47)</f>
        <v/>
      </c>
      <c r="R47" s="13">
        <f>IF(F47="Sand",Input!$G$26,0.5)</f>
        <v/>
      </c>
      <c r="S47" s="13">
        <f>Input!$G$10/2/E47</f>
        <v/>
      </c>
      <c r="T47" s="13">
        <f>Input!$G$11/2/E47</f>
        <v/>
      </c>
      <c r="U47" s="28">
        <f>1/(4*PI())*(2*S47*T47*SQRT(S47^2+T47^2+1)/(S47^2+T47^2+1+S47^2*T47^2)*(S47^2+T47^2+2)/(S47^2+T47^2+1)+ATAN2(S47^2+T47^2+1-S47^2*T47^2,2*S47*T47*SQRT(S47^2+T47^2+1)))</f>
        <v/>
      </c>
      <c r="V47" s="12">
        <f>4*Input!$G$9*U47</f>
        <v/>
      </c>
      <c r="W47" s="29">
        <f>((Input!$G$11/Input!$G$10)*LN((1+SQRT((Input!$G$11/Input!$G$10)^2+1))*SQRT((Input!$G$11/Input!$G$10)^2+(C47/(Input!$G$10/2))^2)/((Input!$G$11/Input!$G$10)*(1+SQRT((Input!$G$11/Input!$G$10)^2+(C47/(Input!$G$10/2))^2+1))))+LN(((Input!$G$11/Input!$G$10)+SQRT((Input!$G$11/Input!$G$10)^2+1))*SQRT(1+(C47/(Input!$G$10/2))^2)/((Input!$G$11/Input!$G$10)+SQRT((Input!$G$11/Input!$G$10)^2+(C47/(Input!$G$10/2))^2+1))))/PI()</f>
        <v/>
      </c>
      <c r="X47" s="29">
        <f>(C47/(Input!$G$10/2))/(2*PI())*ATAN((Input!$G$11/Input!$G$10)/((C47/(Input!$G$10/2))*SQRT((Input!$G$11/Input!$G$10)^2+(C47/(Input!$G$10/2))^2+1)))</f>
        <v/>
      </c>
      <c r="Y47" s="13">
        <f>MAX(0,C47-MAX(B47,$G$8))/D47*IF(V47&gt;=Input!$G$27*J47,1,0)</f>
        <v/>
      </c>
      <c r="Z47" s="12">
        <f>4*Input!$G$9*(Input!$G$10/2)*(1-R47^2)/Q47*((W47-W46)+(1-2*R47)/(1-R47)*(X47-X46))*1000*Y47</f>
        <v/>
      </c>
      <c r="AA47" s="30">
        <f>IF(F47="Sand",0,0.009*(K47-10))</f>
        <v/>
      </c>
      <c r="AB47" s="30">
        <f>AA47*Input!$G$23</f>
        <v/>
      </c>
      <c r="AC47" s="26">
        <f>IF(F47="Sand",0,MAX(O47/Input!$G$24,J47))</f>
        <v/>
      </c>
      <c r="AD47" s="31">
        <f>IF(F47="Sand",0,1000*D47/(1+N47)*IF(J47+V47&lt;=AC47,AB47*LOG10((J47+V47)/J47),AB47*LOG10(AC47/J47)+AA47*LOG10((J47+V47)/AC47)))*Y47</f>
        <v/>
      </c>
      <c r="AE47" s="32">
        <f>IF(F47="Sand",0,10^(INDEX(Korelasi!$C$5:$C$11,MIN(MATCH(MIN(MAX(K47,30),120),Korelasi!$A$5:$A$11,1),6))+(MIN(MAX(K47,30),120)-INDEX(Korelasi!$A$5:$A$11,MIN(MATCH(MIN(MAX(K47,30),120),Korelasi!$A$5:$A$11,1),6)))/(INDEX(Korelasi!$A$5:$A$11,MIN(MATCH(MIN(MAX(K47,30),120),Korelasi!$A$5:$A$11,1),6)+1)-INDEX(Korelasi!$A$5:$A$11,MIN(MATCH(MIN(MAX(K47,30),120),Korelasi!$A$5:$A$11,1),6)))*(INDEX(Korelasi!$C$5:$C$11,MIN(MATCH(MIN(MAX(K47,30),120),Korelasi!$A$5:$A$11,1),6)+1)-INDEX(Korelasi!$C$5:$C$11,MIN(MATCH(MIN(MAX(K47,30),120),Korelasi!$A$5:$A$11,1),6)))))</f>
        <v/>
      </c>
      <c r="AF47" s="33">
        <f>IF(OR(F47="Sand",Y47=0),0,Input!$G$25*(D47/2)^2/(AE47*1E-4*31536000))</f>
        <v/>
      </c>
      <c r="AG47" s="13">
        <f>MAX(0,MIN(C47,Input!$G$15)-B47)</f>
        <v/>
      </c>
      <c r="AH47" s="13">
        <f>MAX(0,MIN(C47,Input!$G$15)-MAX(B47,$G$8))</f>
        <v/>
      </c>
      <c r="AI47" s="13">
        <f>MAX(0,MIN(C47,$G$106)-B47)</f>
        <v/>
      </c>
      <c r="AJ47" s="34" t="inlineStr">
        <is>
          <t>data salinan BH-02</t>
        </is>
      </c>
    </row>
    <row r="48">
      <c r="A48" s="20" t="n">
        <v>36</v>
      </c>
      <c r="B48" s="21" t="n">
        <v>52.5</v>
      </c>
      <c r="C48" s="21" t="n">
        <v>54</v>
      </c>
      <c r="D48" s="13">
        <f>C48-B48</f>
        <v/>
      </c>
      <c r="E48" s="13">
        <f>(B48+C48)/2</f>
        <v/>
      </c>
      <c r="F48" s="22" t="inlineStr">
        <is>
          <t>Sand</t>
        </is>
      </c>
      <c r="G48" s="23" t="n">
        <v>35</v>
      </c>
      <c r="H48" s="12">
        <f>IF(E48&gt;$G$5,$G$7,$G$6)</f>
        <v/>
      </c>
      <c r="I48" s="12">
        <f>I47+H48*D48</f>
        <v/>
      </c>
      <c r="J48" s="12">
        <f>I48-H48*D48/2-10*MAX(E48-$G$5,0)</f>
        <v/>
      </c>
      <c r="K48" s="24" t="n"/>
      <c r="L48" s="24" t="n"/>
      <c r="M48" s="12">
        <f>IF(K48="","",K48-L48)</f>
        <v/>
      </c>
      <c r="N48" s="25" t="n">
        <v>0.65</v>
      </c>
      <c r="O48" s="26">
        <f>IF(F48="Sand",0,Input!$G$19*G48)</f>
        <v/>
      </c>
      <c r="P48" s="12">
        <f>IF(F48="Sand",27.1+0.3*MIN(Input!$G$20*G48,60)-0.00054*MIN(Input!$G$20*G48,60)^2,MIN(MAX(DEGREES(ASIN(0.8-0.094*LN(MAX(IF(M48="",10,M48),5)))),20),30))</f>
        <v/>
      </c>
      <c r="Q48" s="27">
        <f>IF(F48="Sand",Input!$G$21*Input!$G$20*G48,Input!$G$22*O48)</f>
        <v/>
      </c>
      <c r="R48" s="13">
        <f>IF(F48="Sand",Input!$G$26,0.5)</f>
        <v/>
      </c>
      <c r="S48" s="13">
        <f>Input!$G$10/2/E48</f>
        <v/>
      </c>
      <c r="T48" s="13">
        <f>Input!$G$11/2/E48</f>
        <v/>
      </c>
      <c r="U48" s="28">
        <f>1/(4*PI())*(2*S48*T48*SQRT(S48^2+T48^2+1)/(S48^2+T48^2+1+S48^2*T48^2)*(S48^2+T48^2+2)/(S48^2+T48^2+1)+ATAN2(S48^2+T48^2+1-S48^2*T48^2,2*S48*T48*SQRT(S48^2+T48^2+1)))</f>
        <v/>
      </c>
      <c r="V48" s="12">
        <f>4*Input!$G$9*U48</f>
        <v/>
      </c>
      <c r="W48" s="29">
        <f>((Input!$G$11/Input!$G$10)*LN((1+SQRT((Input!$G$11/Input!$G$10)^2+1))*SQRT((Input!$G$11/Input!$G$10)^2+(C48/(Input!$G$10/2))^2)/((Input!$G$11/Input!$G$10)*(1+SQRT((Input!$G$11/Input!$G$10)^2+(C48/(Input!$G$10/2))^2+1))))+LN(((Input!$G$11/Input!$G$10)+SQRT((Input!$G$11/Input!$G$10)^2+1))*SQRT(1+(C48/(Input!$G$10/2))^2)/((Input!$G$11/Input!$G$10)+SQRT((Input!$G$11/Input!$G$10)^2+(C48/(Input!$G$10/2))^2+1))))/PI()</f>
        <v/>
      </c>
      <c r="X48" s="29">
        <f>(C48/(Input!$G$10/2))/(2*PI())*ATAN((Input!$G$11/Input!$G$10)/((C48/(Input!$G$10/2))*SQRT((Input!$G$11/Input!$G$10)^2+(C48/(Input!$G$10/2))^2+1)))</f>
        <v/>
      </c>
      <c r="Y48" s="13">
        <f>MAX(0,C48-MAX(B48,$G$8))/D48*IF(V48&gt;=Input!$G$27*J48,1,0)</f>
        <v/>
      </c>
      <c r="Z48" s="12">
        <f>4*Input!$G$9*(Input!$G$10/2)*(1-R48^2)/Q48*((W48-W47)+(1-2*R48)/(1-R48)*(X48-X47))*1000*Y48</f>
        <v/>
      </c>
      <c r="AA48" s="30">
        <f>IF(F48="Sand",0,0.009*(K48-10))</f>
        <v/>
      </c>
      <c r="AB48" s="30">
        <f>AA48*Input!$G$23</f>
        <v/>
      </c>
      <c r="AC48" s="26">
        <f>IF(F48="Sand",0,MAX(O48/Input!$G$24,J48))</f>
        <v/>
      </c>
      <c r="AD48" s="31">
        <f>IF(F48="Sand",0,1000*D48/(1+N48)*IF(J48+V48&lt;=AC48,AB48*LOG10((J48+V48)/J48),AB48*LOG10(AC48/J48)+AA48*LOG10((J48+V48)/AC48)))*Y48</f>
        <v/>
      </c>
      <c r="AE48" s="32">
        <f>IF(F48="Sand",0,10^(INDEX(Korelasi!$C$5:$C$11,MIN(MATCH(MIN(MAX(K48,30),120),Korelasi!$A$5:$A$11,1),6))+(MIN(MAX(K48,30),120)-INDEX(Korelasi!$A$5:$A$11,MIN(MATCH(MIN(MAX(K48,30),120),Korelasi!$A$5:$A$11,1),6)))/(INDEX(Korelasi!$A$5:$A$11,MIN(MATCH(MIN(MAX(K48,30),120),Korelasi!$A$5:$A$11,1),6)+1)-INDEX(Korelasi!$A$5:$A$11,MIN(MATCH(MIN(MAX(K48,30),120),Korelasi!$A$5:$A$11,1),6)))*(INDEX(Korelasi!$C$5:$C$11,MIN(MATCH(MIN(MAX(K48,30),120),Korelasi!$A$5:$A$11,1),6)+1)-INDEX(Korelasi!$C$5:$C$11,MIN(MATCH(MIN(MAX(K48,30),120),Korelasi!$A$5:$A$11,1),6)))))</f>
        <v/>
      </c>
      <c r="AF48" s="33">
        <f>IF(OR(F48="Sand",Y48=0),0,Input!$G$25*(D48/2)^2/(AE48*1E-4*31536000))</f>
        <v/>
      </c>
      <c r="AG48" s="13">
        <f>MAX(0,MIN(C48,Input!$G$15)-B48)</f>
        <v/>
      </c>
      <c r="AH48" s="13">
        <f>MAX(0,MIN(C48,Input!$G$15)-MAX(B48,$G$8))</f>
        <v/>
      </c>
      <c r="AI48" s="13">
        <f>MAX(0,MIN(C48,$G$106)-B48)</f>
        <v/>
      </c>
      <c r="AJ48" s="34" t="inlineStr">
        <is>
          <t>data salinan BH-02</t>
        </is>
      </c>
    </row>
    <row r="49">
      <c r="A49" s="20" t="n">
        <v>37</v>
      </c>
      <c r="B49" s="21" t="n">
        <v>54</v>
      </c>
      <c r="C49" s="21" t="n">
        <v>55.5</v>
      </c>
      <c r="D49" s="13">
        <f>C49-B49</f>
        <v/>
      </c>
      <c r="E49" s="13">
        <f>(B49+C49)/2</f>
        <v/>
      </c>
      <c r="F49" s="22" t="inlineStr">
        <is>
          <t>Sand</t>
        </is>
      </c>
      <c r="G49" s="23" t="n">
        <v>50</v>
      </c>
      <c r="H49" s="12">
        <f>IF(E49&gt;$G$5,$G$7,$G$6)</f>
        <v/>
      </c>
      <c r="I49" s="12">
        <f>I48+H49*D49</f>
        <v/>
      </c>
      <c r="J49" s="12">
        <f>I49-H49*D49/2-10*MAX(E49-$G$5,0)</f>
        <v/>
      </c>
      <c r="K49" s="24" t="n"/>
      <c r="L49" s="24" t="n"/>
      <c r="M49" s="12">
        <f>IF(K49="","",K49-L49)</f>
        <v/>
      </c>
      <c r="N49" s="25" t="n">
        <v>0.65</v>
      </c>
      <c r="O49" s="26">
        <f>IF(F49="Sand",0,Input!$G$19*G49)</f>
        <v/>
      </c>
      <c r="P49" s="12">
        <f>IF(F49="Sand",27.1+0.3*MIN(Input!$G$20*G49,60)-0.00054*MIN(Input!$G$20*G49,60)^2,MIN(MAX(DEGREES(ASIN(0.8-0.094*LN(MAX(IF(M49="",10,M49),5)))),20),30))</f>
        <v/>
      </c>
      <c r="Q49" s="27">
        <f>IF(F49="Sand",Input!$G$21*Input!$G$20*G49,Input!$G$22*O49)</f>
        <v/>
      </c>
      <c r="R49" s="13">
        <f>IF(F49="Sand",Input!$G$26,0.5)</f>
        <v/>
      </c>
      <c r="S49" s="13">
        <f>Input!$G$10/2/E49</f>
        <v/>
      </c>
      <c r="T49" s="13">
        <f>Input!$G$11/2/E49</f>
        <v/>
      </c>
      <c r="U49" s="28">
        <f>1/(4*PI())*(2*S49*T49*SQRT(S49^2+T49^2+1)/(S49^2+T49^2+1+S49^2*T49^2)*(S49^2+T49^2+2)/(S49^2+T49^2+1)+ATAN2(S49^2+T49^2+1-S49^2*T49^2,2*S49*T49*SQRT(S49^2+T49^2+1)))</f>
        <v/>
      </c>
      <c r="V49" s="12">
        <f>4*Input!$G$9*U49</f>
        <v/>
      </c>
      <c r="W49" s="29">
        <f>((Input!$G$11/Input!$G$10)*LN((1+SQRT((Input!$G$11/Input!$G$10)^2+1))*SQRT((Input!$G$11/Input!$G$10)^2+(C49/(Input!$G$10/2))^2)/((Input!$G$11/Input!$G$10)*(1+SQRT((Input!$G$11/Input!$G$10)^2+(C49/(Input!$G$10/2))^2+1))))+LN(((Input!$G$11/Input!$G$10)+SQRT((Input!$G$11/Input!$G$10)^2+1))*SQRT(1+(C49/(Input!$G$10/2))^2)/((Input!$G$11/Input!$G$10)+SQRT((Input!$G$11/Input!$G$10)^2+(C49/(Input!$G$10/2))^2+1))))/PI()</f>
        <v/>
      </c>
      <c r="X49" s="29">
        <f>(C49/(Input!$G$10/2))/(2*PI())*ATAN((Input!$G$11/Input!$G$10)/((C49/(Input!$G$10/2))*SQRT((Input!$G$11/Input!$G$10)^2+(C49/(Input!$G$10/2))^2+1)))</f>
        <v/>
      </c>
      <c r="Y49" s="13">
        <f>MAX(0,C49-MAX(B49,$G$8))/D49*IF(V49&gt;=Input!$G$27*J49,1,0)</f>
        <v/>
      </c>
      <c r="Z49" s="12">
        <f>4*Input!$G$9*(Input!$G$10/2)*(1-R49^2)/Q49*((W49-W48)+(1-2*R49)/(1-R49)*(X49-X48))*1000*Y49</f>
        <v/>
      </c>
      <c r="AA49" s="30">
        <f>IF(F49="Sand",0,0.009*(K49-10))</f>
        <v/>
      </c>
      <c r="AB49" s="30">
        <f>AA49*Input!$G$23</f>
        <v/>
      </c>
      <c r="AC49" s="26">
        <f>IF(F49="Sand",0,MAX(O49/Input!$G$24,J49))</f>
        <v/>
      </c>
      <c r="AD49" s="31">
        <f>IF(F49="Sand",0,1000*D49/(1+N49)*IF(J49+V49&lt;=AC49,AB49*LOG10((J49+V49)/J49),AB49*LOG10(AC49/J49)+AA49*LOG10((J49+V49)/AC49)))*Y49</f>
        <v/>
      </c>
      <c r="AE49" s="32">
        <f>IF(F49="Sand",0,10^(INDEX(Korelasi!$C$5:$C$11,MIN(MATCH(MIN(MAX(K49,30),120),Korelasi!$A$5:$A$11,1),6))+(MIN(MAX(K49,30),120)-INDEX(Korelasi!$A$5:$A$11,MIN(MATCH(MIN(MAX(K49,30),120),Korelasi!$A$5:$A$11,1),6)))/(INDEX(Korelasi!$A$5:$A$11,MIN(MATCH(MIN(MAX(K49,30),120),Korelasi!$A$5:$A$11,1),6)+1)-INDEX(Korelasi!$A$5:$A$11,MIN(MATCH(MIN(MAX(K49,30),120),Korelasi!$A$5:$A$11,1),6)))*(INDEX(Korelasi!$C$5:$C$11,MIN(MATCH(MIN(MAX(K49,30),120),Korelasi!$A$5:$A$11,1),6)+1)-INDEX(Korelasi!$C$5:$C$11,MIN(MATCH(MIN(MAX(K49,30),120),Korelasi!$A$5:$A$11,1),6)))))</f>
        <v/>
      </c>
      <c r="AF49" s="33">
        <f>IF(OR(F49="Sand",Y49=0),0,Input!$G$25*(D49/2)^2/(AE49*1E-4*31536000))</f>
        <v/>
      </c>
      <c r="AG49" s="13">
        <f>MAX(0,MIN(C49,Input!$G$15)-B49)</f>
        <v/>
      </c>
      <c r="AH49" s="13">
        <f>MAX(0,MIN(C49,Input!$G$15)-MAX(B49,$G$8))</f>
        <v/>
      </c>
      <c r="AI49" s="13">
        <f>MAX(0,MIN(C49,$G$106)-B49)</f>
        <v/>
      </c>
      <c r="AJ49" s="34" t="inlineStr">
        <is>
          <t>data salinan BH-02</t>
        </is>
      </c>
    </row>
    <row r="50">
      <c r="A50" s="20" t="n">
        <v>38</v>
      </c>
      <c r="B50" s="21" t="n">
        <v>55.5</v>
      </c>
      <c r="C50" s="21" t="n">
        <v>57</v>
      </c>
      <c r="D50" s="13">
        <f>C50-B50</f>
        <v/>
      </c>
      <c r="E50" s="13">
        <f>(B50+C50)/2</f>
        <v/>
      </c>
      <c r="F50" s="22" t="inlineStr">
        <is>
          <t>Sand</t>
        </is>
      </c>
      <c r="G50" s="23" t="n">
        <v>50</v>
      </c>
      <c r="H50" s="12">
        <f>IF(E50&gt;$G$5,$G$7,$G$6)</f>
        <v/>
      </c>
      <c r="I50" s="12">
        <f>I49+H50*D50</f>
        <v/>
      </c>
      <c r="J50" s="12">
        <f>I50-H50*D50/2-10*MAX(E50-$G$5,0)</f>
        <v/>
      </c>
      <c r="K50" s="24" t="n"/>
      <c r="L50" s="24" t="n"/>
      <c r="M50" s="12">
        <f>IF(K50="","",K50-L50)</f>
        <v/>
      </c>
      <c r="N50" s="25" t="n">
        <v>0.65</v>
      </c>
      <c r="O50" s="26">
        <f>IF(F50="Sand",0,Input!$G$19*G50)</f>
        <v/>
      </c>
      <c r="P50" s="12">
        <f>IF(F50="Sand",27.1+0.3*MIN(Input!$G$20*G50,60)-0.00054*MIN(Input!$G$20*G50,60)^2,MIN(MAX(DEGREES(ASIN(0.8-0.094*LN(MAX(IF(M50="",10,M50),5)))),20),30))</f>
        <v/>
      </c>
      <c r="Q50" s="27">
        <f>IF(F50="Sand",Input!$G$21*Input!$G$20*G50,Input!$G$22*O50)</f>
        <v/>
      </c>
      <c r="R50" s="13">
        <f>IF(F50="Sand",Input!$G$26,0.5)</f>
        <v/>
      </c>
      <c r="S50" s="13">
        <f>Input!$G$10/2/E50</f>
        <v/>
      </c>
      <c r="T50" s="13">
        <f>Input!$G$11/2/E50</f>
        <v/>
      </c>
      <c r="U50" s="28">
        <f>1/(4*PI())*(2*S50*T50*SQRT(S50^2+T50^2+1)/(S50^2+T50^2+1+S50^2*T50^2)*(S50^2+T50^2+2)/(S50^2+T50^2+1)+ATAN2(S50^2+T50^2+1-S50^2*T50^2,2*S50*T50*SQRT(S50^2+T50^2+1)))</f>
        <v/>
      </c>
      <c r="V50" s="12">
        <f>4*Input!$G$9*U50</f>
        <v/>
      </c>
      <c r="W50" s="29">
        <f>((Input!$G$11/Input!$G$10)*LN((1+SQRT((Input!$G$11/Input!$G$10)^2+1))*SQRT((Input!$G$11/Input!$G$10)^2+(C50/(Input!$G$10/2))^2)/((Input!$G$11/Input!$G$10)*(1+SQRT((Input!$G$11/Input!$G$10)^2+(C50/(Input!$G$10/2))^2+1))))+LN(((Input!$G$11/Input!$G$10)+SQRT((Input!$G$11/Input!$G$10)^2+1))*SQRT(1+(C50/(Input!$G$10/2))^2)/((Input!$G$11/Input!$G$10)+SQRT((Input!$G$11/Input!$G$10)^2+(C50/(Input!$G$10/2))^2+1))))/PI()</f>
        <v/>
      </c>
      <c r="X50" s="29">
        <f>(C50/(Input!$G$10/2))/(2*PI())*ATAN((Input!$G$11/Input!$G$10)/((C50/(Input!$G$10/2))*SQRT((Input!$G$11/Input!$G$10)^2+(C50/(Input!$G$10/2))^2+1)))</f>
        <v/>
      </c>
      <c r="Y50" s="13">
        <f>MAX(0,C50-MAX(B50,$G$8))/D50*IF(V50&gt;=Input!$G$27*J50,1,0)</f>
        <v/>
      </c>
      <c r="Z50" s="12">
        <f>4*Input!$G$9*(Input!$G$10/2)*(1-R50^2)/Q50*((W50-W49)+(1-2*R50)/(1-R50)*(X50-X49))*1000*Y50</f>
        <v/>
      </c>
      <c r="AA50" s="30">
        <f>IF(F50="Sand",0,0.009*(K50-10))</f>
        <v/>
      </c>
      <c r="AB50" s="30">
        <f>AA50*Input!$G$23</f>
        <v/>
      </c>
      <c r="AC50" s="26">
        <f>IF(F50="Sand",0,MAX(O50/Input!$G$24,J50))</f>
        <v/>
      </c>
      <c r="AD50" s="31">
        <f>IF(F50="Sand",0,1000*D50/(1+N50)*IF(J50+V50&lt;=AC50,AB50*LOG10((J50+V50)/J50),AB50*LOG10(AC50/J50)+AA50*LOG10((J50+V50)/AC50)))*Y50</f>
        <v/>
      </c>
      <c r="AE50" s="32">
        <f>IF(F50="Sand",0,10^(INDEX(Korelasi!$C$5:$C$11,MIN(MATCH(MIN(MAX(K50,30),120),Korelasi!$A$5:$A$11,1),6))+(MIN(MAX(K50,30),120)-INDEX(Korelasi!$A$5:$A$11,MIN(MATCH(MIN(MAX(K50,30),120),Korelasi!$A$5:$A$11,1),6)))/(INDEX(Korelasi!$A$5:$A$11,MIN(MATCH(MIN(MAX(K50,30),120),Korelasi!$A$5:$A$11,1),6)+1)-INDEX(Korelasi!$A$5:$A$11,MIN(MATCH(MIN(MAX(K50,30),120),Korelasi!$A$5:$A$11,1),6)))*(INDEX(Korelasi!$C$5:$C$11,MIN(MATCH(MIN(MAX(K50,30),120),Korelasi!$A$5:$A$11,1),6)+1)-INDEX(Korelasi!$C$5:$C$11,MIN(MATCH(MIN(MAX(K50,30),120),Korelasi!$A$5:$A$11,1),6)))))</f>
        <v/>
      </c>
      <c r="AF50" s="33">
        <f>IF(OR(F50="Sand",Y50=0),0,Input!$G$25*(D50/2)^2/(AE50*1E-4*31536000))</f>
        <v/>
      </c>
      <c r="AG50" s="13">
        <f>MAX(0,MIN(C50,Input!$G$15)-B50)</f>
        <v/>
      </c>
      <c r="AH50" s="13">
        <f>MAX(0,MIN(C50,Input!$G$15)-MAX(B50,$G$8))</f>
        <v/>
      </c>
      <c r="AI50" s="13">
        <f>MAX(0,MIN(C50,$G$106)-B50)</f>
        <v/>
      </c>
      <c r="AJ50" s="34" t="inlineStr">
        <is>
          <t>data salinan BH-02</t>
        </is>
      </c>
    </row>
    <row r="51">
      <c r="A51" s="20" t="n">
        <v>39</v>
      </c>
      <c r="B51" s="21" t="n">
        <v>57</v>
      </c>
      <c r="C51" s="21" t="n">
        <v>58.5</v>
      </c>
      <c r="D51" s="13">
        <f>C51-B51</f>
        <v/>
      </c>
      <c r="E51" s="13">
        <f>(B51+C51)/2</f>
        <v/>
      </c>
      <c r="F51" s="22" t="inlineStr">
        <is>
          <t>Sand</t>
        </is>
      </c>
      <c r="G51" s="23" t="n">
        <v>50</v>
      </c>
      <c r="H51" s="12">
        <f>IF(E51&gt;$G$5,$G$7,$G$6)</f>
        <v/>
      </c>
      <c r="I51" s="12">
        <f>I50+H51*D51</f>
        <v/>
      </c>
      <c r="J51" s="12">
        <f>I51-H51*D51/2-10*MAX(E51-$G$5,0)</f>
        <v/>
      </c>
      <c r="K51" s="24" t="n"/>
      <c r="L51" s="24" t="n"/>
      <c r="M51" s="12">
        <f>IF(K51="","",K51-L51)</f>
        <v/>
      </c>
      <c r="N51" s="25" t="n">
        <v>0.65</v>
      </c>
      <c r="O51" s="26">
        <f>IF(F51="Sand",0,Input!$G$19*G51)</f>
        <v/>
      </c>
      <c r="P51" s="12">
        <f>IF(F51="Sand",27.1+0.3*MIN(Input!$G$20*G51,60)-0.00054*MIN(Input!$G$20*G51,60)^2,MIN(MAX(DEGREES(ASIN(0.8-0.094*LN(MAX(IF(M51="",10,M51),5)))),20),30))</f>
        <v/>
      </c>
      <c r="Q51" s="27">
        <f>IF(F51="Sand",Input!$G$21*Input!$G$20*G51,Input!$G$22*O51)</f>
        <v/>
      </c>
      <c r="R51" s="13">
        <f>IF(F51="Sand",Input!$G$26,0.5)</f>
        <v/>
      </c>
      <c r="S51" s="13">
        <f>Input!$G$10/2/E51</f>
        <v/>
      </c>
      <c r="T51" s="13">
        <f>Input!$G$11/2/E51</f>
        <v/>
      </c>
      <c r="U51" s="28">
        <f>1/(4*PI())*(2*S51*T51*SQRT(S51^2+T51^2+1)/(S51^2+T51^2+1+S51^2*T51^2)*(S51^2+T51^2+2)/(S51^2+T51^2+1)+ATAN2(S51^2+T51^2+1-S51^2*T51^2,2*S51*T51*SQRT(S51^2+T51^2+1)))</f>
        <v/>
      </c>
      <c r="V51" s="12">
        <f>4*Input!$G$9*U51</f>
        <v/>
      </c>
      <c r="W51" s="29">
        <f>((Input!$G$11/Input!$G$10)*LN((1+SQRT((Input!$G$11/Input!$G$10)^2+1))*SQRT((Input!$G$11/Input!$G$10)^2+(C51/(Input!$G$10/2))^2)/((Input!$G$11/Input!$G$10)*(1+SQRT((Input!$G$11/Input!$G$10)^2+(C51/(Input!$G$10/2))^2+1))))+LN(((Input!$G$11/Input!$G$10)+SQRT((Input!$G$11/Input!$G$10)^2+1))*SQRT(1+(C51/(Input!$G$10/2))^2)/((Input!$G$11/Input!$G$10)+SQRT((Input!$G$11/Input!$G$10)^2+(C51/(Input!$G$10/2))^2+1))))/PI()</f>
        <v/>
      </c>
      <c r="X51" s="29">
        <f>(C51/(Input!$G$10/2))/(2*PI())*ATAN((Input!$G$11/Input!$G$10)/((C51/(Input!$G$10/2))*SQRT((Input!$G$11/Input!$G$10)^2+(C51/(Input!$G$10/2))^2+1)))</f>
        <v/>
      </c>
      <c r="Y51" s="13">
        <f>MAX(0,C51-MAX(B51,$G$8))/D51*IF(V51&gt;=Input!$G$27*J51,1,0)</f>
        <v/>
      </c>
      <c r="Z51" s="12">
        <f>4*Input!$G$9*(Input!$G$10/2)*(1-R51^2)/Q51*((W51-W50)+(1-2*R51)/(1-R51)*(X51-X50))*1000*Y51</f>
        <v/>
      </c>
      <c r="AA51" s="30">
        <f>IF(F51="Sand",0,0.009*(K51-10))</f>
        <v/>
      </c>
      <c r="AB51" s="30">
        <f>AA51*Input!$G$23</f>
        <v/>
      </c>
      <c r="AC51" s="26">
        <f>IF(F51="Sand",0,MAX(O51/Input!$G$24,J51))</f>
        <v/>
      </c>
      <c r="AD51" s="31">
        <f>IF(F51="Sand",0,1000*D51/(1+N51)*IF(J51+V51&lt;=AC51,AB51*LOG10((J51+V51)/J51),AB51*LOG10(AC51/J51)+AA51*LOG10((J51+V51)/AC51)))*Y51</f>
        <v/>
      </c>
      <c r="AE51" s="32">
        <f>IF(F51="Sand",0,10^(INDEX(Korelasi!$C$5:$C$11,MIN(MATCH(MIN(MAX(K51,30),120),Korelasi!$A$5:$A$11,1),6))+(MIN(MAX(K51,30),120)-INDEX(Korelasi!$A$5:$A$11,MIN(MATCH(MIN(MAX(K51,30),120),Korelasi!$A$5:$A$11,1),6)))/(INDEX(Korelasi!$A$5:$A$11,MIN(MATCH(MIN(MAX(K51,30),120),Korelasi!$A$5:$A$11,1),6)+1)-INDEX(Korelasi!$A$5:$A$11,MIN(MATCH(MIN(MAX(K51,30),120),Korelasi!$A$5:$A$11,1),6)))*(INDEX(Korelasi!$C$5:$C$11,MIN(MATCH(MIN(MAX(K51,30),120),Korelasi!$A$5:$A$11,1),6)+1)-INDEX(Korelasi!$C$5:$C$11,MIN(MATCH(MIN(MAX(K51,30),120),Korelasi!$A$5:$A$11,1),6)))))</f>
        <v/>
      </c>
      <c r="AF51" s="33">
        <f>IF(OR(F51="Sand",Y51=0),0,Input!$G$25*(D51/2)^2/(AE51*1E-4*31536000))</f>
        <v/>
      </c>
      <c r="AG51" s="13">
        <f>MAX(0,MIN(C51,Input!$G$15)-B51)</f>
        <v/>
      </c>
      <c r="AH51" s="13">
        <f>MAX(0,MIN(C51,Input!$G$15)-MAX(B51,$G$8))</f>
        <v/>
      </c>
      <c r="AI51" s="13">
        <f>MAX(0,MIN(C51,$G$106)-B51)</f>
        <v/>
      </c>
      <c r="AJ51" s="34" t="inlineStr">
        <is>
          <t>data salinan BH-02</t>
        </is>
      </c>
    </row>
    <row r="52">
      <c r="A52" s="20" t="n">
        <v>40</v>
      </c>
      <c r="B52" s="21" t="n">
        <v>58.5</v>
      </c>
      <c r="C52" s="21" t="n">
        <v>59.5</v>
      </c>
      <c r="D52" s="13">
        <f>C52-B52</f>
        <v/>
      </c>
      <c r="E52" s="13">
        <f>(B52+C52)/2</f>
        <v/>
      </c>
      <c r="F52" s="22" t="inlineStr">
        <is>
          <t>Sand</t>
        </is>
      </c>
      <c r="G52" s="23" t="n">
        <v>29</v>
      </c>
      <c r="H52" s="12">
        <f>IF(E52&gt;$G$5,$G$7,$G$6)</f>
        <v/>
      </c>
      <c r="I52" s="12">
        <f>I51+H52*D52</f>
        <v/>
      </c>
      <c r="J52" s="12">
        <f>I52-H52*D52/2-10*MAX(E52-$G$5,0)</f>
        <v/>
      </c>
      <c r="K52" s="24" t="n"/>
      <c r="L52" s="24" t="n"/>
      <c r="M52" s="12">
        <f>IF(K52="","",K52-L52)</f>
        <v/>
      </c>
      <c r="N52" s="25" t="n">
        <v>0.65</v>
      </c>
      <c r="O52" s="26">
        <f>IF(F52="Sand",0,Input!$G$19*G52)</f>
        <v/>
      </c>
      <c r="P52" s="12">
        <f>IF(F52="Sand",27.1+0.3*MIN(Input!$G$20*G52,60)-0.00054*MIN(Input!$G$20*G52,60)^2,MIN(MAX(DEGREES(ASIN(0.8-0.094*LN(MAX(IF(M52="",10,M52),5)))),20),30))</f>
        <v/>
      </c>
      <c r="Q52" s="27">
        <f>IF(F52="Sand",Input!$G$21*Input!$G$20*G52,Input!$G$22*O52)</f>
        <v/>
      </c>
      <c r="R52" s="13">
        <f>IF(F52="Sand",Input!$G$26,0.5)</f>
        <v/>
      </c>
      <c r="S52" s="13">
        <f>Input!$G$10/2/E52</f>
        <v/>
      </c>
      <c r="T52" s="13">
        <f>Input!$G$11/2/E52</f>
        <v/>
      </c>
      <c r="U52" s="28">
        <f>1/(4*PI())*(2*S52*T52*SQRT(S52^2+T52^2+1)/(S52^2+T52^2+1+S52^2*T52^2)*(S52^2+T52^2+2)/(S52^2+T52^2+1)+ATAN2(S52^2+T52^2+1-S52^2*T52^2,2*S52*T52*SQRT(S52^2+T52^2+1)))</f>
        <v/>
      </c>
      <c r="V52" s="12">
        <f>4*Input!$G$9*U52</f>
        <v/>
      </c>
      <c r="W52" s="29">
        <f>((Input!$G$11/Input!$G$10)*LN((1+SQRT((Input!$G$11/Input!$G$10)^2+1))*SQRT((Input!$G$11/Input!$G$10)^2+(C52/(Input!$G$10/2))^2)/((Input!$G$11/Input!$G$10)*(1+SQRT((Input!$G$11/Input!$G$10)^2+(C52/(Input!$G$10/2))^2+1))))+LN(((Input!$G$11/Input!$G$10)+SQRT((Input!$G$11/Input!$G$10)^2+1))*SQRT(1+(C52/(Input!$G$10/2))^2)/((Input!$G$11/Input!$G$10)+SQRT((Input!$G$11/Input!$G$10)^2+(C52/(Input!$G$10/2))^2+1))))/PI()</f>
        <v/>
      </c>
      <c r="X52" s="29">
        <f>(C52/(Input!$G$10/2))/(2*PI())*ATAN((Input!$G$11/Input!$G$10)/((C52/(Input!$G$10/2))*SQRT((Input!$G$11/Input!$G$10)^2+(C52/(Input!$G$10/2))^2+1)))</f>
        <v/>
      </c>
      <c r="Y52" s="13">
        <f>MAX(0,C52-MAX(B52,$G$8))/D52*IF(V52&gt;=Input!$G$27*J52,1,0)</f>
        <v/>
      </c>
      <c r="Z52" s="12">
        <f>4*Input!$G$9*(Input!$G$10/2)*(1-R52^2)/Q52*((W52-W51)+(1-2*R52)/(1-R52)*(X52-X51))*1000*Y52</f>
        <v/>
      </c>
      <c r="AA52" s="30">
        <f>IF(F52="Sand",0,0.009*(K52-10))</f>
        <v/>
      </c>
      <c r="AB52" s="30">
        <f>AA52*Input!$G$23</f>
        <v/>
      </c>
      <c r="AC52" s="26">
        <f>IF(F52="Sand",0,MAX(O52/Input!$G$24,J52))</f>
        <v/>
      </c>
      <c r="AD52" s="31">
        <f>IF(F52="Sand",0,1000*D52/(1+N52)*IF(J52+V52&lt;=AC52,AB52*LOG10((J52+V52)/J52),AB52*LOG10(AC52/J52)+AA52*LOG10((J52+V52)/AC52)))*Y52</f>
        <v/>
      </c>
      <c r="AE52" s="32">
        <f>IF(F52="Sand",0,10^(INDEX(Korelasi!$C$5:$C$11,MIN(MATCH(MIN(MAX(K52,30),120),Korelasi!$A$5:$A$11,1),6))+(MIN(MAX(K52,30),120)-INDEX(Korelasi!$A$5:$A$11,MIN(MATCH(MIN(MAX(K52,30),120),Korelasi!$A$5:$A$11,1),6)))/(INDEX(Korelasi!$A$5:$A$11,MIN(MATCH(MIN(MAX(K52,30),120),Korelasi!$A$5:$A$11,1),6)+1)-INDEX(Korelasi!$A$5:$A$11,MIN(MATCH(MIN(MAX(K52,30),120),Korelasi!$A$5:$A$11,1),6)))*(INDEX(Korelasi!$C$5:$C$11,MIN(MATCH(MIN(MAX(K52,30),120),Korelasi!$A$5:$A$11,1),6)+1)-INDEX(Korelasi!$C$5:$C$11,MIN(MATCH(MIN(MAX(K52,30),120),Korelasi!$A$5:$A$11,1),6)))))</f>
        <v/>
      </c>
      <c r="AF52" s="33">
        <f>IF(OR(F52="Sand",Y52=0),0,Input!$G$25*(D52/2)^2/(AE52*1E-4*31536000))</f>
        <v/>
      </c>
      <c r="AG52" s="13">
        <f>MAX(0,MIN(C52,Input!$G$15)-B52)</f>
        <v/>
      </c>
      <c r="AH52" s="13">
        <f>MAX(0,MIN(C52,Input!$G$15)-MAX(B52,$G$8))</f>
        <v/>
      </c>
      <c r="AI52" s="13">
        <f>MAX(0,MIN(C52,$G$106)-B52)</f>
        <v/>
      </c>
      <c r="AJ52" s="34" t="inlineStr">
        <is>
          <t>data salinan BH-02</t>
        </is>
      </c>
    </row>
    <row r="53">
      <c r="A53" s="20" t="n">
        <v>41</v>
      </c>
      <c r="B53" s="21" t="n">
        <v>59.5</v>
      </c>
      <c r="C53" s="21" t="n">
        <v>60</v>
      </c>
      <c r="D53" s="13">
        <f>C53-B53</f>
        <v/>
      </c>
      <c r="E53" s="13">
        <f>(B53+C53)/2</f>
        <v/>
      </c>
      <c r="F53" s="22" t="inlineStr">
        <is>
          <t>Sand</t>
        </is>
      </c>
      <c r="G53" s="23" t="n">
        <v>44</v>
      </c>
      <c r="H53" s="12">
        <f>IF(E53&gt;$G$5,$G$7,$G$6)</f>
        <v/>
      </c>
      <c r="I53" s="12">
        <f>I52+H53*D53</f>
        <v/>
      </c>
      <c r="J53" s="12">
        <f>I53-H53*D53/2-10*MAX(E53-$G$5,0)</f>
        <v/>
      </c>
      <c r="K53" s="24" t="n"/>
      <c r="L53" s="24" t="n"/>
      <c r="M53" s="12">
        <f>IF(K53="","",K53-L53)</f>
        <v/>
      </c>
      <c r="N53" s="25" t="n">
        <v>0.65</v>
      </c>
      <c r="O53" s="26">
        <f>IF(F53="Sand",0,Input!$G$19*G53)</f>
        <v/>
      </c>
      <c r="P53" s="12">
        <f>IF(F53="Sand",27.1+0.3*MIN(Input!$G$20*G53,60)-0.00054*MIN(Input!$G$20*G53,60)^2,MIN(MAX(DEGREES(ASIN(0.8-0.094*LN(MAX(IF(M53="",10,M53),5)))),20),30))</f>
        <v/>
      </c>
      <c r="Q53" s="27">
        <f>IF(F53="Sand",Input!$G$21*Input!$G$20*G53,Input!$G$22*O53)</f>
        <v/>
      </c>
      <c r="R53" s="13">
        <f>IF(F53="Sand",Input!$G$26,0.5)</f>
        <v/>
      </c>
      <c r="S53" s="13">
        <f>Input!$G$10/2/E53</f>
        <v/>
      </c>
      <c r="T53" s="13">
        <f>Input!$G$11/2/E53</f>
        <v/>
      </c>
      <c r="U53" s="28">
        <f>1/(4*PI())*(2*S53*T53*SQRT(S53^2+T53^2+1)/(S53^2+T53^2+1+S53^2*T53^2)*(S53^2+T53^2+2)/(S53^2+T53^2+1)+ATAN2(S53^2+T53^2+1-S53^2*T53^2,2*S53*T53*SQRT(S53^2+T53^2+1)))</f>
        <v/>
      </c>
      <c r="V53" s="12">
        <f>4*Input!$G$9*U53</f>
        <v/>
      </c>
      <c r="W53" s="29">
        <f>((Input!$G$11/Input!$G$10)*LN((1+SQRT((Input!$G$11/Input!$G$10)^2+1))*SQRT((Input!$G$11/Input!$G$10)^2+(C53/(Input!$G$10/2))^2)/((Input!$G$11/Input!$G$10)*(1+SQRT((Input!$G$11/Input!$G$10)^2+(C53/(Input!$G$10/2))^2+1))))+LN(((Input!$G$11/Input!$G$10)+SQRT((Input!$G$11/Input!$G$10)^2+1))*SQRT(1+(C53/(Input!$G$10/2))^2)/((Input!$G$11/Input!$G$10)+SQRT((Input!$G$11/Input!$G$10)^2+(C53/(Input!$G$10/2))^2+1))))/PI()</f>
        <v/>
      </c>
      <c r="X53" s="29">
        <f>(C53/(Input!$G$10/2))/(2*PI())*ATAN((Input!$G$11/Input!$G$10)/((C53/(Input!$G$10/2))*SQRT((Input!$G$11/Input!$G$10)^2+(C53/(Input!$G$10/2))^2+1)))</f>
        <v/>
      </c>
      <c r="Y53" s="13">
        <f>MAX(0,C53-MAX(B53,$G$8))/D53*IF(V53&gt;=Input!$G$27*J53,1,0)</f>
        <v/>
      </c>
      <c r="Z53" s="12">
        <f>4*Input!$G$9*(Input!$G$10/2)*(1-R53^2)/Q53*((W53-W52)+(1-2*R53)/(1-R53)*(X53-X52))*1000*Y53</f>
        <v/>
      </c>
      <c r="AA53" s="30">
        <f>IF(F53="Sand",0,0.009*(K53-10))</f>
        <v/>
      </c>
      <c r="AB53" s="30">
        <f>AA53*Input!$G$23</f>
        <v/>
      </c>
      <c r="AC53" s="26">
        <f>IF(F53="Sand",0,MAX(O53/Input!$G$24,J53))</f>
        <v/>
      </c>
      <c r="AD53" s="31">
        <f>IF(F53="Sand",0,1000*D53/(1+N53)*IF(J53+V53&lt;=AC53,AB53*LOG10((J53+V53)/J53),AB53*LOG10(AC53/J53)+AA53*LOG10((J53+V53)/AC53)))*Y53</f>
        <v/>
      </c>
      <c r="AE53" s="32">
        <f>IF(F53="Sand",0,10^(INDEX(Korelasi!$C$5:$C$11,MIN(MATCH(MIN(MAX(K53,30),120),Korelasi!$A$5:$A$11,1),6))+(MIN(MAX(K53,30),120)-INDEX(Korelasi!$A$5:$A$11,MIN(MATCH(MIN(MAX(K53,30),120),Korelasi!$A$5:$A$11,1),6)))/(INDEX(Korelasi!$A$5:$A$11,MIN(MATCH(MIN(MAX(K53,30),120),Korelasi!$A$5:$A$11,1),6)+1)-INDEX(Korelasi!$A$5:$A$11,MIN(MATCH(MIN(MAX(K53,30),120),Korelasi!$A$5:$A$11,1),6)))*(INDEX(Korelasi!$C$5:$C$11,MIN(MATCH(MIN(MAX(K53,30),120),Korelasi!$A$5:$A$11,1),6)+1)-INDEX(Korelasi!$C$5:$C$11,MIN(MATCH(MIN(MAX(K53,30),120),Korelasi!$A$5:$A$11,1),6)))))</f>
        <v/>
      </c>
      <c r="AF53" s="33">
        <f>IF(OR(F53="Sand",Y53=0),0,Input!$G$25*(D53/2)^2/(AE53*1E-4*31536000))</f>
        <v/>
      </c>
      <c r="AG53" s="13">
        <f>MAX(0,MIN(C53,Input!$G$15)-B53)</f>
        <v/>
      </c>
      <c r="AH53" s="13">
        <f>MAX(0,MIN(C53,Input!$G$15)-MAX(B53,$G$8))</f>
        <v/>
      </c>
      <c r="AI53" s="13">
        <f>MAX(0,MIN(C53,$G$106)-B53)</f>
        <v/>
      </c>
      <c r="AJ53" s="34" t="inlineStr">
        <is>
          <t>data salinan BH-02</t>
        </is>
      </c>
    </row>
    <row r="54">
      <c r="A54" s="2" t="inlineStr">
        <is>
          <t>Sel kuning = data (SPT, lab, laporan). Jenis: Sand / Silt / Clay. Sublapisan di bawah kedalaman bor memakai data borehole terdekat (lihat Ket.).</t>
        </is>
      </c>
    </row>
    <row r="56">
      <c r="A56" s="3" t="inlineStr">
        <is>
          <t>3. DAYA DUKUNG TANAH DASAR (Terzaghi/Vesic, SNI 8460:2017)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</row>
    <row r="57">
      <c r="A57" s="2" t="inlineStr">
        <is>
          <t>Kondisi undrained (jangka pendek) dihitung bila ada lanau/lempung dalam 0 - Hb; kondisi drained (jangka panjang) selalu dihitung; daya dukung = nilai terkecil. Tanah 0 - Dr yang diganti dianggap material granular (Input bagian D).</t>
        </is>
      </c>
    </row>
    <row r="58">
      <c r="A58" s="15" t="inlineStr">
        <is>
          <t>a) TANPA PERBAIKAN</t>
        </is>
      </c>
    </row>
    <row r="59">
      <c r="A59" s="5" t="inlineStr">
        <is>
          <t>Tebal lanau/lempung asli dalam 0 - Hb</t>
        </is>
      </c>
      <c r="F59" s="6" t="inlineStr">
        <is>
          <t>Σh</t>
        </is>
      </c>
      <c r="G59" s="35">
        <f>SUMPRODUCT(--(F13:F53&lt;&gt;"Sand"),AG13:AG53)</f>
        <v/>
      </c>
      <c r="H59" s="5" t="inlineStr">
        <is>
          <t>m</t>
        </is>
      </c>
      <c r="I59" s="2" t="inlineStr"/>
    </row>
    <row r="60">
      <c r="A60" s="5" t="inlineStr">
        <is>
          <t>cu rata-rata lanau/lempung (0 - Hb)</t>
        </is>
      </c>
      <c r="F60" s="6" t="inlineStr">
        <is>
          <t>cu</t>
        </is>
      </c>
      <c r="G60" s="35">
        <f>IF($G$59=0,0,SUMPRODUCT(--(F13:F53&lt;&gt;"Sand"),AG13:AG53,O13:O53)/$G$59)</f>
        <v/>
      </c>
      <c r="H60" s="5" t="inlineStr">
        <is>
          <t>kPa</t>
        </is>
      </c>
      <c r="I60" s="2" t="inlineStr">
        <is>
          <t>cu = k·N</t>
        </is>
      </c>
    </row>
    <row r="61">
      <c r="A61" s="5" t="inlineStr">
        <is>
          <t>φ' rata-rata (0 - Hb)</t>
        </is>
      </c>
      <c r="F61" s="6" t="inlineStr">
        <is>
          <t>φ'</t>
        </is>
      </c>
      <c r="G61" s="35">
        <f>(SUMPRODUCT(AG13:AG53,P13:P53)+MIN(0,Input!$G$15)*Input!$G$31)/Input!$G$15</f>
        <v/>
      </c>
      <c r="H61" s="5" t="inlineStr">
        <is>
          <t>°</t>
        </is>
      </c>
      <c r="I61" s="2" t="inlineStr">
        <is>
          <t>lapisan diganti memakai φ' material pengganti</t>
        </is>
      </c>
    </row>
    <row r="62">
      <c r="A62" s="5" t="inlineStr">
        <is>
          <t>Berat isi efektif rata-rata (0 - Hb)</t>
        </is>
      </c>
      <c r="F62" s="6" t="inlineStr">
        <is>
          <t>γ'</t>
        </is>
      </c>
      <c r="G62" s="35">
        <f>(SUMPRODUCT(AG13:AG53,H13:H53)+MIN(0,Input!$G$15)*Input!$G$30)/Input!$G$15-10*MAX(0,Input!$G$15-$G$5)/Input!$G$15</f>
        <v/>
      </c>
      <c r="H62" s="5" t="inlineStr">
        <is>
          <t>kN/m³</t>
        </is>
      </c>
      <c r="I62" s="2" t="inlineStr"/>
    </row>
    <row r="63">
      <c r="A63" s="5" t="inlineStr">
        <is>
          <t>Undrained: faktor bentuk (Nc = 5,14)</t>
        </is>
      </c>
      <c r="F63" s="6" t="inlineStr">
        <is>
          <t>sc</t>
        </is>
      </c>
      <c r="G63" s="35">
        <f>1+0.2*Input!$G$10/Input!$G$11</f>
        <v/>
      </c>
      <c r="H63" s="5" t="inlineStr">
        <is>
          <t>-</t>
        </is>
      </c>
      <c r="I63" s="2" t="inlineStr"/>
    </row>
    <row r="64">
      <c r="A64" s="5" t="inlineStr">
        <is>
          <t>qu undrained = cu·Nc·sc</t>
        </is>
      </c>
      <c r="F64" s="6" t="inlineStr">
        <is>
          <t>qu,u</t>
        </is>
      </c>
      <c r="G64" s="36">
        <f>IF($G$59=0,"-",$G$60*5.14*$G$63)</f>
        <v/>
      </c>
      <c r="H64" s="5" t="inlineStr">
        <is>
          <t>kPa</t>
        </is>
      </c>
      <c r="I64" s="2" t="inlineStr">
        <is>
          <t>tidak berlaku bila tidak ada lanau/lempung</t>
        </is>
      </c>
    </row>
    <row r="65">
      <c r="A65" s="5" t="inlineStr">
        <is>
          <t>Drained: Nq = e^(π tanφ)·tan²(45+φ/2)</t>
        </is>
      </c>
      <c r="F65" s="6" t="inlineStr">
        <is>
          <t>Nq</t>
        </is>
      </c>
      <c r="G65" s="35">
        <f>EXP(PI()*TAN(RADIANS($G$61)))*TAN(RADIANS(45+$G$61/2))^2</f>
        <v/>
      </c>
      <c r="H65" s="5" t="inlineStr">
        <is>
          <t>-</t>
        </is>
      </c>
      <c r="I65" s="2" t="inlineStr"/>
    </row>
    <row r="66">
      <c r="A66" s="5" t="inlineStr">
        <is>
          <t>Nγ = 2(Nq+1)tanφ (Vesic 1975)</t>
        </is>
      </c>
      <c r="F66" s="6" t="inlineStr">
        <is>
          <t>Nγ</t>
        </is>
      </c>
      <c r="G66" s="35">
        <f>2*($G$65+1)*TAN(RADIANS($G$61))</f>
        <v/>
      </c>
      <c r="H66" s="5" t="inlineStr">
        <is>
          <t>-</t>
        </is>
      </c>
      <c r="I66" s="2" t="inlineStr"/>
    </row>
    <row r="67">
      <c r="A67" s="5" t="inlineStr">
        <is>
          <t>sγ = 1 - 0,4B/L ;  rγ = 1 - 0,25log(B/2) (Bowles 1996)</t>
        </is>
      </c>
      <c r="F67" s="6" t="inlineStr">
        <is>
          <t>sγ·rγ</t>
        </is>
      </c>
      <c r="G67" s="35">
        <f>(1-0.4*Input!$G$10/Input!$G$11)*IF(Input!$G$10&gt;2,1-0.25*LOG10(Input!$G$10/2),1)</f>
        <v/>
      </c>
      <c r="H67" s="5" t="inlineStr">
        <is>
          <t>-</t>
        </is>
      </c>
      <c r="I67" s="2" t="inlineStr"/>
    </row>
    <row r="68">
      <c r="A68" s="5" t="inlineStr">
        <is>
          <t>qu drained = 0,5·γ'·B·Nγ·sγ·rγ   (c' = 0, q = 0)</t>
        </is>
      </c>
      <c r="F68" s="6" t="inlineStr">
        <is>
          <t>qu,d</t>
        </is>
      </c>
      <c r="G68" s="36">
        <f>0.5*$G$62*Input!$G$10*$G$66*$G$67</f>
        <v/>
      </c>
      <c r="H68" s="5" t="inlineStr">
        <is>
          <t>kPa</t>
        </is>
      </c>
      <c r="I68" s="2" t="inlineStr"/>
    </row>
    <row r="69">
      <c r="A69" s="5" t="inlineStr">
        <is>
          <t>Daya dukung ultimit menentukan</t>
        </is>
      </c>
      <c r="F69" s="6" t="inlineStr">
        <is>
          <t>qu</t>
        </is>
      </c>
      <c r="G69" s="37">
        <f>IF($G$59=0,$G$68,MIN($G$64,$G$68))</f>
        <v/>
      </c>
      <c r="H69" s="5" t="inlineStr">
        <is>
          <t>kPa</t>
        </is>
      </c>
      <c r="I69" s="2" t="inlineStr"/>
    </row>
    <row r="70">
      <c r="A70" s="5" t="inlineStr">
        <is>
          <t>Daya dukung izin = qu / SF</t>
        </is>
      </c>
      <c r="F70" s="6" t="inlineStr">
        <is>
          <t>qall</t>
        </is>
      </c>
      <c r="G70" s="37">
        <f>$G$69/Input!$G$14</f>
        <v/>
      </c>
      <c r="H70" s="5" t="inlineStr">
        <is>
          <t>kPa</t>
        </is>
      </c>
      <c r="I70" s="2" t="inlineStr"/>
    </row>
    <row r="71">
      <c r="A71" s="5" t="inlineStr">
        <is>
          <t>Tekanan kerja (timbunan + beban merata)</t>
        </is>
      </c>
      <c r="F71" s="6" t="inlineStr">
        <is>
          <t>q</t>
        </is>
      </c>
      <c r="G71" s="36">
        <f>Input!$G$9</f>
        <v/>
      </c>
      <c r="H71" s="5" t="inlineStr">
        <is>
          <t>kPa</t>
        </is>
      </c>
      <c r="I71" s="2" t="inlineStr"/>
    </row>
    <row r="72">
      <c r="A72" s="5" t="inlineStr">
        <is>
          <t>Kontrol daya dukung</t>
        </is>
      </c>
      <c r="F72" s="6" t="inlineStr"/>
      <c r="G72" s="38">
        <f>IF($G$70&gt;=Input!$G$9,"qall ≥ q … OK","qall &lt; q … NG")</f>
        <v/>
      </c>
      <c r="H72" s="5" t="inlineStr"/>
      <c r="I72" s="2" t="inlineStr"/>
    </row>
    <row r="73">
      <c r="A73" s="5" t="inlineStr">
        <is>
          <t>Faktor keamanan aktual = qu / q</t>
        </is>
      </c>
      <c r="F73" s="6" t="inlineStr">
        <is>
          <t>FS</t>
        </is>
      </c>
      <c r="G73" s="35">
        <f>$G$69/Input!$G$9</f>
        <v/>
      </c>
      <c r="H73" s="5" t="inlineStr">
        <is>
          <t>-</t>
        </is>
      </c>
      <c r="I73" s="2" t="inlineStr"/>
    </row>
    <row r="74">
      <c r="A74" s="5" t="inlineStr">
        <is>
          <t>Tinggi timbunan izin (dengan beban merata)</t>
        </is>
      </c>
      <c r="F74" s="6" t="inlineStr">
        <is>
          <t>H izin</t>
        </is>
      </c>
      <c r="G74" s="35">
        <f>MAX(0,($G$70-Input!$G$8)/Input!$G$7)</f>
        <v/>
      </c>
      <c r="H74" s="5" t="inlineStr">
        <is>
          <t>m</t>
        </is>
      </c>
      <c r="I74" s="2" t="inlineStr">
        <is>
          <t>H izin = (qall - qs)/γf</t>
        </is>
      </c>
    </row>
    <row r="76">
      <c r="A76" s="15" t="inlineStr">
        <is>
          <t>b) DENGAN PENGGANTIAN TANAH 0 - Dr (kondisi desain)</t>
        </is>
      </c>
    </row>
    <row r="77">
      <c r="A77" s="5" t="inlineStr">
        <is>
          <t>Tebal lanau/lempung asli dalam 0 - Hb</t>
        </is>
      </c>
      <c r="F77" s="6" t="inlineStr">
        <is>
          <t>Σh</t>
        </is>
      </c>
      <c r="G77" s="35">
        <f>SUMPRODUCT(--(F13:F53&lt;&gt;"Sand"),AH13:AH53)</f>
        <v/>
      </c>
      <c r="H77" s="5" t="inlineStr">
        <is>
          <t>m</t>
        </is>
      </c>
      <c r="I77" s="2" t="inlineStr"/>
    </row>
    <row r="78">
      <c r="A78" s="5" t="inlineStr">
        <is>
          <t>cu rata-rata lanau/lempung (0 - Hb)</t>
        </is>
      </c>
      <c r="F78" s="6" t="inlineStr">
        <is>
          <t>cu</t>
        </is>
      </c>
      <c r="G78" s="35">
        <f>IF($G$77=0,0,SUMPRODUCT(--(F13:F53&lt;&gt;"Sand"),AH13:AH53,O13:O53)/$G$77)</f>
        <v/>
      </c>
      <c r="H78" s="5" t="inlineStr">
        <is>
          <t>kPa</t>
        </is>
      </c>
      <c r="I78" s="2" t="inlineStr">
        <is>
          <t>cu = k·N</t>
        </is>
      </c>
    </row>
    <row r="79">
      <c r="A79" s="5" t="inlineStr">
        <is>
          <t>φ' rata-rata (0 - Hb)</t>
        </is>
      </c>
      <c r="F79" s="6" t="inlineStr">
        <is>
          <t>φ'</t>
        </is>
      </c>
      <c r="G79" s="35">
        <f>(SUMPRODUCT(AH13:AH53,P13:P53)+MIN($G$8,Input!$G$15)*Input!$G$31)/Input!$G$15</f>
        <v/>
      </c>
      <c r="H79" s="5" t="inlineStr">
        <is>
          <t>°</t>
        </is>
      </c>
      <c r="I79" s="2" t="inlineStr">
        <is>
          <t>lapisan diganti memakai φ' material pengganti</t>
        </is>
      </c>
    </row>
    <row r="80">
      <c r="A80" s="5" t="inlineStr">
        <is>
          <t>Berat isi efektif rata-rata (0 - Hb)</t>
        </is>
      </c>
      <c r="F80" s="6" t="inlineStr">
        <is>
          <t>γ'</t>
        </is>
      </c>
      <c r="G80" s="35">
        <f>(SUMPRODUCT(AH13:AH53,H13:H53)+MIN($G$8,Input!$G$15)*Input!$G$30)/Input!$G$15-10*MAX(0,Input!$G$15-$G$5)/Input!$G$15</f>
        <v/>
      </c>
      <c r="H80" s="5" t="inlineStr">
        <is>
          <t>kN/m³</t>
        </is>
      </c>
      <c r="I80" s="2" t="inlineStr"/>
    </row>
    <row r="81">
      <c r="A81" s="5" t="inlineStr">
        <is>
          <t>Undrained: faktor bentuk (Nc = 5,14)</t>
        </is>
      </c>
      <c r="F81" s="6" t="inlineStr">
        <is>
          <t>sc</t>
        </is>
      </c>
      <c r="G81" s="35">
        <f>1+0.2*Input!$G$10/Input!$G$11</f>
        <v/>
      </c>
      <c r="H81" s="5" t="inlineStr">
        <is>
          <t>-</t>
        </is>
      </c>
      <c r="I81" s="2" t="inlineStr"/>
    </row>
    <row r="82">
      <c r="A82" s="5" t="inlineStr">
        <is>
          <t>qu undrained = cu·Nc·sc</t>
        </is>
      </c>
      <c r="F82" s="6" t="inlineStr">
        <is>
          <t>qu,u</t>
        </is>
      </c>
      <c r="G82" s="36">
        <f>IF($G$77=0,"-",$G$78*5.14*$G$81)</f>
        <v/>
      </c>
      <c r="H82" s="5" t="inlineStr">
        <is>
          <t>kPa</t>
        </is>
      </c>
      <c r="I82" s="2" t="inlineStr">
        <is>
          <t>tidak berlaku bila tidak ada lanau/lempung</t>
        </is>
      </c>
    </row>
    <row r="83">
      <c r="A83" s="5" t="inlineStr">
        <is>
          <t>Drained: Nq = e^(π tanφ)·tan²(45+φ/2)</t>
        </is>
      </c>
      <c r="F83" s="6" t="inlineStr">
        <is>
          <t>Nq</t>
        </is>
      </c>
      <c r="G83" s="35">
        <f>EXP(PI()*TAN(RADIANS($G$79)))*TAN(RADIANS(45+$G$79/2))^2</f>
        <v/>
      </c>
      <c r="H83" s="5" t="inlineStr">
        <is>
          <t>-</t>
        </is>
      </c>
      <c r="I83" s="2" t="inlineStr"/>
    </row>
    <row r="84">
      <c r="A84" s="5" t="inlineStr">
        <is>
          <t>Nγ = 2(Nq+1)tanφ (Vesic 1975)</t>
        </is>
      </c>
      <c r="F84" s="6" t="inlineStr">
        <is>
          <t>Nγ</t>
        </is>
      </c>
      <c r="G84" s="35">
        <f>2*($G$83+1)*TAN(RADIANS($G$79))</f>
        <v/>
      </c>
      <c r="H84" s="5" t="inlineStr">
        <is>
          <t>-</t>
        </is>
      </c>
      <c r="I84" s="2" t="inlineStr"/>
    </row>
    <row r="85">
      <c r="A85" s="5" t="inlineStr">
        <is>
          <t>sγ = 1 - 0,4B/L ;  rγ = 1 - 0,25log(B/2) (Bowles 1996)</t>
        </is>
      </c>
      <c r="F85" s="6" t="inlineStr">
        <is>
          <t>sγ·rγ</t>
        </is>
      </c>
      <c r="G85" s="35">
        <f>(1-0.4*Input!$G$10/Input!$G$11)*IF(Input!$G$10&gt;2,1-0.25*LOG10(Input!$G$10/2),1)</f>
        <v/>
      </c>
      <c r="H85" s="5" t="inlineStr">
        <is>
          <t>-</t>
        </is>
      </c>
      <c r="I85" s="2" t="inlineStr"/>
    </row>
    <row r="86">
      <c r="A86" s="5" t="inlineStr">
        <is>
          <t>qu drained = 0,5·γ'·B·Nγ·sγ·rγ   (c' = 0, q = 0)</t>
        </is>
      </c>
      <c r="F86" s="6" t="inlineStr">
        <is>
          <t>qu,d</t>
        </is>
      </c>
      <c r="G86" s="36">
        <f>0.5*$G$80*Input!$G$10*$G$84*$G$85</f>
        <v/>
      </c>
      <c r="H86" s="5" t="inlineStr">
        <is>
          <t>kPa</t>
        </is>
      </c>
      <c r="I86" s="2" t="inlineStr"/>
    </row>
    <row r="87">
      <c r="A87" s="5" t="inlineStr">
        <is>
          <t>Daya dukung ultimit menentukan</t>
        </is>
      </c>
      <c r="F87" s="6" t="inlineStr">
        <is>
          <t>qu</t>
        </is>
      </c>
      <c r="G87" s="37">
        <f>IF($G$77=0,$G$86,MIN($G$82,$G$86))</f>
        <v/>
      </c>
      <c r="H87" s="5" t="inlineStr">
        <is>
          <t>kPa</t>
        </is>
      </c>
      <c r="I87" s="2" t="inlineStr"/>
    </row>
    <row r="88">
      <c r="A88" s="5" t="inlineStr">
        <is>
          <t>Daya dukung izin = qu / SF</t>
        </is>
      </c>
      <c r="F88" s="6" t="inlineStr">
        <is>
          <t>qall</t>
        </is>
      </c>
      <c r="G88" s="37">
        <f>$G$87/Input!$G$14</f>
        <v/>
      </c>
      <c r="H88" s="5" t="inlineStr">
        <is>
          <t>kPa</t>
        </is>
      </c>
      <c r="I88" s="2" t="inlineStr"/>
    </row>
    <row r="89">
      <c r="A89" s="5" t="inlineStr">
        <is>
          <t>Tekanan kerja (timbunan + beban merata)</t>
        </is>
      </c>
      <c r="F89" s="6" t="inlineStr">
        <is>
          <t>q</t>
        </is>
      </c>
      <c r="G89" s="36">
        <f>Input!$G$9</f>
        <v/>
      </c>
      <c r="H89" s="5" t="inlineStr">
        <is>
          <t>kPa</t>
        </is>
      </c>
      <c r="I89" s="2" t="inlineStr"/>
    </row>
    <row r="90">
      <c r="A90" s="5" t="inlineStr">
        <is>
          <t>Kontrol daya dukung</t>
        </is>
      </c>
      <c r="F90" s="6" t="inlineStr"/>
      <c r="G90" s="38">
        <f>IF($G$88&gt;=Input!$G$9,"qall ≥ q … OK","qall &lt; q … NG")</f>
        <v/>
      </c>
      <c r="H90" s="5" t="inlineStr"/>
      <c r="I90" s="2" t="inlineStr"/>
    </row>
    <row r="91">
      <c r="A91" s="5" t="inlineStr">
        <is>
          <t>Faktor keamanan aktual = qu / q</t>
        </is>
      </c>
      <c r="F91" s="6" t="inlineStr">
        <is>
          <t>FS</t>
        </is>
      </c>
      <c r="G91" s="35">
        <f>$G$87/Input!$G$9</f>
        <v/>
      </c>
      <c r="H91" s="5" t="inlineStr">
        <is>
          <t>-</t>
        </is>
      </c>
      <c r="I91" s="2" t="inlineStr"/>
    </row>
    <row r="92">
      <c r="A92" s="5" t="inlineStr">
        <is>
          <t>Tinggi timbunan izin (dengan beban merata)</t>
        </is>
      </c>
      <c r="F92" s="6" t="inlineStr">
        <is>
          <t>H izin</t>
        </is>
      </c>
      <c r="G92" s="35">
        <f>MAX(0,($G$88-Input!$G$8)/Input!$G$7)</f>
        <v/>
      </c>
      <c r="H92" s="5" t="inlineStr">
        <is>
          <t>m</t>
        </is>
      </c>
      <c r="I92" s="2" t="inlineStr">
        <is>
          <t>H izin = (qall - qs)/γf</t>
        </is>
      </c>
    </row>
    <row r="94">
      <c r="A94" s="15" t="inlineStr">
        <is>
          <t>c) Tanah pasiran - daya dukung izin berbasis penurunan 25 mm (Meyerhof 1965, Bowles 1996)</t>
        </is>
      </c>
    </row>
    <row r="95">
      <c r="A95" s="5" t="inlineStr">
        <is>
          <t>N60 rata-rata lapisan pasir (0 - Hb)</t>
        </is>
      </c>
      <c r="F95" s="6" t="inlineStr">
        <is>
          <t>N60</t>
        </is>
      </c>
      <c r="G95" s="36">
        <f>IFERROR(SUMPRODUCT(--(F13:F53="Sand"),AG13:AG53,G13:G53)/SUMPRODUCT(--(F13:F53="Sand"),AG13:AG53)*Input!$G$20,"-")</f>
        <v/>
      </c>
      <c r="H95" s="5" t="inlineStr">
        <is>
          <t>-</t>
        </is>
      </c>
      <c r="I95" s="2" t="inlineStr"/>
    </row>
    <row r="96">
      <c r="A96" s="5" t="inlineStr">
        <is>
          <t>qa (S = 25 mm) = (N55/0,08)·((B+0,3)/B)²·Kd</t>
        </is>
      </c>
      <c r="F96" s="6" t="inlineStr">
        <is>
          <t>qa</t>
        </is>
      </c>
      <c r="G96" s="36">
        <f>IFERROR(($G$95*60/55)/0.08*((Input!$G$10+0.3)/Input!$G$10)^2,"-")</f>
        <v/>
      </c>
      <c r="H96" s="5" t="inlineStr">
        <is>
          <t>kPa</t>
        </is>
      </c>
      <c r="I96" s="2" t="inlineStr">
        <is>
          <t>Kd = 1 (beban di permukaan)</t>
        </is>
      </c>
    </row>
    <row r="97">
      <c r="A97" s="2" t="inlineStr">
        <is>
          <t>Pada tanah pasiran daya dukung geser hampir selalu jauh di atas beban; penentu desain adalah penurunan (bagian 4).</t>
        </is>
      </c>
    </row>
    <row r="99">
      <c r="A99" s="3" t="inlineStr">
        <is>
          <t>4. PENURUNAN SEGERA (IMMEDIATE SETTLEMENT) - kondisi desain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</row>
    <row r="100">
      <c r="A100" s="2" t="inlineStr">
        <is>
          <t>d) Teori elastis berlapis (Steinbrenner 1934; Bowles 1996): pusat area fleksibel B×L, tiap lapisan Si = 4q(B/2)(1-ν²)/E·[ΔF1 + (1-2ν)/(1-ν)·ΔF2]. Pasir: E drained, ν pasir; lanau/lempung: Eu undrained, ν = 0,5.</t>
        </is>
      </c>
    </row>
    <row r="101">
      <c r="A101" s="5" t="inlineStr">
        <is>
          <t>Penurunan segera total (dalam kedalaman pengaruh)</t>
        </is>
      </c>
      <c r="F101" s="6" t="inlineStr">
        <is>
          <t>Si</t>
        </is>
      </c>
      <c r="G101" s="37">
        <f>SUM(Z13:Z53)</f>
        <v/>
      </c>
      <c r="H101" s="5" t="inlineStr">
        <is>
          <t>mm</t>
        </is>
      </c>
      <c r="I101" s="2" t="inlineStr"/>
    </row>
    <row r="102">
      <c r="A102" s="5" t="inlineStr">
        <is>
          <t xml:space="preserve">   - dari lapisan pasir</t>
        </is>
      </c>
      <c r="F102" s="6" t="inlineStr"/>
      <c r="G102" s="36">
        <f>SUMPRODUCT(--(F13:F53="Sand"),Z13:Z53)</f>
        <v/>
      </c>
      <c r="H102" s="5" t="inlineStr">
        <is>
          <t>mm</t>
        </is>
      </c>
      <c r="I102" s="2" t="inlineStr"/>
    </row>
    <row r="103">
      <c r="A103" s="5" t="inlineStr">
        <is>
          <t xml:space="preserve">   - dari lapisan lanau/lempung (undrained)</t>
        </is>
      </c>
      <c r="F103" s="6" t="inlineStr"/>
      <c r="G103" s="36">
        <f>$G$101-$G$102</f>
        <v/>
      </c>
      <c r="H103" s="5" t="inlineStr">
        <is>
          <t>mm</t>
        </is>
      </c>
      <c r="I103" s="2" t="inlineStr"/>
    </row>
    <row r="105">
      <c r="A105" s="15" t="inlineStr">
        <is>
          <t>e) Pemeriksaan tanah pasiran - Burland &amp; Burbidge (1985), pasir NC:  S = fs·fl·q·B^0,7·Ic,   Ic = 1,71/N̄^1,4</t>
        </is>
      </c>
    </row>
    <row r="106">
      <c r="A106" s="5" t="inlineStr">
        <is>
          <t>Kedalaman pengaruh zI = B^0,763</t>
        </is>
      </c>
      <c r="F106" s="6" t="inlineStr">
        <is>
          <t>zI</t>
        </is>
      </c>
      <c r="G106" s="35">
        <f>MIN(Input!$G$10^0.763,C53)</f>
        <v/>
      </c>
      <c r="H106" s="5" t="inlineStr">
        <is>
          <t>m</t>
        </is>
      </c>
      <c r="I106" s="2" t="inlineStr"/>
    </row>
    <row r="107">
      <c r="A107" s="5" t="inlineStr">
        <is>
          <t>N rata-rata dalam zI (N terukur)</t>
        </is>
      </c>
      <c r="F107" s="6" t="inlineStr">
        <is>
          <t>N̄</t>
        </is>
      </c>
      <c r="G107" s="36">
        <f>SUMPRODUCT(AI13:AI53,G13:G53)/$G$106</f>
        <v/>
      </c>
      <c r="H107" s="5" t="inlineStr">
        <is>
          <t>-</t>
        </is>
      </c>
      <c r="I107" s="2" t="inlineStr"/>
    </row>
    <row r="108">
      <c r="A108" s="5" t="inlineStr">
        <is>
          <t>Indeks kompresibilitas</t>
        </is>
      </c>
      <c r="F108" s="6" t="inlineStr">
        <is>
          <t>Ic</t>
        </is>
      </c>
      <c r="G108" s="39">
        <f>1.71/$G$107^1.4</f>
        <v/>
      </c>
      <c r="H108" s="5" t="inlineStr">
        <is>
          <t>-</t>
        </is>
      </c>
      <c r="I108" s="2" t="inlineStr"/>
    </row>
    <row r="109">
      <c r="A109" s="5" t="inlineStr">
        <is>
          <t>Faktor bentuk fs = [1,25(L/B)/(L/B+0,25)]²</t>
        </is>
      </c>
      <c r="F109" s="6" t="inlineStr">
        <is>
          <t>fs</t>
        </is>
      </c>
      <c r="G109" s="35">
        <f>(1.25*Input!$G$11/Input!$G$10/(Input!$G$11/Input!$G$10+0.25))^2</f>
        <v/>
      </c>
      <c r="H109" s="5" t="inlineStr">
        <is>
          <t>-</t>
        </is>
      </c>
      <c r="I109" s="2" t="inlineStr"/>
    </row>
    <row r="110">
      <c r="A110" s="5" t="inlineStr">
        <is>
          <t>Penurunan (B&amp;B), fl = 1</t>
        </is>
      </c>
      <c r="F110" s="6" t="inlineStr">
        <is>
          <t>S</t>
        </is>
      </c>
      <c r="G110" s="37">
        <f>$G$109*Input!$G$9*Input!$G$10^0.7*$G$108</f>
        <v/>
      </c>
      <c r="H110" s="5" t="inlineStr">
        <is>
          <t>mm</t>
        </is>
      </c>
      <c r="I110" s="2" t="inlineStr"/>
    </row>
    <row r="111">
      <c r="A111" s="2" t="inlineStr">
        <is>
          <t>B&amp;B menganggap seluruh zona pengaruh berupa pasir; bila ada lanau/lempung, pakai butir d) sebagai nilai desain.</t>
        </is>
      </c>
    </row>
    <row r="113">
      <c r="A113" s="3" t="inlineStr">
        <is>
          <t>5. PENURUNAN KONSOLIDASI PRIMER &amp; WAKTU KONSOLIDASI (lapisan lanau/lempung) - kondisi desain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</row>
    <row r="114">
      <c r="A114" s="2" t="inlineStr">
        <is>
          <t>Sc = h/(1+e0)·[Cr·log(σ'p/σ'0) + Cc·log((σ'0+Δσ)/σ'p)] (Das 2019); Δσ Boussinesq di pusat area; σ'p = max(cu/0,22 ; σ'0); t90 = Tv·Hdr²/Cv, drainase ganda (Hdr = h/2) karena diapit pasir.</t>
        </is>
      </c>
    </row>
    <row r="115">
      <c r="A115" s="5" t="inlineStr">
        <is>
          <t>Penurunan konsolidasi total</t>
        </is>
      </c>
      <c r="F115" s="6" t="inlineStr">
        <is>
          <t>Sc</t>
        </is>
      </c>
      <c r="G115" s="37">
        <f>SUM(AD13:AD53)</f>
        <v/>
      </c>
      <c r="H115" s="5" t="inlineStr">
        <is>
          <t>mm</t>
        </is>
      </c>
      <c r="I115" s="2" t="inlineStr"/>
    </row>
    <row r="116">
      <c r="A116" s="5" t="inlineStr">
        <is>
          <t>Waktu konsolidasi 90% (lapisan terlama)</t>
        </is>
      </c>
      <c r="F116" s="6" t="inlineStr">
        <is>
          <t>t90</t>
        </is>
      </c>
      <c r="G116" s="35">
        <f>MAX(AF13:AF53)</f>
        <v/>
      </c>
      <c r="H116" s="5" t="inlineStr">
        <is>
          <t>tahun</t>
        </is>
      </c>
      <c r="I116" s="2" t="inlineStr"/>
    </row>
    <row r="118">
      <c r="A118" s="3" t="inlineStr">
        <is>
          <t>6. RINGKASAN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</row>
    <row r="119">
      <c r="A119" s="5" t="inlineStr">
        <is>
          <t>Penurunan total jangka panjang = Si + Sc</t>
        </is>
      </c>
      <c r="F119" s="6" t="inlineStr">
        <is>
          <t>S</t>
        </is>
      </c>
      <c r="G119" s="37">
        <f>$G$101+$G$115</f>
        <v/>
      </c>
      <c r="H119" s="5" t="inlineStr">
        <is>
          <t>mm</t>
        </is>
      </c>
      <c r="I119" s="2" t="inlineStr"/>
    </row>
    <row r="120">
      <c r="A120" s="5" t="inlineStr">
        <is>
          <t>Kontrol terhadap batas penurunan</t>
        </is>
      </c>
      <c r="F120" s="6" t="inlineStr"/>
      <c r="G120" s="38">
        <f>IF($G$119&lt;=Input!$G$16,"S ≤ S izin … OK","S &gt; S izin … NG")</f>
        <v/>
      </c>
      <c r="H120" s="5" t="inlineStr"/>
      <c r="I120" s="2" t="inlineStr"/>
    </row>
    <row r="121">
      <c r="A121" s="2" t="inlineStr">
        <is>
          <t>Penurunan pasca-likuefaksi saat gempa (laporan likuefaksi, Tabel 5.4: 100 - 383 mm) TIDAK termasuk; ditinjau terpisah.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2026-10-06T10:18:38Z</dcterms:created>
  <dcterms:modified xmlns:dcterms="http://purl.org/dc/terms/" xmlns:xsi="http://www.w3.org/2001/XMLSchema-instance" xsi:type="dcterms:W3CDTF">2026-10-06T10:18:40Z</dcterms:modified>
</cp:coreProperties>
</file>