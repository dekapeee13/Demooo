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0ED31D40-40C8-4065-A376-F72889B548C6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<sst xmlns="http://schemas.openxmlformats.org/spreadsheetml/2006/main" count="361" uniqueCount="172">
  <si>
    <t>RINGKASAN HASIL &amp; GRAFIK</t>
  </si>
  <si>
    <t>Geotechnical Investigation &amp; DED Geothermal Wellpad - PSPE Bora Pulu</t>
  </si>
  <si>
    <t>Lokasi: Wellpad A  |  Titik bor: BH-02  |  Fondasi: Bored pile D1000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</si>
  <si>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</si>
  <si>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</si>
  <si>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</si>
  <si>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</si>
  <si>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</si>
  <si>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</si>
  <si>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</si>
  <si>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</si>
  <si>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</si>
  <si>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</si>
  <si>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</si>
  <si>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</si>
  <si>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</si>
  <si>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</si>
  <si>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</si>
  <si>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</si>
  <si>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</si>
  <si>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</si>
  <si>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</si>
  <si>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</si>
  <si>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</si>
  <si>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</si>
  <si>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</si>
  <si>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</si>
  <si>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</si>
  <si>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</si>
  <si>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</si>
  <si>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</si>
  <si>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</si>
  <si>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</si>
  <si>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</si>
  <si>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</si>
  <si>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</si>
  <si>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</si>
  <si>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</si>
  <si>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</si>
  <si>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</si>
  <si>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</si>
  <si>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Report BP-00-GEO-RPT-003, Tabel 3.2</t>
  </si>
  <si>
    <t>Dasar zona likuefaksi = garis A-A'</t>
  </si>
  <si>
    <t>zL</t>
  </si>
  <si>
    <t>Report Tabel 5.3 / sheet asli</t>
  </si>
  <si>
    <t>Berat isi tanah di atas GWL</t>
  </si>
  <si>
    <t>γ1</t>
  </si>
  <si>
    <t>kN/m³</t>
  </si>
  <si>
    <t>Report Tabel 5.1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</si>
  <si>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</si>
  <si>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</si>
  <si>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</si>
  <si>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</si>
  <si>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</si>
  <si>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</si>
  <si>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</si>
  <si>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</si>
  <si>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</si>
  <si>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</si>
  <si>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</si>
  <si>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Report Tabel 5.4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</si>
  <si>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</si>
  <si>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</si>
  <si>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</si>
  <si>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</si>
  <si>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</si>
  <si>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</si>
  <si>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</si>
  <si>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</si>
  <si>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</si>
  <si>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</si>
  <si>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sesuai perhitungan sebelumnya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</si>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</sst>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color rgb="FFC00000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0" fontId="12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10" fillId="6" borderId="1" xfId="0" applyNumberFormat="1" applyFont="1" applyFill="1" applyBorder="1" applyAlignment="1">
      <alignment horizontal="left"/>
    </xf>
    <xf numFmtId="2" fontId="10" fillId="6" borderId="1" xfId="0" applyNumberFormat="1" applyFont="1" applyFill="1" applyBorder="1" applyAlignment="1">
      <alignment horizontal="center"/>
    </xf>
    <xf numFmtId="0" fontId="11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10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732.87282862452935</c:v>
                </c:pt>
                <c:pt idx="1">
                  <c:v>723.62712144501461</c:v>
                </c:pt>
                <c:pt idx="2">
                  <c:v>714.38141426549976</c:v>
                </c:pt>
                <c:pt idx="3">
                  <c:v>730.50668575760062</c:v>
                </c:pt>
                <c:pt idx="4">
                  <c:v>813.71805037323338</c:v>
                </c:pt>
                <c:pt idx="5">
                  <c:v>896.92941498886648</c:v>
                </c:pt>
                <c:pt idx="6">
                  <c:v>980.14077960449924</c:v>
                </c:pt>
                <c:pt idx="7">
                  <c:v>1063.352144220132</c:v>
                </c:pt>
                <c:pt idx="8">
                  <c:v>1129.9212359126384</c:v>
                </c:pt>
                <c:pt idx="9">
                  <c:v>1083.5893416167614</c:v>
                </c:pt>
                <c:pt idx="10">
                  <c:v>1150.1584333092678</c:v>
                </c:pt>
                <c:pt idx="11">
                  <c:v>1237.2221759163654</c:v>
                </c:pt>
                <c:pt idx="12">
                  <c:v>1061.504783020066</c:v>
                </c:pt>
                <c:pt idx="13">
                  <c:v>1148.5685256271636</c:v>
                </c:pt>
                <c:pt idx="14">
                  <c:v>1191.2528737725902</c:v>
                </c:pt>
                <c:pt idx="15">
                  <c:v>1226.4104895187909</c:v>
                </c:pt>
                <c:pt idx="16">
                  <c:v>1269.0948376642177</c:v>
                </c:pt>
                <c:pt idx="17">
                  <c:v>1291.4386300147114</c:v>
                </c:pt>
                <c:pt idx="18">
                  <c:v>1316.4527761207567</c:v>
                </c:pt>
                <c:pt idx="19">
                  <c:v>1338.7965684712506</c:v>
                </c:pt>
                <c:pt idx="20">
                  <c:v>1379.6317751807744</c:v>
                </c:pt>
                <c:pt idx="21">
                  <c:v>1503.8913203079055</c:v>
                </c:pt>
                <c:pt idx="22">
                  <c:v>1544.7265270174289</c:v>
                </c:pt>
                <c:pt idx="23">
                  <c:v>1573.2341241542661</c:v>
                </c:pt>
                <c:pt idx="24">
                  <c:v>1576.4911703378755</c:v>
                </c:pt>
                <c:pt idx="25">
                  <c:v>1604.9987674747124</c:v>
                </c:pt>
                <c:pt idx="26">
                  <c:v>1679.2726151501477</c:v>
                </c:pt>
                <c:pt idx="27">
                  <c:v>1655.0686596095243</c:v>
                </c:pt>
                <c:pt idx="28">
                  <c:v>1729.3425072849595</c:v>
                </c:pt>
                <c:pt idx="29">
                  <c:v>1746.1388753277449</c:v>
                </c:pt>
                <c:pt idx="30">
                  <c:v>1898.4164265565901</c:v>
                </c:pt>
                <c:pt idx="31">
                  <c:v>1915.2127945993752</c:v>
                </c:pt>
                <c:pt idx="32">
                  <c:v>1952.3497184370926</c:v>
                </c:pt>
                <c:pt idx="33">
                  <c:v>2019.5935718717126</c:v>
                </c:pt>
                <c:pt idx="34">
                  <c:v>2056.7304957094302</c:v>
                </c:pt>
                <c:pt idx="35">
                  <c:v>2106.8114095984683</c:v>
                </c:pt>
                <c:pt idx="36">
                  <c:v>2141.8388586890555</c:v>
                </c:pt>
                <c:pt idx="37">
                  <c:v>2191.9197725780941</c:v>
                </c:pt>
                <c:pt idx="38">
                  <c:v>2236.4532621594235</c:v>
                </c:pt>
                <c:pt idx="39">
                  <c:v>2258.4065545430763</c:v>
                </c:pt>
                <c:pt idx="40">
                  <c:v>2302.9400441244056</c:v>
                </c:pt>
                <c:pt idx="41">
                  <c:v>2349.3226751416382</c:v>
                </c:pt>
                <c:pt idx="42">
                  <c:v>2516.1330245464792</c:v>
                </c:pt>
                <c:pt idx="43">
                  <c:v>2562.5156555637118</c:v>
                </c:pt>
                <c:pt idx="44">
                  <c:v>2601.501720837332</c:v>
                </c:pt>
                <c:pt idx="45">
                  <c:v>2617.907588913276</c:v>
                </c:pt>
                <c:pt idx="46">
                  <c:v>2656.893654186897</c:v>
                </c:pt>
                <c:pt idx="47">
                  <c:v>2732.8625481785762</c:v>
                </c:pt>
                <c:pt idx="48">
                  <c:v>2710.9839209803245</c:v>
                </c:pt>
                <c:pt idx="49">
                  <c:v>2786.9528149720036</c:v>
                </c:pt>
                <c:pt idx="50">
                  <c:v>2820.391455937915</c:v>
                </c:pt>
                <c:pt idx="51">
                  <c:v>3071.45083801187</c:v>
                </c:pt>
                <c:pt idx="52">
                  <c:v>3104.8894789777814</c:v>
                </c:pt>
                <c:pt idx="53">
                  <c:v>3156.8195343027232</c:v>
                </c:pt>
                <c:pt idx="54">
                  <c:v>3276.490181220694</c:v>
                </c:pt>
                <c:pt idx="55">
                  <c:v>3328.4202365456354</c:v>
                </c:pt>
                <c:pt idx="56">
                  <c:v>3415.4839791527329</c:v>
                </c:pt>
                <c:pt idx="57">
                  <c:v>3450.5150934347489</c:v>
                </c:pt>
                <c:pt idx="58">
                  <c:v>3537.5788360418464</c:v>
                </c:pt>
                <c:pt idx="59">
                  <c:v>3606.151164289914</c:v>
                </c:pt>
                <c:pt idx="60">
                  <c:v>3569.3492389488242</c:v>
                </c:pt>
                <c:pt idx="61">
                  <c:v>3637.9215671968918</c:v>
                </c:pt>
                <c:pt idx="62">
                  <c:v>3712.0413197526682</c:v>
                </c:pt>
                <c:pt idx="63">
                  <c:v>3838.1937006335265</c:v>
                </c:pt>
                <c:pt idx="64">
                  <c:v>3912.3134531893038</c:v>
                </c:pt>
                <c:pt idx="65">
                  <c:v>3954.9978013347295</c:v>
                </c:pt>
                <c:pt idx="66">
                  <c:v>4177.6692285920717</c:v>
                </c:pt>
                <c:pt idx="67">
                  <c:v>4220.3535767374979</c:v>
                </c:pt>
                <c:pt idx="68">
                  <c:v>4307.4173193445949</c:v>
                </c:pt>
                <c:pt idx="69">
                  <c:v>4394.4810619516929</c:v>
                </c:pt>
                <c:pt idx="70">
                  <c:v>4481.54480455879</c:v>
                </c:pt>
                <c:pt idx="71">
                  <c:v>4568.6085471658871</c:v>
                </c:pt>
                <c:pt idx="72">
                  <c:v>4655.6722897729851</c:v>
                </c:pt>
                <c:pt idx="73">
                  <c:v>4742.7360323800822</c:v>
                </c:pt>
                <c:pt idx="74">
                  <c:v>4829.7997749871793</c:v>
                </c:pt>
                <c:pt idx="75">
                  <c:v>4819.6704948738425</c:v>
                </c:pt>
                <c:pt idx="76">
                  <c:v>4906.7342374809396</c:v>
                </c:pt>
                <c:pt idx="77">
                  <c:v>4993.7979800880385</c:v>
                </c:pt>
                <c:pt idx="78">
                  <c:v>5080.8617226951346</c:v>
                </c:pt>
                <c:pt idx="79">
                  <c:v>5167.9254653022317</c:v>
                </c:pt>
                <c:pt idx="80">
                  <c:v>5230.9503692425906</c:v>
                </c:pt>
                <c:pt idx="81">
                  <c:v>5391.1682959033842</c:v>
                </c:pt>
                <c:pt idx="82">
                  <c:v>5454.1931998437421</c:v>
                </c:pt>
                <c:pt idx="83">
                  <c:v>5541.2569424508411</c:v>
                </c:pt>
                <c:pt idx="84">
                  <c:v>5628.3206850579372</c:v>
                </c:pt>
                <c:pt idx="85">
                  <c:v>5715.3844276650343</c:v>
                </c:pt>
                <c:pt idx="86">
                  <c:v>5802.4481702721323</c:v>
                </c:pt>
                <c:pt idx="87">
                  <c:v>5889.5119128792294</c:v>
                </c:pt>
                <c:pt idx="88">
                  <c:v>5976.5756554863265</c:v>
                </c:pt>
                <c:pt idx="89">
                  <c:v>6063.6393980934245</c:v>
                </c:pt>
                <c:pt idx="90">
                  <c:v>5978.2427939878316</c:v>
                </c:pt>
                <c:pt idx="91">
                  <c:v>6065.3065365949287</c:v>
                </c:pt>
                <c:pt idx="92">
                  <c:v>6152.3702792020258</c:v>
                </c:pt>
                <c:pt idx="93">
                  <c:v>6051.9202102979825</c:v>
                </c:pt>
                <c:pt idx="94">
                  <c:v>6138.9839529050805</c:v>
                </c:pt>
                <c:pt idx="95">
                  <c:v>6183.5174424864099</c:v>
                </c:pt>
                <c:pt idx="96">
                  <c:v>6243.1043968661897</c:v>
                </c:pt>
                <c:pt idx="97">
                  <c:v>6287.63788644752</c:v>
                </c:pt>
                <c:pt idx="98">
                  <c:v>6328.4730931570421</c:v>
                </c:pt>
                <c:pt idx="99">
                  <c:v>6444.5756238588219</c:v>
                </c:pt>
                <c:pt idx="100">
                  <c:v>6485.4108305683458</c:v>
                </c:pt>
                <c:pt idx="101">
                  <c:v>6533.6426030214816</c:v>
                </c:pt>
                <c:pt idx="102">
                  <c:v>6739.2812573888559</c:v>
                </c:pt>
                <c:pt idx="103">
                  <c:v>6787.5130298419908</c:v>
                </c:pt>
                <c:pt idx="104">
                  <c:v>6846.8396509105432</c:v>
                </c:pt>
                <c:pt idx="105">
                  <c:v>7018.4127594979809</c:v>
                </c:pt>
                <c:pt idx="106">
                  <c:v>7077.7393805665361</c:v>
                </c:pt>
                <c:pt idx="107">
                  <c:v>7164.8031231736322</c:v>
                </c:pt>
                <c:pt idx="108">
                  <c:v>7251.8668657807293</c:v>
                </c:pt>
                <c:pt idx="109">
                  <c:v>7338.9306083878273</c:v>
                </c:pt>
                <c:pt idx="110">
                  <c:v>7321.0564297187648</c:v>
                </c:pt>
                <c:pt idx="111">
                  <c:v>7355.651211687783</c:v>
                </c:pt>
                <c:pt idx="112">
                  <c:v>7465.5133176490572</c:v>
                </c:pt>
                <c:pt idx="113">
                  <c:v>7552.5770602561533</c:v>
                </c:pt>
                <c:pt idx="114">
                  <c:v>7572.3365435832175</c:v>
                </c:pt>
                <c:pt idx="115">
                  <c:v>7659.4002861903155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-116.34181534222739</c:v>
                </c:pt>
                <c:pt idx="12">
                  <c:v>-121.73514453027768</c:v>
                </c:pt>
                <c:pt idx="13">
                  <c:v>-127.12847371832798</c:v>
                </c:pt>
                <c:pt idx="14">
                  <c:v>-132.52180290637824</c:v>
                </c:pt>
                <c:pt idx="15">
                  <c:v>-137.91513209442851</c:v>
                </c:pt>
                <c:pt idx="16">
                  <c:v>-143.30846128247879</c:v>
                </c:pt>
                <c:pt idx="17">
                  <c:v>-148.70179047052906</c:v>
                </c:pt>
                <c:pt idx="18">
                  <c:v>-154.09511965857936</c:v>
                </c:pt>
                <c:pt idx="19">
                  <c:v>-159.48844884662964</c:v>
                </c:pt>
                <c:pt idx="20">
                  <c:v>-164.88177803467991</c:v>
                </c:pt>
                <c:pt idx="21">
                  <c:v>-170.27510722273018</c:v>
                </c:pt>
                <c:pt idx="22">
                  <c:v>-175.66843641078046</c:v>
                </c:pt>
                <c:pt idx="23">
                  <c:v>-181.06176559883076</c:v>
                </c:pt>
                <c:pt idx="24">
                  <c:v>-186.45509478688101</c:v>
                </c:pt>
                <c:pt idx="25">
                  <c:v>-191.84842397493131</c:v>
                </c:pt>
                <c:pt idx="26">
                  <c:v>-197.24175316298158</c:v>
                </c:pt>
                <c:pt idx="27">
                  <c:v>-202.63508235103183</c:v>
                </c:pt>
                <c:pt idx="28">
                  <c:v>-208.02841153908213</c:v>
                </c:pt>
                <c:pt idx="29">
                  <c:v>-213.42174072713237</c:v>
                </c:pt>
                <c:pt idx="30">
                  <c:v>-218.81506991518268</c:v>
                </c:pt>
                <c:pt idx="31">
                  <c:v>-224.20839910323295</c:v>
                </c:pt>
                <c:pt idx="32">
                  <c:v>-229.60172829128322</c:v>
                </c:pt>
                <c:pt idx="33">
                  <c:v>-234.9950574793335</c:v>
                </c:pt>
                <c:pt idx="34">
                  <c:v>-240.38838666738377</c:v>
                </c:pt>
                <c:pt idx="35">
                  <c:v>-245.78171585543407</c:v>
                </c:pt>
                <c:pt idx="36">
                  <c:v>-251.17504504348432</c:v>
                </c:pt>
                <c:pt idx="37">
                  <c:v>-256.56837423153462</c:v>
                </c:pt>
                <c:pt idx="38">
                  <c:v>-261.96170341958492</c:v>
                </c:pt>
                <c:pt idx="39">
                  <c:v>-267.35503260763517</c:v>
                </c:pt>
                <c:pt idx="40">
                  <c:v>-272.74836179568547</c:v>
                </c:pt>
                <c:pt idx="41">
                  <c:v>557.50584413959223</c:v>
                </c:pt>
                <c:pt idx="42">
                  <c:v>866.67857628233241</c:v>
                </c:pt>
                <c:pt idx="43">
                  <c:v>944.25954229505544</c:v>
                </c:pt>
                <c:pt idx="44">
                  <c:v>1009.9870375648112</c:v>
                </c:pt>
                <c:pt idx="45">
                  <c:v>1032.2910766851885</c:v>
                </c:pt>
                <c:pt idx="46">
                  <c:v>1098.018571954944</c:v>
                </c:pt>
                <c:pt idx="47">
                  <c:v>1223.0134209395378</c:v>
                </c:pt>
                <c:pt idx="48">
                  <c:v>1159.8399599434927</c:v>
                </c:pt>
                <c:pt idx="49">
                  <c:v>1284.8348089280871</c:v>
                </c:pt>
                <c:pt idx="50">
                  <c:v>1341.6722011406164</c:v>
                </c:pt>
                <c:pt idx="51">
                  <c:v>1817.0110185609215</c:v>
                </c:pt>
                <c:pt idx="52">
                  <c:v>1873.848410773451</c:v>
                </c:pt>
                <c:pt idx="53">
                  <c:v>1960.3194798433999</c:v>
                </c:pt>
                <c:pt idx="54">
                  <c:v>2177.0609173614839</c:v>
                </c:pt>
                <c:pt idx="55">
                  <c:v>2263.5319864314329</c:v>
                </c:pt>
                <c:pt idx="56">
                  <c:v>2406.3070415304783</c:v>
                </c:pt>
                <c:pt idx="57">
                  <c:v>2449.0193498505209</c:v>
                </c:pt>
                <c:pt idx="58">
                  <c:v>2591.7944049495673</c:v>
                </c:pt>
                <c:pt idx="59">
                  <c:v>2704.9357831911921</c:v>
                </c:pt>
                <c:pt idx="60">
                  <c:v>2615.4343660690538</c:v>
                </c:pt>
                <c:pt idx="61">
                  <c:v>2728.5757443106804</c:v>
                </c:pt>
                <c:pt idx="62">
                  <c:v>2850.6072256095322</c:v>
                </c:pt>
                <c:pt idx="63">
                  <c:v>3072.7014536873858</c:v>
                </c:pt>
                <c:pt idx="64">
                  <c:v>3194.732934986238</c:v>
                </c:pt>
                <c:pt idx="65">
                  <c:v>3266.3871656274769</c:v>
                </c:pt>
                <c:pt idx="66">
                  <c:v>3684.1703945608615</c:v>
                </c:pt>
                <c:pt idx="67">
                  <c:v>3755.8246252020999</c:v>
                </c:pt>
                <c:pt idx="68">
                  <c:v>3898.5996803011458</c:v>
                </c:pt>
                <c:pt idx="69">
                  <c:v>4041.3747354001912</c:v>
                </c:pt>
                <c:pt idx="70">
                  <c:v>4184.1497904992366</c:v>
                </c:pt>
                <c:pt idx="71">
                  <c:v>4326.9248455982815</c:v>
                </c:pt>
                <c:pt idx="72">
                  <c:v>4469.6999006973256</c:v>
                </c:pt>
                <c:pt idx="73">
                  <c:v>4612.4749557963723</c:v>
                </c:pt>
                <c:pt idx="74">
                  <c:v>4755.2500108954182</c:v>
                </c:pt>
                <c:pt idx="75">
                  <c:v>4711.1154069167042</c:v>
                </c:pt>
                <c:pt idx="76">
                  <c:v>4853.8904620157491</c:v>
                </c:pt>
                <c:pt idx="77">
                  <c:v>4996.665517114795</c:v>
                </c:pt>
                <c:pt idx="78">
                  <c:v>5139.4405722138399</c:v>
                </c:pt>
                <c:pt idx="79">
                  <c:v>5282.2156273128849</c:v>
                </c:pt>
                <c:pt idx="80">
                  <c:v>5386.4669024972854</c:v>
                </c:pt>
                <c:pt idx="81">
                  <c:v>5677.6278367594441</c:v>
                </c:pt>
                <c:pt idx="82">
                  <c:v>5781.8791119438447</c:v>
                </c:pt>
                <c:pt idx="83">
                  <c:v>5924.6541670428896</c:v>
                </c:pt>
                <c:pt idx="84">
                  <c:v>6067.4292221419355</c:v>
                </c:pt>
                <c:pt idx="85">
                  <c:v>6210.2042772409804</c:v>
                </c:pt>
                <c:pt idx="86">
                  <c:v>6352.9793323400254</c:v>
                </c:pt>
                <c:pt idx="87">
                  <c:v>6495.7543874390703</c:v>
                </c:pt>
                <c:pt idx="88">
                  <c:v>6638.5294425381153</c:v>
                </c:pt>
                <c:pt idx="89">
                  <c:v>6781.3044976371602</c:v>
                </c:pt>
                <c:pt idx="90">
                  <c:v>6592.425039827187</c:v>
                </c:pt>
                <c:pt idx="91">
                  <c:v>6735.2000949262329</c:v>
                </c:pt>
                <c:pt idx="92">
                  <c:v>6877.9751500252778</c:v>
                </c:pt>
                <c:pt idx="93">
                  <c:v>6660.1467214490522</c:v>
                </c:pt>
                <c:pt idx="94">
                  <c:v>6802.9217765480971</c:v>
                </c:pt>
                <c:pt idx="95">
                  <c:v>6877.5393748750776</c:v>
                </c:pt>
                <c:pt idx="96">
                  <c:v>6981.1059439683131</c:v>
                </c:pt>
                <c:pt idx="97">
                  <c:v>7055.7235422952926</c:v>
                </c:pt>
                <c:pt idx="98">
                  <c:v>7124.4144052507909</c:v>
                </c:pt>
                <c:pt idx="99">
                  <c:v>7337.8501220375492</c:v>
                </c:pt>
                <c:pt idx="100">
                  <c:v>7406.5409849930475</c:v>
                </c:pt>
                <c:pt idx="101">
                  <c:v>7487.0853186915119</c:v>
                </c:pt>
                <c:pt idx="102">
                  <c:v>7870.335194532744</c:v>
                </c:pt>
                <c:pt idx="103">
                  <c:v>7950.8795282312094</c:v>
                </c:pt>
                <c:pt idx="104">
                  <c:v>8049.2040680441251</c:v>
                </c:pt>
                <c:pt idx="105">
                  <c:v>8363.3872377010503</c:v>
                </c:pt>
                <c:pt idx="106">
                  <c:v>8461.7117775139686</c:v>
                </c:pt>
                <c:pt idx="107">
                  <c:v>8604.4868326130145</c:v>
                </c:pt>
                <c:pt idx="108">
                  <c:v>8747.2618877120585</c:v>
                </c:pt>
                <c:pt idx="109">
                  <c:v>8890.0369428111044</c:v>
                </c:pt>
                <c:pt idx="110">
                  <c:v>8831.0083031483045</c:v>
                </c:pt>
                <c:pt idx="111">
                  <c:v>8872.8815108664276</c:v>
                </c:pt>
                <c:pt idx="112">
                  <c:v>9059.4995724158125</c:v>
                </c:pt>
                <c:pt idx="113">
                  <c:v>9202.2746275148584</c:v>
                </c:pt>
                <c:pt idx="114">
                  <c:v>9215.6184147676886</c:v>
                </c:pt>
                <c:pt idx="115">
                  <c:v>9358.3934698667326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-3076.8459797570677</c:v>
                </c:pt>
                <c:pt idx="38">
                  <c:v>-3082.239308945118</c:v>
                </c:pt>
                <c:pt idx="39">
                  <c:v>-3087.6326381331683</c:v>
                </c:pt>
                <c:pt idx="40">
                  <c:v>-3093.0259673212181</c:v>
                </c:pt>
                <c:pt idx="41">
                  <c:v>-2262.7717613859404</c:v>
                </c:pt>
                <c:pt idx="42">
                  <c:v>-1953.5990292432007</c:v>
                </c:pt>
                <c:pt idx="43">
                  <c:v>-1876.0180632304775</c:v>
                </c:pt>
                <c:pt idx="44">
                  <c:v>-1810.2905679607218</c:v>
                </c:pt>
                <c:pt idx="45">
                  <c:v>-1787.9865288403446</c:v>
                </c:pt>
                <c:pt idx="46">
                  <c:v>-1722.2590335705888</c:v>
                </c:pt>
                <c:pt idx="47">
                  <c:v>-1597.2641845859951</c:v>
                </c:pt>
                <c:pt idx="48">
                  <c:v>-1660.4376455820402</c:v>
                </c:pt>
                <c:pt idx="49">
                  <c:v>-1535.4427965974457</c:v>
                </c:pt>
                <c:pt idx="50">
                  <c:v>-1478.6054043849165</c:v>
                </c:pt>
                <c:pt idx="51">
                  <c:v>-1003.2665869646115</c:v>
                </c:pt>
                <c:pt idx="52">
                  <c:v>-946.42919475208191</c:v>
                </c:pt>
                <c:pt idx="53">
                  <c:v>-859.95812568213307</c:v>
                </c:pt>
                <c:pt idx="54">
                  <c:v>-643.21668816404906</c:v>
                </c:pt>
                <c:pt idx="55">
                  <c:v>-556.74561909410022</c:v>
                </c:pt>
                <c:pt idx="56">
                  <c:v>-413.97056399505487</c:v>
                </c:pt>
                <c:pt idx="57">
                  <c:v>-371.25825567501204</c:v>
                </c:pt>
                <c:pt idx="58">
                  <c:v>-228.48320057596581</c:v>
                </c:pt>
                <c:pt idx="59">
                  <c:v>-115.34182233434073</c:v>
                </c:pt>
                <c:pt idx="60">
                  <c:v>-204.84323945647913</c:v>
                </c:pt>
                <c:pt idx="61">
                  <c:v>-91.701861214852386</c:v>
                </c:pt>
                <c:pt idx="62">
                  <c:v>30.329620083999302</c:v>
                </c:pt>
                <c:pt idx="63">
                  <c:v>252.42384816185296</c:v>
                </c:pt>
                <c:pt idx="64">
                  <c:v>374.45532946070523</c:v>
                </c:pt>
                <c:pt idx="65">
                  <c:v>446.109560101944</c:v>
                </c:pt>
                <c:pt idx="66">
                  <c:v>863.89278903532875</c:v>
                </c:pt>
                <c:pt idx="67">
                  <c:v>935.54701967656706</c:v>
                </c:pt>
                <c:pt idx="68">
                  <c:v>1078.3220747756127</c:v>
                </c:pt>
                <c:pt idx="69">
                  <c:v>1221.0971298746583</c:v>
                </c:pt>
                <c:pt idx="70">
                  <c:v>1363.8721849737035</c:v>
                </c:pt>
                <c:pt idx="71">
                  <c:v>1506.6472400727484</c:v>
                </c:pt>
                <c:pt idx="72">
                  <c:v>1649.4222951717932</c:v>
                </c:pt>
                <c:pt idx="73">
                  <c:v>1792.1973502708399</c:v>
                </c:pt>
                <c:pt idx="74">
                  <c:v>1934.9724053698849</c:v>
                </c:pt>
                <c:pt idx="75">
                  <c:v>1890.8378013911708</c:v>
                </c:pt>
                <c:pt idx="76">
                  <c:v>2033.612856490216</c:v>
                </c:pt>
                <c:pt idx="77">
                  <c:v>2176.3879115892623</c:v>
                </c:pt>
                <c:pt idx="78">
                  <c:v>2319.1629666883068</c:v>
                </c:pt>
                <c:pt idx="79">
                  <c:v>2461.9380217873522</c:v>
                </c:pt>
                <c:pt idx="80">
                  <c:v>2566.1892969717524</c:v>
                </c:pt>
                <c:pt idx="81">
                  <c:v>2857.350231233911</c:v>
                </c:pt>
                <c:pt idx="82">
                  <c:v>2961.6015064183111</c:v>
                </c:pt>
                <c:pt idx="83">
                  <c:v>3104.376561517357</c:v>
                </c:pt>
                <c:pt idx="84">
                  <c:v>3247.1516166164029</c:v>
                </c:pt>
                <c:pt idx="85">
                  <c:v>3389.9266717154474</c:v>
                </c:pt>
                <c:pt idx="86">
                  <c:v>3532.7017268144928</c:v>
                </c:pt>
                <c:pt idx="87">
                  <c:v>3675.4767819135373</c:v>
                </c:pt>
                <c:pt idx="88">
                  <c:v>3818.2518370125817</c:v>
                </c:pt>
                <c:pt idx="89">
                  <c:v>3961.0268921116276</c:v>
                </c:pt>
                <c:pt idx="90">
                  <c:v>3772.1474343016544</c:v>
                </c:pt>
                <c:pt idx="91">
                  <c:v>3914.9224894007002</c:v>
                </c:pt>
                <c:pt idx="92">
                  <c:v>4057.6975444997447</c:v>
                </c:pt>
                <c:pt idx="93">
                  <c:v>3839.8691159235195</c:v>
                </c:pt>
                <c:pt idx="94">
                  <c:v>3982.644171022564</c:v>
                </c:pt>
                <c:pt idx="95">
                  <c:v>4057.2617693495445</c:v>
                </c:pt>
                <c:pt idx="96">
                  <c:v>4160.8283384427805</c:v>
                </c:pt>
                <c:pt idx="97">
                  <c:v>4235.44593676976</c:v>
                </c:pt>
                <c:pt idx="98">
                  <c:v>4304.1367997252582</c:v>
                </c:pt>
                <c:pt idx="99">
                  <c:v>4517.5725165120166</c:v>
                </c:pt>
                <c:pt idx="100">
                  <c:v>4586.2633794675148</c:v>
                </c:pt>
                <c:pt idx="101">
                  <c:v>4666.8077131659784</c:v>
                </c:pt>
                <c:pt idx="102">
                  <c:v>5050.0575890072114</c:v>
                </c:pt>
                <c:pt idx="103">
                  <c:v>5130.6019227056768</c:v>
                </c:pt>
                <c:pt idx="104">
                  <c:v>5228.9264625185924</c:v>
                </c:pt>
                <c:pt idx="105">
                  <c:v>5543.1096321755176</c:v>
                </c:pt>
                <c:pt idx="106">
                  <c:v>5641.4341719884351</c:v>
                </c:pt>
                <c:pt idx="107">
                  <c:v>5784.2092270874809</c:v>
                </c:pt>
                <c:pt idx="108">
                  <c:v>5926.9842821865259</c:v>
                </c:pt>
                <c:pt idx="109">
                  <c:v>6069.7593372855708</c:v>
                </c:pt>
                <c:pt idx="110">
                  <c:v>6010.7306976227719</c:v>
                </c:pt>
                <c:pt idx="111">
                  <c:v>6052.6039053408958</c:v>
                </c:pt>
                <c:pt idx="112">
                  <c:v>6239.221966890279</c:v>
                </c:pt>
                <c:pt idx="113">
                  <c:v>6381.9970219893248</c:v>
                </c:pt>
                <c:pt idx="114">
                  <c:v>6395.340809242156</c:v>
                </c:pt>
                <c:pt idx="115">
                  <c:v>6538.1158643412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50</c:v>
                </c:pt>
                <c:pt idx="2">
                  <c:v>50</c:v>
                </c:pt>
                <c:pt idx="3">
                  <c:v>41</c:v>
                </c:pt>
                <c:pt idx="4">
                  <c:v>50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20</c:v>
                </c:pt>
                <c:pt idx="9">
                  <c:v>47</c:v>
                </c:pt>
                <c:pt idx="10">
                  <c:v>12</c:v>
                </c:pt>
                <c:pt idx="11">
                  <c:v>23</c:v>
                </c:pt>
                <c:pt idx="12">
                  <c:v>30</c:v>
                </c:pt>
                <c:pt idx="13">
                  <c:v>27</c:v>
                </c:pt>
                <c:pt idx="14">
                  <c:v>28</c:v>
                </c:pt>
                <c:pt idx="15">
                  <c:v>24</c:v>
                </c:pt>
                <c:pt idx="16">
                  <c:v>44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53</c:v>
                </c:pt>
                <c:pt idx="24">
                  <c:v>54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74.706710359279242</c:v>
                </c:pt>
                <c:pt idx="1">
                  <c:v>73.764232563202299</c:v>
                </c:pt>
                <c:pt idx="2">
                  <c:v>72.821754767125356</c:v>
                </c:pt>
                <c:pt idx="3">
                  <c:v>74.465513329011273</c:v>
                </c:pt>
                <c:pt idx="4">
                  <c:v>82.947813493703705</c:v>
                </c:pt>
                <c:pt idx="5">
                  <c:v>91.430113658396166</c:v>
                </c:pt>
                <c:pt idx="6">
                  <c:v>99.912413823088599</c:v>
                </c:pt>
                <c:pt idx="7">
                  <c:v>108.39471398778103</c:v>
                </c:pt>
                <c:pt idx="8">
                  <c:v>115.180554119535</c:v>
                </c:pt>
                <c:pt idx="9">
                  <c:v>110.45762911485845</c:v>
                </c:pt>
                <c:pt idx="10">
                  <c:v>117.24346924661241</c:v>
                </c:pt>
                <c:pt idx="11">
                  <c:v>126.11846849300359</c:v>
                </c:pt>
                <c:pt idx="12">
                  <c:v>108.20639990010866</c:v>
                </c:pt>
                <c:pt idx="13">
                  <c:v>117.08139914649985</c:v>
                </c:pt>
                <c:pt idx="14">
                  <c:v>121.43250497172173</c:v>
                </c:pt>
                <c:pt idx="15">
                  <c:v>125.0163597878482</c:v>
                </c:pt>
                <c:pt idx="16">
                  <c:v>129.3674656130701</c:v>
                </c:pt>
                <c:pt idx="17">
                  <c:v>131.64512028692266</c:v>
                </c:pt>
                <c:pt idx="18">
                  <c:v>134.19498227530647</c:v>
                </c:pt>
                <c:pt idx="19">
                  <c:v>136.47263694915907</c:v>
                </c:pt>
                <c:pt idx="20">
                  <c:v>140.63524721516558</c:v>
                </c:pt>
                <c:pt idx="21">
                  <c:v>153.30186751354796</c:v>
                </c:pt>
                <c:pt idx="22">
                  <c:v>157.46447777955441</c:v>
                </c:pt>
                <c:pt idx="23">
                  <c:v>160.37045098412497</c:v>
                </c:pt>
                <c:pt idx="24">
                  <c:v>160.70246384687823</c:v>
                </c:pt>
                <c:pt idx="25">
                  <c:v>163.60843705144876</c:v>
                </c:pt>
                <c:pt idx="26">
                  <c:v>171.17967534660016</c:v>
                </c:pt>
                <c:pt idx="27">
                  <c:v>168.71240159118494</c:v>
                </c:pt>
                <c:pt idx="28">
                  <c:v>176.28363988633635</c:v>
                </c:pt>
                <c:pt idx="29">
                  <c:v>177.99580788254281</c:v>
                </c:pt>
                <c:pt idx="30">
                  <c:v>193.51849404246585</c:v>
                </c:pt>
                <c:pt idx="31">
                  <c:v>195.23066203867228</c:v>
                </c:pt>
                <c:pt idx="32">
                  <c:v>199.01628118624797</c:v>
                </c:pt>
                <c:pt idx="33">
                  <c:v>205.87090437020515</c:v>
                </c:pt>
                <c:pt idx="34">
                  <c:v>209.65652351778084</c:v>
                </c:pt>
                <c:pt idx="35">
                  <c:v>214.76161157986425</c:v>
                </c:pt>
                <c:pt idx="36">
                  <c:v>218.33219762375694</c:v>
                </c:pt>
                <c:pt idx="37">
                  <c:v>223.43728568584035</c:v>
                </c:pt>
                <c:pt idx="38">
                  <c:v>227.97688707027763</c:v>
                </c:pt>
                <c:pt idx="39">
                  <c:v>230.21473542742876</c:v>
                </c:pt>
                <c:pt idx="40">
                  <c:v>234.75433681186601</c:v>
                </c:pt>
                <c:pt idx="41">
                  <c:v>239.48243375551866</c:v>
                </c:pt>
                <c:pt idx="42">
                  <c:v>256.48654684469716</c:v>
                </c:pt>
                <c:pt idx="43">
                  <c:v>261.2146437883498</c:v>
                </c:pt>
                <c:pt idx="44">
                  <c:v>265.18875849514086</c:v>
                </c:pt>
                <c:pt idx="45">
                  <c:v>266.86112017464586</c:v>
                </c:pt>
                <c:pt idx="46">
                  <c:v>270.83523488143697</c:v>
                </c:pt>
                <c:pt idx="47">
                  <c:v>278.5792607725358</c:v>
                </c:pt>
                <c:pt idx="48">
                  <c:v>276.34902354539491</c:v>
                </c:pt>
                <c:pt idx="49">
                  <c:v>284.09304943649374</c:v>
                </c:pt>
                <c:pt idx="50">
                  <c:v>287.50167746563864</c:v>
                </c:pt>
                <c:pt idx="51">
                  <c:v>313.09386727949743</c:v>
                </c:pt>
                <c:pt idx="52">
                  <c:v>316.50249530864232</c:v>
                </c:pt>
                <c:pt idx="53">
                  <c:v>321.79607892994119</c:v>
                </c:pt>
                <c:pt idx="54">
                  <c:v>333.99492163309827</c:v>
                </c:pt>
                <c:pt idx="55">
                  <c:v>339.28850525439708</c:v>
                </c:pt>
                <c:pt idx="56">
                  <c:v>348.16350450078824</c:v>
                </c:pt>
                <c:pt idx="57">
                  <c:v>351.7344641625636</c:v>
                </c:pt>
                <c:pt idx="58">
                  <c:v>360.60946340895475</c:v>
                </c:pt>
                <c:pt idx="59">
                  <c:v>367.59950706319205</c:v>
                </c:pt>
                <c:pt idx="60">
                  <c:v>363.84803659009418</c:v>
                </c:pt>
                <c:pt idx="61">
                  <c:v>370.83808024433148</c:v>
                </c:pt>
                <c:pt idx="62">
                  <c:v>378.39361057621488</c:v>
                </c:pt>
                <c:pt idx="63">
                  <c:v>391.25318049271419</c:v>
                </c:pt>
                <c:pt idx="64">
                  <c:v>398.80871082459771</c:v>
                </c:pt>
                <c:pt idx="65">
                  <c:v>403.1598166498195</c:v>
                </c:pt>
                <c:pt idx="66">
                  <c:v>425.85822921427842</c:v>
                </c:pt>
                <c:pt idx="67">
                  <c:v>430.20933503950027</c:v>
                </c:pt>
                <c:pt idx="68">
                  <c:v>439.08433428589143</c:v>
                </c:pt>
                <c:pt idx="69">
                  <c:v>447.95933353228264</c:v>
                </c:pt>
                <c:pt idx="70">
                  <c:v>456.8343327786738</c:v>
                </c:pt>
                <c:pt idx="71">
                  <c:v>465.70933202506495</c:v>
                </c:pt>
                <c:pt idx="72">
                  <c:v>474.58433127145611</c:v>
                </c:pt>
                <c:pt idx="73">
                  <c:v>483.45933051784726</c:v>
                </c:pt>
                <c:pt idx="74">
                  <c:v>492.33432976423842</c:v>
                </c:pt>
                <c:pt idx="75">
                  <c:v>491.30178337144162</c:v>
                </c:pt>
                <c:pt idx="76">
                  <c:v>500.17678261783277</c:v>
                </c:pt>
                <c:pt idx="77">
                  <c:v>509.05178186422404</c:v>
                </c:pt>
                <c:pt idx="78">
                  <c:v>517.92678111061514</c:v>
                </c:pt>
                <c:pt idx="79">
                  <c:v>526.80178035700624</c:v>
                </c:pt>
                <c:pt idx="80">
                  <c:v>533.22633733359737</c:v>
                </c:pt>
                <c:pt idx="81">
                  <c:v>549.55843994937652</c:v>
                </c:pt>
                <c:pt idx="82">
                  <c:v>555.98299692596754</c:v>
                </c:pt>
                <c:pt idx="83">
                  <c:v>564.85799617235887</c:v>
                </c:pt>
                <c:pt idx="84">
                  <c:v>573.73299541874997</c:v>
                </c:pt>
                <c:pt idx="85">
                  <c:v>582.60799466514106</c:v>
                </c:pt>
                <c:pt idx="86">
                  <c:v>591.48299391153228</c:v>
                </c:pt>
                <c:pt idx="87">
                  <c:v>600.35799315792349</c:v>
                </c:pt>
                <c:pt idx="88">
                  <c:v>609.23299240431459</c:v>
                </c:pt>
                <c:pt idx="89">
                  <c:v>618.1079916507058</c:v>
                </c:pt>
                <c:pt idx="90">
                  <c:v>609.40293516695533</c:v>
                </c:pt>
                <c:pt idx="91">
                  <c:v>618.27793441334643</c:v>
                </c:pt>
                <c:pt idx="92">
                  <c:v>627.15293365973753</c:v>
                </c:pt>
                <c:pt idx="93">
                  <c:v>616.91337515779639</c:v>
                </c:pt>
                <c:pt idx="94">
                  <c:v>625.78837440418761</c:v>
                </c:pt>
                <c:pt idx="95">
                  <c:v>630.32797578862483</c:v>
                </c:pt>
                <c:pt idx="96">
                  <c:v>636.40207919125271</c:v>
                </c:pt>
                <c:pt idx="97">
                  <c:v>640.94168057569004</c:v>
                </c:pt>
                <c:pt idx="98">
                  <c:v>645.10429084169641</c:v>
                </c:pt>
                <c:pt idx="99">
                  <c:v>656.93941119865667</c:v>
                </c:pt>
                <c:pt idx="100">
                  <c:v>661.10202146466315</c:v>
                </c:pt>
                <c:pt idx="101">
                  <c:v>666.01861396753122</c:v>
                </c:pt>
                <c:pt idx="102">
                  <c:v>686.9807601823502</c:v>
                </c:pt>
                <c:pt idx="103">
                  <c:v>691.89735268521815</c:v>
                </c:pt>
                <c:pt idx="104">
                  <c:v>697.94491854337844</c:v>
                </c:pt>
                <c:pt idx="105">
                  <c:v>715.43453205891751</c:v>
                </c:pt>
                <c:pt idx="106">
                  <c:v>721.48209791707802</c:v>
                </c:pt>
                <c:pt idx="107">
                  <c:v>730.35709716346912</c:v>
                </c:pt>
                <c:pt idx="108">
                  <c:v>739.23209640986022</c:v>
                </c:pt>
                <c:pt idx="109">
                  <c:v>748.10709565625143</c:v>
                </c:pt>
                <c:pt idx="110">
                  <c:v>746.28505909467526</c:v>
                </c:pt>
                <c:pt idx="111">
                  <c:v>749.81154043708284</c:v>
                </c:pt>
                <c:pt idx="112">
                  <c:v>761.01053187044408</c:v>
                </c:pt>
                <c:pt idx="113">
                  <c:v>769.88553111683518</c:v>
                </c:pt>
                <c:pt idx="114">
                  <c:v>771.89974960073573</c:v>
                </c:pt>
                <c:pt idx="115">
                  <c:v>780.77474884712694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-11.859512267301467</c:v>
                </c:pt>
                <c:pt idx="12">
                  <c:v>-12.409290981679682</c:v>
                </c:pt>
                <c:pt idx="13">
                  <c:v>-12.959069696057897</c:v>
                </c:pt>
                <c:pt idx="14">
                  <c:v>-13.50884841043611</c:v>
                </c:pt>
                <c:pt idx="15">
                  <c:v>-14.058627124814324</c:v>
                </c:pt>
                <c:pt idx="16">
                  <c:v>-14.608405839192537</c:v>
                </c:pt>
                <c:pt idx="17">
                  <c:v>-15.158184553570749</c:v>
                </c:pt>
                <c:pt idx="18">
                  <c:v>-15.707963267948966</c:v>
                </c:pt>
                <c:pt idx="19">
                  <c:v>-16.257741982327179</c:v>
                </c:pt>
                <c:pt idx="20">
                  <c:v>-16.807520696705392</c:v>
                </c:pt>
                <c:pt idx="21">
                  <c:v>-17.357299411083606</c:v>
                </c:pt>
                <c:pt idx="22">
                  <c:v>-17.907078125461819</c:v>
                </c:pt>
                <c:pt idx="23">
                  <c:v>-18.456856839840036</c:v>
                </c:pt>
                <c:pt idx="24">
                  <c:v>-19.006635554218246</c:v>
                </c:pt>
                <c:pt idx="25">
                  <c:v>-19.556414268596463</c:v>
                </c:pt>
                <c:pt idx="26">
                  <c:v>-20.106192982974676</c:v>
                </c:pt>
                <c:pt idx="27">
                  <c:v>-20.655971697352886</c:v>
                </c:pt>
                <c:pt idx="28">
                  <c:v>-21.205750411731103</c:v>
                </c:pt>
                <c:pt idx="29">
                  <c:v>-21.755529126109312</c:v>
                </c:pt>
                <c:pt idx="30">
                  <c:v>-22.305307840487529</c:v>
                </c:pt>
                <c:pt idx="31">
                  <c:v>-22.855086554865743</c:v>
                </c:pt>
                <c:pt idx="32">
                  <c:v>-23.404865269243956</c:v>
                </c:pt>
                <c:pt idx="33">
                  <c:v>-23.954643983622169</c:v>
                </c:pt>
                <c:pt idx="34">
                  <c:v>-24.504422698000383</c:v>
                </c:pt>
                <c:pt idx="35">
                  <c:v>-25.0542014123786</c:v>
                </c:pt>
                <c:pt idx="36">
                  <c:v>-25.603980126756809</c:v>
                </c:pt>
                <c:pt idx="37">
                  <c:v>-26.153758841135026</c:v>
                </c:pt>
                <c:pt idx="38">
                  <c:v>-26.703537555513243</c:v>
                </c:pt>
                <c:pt idx="39">
                  <c:v>-27.253316269891453</c:v>
                </c:pt>
                <c:pt idx="40">
                  <c:v>-27.803094984269666</c:v>
                </c:pt>
                <c:pt idx="41">
                  <c:v>56.830361278245888</c:v>
                </c:pt>
                <c:pt idx="42">
                  <c:v>88.346439988005343</c:v>
                </c:pt>
                <c:pt idx="43">
                  <c:v>96.254795340984245</c:v>
                </c:pt>
                <c:pt idx="44">
                  <c:v>102.95484582719787</c:v>
                </c:pt>
                <c:pt idx="45">
                  <c:v>105.22844818401514</c:v>
                </c:pt>
                <c:pt idx="46">
                  <c:v>111.92849867022875</c:v>
                </c:pt>
                <c:pt idx="47">
                  <c:v>124.67007349026889</c:v>
                </c:pt>
                <c:pt idx="48">
                  <c:v>118.23037308292484</c:v>
                </c:pt>
                <c:pt idx="49">
                  <c:v>130.97194790296504</c:v>
                </c:pt>
                <c:pt idx="50">
                  <c:v>136.76576973910463</c:v>
                </c:pt>
                <c:pt idx="51">
                  <c:v>185.22028731507862</c:v>
                </c:pt>
                <c:pt idx="52">
                  <c:v>191.01410915121824</c:v>
                </c:pt>
                <c:pt idx="53">
                  <c:v>199.82869315427112</c:v>
                </c:pt>
                <c:pt idx="54">
                  <c:v>221.92262154551312</c:v>
                </c:pt>
                <c:pt idx="55">
                  <c:v>230.73720554856601</c:v>
                </c:pt>
                <c:pt idx="56">
                  <c:v>245.29123766875412</c:v>
                </c:pt>
                <c:pt idx="57">
                  <c:v>249.64519366468102</c:v>
                </c:pt>
                <c:pt idx="58">
                  <c:v>264.19922578486921</c:v>
                </c:pt>
                <c:pt idx="59">
                  <c:v>275.73249573814394</c:v>
                </c:pt>
                <c:pt idx="60">
                  <c:v>266.60900775423585</c:v>
                </c:pt>
                <c:pt idx="61">
                  <c:v>278.14227770751074</c:v>
                </c:pt>
                <c:pt idx="62">
                  <c:v>290.58177631085954</c:v>
                </c:pt>
                <c:pt idx="63">
                  <c:v>313.22135103846949</c:v>
                </c:pt>
                <c:pt idx="64">
                  <c:v>325.66084964181834</c:v>
                </c:pt>
                <c:pt idx="65">
                  <c:v>332.96505256141455</c:v>
                </c:pt>
                <c:pt idx="66">
                  <c:v>375.55253767185133</c:v>
                </c:pt>
                <c:pt idx="67">
                  <c:v>382.85674059144748</c:v>
                </c:pt>
                <c:pt idx="68">
                  <c:v>397.41077271163562</c:v>
                </c:pt>
                <c:pt idx="69">
                  <c:v>411.96480483182376</c:v>
                </c:pt>
                <c:pt idx="70">
                  <c:v>426.51883695201184</c:v>
                </c:pt>
                <c:pt idx="71">
                  <c:v>441.07286907219992</c:v>
                </c:pt>
                <c:pt idx="72">
                  <c:v>455.62690119238795</c:v>
                </c:pt>
                <c:pt idx="73">
                  <c:v>470.1809333125762</c:v>
                </c:pt>
                <c:pt idx="74">
                  <c:v>484.73496543276428</c:v>
                </c:pt>
                <c:pt idx="75">
                  <c:v>480.23602516989843</c:v>
                </c:pt>
                <c:pt idx="76">
                  <c:v>494.79005729008651</c:v>
                </c:pt>
                <c:pt idx="77">
                  <c:v>509.34408941027471</c:v>
                </c:pt>
                <c:pt idx="78">
                  <c:v>523.89812153046273</c:v>
                </c:pt>
                <c:pt idx="79">
                  <c:v>538.45215365065087</c:v>
                </c:pt>
                <c:pt idx="80">
                  <c:v>549.0791949538517</c:v>
                </c:pt>
                <c:pt idx="81">
                  <c:v>578.75920864010641</c:v>
                </c:pt>
                <c:pt idx="82">
                  <c:v>589.38624994330723</c:v>
                </c:pt>
                <c:pt idx="83">
                  <c:v>603.94028206349537</c:v>
                </c:pt>
                <c:pt idx="84">
                  <c:v>618.49431418368351</c:v>
                </c:pt>
                <c:pt idx="85">
                  <c:v>633.04834630387154</c:v>
                </c:pt>
                <c:pt idx="86">
                  <c:v>647.60237842405968</c:v>
                </c:pt>
                <c:pt idx="87">
                  <c:v>662.15641054424771</c:v>
                </c:pt>
                <c:pt idx="88">
                  <c:v>676.71044266443573</c:v>
                </c:pt>
                <c:pt idx="89">
                  <c:v>691.26447478462387</c:v>
                </c:pt>
                <c:pt idx="90">
                  <c:v>672.01070742377033</c:v>
                </c:pt>
                <c:pt idx="91">
                  <c:v>686.56473954395847</c:v>
                </c:pt>
                <c:pt idx="92">
                  <c:v>701.11877166414649</c:v>
                </c:pt>
                <c:pt idx="93">
                  <c:v>678.91403888369541</c:v>
                </c:pt>
                <c:pt idx="94">
                  <c:v>693.46807100388344</c:v>
                </c:pt>
                <c:pt idx="95">
                  <c:v>701.07435014017096</c:v>
                </c:pt>
                <c:pt idx="96">
                  <c:v>711.63159469605637</c:v>
                </c:pt>
                <c:pt idx="97">
                  <c:v>719.23787383234378</c:v>
                </c:pt>
                <c:pt idx="98">
                  <c:v>726.24000053524878</c:v>
                </c:pt>
                <c:pt idx="99">
                  <c:v>747.99695433614158</c:v>
                </c:pt>
                <c:pt idx="100">
                  <c:v>754.99908103904659</c:v>
                </c:pt>
                <c:pt idx="101">
                  <c:v>763.20951260871675</c:v>
                </c:pt>
                <c:pt idx="102">
                  <c:v>802.27677823983117</c:v>
                </c:pt>
                <c:pt idx="103">
                  <c:v>810.48720980950145</c:v>
                </c:pt>
                <c:pt idx="104">
                  <c:v>820.51009867931953</c:v>
                </c:pt>
                <c:pt idx="105">
                  <c:v>852.53692535178902</c:v>
                </c:pt>
                <c:pt idx="106">
                  <c:v>862.55981422160733</c:v>
                </c:pt>
                <c:pt idx="107">
                  <c:v>877.11384634179547</c:v>
                </c:pt>
                <c:pt idx="108">
                  <c:v>891.66787846198349</c:v>
                </c:pt>
                <c:pt idx="109">
                  <c:v>906.22191058217163</c:v>
                </c:pt>
                <c:pt idx="110">
                  <c:v>900.20471999473034</c:v>
                </c:pt>
                <c:pt idx="111">
                  <c:v>904.47314076110376</c:v>
                </c:pt>
                <c:pt idx="112">
                  <c:v>923.49638862546499</c:v>
                </c:pt>
                <c:pt idx="113">
                  <c:v>938.05042074565313</c:v>
                </c:pt>
                <c:pt idx="114">
                  <c:v>939.41064370720574</c:v>
                </c:pt>
                <c:pt idx="115">
                  <c:v>953.96467582739376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-313.64383076014957</c:v>
                </c:pt>
                <c:pt idx="38">
                  <c:v>-314.19360947452782</c:v>
                </c:pt>
                <c:pt idx="39">
                  <c:v>-314.74338818890601</c:v>
                </c:pt>
                <c:pt idx="40">
                  <c:v>-315.2931669032842</c:v>
                </c:pt>
                <c:pt idx="41">
                  <c:v>-230.65971064076865</c:v>
                </c:pt>
                <c:pt idx="42">
                  <c:v>-199.14363193100922</c:v>
                </c:pt>
                <c:pt idx="43">
                  <c:v>-191.23527657803032</c:v>
                </c:pt>
                <c:pt idx="44">
                  <c:v>-184.5352260918167</c:v>
                </c:pt>
                <c:pt idx="45">
                  <c:v>-182.26162373499943</c:v>
                </c:pt>
                <c:pt idx="46">
                  <c:v>-175.56157324878581</c:v>
                </c:pt>
                <c:pt idx="47">
                  <c:v>-162.81999842874566</c:v>
                </c:pt>
                <c:pt idx="48">
                  <c:v>-169.25969883608971</c:v>
                </c:pt>
                <c:pt idx="49">
                  <c:v>-156.51812401604951</c:v>
                </c:pt>
                <c:pt idx="50">
                  <c:v>-150.72430217990993</c:v>
                </c:pt>
                <c:pt idx="51">
                  <c:v>-102.26978460393593</c:v>
                </c:pt>
                <c:pt idx="52">
                  <c:v>-96.475962767796318</c:v>
                </c:pt>
                <c:pt idx="53">
                  <c:v>-87.661378764743432</c:v>
                </c:pt>
                <c:pt idx="54">
                  <c:v>-65.56745037350143</c:v>
                </c:pt>
                <c:pt idx="55">
                  <c:v>-56.752866370448544</c:v>
                </c:pt>
                <c:pt idx="56">
                  <c:v>-42.198834250260433</c:v>
                </c:pt>
                <c:pt idx="57">
                  <c:v>-37.844878254333537</c:v>
                </c:pt>
                <c:pt idx="58">
                  <c:v>-23.29084613414534</c:v>
                </c:pt>
                <c:pt idx="59">
                  <c:v>-11.757576180870615</c:v>
                </c:pt>
                <c:pt idx="60">
                  <c:v>-20.881064164778707</c:v>
                </c:pt>
                <c:pt idx="61">
                  <c:v>-9.3477942115038104</c:v>
                </c:pt>
                <c:pt idx="62">
                  <c:v>3.0917043918449849</c:v>
                </c:pt>
                <c:pt idx="63">
                  <c:v>25.731279119454939</c:v>
                </c:pt>
                <c:pt idx="64">
                  <c:v>38.170777722803791</c:v>
                </c:pt>
                <c:pt idx="65">
                  <c:v>45.474980642399998</c:v>
                </c:pt>
                <c:pt idx="66">
                  <c:v>88.062465752836772</c:v>
                </c:pt>
                <c:pt idx="67">
                  <c:v>95.366668672432922</c:v>
                </c:pt>
                <c:pt idx="68">
                  <c:v>109.92070079262106</c:v>
                </c:pt>
                <c:pt idx="69">
                  <c:v>124.4747329128092</c:v>
                </c:pt>
                <c:pt idx="70">
                  <c:v>139.02876503299728</c:v>
                </c:pt>
                <c:pt idx="71">
                  <c:v>153.58279715318537</c:v>
                </c:pt>
                <c:pt idx="72">
                  <c:v>168.13682927337339</c:v>
                </c:pt>
                <c:pt idx="73">
                  <c:v>182.69086139356165</c:v>
                </c:pt>
                <c:pt idx="74">
                  <c:v>197.24489351374973</c:v>
                </c:pt>
                <c:pt idx="75">
                  <c:v>192.74595325088387</c:v>
                </c:pt>
                <c:pt idx="76">
                  <c:v>207.29998537107195</c:v>
                </c:pt>
                <c:pt idx="77">
                  <c:v>221.85401749126015</c:v>
                </c:pt>
                <c:pt idx="78">
                  <c:v>236.40804961144818</c:v>
                </c:pt>
                <c:pt idx="79">
                  <c:v>250.96208173163632</c:v>
                </c:pt>
                <c:pt idx="80">
                  <c:v>261.58912303483714</c:v>
                </c:pt>
                <c:pt idx="81">
                  <c:v>291.26913672109185</c:v>
                </c:pt>
                <c:pt idx="82">
                  <c:v>301.89617802429268</c:v>
                </c:pt>
                <c:pt idx="83">
                  <c:v>316.45021014448082</c:v>
                </c:pt>
                <c:pt idx="84">
                  <c:v>331.00424226466896</c:v>
                </c:pt>
                <c:pt idx="85">
                  <c:v>345.55827438485699</c:v>
                </c:pt>
                <c:pt idx="86">
                  <c:v>360.11230650504513</c:v>
                </c:pt>
                <c:pt idx="87">
                  <c:v>374.66633862523315</c:v>
                </c:pt>
                <c:pt idx="88">
                  <c:v>389.22037074542118</c:v>
                </c:pt>
                <c:pt idx="89">
                  <c:v>403.77440286560932</c:v>
                </c:pt>
                <c:pt idx="90">
                  <c:v>384.52063550475577</c:v>
                </c:pt>
                <c:pt idx="91">
                  <c:v>399.07466762494391</c:v>
                </c:pt>
                <c:pt idx="92">
                  <c:v>413.62869974513194</c:v>
                </c:pt>
                <c:pt idx="93">
                  <c:v>391.42396696468086</c:v>
                </c:pt>
                <c:pt idx="94">
                  <c:v>405.97799908486888</c:v>
                </c:pt>
                <c:pt idx="95">
                  <c:v>413.58427822115641</c:v>
                </c:pt>
                <c:pt idx="96">
                  <c:v>424.14152277704181</c:v>
                </c:pt>
                <c:pt idx="97">
                  <c:v>431.74780191332923</c:v>
                </c:pt>
                <c:pt idx="98">
                  <c:v>438.74992861623423</c:v>
                </c:pt>
                <c:pt idx="99">
                  <c:v>460.50688241712703</c:v>
                </c:pt>
                <c:pt idx="100">
                  <c:v>467.50900912003203</c:v>
                </c:pt>
                <c:pt idx="101">
                  <c:v>475.7194406897022</c:v>
                </c:pt>
                <c:pt idx="102">
                  <c:v>514.78670632081662</c:v>
                </c:pt>
                <c:pt idx="103">
                  <c:v>522.9971378904869</c:v>
                </c:pt>
                <c:pt idx="104">
                  <c:v>533.02002676030497</c:v>
                </c:pt>
                <c:pt idx="105">
                  <c:v>565.04685343277447</c:v>
                </c:pt>
                <c:pt idx="106">
                  <c:v>575.06974230259277</c:v>
                </c:pt>
                <c:pt idx="107">
                  <c:v>589.62377442278091</c:v>
                </c:pt>
                <c:pt idx="108">
                  <c:v>604.17780654296894</c:v>
                </c:pt>
                <c:pt idx="109">
                  <c:v>618.73183866315708</c:v>
                </c:pt>
                <c:pt idx="110">
                  <c:v>612.71464807571579</c:v>
                </c:pt>
                <c:pt idx="111">
                  <c:v>616.98306884208921</c:v>
                </c:pt>
                <c:pt idx="112">
                  <c:v>636.00631670645043</c:v>
                </c:pt>
                <c:pt idx="113">
                  <c:v>650.56034882663857</c:v>
                </c:pt>
                <c:pt idx="114">
                  <c:v>651.92057178819118</c:v>
                </c:pt>
                <c:pt idx="115">
                  <c:v>666.47460390837921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50</c:v>
                </c:pt>
                <c:pt idx="2">
                  <c:v>50</c:v>
                </c:pt>
                <c:pt idx="3">
                  <c:v>41</c:v>
                </c:pt>
                <c:pt idx="4">
                  <c:v>50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20</c:v>
                </c:pt>
                <c:pt idx="9">
                  <c:v>47</c:v>
                </c:pt>
                <c:pt idx="10">
                  <c:v>12</c:v>
                </c:pt>
                <c:pt idx="11">
                  <c:v>23</c:v>
                </c:pt>
                <c:pt idx="12">
                  <c:v>30</c:v>
                </c:pt>
                <c:pt idx="13">
                  <c:v>27</c:v>
                </c:pt>
                <c:pt idx="14">
                  <c:v>28</c:v>
                </c:pt>
                <c:pt idx="15">
                  <c:v>24</c:v>
                </c:pt>
                <c:pt idx="16">
                  <c:v>44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53</c:v>
                </c:pt>
                <c:pt idx="24">
                  <c:v>54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74.706710359279242</c:v>
                </c:pt>
                <c:pt idx="1">
                  <c:v>73.764232563202299</c:v>
                </c:pt>
                <c:pt idx="2">
                  <c:v>72.821754767125356</c:v>
                </c:pt>
                <c:pt idx="3">
                  <c:v>74.465513329011273</c:v>
                </c:pt>
                <c:pt idx="4">
                  <c:v>82.947813493703705</c:v>
                </c:pt>
                <c:pt idx="5">
                  <c:v>91.430113658396166</c:v>
                </c:pt>
                <c:pt idx="6">
                  <c:v>99.912413823088599</c:v>
                </c:pt>
                <c:pt idx="7">
                  <c:v>108.39471398778103</c:v>
                </c:pt>
                <c:pt idx="8">
                  <c:v>115.180554119535</c:v>
                </c:pt>
                <c:pt idx="9">
                  <c:v>110.45762911485845</c:v>
                </c:pt>
                <c:pt idx="10">
                  <c:v>117.24346924661241</c:v>
                </c:pt>
                <c:pt idx="11">
                  <c:v>126.11846849300359</c:v>
                </c:pt>
                <c:pt idx="12">
                  <c:v>108.20639990010866</c:v>
                </c:pt>
                <c:pt idx="13">
                  <c:v>117.08139914649985</c:v>
                </c:pt>
                <c:pt idx="14">
                  <c:v>121.43250497172173</c:v>
                </c:pt>
                <c:pt idx="15">
                  <c:v>125.0163597878482</c:v>
                </c:pt>
                <c:pt idx="16">
                  <c:v>129.3674656130701</c:v>
                </c:pt>
                <c:pt idx="17">
                  <c:v>131.64512028692266</c:v>
                </c:pt>
                <c:pt idx="18">
                  <c:v>134.19498227530647</c:v>
                </c:pt>
                <c:pt idx="19">
                  <c:v>136.47263694915907</c:v>
                </c:pt>
                <c:pt idx="20">
                  <c:v>140.63524721516558</c:v>
                </c:pt>
                <c:pt idx="21">
                  <c:v>153.30186751354796</c:v>
                </c:pt>
                <c:pt idx="22">
                  <c:v>157.46447777955441</c:v>
                </c:pt>
                <c:pt idx="23">
                  <c:v>160.37045098412497</c:v>
                </c:pt>
                <c:pt idx="24">
                  <c:v>160.70246384687823</c:v>
                </c:pt>
                <c:pt idx="25">
                  <c:v>163.60843705144876</c:v>
                </c:pt>
                <c:pt idx="26">
                  <c:v>171.17967534660016</c:v>
                </c:pt>
                <c:pt idx="27">
                  <c:v>168.71240159118494</c:v>
                </c:pt>
                <c:pt idx="28">
                  <c:v>176.28363988633635</c:v>
                </c:pt>
                <c:pt idx="29">
                  <c:v>177.99580788254281</c:v>
                </c:pt>
                <c:pt idx="30">
                  <c:v>193.51849404246585</c:v>
                </c:pt>
                <c:pt idx="31">
                  <c:v>195.23066203867228</c:v>
                </c:pt>
                <c:pt idx="32">
                  <c:v>199.01628118624797</c:v>
                </c:pt>
                <c:pt idx="33">
                  <c:v>205.87090437020515</c:v>
                </c:pt>
                <c:pt idx="34">
                  <c:v>209.65652351778084</c:v>
                </c:pt>
                <c:pt idx="35">
                  <c:v>214.76161157986425</c:v>
                </c:pt>
                <c:pt idx="36">
                  <c:v>218.33219762375694</c:v>
                </c:pt>
                <c:pt idx="37">
                  <c:v>223.43728568584035</c:v>
                </c:pt>
                <c:pt idx="38">
                  <c:v>227.97688707027763</c:v>
                </c:pt>
                <c:pt idx="39">
                  <c:v>230.21473542742876</c:v>
                </c:pt>
                <c:pt idx="40">
                  <c:v>234.75433681186601</c:v>
                </c:pt>
                <c:pt idx="41">
                  <c:v>239.48243375551866</c:v>
                </c:pt>
                <c:pt idx="42">
                  <c:v>256.48654684469716</c:v>
                </c:pt>
                <c:pt idx="43">
                  <c:v>261.2146437883498</c:v>
                </c:pt>
                <c:pt idx="44">
                  <c:v>265.18875849514086</c:v>
                </c:pt>
                <c:pt idx="45">
                  <c:v>266.86112017464586</c:v>
                </c:pt>
                <c:pt idx="46">
                  <c:v>270.83523488143697</c:v>
                </c:pt>
                <c:pt idx="47">
                  <c:v>278.5792607725358</c:v>
                </c:pt>
                <c:pt idx="48">
                  <c:v>276.34902354539491</c:v>
                </c:pt>
                <c:pt idx="49">
                  <c:v>284.09304943649374</c:v>
                </c:pt>
                <c:pt idx="50">
                  <c:v>287.50167746563864</c:v>
                </c:pt>
                <c:pt idx="51">
                  <c:v>313.09386727949743</c:v>
                </c:pt>
                <c:pt idx="52">
                  <c:v>316.50249530864232</c:v>
                </c:pt>
                <c:pt idx="53">
                  <c:v>321.79607892994119</c:v>
                </c:pt>
                <c:pt idx="54">
                  <c:v>333.99492163309827</c:v>
                </c:pt>
                <c:pt idx="55">
                  <c:v>339.28850525439708</c:v>
                </c:pt>
                <c:pt idx="56">
                  <c:v>348.16350450078824</c:v>
                </c:pt>
                <c:pt idx="57">
                  <c:v>351.7344641625636</c:v>
                </c:pt>
                <c:pt idx="58">
                  <c:v>360.60946340895475</c:v>
                </c:pt>
                <c:pt idx="59">
                  <c:v>367.59950706319205</c:v>
                </c:pt>
                <c:pt idx="60">
                  <c:v>363.84803659009418</c:v>
                </c:pt>
                <c:pt idx="61">
                  <c:v>370.83808024433148</c:v>
                </c:pt>
                <c:pt idx="62">
                  <c:v>378.39361057621488</c:v>
                </c:pt>
                <c:pt idx="63">
                  <c:v>391.25318049271419</c:v>
                </c:pt>
                <c:pt idx="64">
                  <c:v>398.80871082459771</c:v>
                </c:pt>
                <c:pt idx="65">
                  <c:v>403.1598166498195</c:v>
                </c:pt>
                <c:pt idx="66">
                  <c:v>425.85822921427842</c:v>
                </c:pt>
                <c:pt idx="67">
                  <c:v>430.20933503950027</c:v>
                </c:pt>
                <c:pt idx="68">
                  <c:v>439.08433428589143</c:v>
                </c:pt>
                <c:pt idx="69">
                  <c:v>447.95933353228264</c:v>
                </c:pt>
                <c:pt idx="70">
                  <c:v>456.8343327786738</c:v>
                </c:pt>
                <c:pt idx="71">
                  <c:v>465.70933202506495</c:v>
                </c:pt>
                <c:pt idx="72">
                  <c:v>474.58433127145611</c:v>
                </c:pt>
                <c:pt idx="73">
                  <c:v>483.45933051784726</c:v>
                </c:pt>
                <c:pt idx="74">
                  <c:v>492.33432976423842</c:v>
                </c:pt>
                <c:pt idx="75">
                  <c:v>491.30178337144162</c:v>
                </c:pt>
                <c:pt idx="76">
                  <c:v>500.17678261783277</c:v>
                </c:pt>
                <c:pt idx="77">
                  <c:v>509.05178186422404</c:v>
                </c:pt>
                <c:pt idx="78">
                  <c:v>517.92678111061514</c:v>
                </c:pt>
                <c:pt idx="79">
                  <c:v>526.80178035700624</c:v>
                </c:pt>
                <c:pt idx="80">
                  <c:v>533.22633733359737</c:v>
                </c:pt>
                <c:pt idx="81">
                  <c:v>549.55843994937652</c:v>
                </c:pt>
                <c:pt idx="82">
                  <c:v>555.98299692596754</c:v>
                </c:pt>
                <c:pt idx="83">
                  <c:v>564.85799617235887</c:v>
                </c:pt>
                <c:pt idx="84">
                  <c:v>573.73299541874997</c:v>
                </c:pt>
                <c:pt idx="85">
                  <c:v>582.60799466514106</c:v>
                </c:pt>
                <c:pt idx="86">
                  <c:v>591.48299391153228</c:v>
                </c:pt>
                <c:pt idx="87">
                  <c:v>600.35799315792349</c:v>
                </c:pt>
                <c:pt idx="88">
                  <c:v>609.23299240431459</c:v>
                </c:pt>
                <c:pt idx="89">
                  <c:v>618.1079916507058</c:v>
                </c:pt>
                <c:pt idx="90">
                  <c:v>609.40293516695533</c:v>
                </c:pt>
                <c:pt idx="91">
                  <c:v>618.27793441334643</c:v>
                </c:pt>
                <c:pt idx="92">
                  <c:v>627.15293365973753</c:v>
                </c:pt>
                <c:pt idx="93">
                  <c:v>616.91337515779639</c:v>
                </c:pt>
                <c:pt idx="94">
                  <c:v>625.78837440418761</c:v>
                </c:pt>
                <c:pt idx="95">
                  <c:v>630.32797578862483</c:v>
                </c:pt>
                <c:pt idx="96">
                  <c:v>636.40207919125271</c:v>
                </c:pt>
                <c:pt idx="97">
                  <c:v>640.94168057569004</c:v>
                </c:pt>
                <c:pt idx="98">
                  <c:v>645.10429084169641</c:v>
                </c:pt>
                <c:pt idx="99">
                  <c:v>656.93941119865667</c:v>
                </c:pt>
                <c:pt idx="100">
                  <c:v>661.10202146466315</c:v>
                </c:pt>
                <c:pt idx="101">
                  <c:v>666.01861396753122</c:v>
                </c:pt>
                <c:pt idx="102">
                  <c:v>686.9807601823502</c:v>
                </c:pt>
                <c:pt idx="103">
                  <c:v>691.89735268521815</c:v>
                </c:pt>
                <c:pt idx="104">
                  <c:v>697.94491854337844</c:v>
                </c:pt>
                <c:pt idx="105">
                  <c:v>715.43453205891751</c:v>
                </c:pt>
                <c:pt idx="106">
                  <c:v>721.48209791707802</c:v>
                </c:pt>
                <c:pt idx="107">
                  <c:v>730.35709716346912</c:v>
                </c:pt>
                <c:pt idx="108">
                  <c:v>739.23209640986022</c:v>
                </c:pt>
                <c:pt idx="109">
                  <c:v>748.10709565625143</c:v>
                </c:pt>
                <c:pt idx="110">
                  <c:v>746.28505909467526</c:v>
                </c:pt>
                <c:pt idx="111">
                  <c:v>749.81154043708284</c:v>
                </c:pt>
                <c:pt idx="112">
                  <c:v>761.01053187044408</c:v>
                </c:pt>
                <c:pt idx="113">
                  <c:v>769.88553111683518</c:v>
                </c:pt>
                <c:pt idx="114">
                  <c:v>771.89974960073573</c:v>
                </c:pt>
                <c:pt idx="115">
                  <c:v>780.77474884712694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-11.859512267301467</c:v>
                </c:pt>
                <c:pt idx="12">
                  <c:v>-12.409290981679682</c:v>
                </c:pt>
                <c:pt idx="13">
                  <c:v>-12.959069696057897</c:v>
                </c:pt>
                <c:pt idx="14">
                  <c:v>-13.50884841043611</c:v>
                </c:pt>
                <c:pt idx="15">
                  <c:v>-14.058627124814324</c:v>
                </c:pt>
                <c:pt idx="16">
                  <c:v>-14.608405839192537</c:v>
                </c:pt>
                <c:pt idx="17">
                  <c:v>-15.158184553570749</c:v>
                </c:pt>
                <c:pt idx="18">
                  <c:v>-15.707963267948966</c:v>
                </c:pt>
                <c:pt idx="19">
                  <c:v>-16.257741982327179</c:v>
                </c:pt>
                <c:pt idx="20">
                  <c:v>-16.807520696705392</c:v>
                </c:pt>
                <c:pt idx="21">
                  <c:v>-17.357299411083606</c:v>
                </c:pt>
                <c:pt idx="22">
                  <c:v>-17.907078125461819</c:v>
                </c:pt>
                <c:pt idx="23">
                  <c:v>-18.456856839840036</c:v>
                </c:pt>
                <c:pt idx="24">
                  <c:v>-19.006635554218246</c:v>
                </c:pt>
                <c:pt idx="25">
                  <c:v>-19.556414268596463</c:v>
                </c:pt>
                <c:pt idx="26">
                  <c:v>-20.106192982974676</c:v>
                </c:pt>
                <c:pt idx="27">
                  <c:v>-20.655971697352886</c:v>
                </c:pt>
                <c:pt idx="28">
                  <c:v>-21.205750411731103</c:v>
                </c:pt>
                <c:pt idx="29">
                  <c:v>-21.755529126109312</c:v>
                </c:pt>
                <c:pt idx="30">
                  <c:v>-22.305307840487529</c:v>
                </c:pt>
                <c:pt idx="31">
                  <c:v>-22.855086554865743</c:v>
                </c:pt>
                <c:pt idx="32">
                  <c:v>-23.404865269243956</c:v>
                </c:pt>
                <c:pt idx="33">
                  <c:v>-23.954643983622169</c:v>
                </c:pt>
                <c:pt idx="34">
                  <c:v>-24.504422698000383</c:v>
                </c:pt>
                <c:pt idx="35">
                  <c:v>-25.0542014123786</c:v>
                </c:pt>
                <c:pt idx="36">
                  <c:v>-25.603980126756809</c:v>
                </c:pt>
                <c:pt idx="37">
                  <c:v>-26.153758841135026</c:v>
                </c:pt>
                <c:pt idx="38">
                  <c:v>-26.703537555513243</c:v>
                </c:pt>
                <c:pt idx="39">
                  <c:v>-27.253316269891453</c:v>
                </c:pt>
                <c:pt idx="40">
                  <c:v>-27.803094984269666</c:v>
                </c:pt>
                <c:pt idx="41">
                  <c:v>56.830361278245888</c:v>
                </c:pt>
                <c:pt idx="42">
                  <c:v>88.346439988005343</c:v>
                </c:pt>
                <c:pt idx="43">
                  <c:v>96.254795340984245</c:v>
                </c:pt>
                <c:pt idx="44">
                  <c:v>102.95484582719787</c:v>
                </c:pt>
                <c:pt idx="45">
                  <c:v>105.22844818401514</c:v>
                </c:pt>
                <c:pt idx="46">
                  <c:v>111.92849867022875</c:v>
                </c:pt>
                <c:pt idx="47">
                  <c:v>124.67007349026889</c:v>
                </c:pt>
                <c:pt idx="48">
                  <c:v>118.23037308292484</c:v>
                </c:pt>
                <c:pt idx="49">
                  <c:v>130.97194790296504</c:v>
                </c:pt>
                <c:pt idx="50">
                  <c:v>136.76576973910463</c:v>
                </c:pt>
                <c:pt idx="51">
                  <c:v>185.22028731507862</c:v>
                </c:pt>
                <c:pt idx="52">
                  <c:v>191.01410915121824</c:v>
                </c:pt>
                <c:pt idx="53">
                  <c:v>199.82869315427112</c:v>
                </c:pt>
                <c:pt idx="54">
                  <c:v>221.92262154551312</c:v>
                </c:pt>
                <c:pt idx="55">
                  <c:v>230.73720554856601</c:v>
                </c:pt>
                <c:pt idx="56">
                  <c:v>245.29123766875412</c:v>
                </c:pt>
                <c:pt idx="57">
                  <c:v>249.64519366468102</c:v>
                </c:pt>
                <c:pt idx="58">
                  <c:v>264.19922578486921</c:v>
                </c:pt>
                <c:pt idx="59">
                  <c:v>275.73249573814394</c:v>
                </c:pt>
                <c:pt idx="60">
                  <c:v>266.60900775423585</c:v>
                </c:pt>
                <c:pt idx="61">
                  <c:v>278.14227770751074</c:v>
                </c:pt>
                <c:pt idx="62">
                  <c:v>290.58177631085954</c:v>
                </c:pt>
                <c:pt idx="63">
                  <c:v>313.22135103846949</c:v>
                </c:pt>
                <c:pt idx="64">
                  <c:v>325.66084964181834</c:v>
                </c:pt>
                <c:pt idx="65">
                  <c:v>332.96505256141455</c:v>
                </c:pt>
                <c:pt idx="66">
                  <c:v>375.55253767185133</c:v>
                </c:pt>
                <c:pt idx="67">
                  <c:v>382.85674059144748</c:v>
                </c:pt>
                <c:pt idx="68">
                  <c:v>397.41077271163562</c:v>
                </c:pt>
                <c:pt idx="69">
                  <c:v>411.96480483182376</c:v>
                </c:pt>
                <c:pt idx="70">
                  <c:v>426.51883695201184</c:v>
                </c:pt>
                <c:pt idx="71">
                  <c:v>441.07286907219992</c:v>
                </c:pt>
                <c:pt idx="72">
                  <c:v>455.62690119238795</c:v>
                </c:pt>
                <c:pt idx="73">
                  <c:v>470.1809333125762</c:v>
                </c:pt>
                <c:pt idx="74">
                  <c:v>484.73496543276428</c:v>
                </c:pt>
                <c:pt idx="75">
                  <c:v>480.23602516989843</c:v>
                </c:pt>
                <c:pt idx="76">
                  <c:v>494.79005729008651</c:v>
                </c:pt>
                <c:pt idx="77">
                  <c:v>509.34408941027471</c:v>
                </c:pt>
                <c:pt idx="78">
                  <c:v>523.89812153046273</c:v>
                </c:pt>
                <c:pt idx="79">
                  <c:v>538.45215365065087</c:v>
                </c:pt>
                <c:pt idx="80">
                  <c:v>549.0791949538517</c:v>
                </c:pt>
                <c:pt idx="81">
                  <c:v>578.75920864010641</c:v>
                </c:pt>
                <c:pt idx="82">
                  <c:v>589.38624994330723</c:v>
                </c:pt>
                <c:pt idx="83">
                  <c:v>603.94028206349537</c:v>
                </c:pt>
                <c:pt idx="84">
                  <c:v>618.49431418368351</c:v>
                </c:pt>
                <c:pt idx="85">
                  <c:v>633.04834630387154</c:v>
                </c:pt>
                <c:pt idx="86">
                  <c:v>647.60237842405968</c:v>
                </c:pt>
                <c:pt idx="87">
                  <c:v>662.15641054424771</c:v>
                </c:pt>
                <c:pt idx="88">
                  <c:v>676.71044266443573</c:v>
                </c:pt>
                <c:pt idx="89">
                  <c:v>691.26447478462387</c:v>
                </c:pt>
                <c:pt idx="90">
                  <c:v>672.01070742377033</c:v>
                </c:pt>
                <c:pt idx="91">
                  <c:v>686.56473954395847</c:v>
                </c:pt>
                <c:pt idx="92">
                  <c:v>701.11877166414649</c:v>
                </c:pt>
                <c:pt idx="93">
                  <c:v>678.91403888369541</c:v>
                </c:pt>
                <c:pt idx="94">
                  <c:v>693.46807100388344</c:v>
                </c:pt>
                <c:pt idx="95">
                  <c:v>701.07435014017096</c:v>
                </c:pt>
                <c:pt idx="96">
                  <c:v>711.63159469605637</c:v>
                </c:pt>
                <c:pt idx="97">
                  <c:v>719.23787383234378</c:v>
                </c:pt>
                <c:pt idx="98">
                  <c:v>726.24000053524878</c:v>
                </c:pt>
                <c:pt idx="99">
                  <c:v>747.99695433614158</c:v>
                </c:pt>
                <c:pt idx="100">
                  <c:v>754.99908103904659</c:v>
                </c:pt>
                <c:pt idx="101">
                  <c:v>763.20951260871675</c:v>
                </c:pt>
                <c:pt idx="102">
                  <c:v>802.27677823983117</c:v>
                </c:pt>
                <c:pt idx="103">
                  <c:v>810.48720980950145</c:v>
                </c:pt>
                <c:pt idx="104">
                  <c:v>820.51009867931953</c:v>
                </c:pt>
                <c:pt idx="105">
                  <c:v>852.53692535178902</c:v>
                </c:pt>
                <c:pt idx="106">
                  <c:v>862.55981422160733</c:v>
                </c:pt>
                <c:pt idx="107">
                  <c:v>877.11384634179547</c:v>
                </c:pt>
                <c:pt idx="108">
                  <c:v>891.66787846198349</c:v>
                </c:pt>
                <c:pt idx="109">
                  <c:v>906.22191058217163</c:v>
                </c:pt>
                <c:pt idx="110">
                  <c:v>900.20471999473034</c:v>
                </c:pt>
                <c:pt idx="111">
                  <c:v>904.47314076110376</c:v>
                </c:pt>
                <c:pt idx="112">
                  <c:v>923.49638862546499</c:v>
                </c:pt>
                <c:pt idx="113">
                  <c:v>938.05042074565313</c:v>
                </c:pt>
                <c:pt idx="114">
                  <c:v>939.41064370720574</c:v>
                </c:pt>
                <c:pt idx="115">
                  <c:v>953.96467582739376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-313.64383076014957</c:v>
                </c:pt>
                <c:pt idx="38">
                  <c:v>-314.19360947452782</c:v>
                </c:pt>
                <c:pt idx="39">
                  <c:v>-314.74338818890601</c:v>
                </c:pt>
                <c:pt idx="40">
                  <c:v>-315.2931669032842</c:v>
                </c:pt>
                <c:pt idx="41">
                  <c:v>-230.65971064076865</c:v>
                </c:pt>
                <c:pt idx="42">
                  <c:v>-199.14363193100922</c:v>
                </c:pt>
                <c:pt idx="43">
                  <c:v>-191.23527657803032</c:v>
                </c:pt>
                <c:pt idx="44">
                  <c:v>-184.5352260918167</c:v>
                </c:pt>
                <c:pt idx="45">
                  <c:v>-182.26162373499943</c:v>
                </c:pt>
                <c:pt idx="46">
                  <c:v>-175.56157324878581</c:v>
                </c:pt>
                <c:pt idx="47">
                  <c:v>-162.81999842874566</c:v>
                </c:pt>
                <c:pt idx="48">
                  <c:v>-169.25969883608971</c:v>
                </c:pt>
                <c:pt idx="49">
                  <c:v>-156.51812401604951</c:v>
                </c:pt>
                <c:pt idx="50">
                  <c:v>-150.72430217990993</c:v>
                </c:pt>
                <c:pt idx="51">
                  <c:v>-102.26978460393593</c:v>
                </c:pt>
                <c:pt idx="52">
                  <c:v>-96.475962767796318</c:v>
                </c:pt>
                <c:pt idx="53">
                  <c:v>-87.661378764743432</c:v>
                </c:pt>
                <c:pt idx="54">
                  <c:v>-65.56745037350143</c:v>
                </c:pt>
                <c:pt idx="55">
                  <c:v>-56.752866370448544</c:v>
                </c:pt>
                <c:pt idx="56">
                  <c:v>-42.198834250260433</c:v>
                </c:pt>
                <c:pt idx="57">
                  <c:v>-37.844878254333537</c:v>
                </c:pt>
                <c:pt idx="58">
                  <c:v>-23.29084613414534</c:v>
                </c:pt>
                <c:pt idx="59">
                  <c:v>-11.757576180870615</c:v>
                </c:pt>
                <c:pt idx="60">
                  <c:v>-20.881064164778707</c:v>
                </c:pt>
                <c:pt idx="61">
                  <c:v>-9.3477942115038104</c:v>
                </c:pt>
                <c:pt idx="62">
                  <c:v>3.0917043918449849</c:v>
                </c:pt>
                <c:pt idx="63">
                  <c:v>25.731279119454939</c:v>
                </c:pt>
                <c:pt idx="64">
                  <c:v>38.170777722803791</c:v>
                </c:pt>
                <c:pt idx="65">
                  <c:v>45.474980642399998</c:v>
                </c:pt>
                <c:pt idx="66">
                  <c:v>88.062465752836772</c:v>
                </c:pt>
                <c:pt idx="67">
                  <c:v>95.366668672432922</c:v>
                </c:pt>
                <c:pt idx="68">
                  <c:v>109.92070079262106</c:v>
                </c:pt>
                <c:pt idx="69">
                  <c:v>124.4747329128092</c:v>
                </c:pt>
                <c:pt idx="70">
                  <c:v>139.02876503299728</c:v>
                </c:pt>
                <c:pt idx="71">
                  <c:v>153.58279715318537</c:v>
                </c:pt>
                <c:pt idx="72">
                  <c:v>168.13682927337339</c:v>
                </c:pt>
                <c:pt idx="73">
                  <c:v>182.69086139356165</c:v>
                </c:pt>
                <c:pt idx="74">
                  <c:v>197.24489351374973</c:v>
                </c:pt>
                <c:pt idx="75">
                  <c:v>192.74595325088387</c:v>
                </c:pt>
                <c:pt idx="76">
                  <c:v>207.29998537107195</c:v>
                </c:pt>
                <c:pt idx="77">
                  <c:v>221.85401749126015</c:v>
                </c:pt>
                <c:pt idx="78">
                  <c:v>236.40804961144818</c:v>
                </c:pt>
                <c:pt idx="79">
                  <c:v>250.96208173163632</c:v>
                </c:pt>
                <c:pt idx="80">
                  <c:v>261.58912303483714</c:v>
                </c:pt>
                <c:pt idx="81">
                  <c:v>291.26913672109185</c:v>
                </c:pt>
                <c:pt idx="82">
                  <c:v>301.89617802429268</c:v>
                </c:pt>
                <c:pt idx="83">
                  <c:v>316.45021014448082</c:v>
                </c:pt>
                <c:pt idx="84">
                  <c:v>331.00424226466896</c:v>
                </c:pt>
                <c:pt idx="85">
                  <c:v>345.55827438485699</c:v>
                </c:pt>
                <c:pt idx="86">
                  <c:v>360.11230650504513</c:v>
                </c:pt>
                <c:pt idx="87">
                  <c:v>374.66633862523315</c:v>
                </c:pt>
                <c:pt idx="88">
                  <c:v>389.22037074542118</c:v>
                </c:pt>
                <c:pt idx="89">
                  <c:v>403.77440286560932</c:v>
                </c:pt>
                <c:pt idx="90">
                  <c:v>384.52063550475577</c:v>
                </c:pt>
                <c:pt idx="91">
                  <c:v>399.07466762494391</c:v>
                </c:pt>
                <c:pt idx="92">
                  <c:v>413.62869974513194</c:v>
                </c:pt>
                <c:pt idx="93">
                  <c:v>391.42396696468086</c:v>
                </c:pt>
                <c:pt idx="94">
                  <c:v>405.97799908486888</c:v>
                </c:pt>
                <c:pt idx="95">
                  <c:v>413.58427822115641</c:v>
                </c:pt>
                <c:pt idx="96">
                  <c:v>424.14152277704181</c:v>
                </c:pt>
                <c:pt idx="97">
                  <c:v>431.74780191332923</c:v>
                </c:pt>
                <c:pt idx="98">
                  <c:v>438.74992861623423</c:v>
                </c:pt>
                <c:pt idx="99">
                  <c:v>460.50688241712703</c:v>
                </c:pt>
                <c:pt idx="100">
                  <c:v>467.50900912003203</c:v>
                </c:pt>
                <c:pt idx="101">
                  <c:v>475.7194406897022</c:v>
                </c:pt>
                <c:pt idx="102">
                  <c:v>514.78670632081662</c:v>
                </c:pt>
                <c:pt idx="103">
                  <c:v>522.9971378904869</c:v>
                </c:pt>
                <c:pt idx="104">
                  <c:v>533.02002676030497</c:v>
                </c:pt>
                <c:pt idx="105">
                  <c:v>565.04685343277447</c:v>
                </c:pt>
                <c:pt idx="106">
                  <c:v>575.06974230259277</c:v>
                </c:pt>
                <c:pt idx="107">
                  <c:v>589.62377442278091</c:v>
                </c:pt>
                <c:pt idx="108">
                  <c:v>604.17780654296894</c:v>
                </c:pt>
                <c:pt idx="109">
                  <c:v>618.73183866315708</c:v>
                </c:pt>
                <c:pt idx="110">
                  <c:v>612.71464807571579</c:v>
                </c:pt>
                <c:pt idx="111">
                  <c:v>616.98306884208921</c:v>
                </c:pt>
                <c:pt idx="112">
                  <c:v>636.00631670645043</c:v>
                </c:pt>
                <c:pt idx="113">
                  <c:v>650.56034882663857</c:v>
                </c:pt>
                <c:pt idx="114">
                  <c:v>651.92057178819118</c:v>
                </c:pt>
                <c:pt idx="115">
                  <c:v>666.47460390837921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10.210176124166827</c:v>
                </c:pt>
                <c:pt idx="4">
                  <c:v>16.650441064025902</c:v>
                </c:pt>
                <c:pt idx="5">
                  <c:v>23.090706003884975</c:v>
                </c:pt>
                <c:pt idx="6">
                  <c:v>29.530970943744052</c:v>
                </c:pt>
                <c:pt idx="7">
                  <c:v>35.971235883603129</c:v>
                </c:pt>
                <c:pt idx="8">
                  <c:v>41.42189913758142</c:v>
                </c:pt>
                <c:pt idx="9">
                  <c:v>46.872562391559718</c:v>
                </c:pt>
                <c:pt idx="10">
                  <c:v>52.323225645538002</c:v>
                </c:pt>
                <c:pt idx="11">
                  <c:v>58.370791503698356</c:v>
                </c:pt>
                <c:pt idx="12">
                  <c:v>64.41835736185871</c:v>
                </c:pt>
                <c:pt idx="13">
                  <c:v>70.465923220019064</c:v>
                </c:pt>
                <c:pt idx="14">
                  <c:v>73.874551249164</c:v>
                </c:pt>
                <c:pt idx="15">
                  <c:v>77.283179278308907</c:v>
                </c:pt>
                <c:pt idx="16">
                  <c:v>80.691807307453843</c:v>
                </c:pt>
                <c:pt idx="17">
                  <c:v>82.890922164966682</c:v>
                </c:pt>
                <c:pt idx="18">
                  <c:v>85.090037022479549</c:v>
                </c:pt>
                <c:pt idx="19">
                  <c:v>87.289151879992403</c:v>
                </c:pt>
                <c:pt idx="20">
                  <c:v>90.587824166261683</c:v>
                </c:pt>
                <c:pt idx="21">
                  <c:v>93.886496452530963</c:v>
                </c:pt>
                <c:pt idx="22">
                  <c:v>97.185168738800243</c:v>
                </c:pt>
                <c:pt idx="23">
                  <c:v>99.750802739231915</c:v>
                </c:pt>
                <c:pt idx="24">
                  <c:v>102.31643673966357</c:v>
                </c:pt>
                <c:pt idx="25">
                  <c:v>104.88207074009526</c:v>
                </c:pt>
                <c:pt idx="26">
                  <c:v>110.16910937669907</c:v>
                </c:pt>
                <c:pt idx="27">
                  <c:v>115.45614801330289</c:v>
                </c:pt>
                <c:pt idx="28">
                  <c:v>120.74318664990673</c:v>
                </c:pt>
                <c:pt idx="29">
                  <c:v>122.61243427879265</c:v>
                </c:pt>
                <c:pt idx="30">
                  <c:v>124.48168190767856</c:v>
                </c:pt>
                <c:pt idx="31">
                  <c:v>126.35092953656451</c:v>
                </c:pt>
                <c:pt idx="32">
                  <c:v>129.42969033708249</c:v>
                </c:pt>
                <c:pt idx="33">
                  <c:v>132.5084511376005</c:v>
                </c:pt>
                <c:pt idx="34">
                  <c:v>135.58721193811851</c:v>
                </c:pt>
                <c:pt idx="35">
                  <c:v>139.435662938766</c:v>
                </c:pt>
                <c:pt idx="36">
                  <c:v>143.28411393941349</c:v>
                </c:pt>
                <c:pt idx="37">
                  <c:v>147.13256494006097</c:v>
                </c:pt>
                <c:pt idx="38">
                  <c:v>150.65114871208155</c:v>
                </c:pt>
                <c:pt idx="39">
                  <c:v>154.1697324841021</c:v>
                </c:pt>
                <c:pt idx="40">
                  <c:v>157.6883162561227</c:v>
                </c:pt>
                <c:pt idx="41">
                  <c:v>161.31685577101888</c:v>
                </c:pt>
                <c:pt idx="42">
                  <c:v>164.94539528591511</c:v>
                </c:pt>
                <c:pt idx="43">
                  <c:v>168.57393480081132</c:v>
                </c:pt>
                <c:pt idx="44">
                  <c:v>171.76265134420495</c:v>
                </c:pt>
                <c:pt idx="45">
                  <c:v>174.95136788759862</c:v>
                </c:pt>
                <c:pt idx="46">
                  <c:v>178.14008443099226</c:v>
                </c:pt>
                <c:pt idx="47">
                  <c:v>183.52791583189875</c:v>
                </c:pt>
                <c:pt idx="48">
                  <c:v>188.91574723280524</c:v>
                </c:pt>
                <c:pt idx="49">
                  <c:v>194.30357863371177</c:v>
                </c:pt>
                <c:pt idx="50">
                  <c:v>197.16242794847844</c:v>
                </c:pt>
                <c:pt idx="51">
                  <c:v>200.02127726324517</c:v>
                </c:pt>
                <c:pt idx="52">
                  <c:v>202.8801265780119</c:v>
                </c:pt>
                <c:pt idx="53">
                  <c:v>206.83853332153501</c:v>
                </c:pt>
                <c:pt idx="54">
                  <c:v>210.79694006505815</c:v>
                </c:pt>
                <c:pt idx="55">
                  <c:v>214.75534680858129</c:v>
                </c:pt>
                <c:pt idx="56">
                  <c:v>220.80291266674163</c:v>
                </c:pt>
                <c:pt idx="57">
                  <c:v>226.850478524902</c:v>
                </c:pt>
                <c:pt idx="58">
                  <c:v>232.89804438306228</c:v>
                </c:pt>
                <c:pt idx="59">
                  <c:v>237.84605281246624</c:v>
                </c:pt>
                <c:pt idx="60">
                  <c:v>242.7940612418702</c:v>
                </c:pt>
                <c:pt idx="61">
                  <c:v>247.74206967127409</c:v>
                </c:pt>
                <c:pt idx="62">
                  <c:v>253.01994532930496</c:v>
                </c:pt>
                <c:pt idx="63">
                  <c:v>258.2978209873358</c:v>
                </c:pt>
                <c:pt idx="64">
                  <c:v>263.57569664536669</c:v>
                </c:pt>
                <c:pt idx="65">
                  <c:v>266.98432467451153</c:v>
                </c:pt>
                <c:pt idx="66">
                  <c:v>270.39295270365653</c:v>
                </c:pt>
                <c:pt idx="67">
                  <c:v>273.80158073280143</c:v>
                </c:pt>
                <c:pt idx="68">
                  <c:v>279.84914659096182</c:v>
                </c:pt>
                <c:pt idx="69">
                  <c:v>285.89671244912216</c:v>
                </c:pt>
                <c:pt idx="70">
                  <c:v>291.9442783072825</c:v>
                </c:pt>
                <c:pt idx="71">
                  <c:v>297.99184416544284</c:v>
                </c:pt>
                <c:pt idx="72">
                  <c:v>304.03941002360324</c:v>
                </c:pt>
                <c:pt idx="73">
                  <c:v>310.08697588176358</c:v>
                </c:pt>
                <c:pt idx="74">
                  <c:v>316.13454173992386</c:v>
                </c:pt>
                <c:pt idx="75">
                  <c:v>322.18210759808426</c:v>
                </c:pt>
                <c:pt idx="76">
                  <c:v>328.22967345624454</c:v>
                </c:pt>
                <c:pt idx="77">
                  <c:v>334.27723931440494</c:v>
                </c:pt>
                <c:pt idx="78">
                  <c:v>340.32480517256533</c:v>
                </c:pt>
                <c:pt idx="79">
                  <c:v>346.37237103072567</c:v>
                </c:pt>
                <c:pt idx="80">
                  <c:v>350.99051223150263</c:v>
                </c:pt>
                <c:pt idx="81">
                  <c:v>355.60865343227965</c:v>
                </c:pt>
                <c:pt idx="82">
                  <c:v>360.22679463305661</c:v>
                </c:pt>
                <c:pt idx="83">
                  <c:v>366.27436049121695</c:v>
                </c:pt>
                <c:pt idx="84">
                  <c:v>372.32192634937729</c:v>
                </c:pt>
                <c:pt idx="85">
                  <c:v>378.36949220753769</c:v>
                </c:pt>
                <c:pt idx="86">
                  <c:v>384.41705806569803</c:v>
                </c:pt>
                <c:pt idx="87">
                  <c:v>390.46462392385837</c:v>
                </c:pt>
                <c:pt idx="88">
                  <c:v>396.51218978201877</c:v>
                </c:pt>
                <c:pt idx="89">
                  <c:v>402.55975564017911</c:v>
                </c:pt>
                <c:pt idx="90">
                  <c:v>408.6073214983395</c:v>
                </c:pt>
                <c:pt idx="91">
                  <c:v>414.65488735649978</c:v>
                </c:pt>
                <c:pt idx="92">
                  <c:v>420.70245321466007</c:v>
                </c:pt>
                <c:pt idx="93">
                  <c:v>426.75001907282052</c:v>
                </c:pt>
                <c:pt idx="94">
                  <c:v>432.7975849309808</c:v>
                </c:pt>
                <c:pt idx="95">
                  <c:v>436.31616870300138</c:v>
                </c:pt>
                <c:pt idx="96">
                  <c:v>439.83475247502196</c:v>
                </c:pt>
                <c:pt idx="97">
                  <c:v>443.35333624704253</c:v>
                </c:pt>
                <c:pt idx="98">
                  <c:v>446.6520085333118</c:v>
                </c:pt>
                <c:pt idx="99">
                  <c:v>449.95068081958118</c:v>
                </c:pt>
                <c:pt idx="100">
                  <c:v>453.24935310585039</c:v>
                </c:pt>
                <c:pt idx="101">
                  <c:v>456.98784836362228</c:v>
                </c:pt>
                <c:pt idx="102">
                  <c:v>460.72634362139411</c:v>
                </c:pt>
                <c:pt idx="103">
                  <c:v>464.464838879166</c:v>
                </c:pt>
                <c:pt idx="104">
                  <c:v>468.8630685941917</c:v>
                </c:pt>
                <c:pt idx="105">
                  <c:v>473.26129830921735</c:v>
                </c:pt>
                <c:pt idx="106">
                  <c:v>477.65952802424317</c:v>
                </c:pt>
                <c:pt idx="107">
                  <c:v>483.70709388240346</c:v>
                </c:pt>
                <c:pt idx="108">
                  <c:v>489.75465974056374</c:v>
                </c:pt>
                <c:pt idx="109">
                  <c:v>495.80222559872414</c:v>
                </c:pt>
                <c:pt idx="110">
                  <c:v>501.84979145688447</c:v>
                </c:pt>
                <c:pt idx="111">
                  <c:v>507.89735731504481</c:v>
                </c:pt>
                <c:pt idx="112">
                  <c:v>513.9449231732051</c:v>
                </c:pt>
                <c:pt idx="113">
                  <c:v>519.99248903136561</c:v>
                </c:pt>
                <c:pt idx="114">
                  <c:v>526.04005488952589</c:v>
                </c:pt>
                <c:pt idx="115">
                  <c:v>532.08762074768629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11.859512267301467</c:v>
                </c:pt>
                <c:pt idx="12">
                  <c:v>12.409290981679682</c:v>
                </c:pt>
                <c:pt idx="13">
                  <c:v>12.959069696057897</c:v>
                </c:pt>
                <c:pt idx="14">
                  <c:v>13.50884841043611</c:v>
                </c:pt>
                <c:pt idx="15">
                  <c:v>14.058627124814324</c:v>
                </c:pt>
                <c:pt idx="16">
                  <c:v>14.608405839192537</c:v>
                </c:pt>
                <c:pt idx="17">
                  <c:v>15.158184553570749</c:v>
                </c:pt>
                <c:pt idx="18">
                  <c:v>15.707963267948966</c:v>
                </c:pt>
                <c:pt idx="19">
                  <c:v>16.257741982327179</c:v>
                </c:pt>
                <c:pt idx="20">
                  <c:v>16.807520696705392</c:v>
                </c:pt>
                <c:pt idx="21">
                  <c:v>17.357299411083606</c:v>
                </c:pt>
                <c:pt idx="22">
                  <c:v>17.907078125461819</c:v>
                </c:pt>
                <c:pt idx="23">
                  <c:v>18.456856839840036</c:v>
                </c:pt>
                <c:pt idx="24">
                  <c:v>19.006635554218246</c:v>
                </c:pt>
                <c:pt idx="25">
                  <c:v>19.556414268596463</c:v>
                </c:pt>
                <c:pt idx="26">
                  <c:v>20.106192982974676</c:v>
                </c:pt>
                <c:pt idx="27">
                  <c:v>20.655971697352886</c:v>
                </c:pt>
                <c:pt idx="28">
                  <c:v>21.205750411731103</c:v>
                </c:pt>
                <c:pt idx="29">
                  <c:v>21.755529126109312</c:v>
                </c:pt>
                <c:pt idx="30">
                  <c:v>22.305307840487529</c:v>
                </c:pt>
                <c:pt idx="31">
                  <c:v>22.855086554865743</c:v>
                </c:pt>
                <c:pt idx="32">
                  <c:v>23.404865269243956</c:v>
                </c:pt>
                <c:pt idx="33">
                  <c:v>23.954643983622169</c:v>
                </c:pt>
                <c:pt idx="34">
                  <c:v>24.504422698000383</c:v>
                </c:pt>
                <c:pt idx="35">
                  <c:v>25.0542014123786</c:v>
                </c:pt>
                <c:pt idx="36">
                  <c:v>25.603980126756809</c:v>
                </c:pt>
                <c:pt idx="37">
                  <c:v>26.153758841135026</c:v>
                </c:pt>
                <c:pt idx="38">
                  <c:v>26.703537555513243</c:v>
                </c:pt>
                <c:pt idx="39">
                  <c:v>27.253316269891453</c:v>
                </c:pt>
                <c:pt idx="40">
                  <c:v>27.803094984269666</c:v>
                </c:pt>
                <c:pt idx="41">
                  <c:v>34.273567545797874</c:v>
                </c:pt>
                <c:pt idx="42">
                  <c:v>40.744040107326079</c:v>
                </c:pt>
                <c:pt idx="43">
                  <c:v>47.214512668854297</c:v>
                </c:pt>
                <c:pt idx="44">
                  <c:v>52.839171823646794</c:v>
                </c:pt>
                <c:pt idx="45">
                  <c:v>58.463830978439283</c:v>
                </c:pt>
                <c:pt idx="46">
                  <c:v>64.088490133231772</c:v>
                </c:pt>
                <c:pt idx="47">
                  <c:v>73.94221632170283</c:v>
                </c:pt>
                <c:pt idx="48">
                  <c:v>83.795942510173887</c:v>
                </c:pt>
                <c:pt idx="49">
                  <c:v>93.649668698644945</c:v>
                </c:pt>
                <c:pt idx="50">
                  <c:v>98.639967798385669</c:v>
                </c:pt>
                <c:pt idx="51">
                  <c:v>103.63026689812637</c:v>
                </c:pt>
                <c:pt idx="52">
                  <c:v>108.62056599786706</c:v>
                </c:pt>
                <c:pt idx="53">
                  <c:v>115.72539861444707</c:v>
                </c:pt>
                <c:pt idx="54">
                  <c:v>122.83023123102706</c:v>
                </c:pt>
                <c:pt idx="55">
                  <c:v>129.93506384760707</c:v>
                </c:pt>
                <c:pt idx="56">
                  <c:v>141.0575101461817</c:v>
                </c:pt>
                <c:pt idx="57">
                  <c:v>152.17995644475633</c:v>
                </c:pt>
                <c:pt idx="58">
                  <c:v>163.30240274333096</c:v>
                </c:pt>
                <c:pt idx="59">
                  <c:v>172.3103155250663</c:v>
                </c:pt>
                <c:pt idx="60">
                  <c:v>181.31822830680167</c:v>
                </c:pt>
                <c:pt idx="61">
                  <c:v>190.32614108853701</c:v>
                </c:pt>
                <c:pt idx="62">
                  <c:v>199.96841392532411</c:v>
                </c:pt>
                <c:pt idx="63">
                  <c:v>209.61068676211124</c:v>
                </c:pt>
                <c:pt idx="64">
                  <c:v>219.2529595988984</c:v>
                </c:pt>
                <c:pt idx="65">
                  <c:v>225.30052545705877</c:v>
                </c:pt>
                <c:pt idx="66">
                  <c:v>231.34809131521911</c:v>
                </c:pt>
                <c:pt idx="67">
                  <c:v>237.39565717337942</c:v>
                </c:pt>
                <c:pt idx="68">
                  <c:v>248.51810347195405</c:v>
                </c:pt>
                <c:pt idx="69">
                  <c:v>259.64054977052871</c:v>
                </c:pt>
                <c:pt idx="70">
                  <c:v>270.76299606910334</c:v>
                </c:pt>
                <c:pt idx="71">
                  <c:v>281.88544236767791</c:v>
                </c:pt>
                <c:pt idx="72">
                  <c:v>293.0078886662526</c:v>
                </c:pt>
                <c:pt idx="73">
                  <c:v>304.13033496482723</c:v>
                </c:pt>
                <c:pt idx="74">
                  <c:v>315.2527812634018</c:v>
                </c:pt>
                <c:pt idx="75">
                  <c:v>326.37522756197649</c:v>
                </c:pt>
                <c:pt idx="76">
                  <c:v>337.49767386055112</c:v>
                </c:pt>
                <c:pt idx="77">
                  <c:v>348.6201201591258</c:v>
                </c:pt>
                <c:pt idx="78">
                  <c:v>359.74256645770038</c:v>
                </c:pt>
                <c:pt idx="79">
                  <c:v>370.86501275627501</c:v>
                </c:pt>
                <c:pt idx="80">
                  <c:v>379.23856548295862</c:v>
                </c:pt>
                <c:pt idx="81">
                  <c:v>387.61211820964212</c:v>
                </c:pt>
                <c:pt idx="82">
                  <c:v>395.98567093632568</c:v>
                </c:pt>
                <c:pt idx="83">
                  <c:v>407.10811723490036</c:v>
                </c:pt>
                <c:pt idx="84">
                  <c:v>418.23056353347488</c:v>
                </c:pt>
                <c:pt idx="85">
                  <c:v>429.35300983204957</c:v>
                </c:pt>
                <c:pt idx="86">
                  <c:v>440.4754561306242</c:v>
                </c:pt>
                <c:pt idx="87">
                  <c:v>451.59790242919883</c:v>
                </c:pt>
                <c:pt idx="88">
                  <c:v>462.72034872777346</c:v>
                </c:pt>
                <c:pt idx="89">
                  <c:v>473.84279502634809</c:v>
                </c:pt>
                <c:pt idx="90">
                  <c:v>484.96524132492277</c:v>
                </c:pt>
                <c:pt idx="91">
                  <c:v>496.08768762349735</c:v>
                </c:pt>
                <c:pt idx="92">
                  <c:v>507.21013392207203</c:v>
                </c:pt>
                <c:pt idx="93">
                  <c:v>518.33258022064649</c:v>
                </c:pt>
                <c:pt idx="94">
                  <c:v>529.45502651922118</c:v>
                </c:pt>
                <c:pt idx="95">
                  <c:v>535.71404572906556</c:v>
                </c:pt>
                <c:pt idx="96">
                  <c:v>541.97306493890983</c:v>
                </c:pt>
                <c:pt idx="97">
                  <c:v>548.23208414875398</c:v>
                </c:pt>
                <c:pt idx="98">
                  <c:v>554.06819665523051</c:v>
                </c:pt>
                <c:pt idx="99">
                  <c:v>559.90430916170681</c:v>
                </c:pt>
                <c:pt idx="100">
                  <c:v>565.74042166818333</c:v>
                </c:pt>
                <c:pt idx="101">
                  <c:v>572.42234758139546</c:v>
                </c:pt>
                <c:pt idx="102">
                  <c:v>579.10427349460758</c:v>
                </c:pt>
                <c:pt idx="103">
                  <c:v>585.78619940781982</c:v>
                </c:pt>
                <c:pt idx="104">
                  <c:v>593.73684543113552</c:v>
                </c:pt>
                <c:pt idx="105">
                  <c:v>601.68749145445122</c:v>
                </c:pt>
                <c:pt idx="106">
                  <c:v>609.6381374777668</c:v>
                </c:pt>
                <c:pt idx="107">
                  <c:v>620.76058377634149</c:v>
                </c:pt>
                <c:pt idx="108">
                  <c:v>631.88303007491618</c:v>
                </c:pt>
                <c:pt idx="109">
                  <c:v>643.00547637349075</c:v>
                </c:pt>
                <c:pt idx="110">
                  <c:v>654.12792267206532</c:v>
                </c:pt>
                <c:pt idx="111">
                  <c:v>665.25036897064001</c:v>
                </c:pt>
                <c:pt idx="112">
                  <c:v>676.37281526921458</c:v>
                </c:pt>
                <c:pt idx="113">
                  <c:v>687.49526156778927</c:v>
                </c:pt>
                <c:pt idx="114">
                  <c:v>698.61770786636396</c:v>
                </c:pt>
                <c:pt idx="115">
                  <c:v>709.74015416493864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7.5507772501890367</c:v>
                </c:pt>
                <c:pt idx="1">
                  <c:v>15.101554500378073</c:v>
                </c:pt>
                <c:pt idx="2">
                  <c:v>22.652331750567111</c:v>
                </c:pt>
                <c:pt idx="3">
                  <c:v>34.048610844051751</c:v>
                </c:pt>
                <c:pt idx="4">
                  <c:v>45.444889937536402</c:v>
                </c:pt>
                <c:pt idx="5">
                  <c:v>56.841169031021053</c:v>
                </c:pt>
                <c:pt idx="6">
                  <c:v>71.443652917899286</c:v>
                </c:pt>
                <c:pt idx="7">
                  <c:v>86.046136804777518</c:v>
                </c:pt>
                <c:pt idx="8">
                  <c:v>100.64862069165576</c:v>
                </c:pt>
                <c:pt idx="9">
                  <c:v>117.91982509245651</c:v>
                </c:pt>
                <c:pt idx="10">
                  <c:v>135.1910294932573</c:v>
                </c:pt>
                <c:pt idx="11">
                  <c:v>152.46223389405807</c:v>
                </c:pt>
                <c:pt idx="12">
                  <c:v>156.55012421472736</c:v>
                </c:pt>
                <c:pt idx="13">
                  <c:v>160.63801453539668</c:v>
                </c:pt>
                <c:pt idx="14">
                  <c:v>164.72590485606599</c:v>
                </c:pt>
                <c:pt idx="15">
                  <c:v>169.18938991267839</c:v>
                </c:pt>
                <c:pt idx="16">
                  <c:v>173.65287496929088</c:v>
                </c:pt>
                <c:pt idx="17">
                  <c:v>178.11636002590328</c:v>
                </c:pt>
                <c:pt idx="18">
                  <c:v>182.95543981845884</c:v>
                </c:pt>
                <c:pt idx="19">
                  <c:v>187.79451961101438</c:v>
                </c:pt>
                <c:pt idx="20">
                  <c:v>192.63359940356995</c:v>
                </c:pt>
                <c:pt idx="21">
                  <c:v>197.58670590210787</c:v>
                </c:pt>
                <c:pt idx="22">
                  <c:v>202.53981240064576</c:v>
                </c:pt>
                <c:pt idx="23">
                  <c:v>207.49291889918371</c:v>
                </c:pt>
                <c:pt idx="24">
                  <c:v>212.80278030490695</c:v>
                </c:pt>
                <c:pt idx="25">
                  <c:v>218.11264171063027</c:v>
                </c:pt>
                <c:pt idx="26">
                  <c:v>223.42250311635357</c:v>
                </c:pt>
                <c:pt idx="27">
                  <c:v>229.38836711673849</c:v>
                </c:pt>
                <c:pt idx="28">
                  <c:v>235.35423111712339</c:v>
                </c:pt>
                <c:pt idx="29">
                  <c:v>241.32009511750837</c:v>
                </c:pt>
                <c:pt idx="30">
                  <c:v>247.66155385383644</c:v>
                </c:pt>
                <c:pt idx="31">
                  <c:v>254.00301259016445</c:v>
                </c:pt>
                <c:pt idx="32">
                  <c:v>260.34447132649257</c:v>
                </c:pt>
                <c:pt idx="33">
                  <c:v>267.06152479876374</c:v>
                </c:pt>
                <c:pt idx="34">
                  <c:v>273.77857827103492</c:v>
                </c:pt>
                <c:pt idx="35">
                  <c:v>280.49563174330609</c:v>
                </c:pt>
                <c:pt idx="36">
                  <c:v>287.58827995152046</c:v>
                </c:pt>
                <c:pt idx="37">
                  <c:v>287.58827995152046</c:v>
                </c:pt>
                <c:pt idx="38">
                  <c:v>287.58827995152046</c:v>
                </c:pt>
                <c:pt idx="39">
                  <c:v>287.58827995152046</c:v>
                </c:pt>
                <c:pt idx="40">
                  <c:v>287.58827995152046</c:v>
                </c:pt>
                <c:pt idx="41">
                  <c:v>287.58827995152046</c:v>
                </c:pt>
                <c:pt idx="42">
                  <c:v>287.58827995152046</c:v>
                </c:pt>
                <c:pt idx="43">
                  <c:v>287.58827995152046</c:v>
                </c:pt>
                <c:pt idx="44">
                  <c:v>287.58827995152046</c:v>
                </c:pt>
                <c:pt idx="45">
                  <c:v>287.58827995152046</c:v>
                </c:pt>
                <c:pt idx="46">
                  <c:v>287.58827995152046</c:v>
                </c:pt>
                <c:pt idx="47">
                  <c:v>287.58827995152046</c:v>
                </c:pt>
                <c:pt idx="48">
                  <c:v>287.58827995152046</c:v>
                </c:pt>
                <c:pt idx="49">
                  <c:v>287.58827995152046</c:v>
                </c:pt>
                <c:pt idx="50">
                  <c:v>287.58827995152046</c:v>
                </c:pt>
                <c:pt idx="51">
                  <c:v>287.58827995152046</c:v>
                </c:pt>
                <c:pt idx="52">
                  <c:v>287.58827995152046</c:v>
                </c:pt>
                <c:pt idx="53">
                  <c:v>287.58827995152046</c:v>
                </c:pt>
                <c:pt idx="54">
                  <c:v>287.58827995152046</c:v>
                </c:pt>
                <c:pt idx="55">
                  <c:v>287.58827995152046</c:v>
                </c:pt>
                <c:pt idx="56">
                  <c:v>287.58827995152046</c:v>
                </c:pt>
                <c:pt idx="57">
                  <c:v>287.58827995152046</c:v>
                </c:pt>
                <c:pt idx="58">
                  <c:v>287.58827995152046</c:v>
                </c:pt>
                <c:pt idx="59">
                  <c:v>287.58827995152046</c:v>
                </c:pt>
                <c:pt idx="60">
                  <c:v>287.58827995152046</c:v>
                </c:pt>
                <c:pt idx="61">
                  <c:v>287.58827995152046</c:v>
                </c:pt>
                <c:pt idx="62">
                  <c:v>287.58827995152046</c:v>
                </c:pt>
                <c:pt idx="63">
                  <c:v>287.58827995152046</c:v>
                </c:pt>
                <c:pt idx="64">
                  <c:v>287.58827995152046</c:v>
                </c:pt>
                <c:pt idx="65">
                  <c:v>287.58827995152046</c:v>
                </c:pt>
                <c:pt idx="66">
                  <c:v>287.58827995152046</c:v>
                </c:pt>
                <c:pt idx="67">
                  <c:v>287.58827995152046</c:v>
                </c:pt>
                <c:pt idx="68">
                  <c:v>287.58827995152046</c:v>
                </c:pt>
                <c:pt idx="69">
                  <c:v>287.58827995152046</c:v>
                </c:pt>
                <c:pt idx="70">
                  <c:v>287.58827995152046</c:v>
                </c:pt>
                <c:pt idx="71">
                  <c:v>287.58827995152046</c:v>
                </c:pt>
                <c:pt idx="72">
                  <c:v>287.58827995152046</c:v>
                </c:pt>
                <c:pt idx="73">
                  <c:v>287.58827995152046</c:v>
                </c:pt>
                <c:pt idx="74">
                  <c:v>287.58827995152046</c:v>
                </c:pt>
                <c:pt idx="75">
                  <c:v>287.58827995152046</c:v>
                </c:pt>
                <c:pt idx="76">
                  <c:v>287.58827995152046</c:v>
                </c:pt>
                <c:pt idx="77">
                  <c:v>287.58827995152046</c:v>
                </c:pt>
                <c:pt idx="78">
                  <c:v>287.58827995152046</c:v>
                </c:pt>
                <c:pt idx="79">
                  <c:v>287.58827995152046</c:v>
                </c:pt>
                <c:pt idx="80">
                  <c:v>287.58827995152046</c:v>
                </c:pt>
                <c:pt idx="81">
                  <c:v>287.58827995152046</c:v>
                </c:pt>
                <c:pt idx="82">
                  <c:v>287.58827995152046</c:v>
                </c:pt>
                <c:pt idx="83">
                  <c:v>287.58827995152046</c:v>
                </c:pt>
                <c:pt idx="84">
                  <c:v>287.58827995152046</c:v>
                </c:pt>
                <c:pt idx="85">
                  <c:v>287.58827995152046</c:v>
                </c:pt>
                <c:pt idx="86">
                  <c:v>287.58827995152046</c:v>
                </c:pt>
                <c:pt idx="87">
                  <c:v>287.58827995152046</c:v>
                </c:pt>
                <c:pt idx="88">
                  <c:v>287.58827995152046</c:v>
                </c:pt>
                <c:pt idx="89">
                  <c:v>287.58827995152046</c:v>
                </c:pt>
                <c:pt idx="90">
                  <c:v>287.58827995152046</c:v>
                </c:pt>
                <c:pt idx="91">
                  <c:v>287.58827995152046</c:v>
                </c:pt>
                <c:pt idx="92">
                  <c:v>287.58827995152046</c:v>
                </c:pt>
                <c:pt idx="93">
                  <c:v>287.58827995152046</c:v>
                </c:pt>
                <c:pt idx="94">
                  <c:v>287.58827995152046</c:v>
                </c:pt>
                <c:pt idx="95">
                  <c:v>287.58827995152046</c:v>
                </c:pt>
                <c:pt idx="96">
                  <c:v>287.58827995152046</c:v>
                </c:pt>
                <c:pt idx="97">
                  <c:v>287.58827995152046</c:v>
                </c:pt>
                <c:pt idx="98">
                  <c:v>287.58827995152046</c:v>
                </c:pt>
                <c:pt idx="99">
                  <c:v>287.58827995152046</c:v>
                </c:pt>
                <c:pt idx="100">
                  <c:v>287.58827995152046</c:v>
                </c:pt>
                <c:pt idx="101">
                  <c:v>287.58827995152046</c:v>
                </c:pt>
                <c:pt idx="102">
                  <c:v>287.58827995152046</c:v>
                </c:pt>
                <c:pt idx="103">
                  <c:v>287.58827995152046</c:v>
                </c:pt>
                <c:pt idx="104">
                  <c:v>287.58827995152046</c:v>
                </c:pt>
                <c:pt idx="105">
                  <c:v>287.58827995152046</c:v>
                </c:pt>
                <c:pt idx="106">
                  <c:v>287.58827995152046</c:v>
                </c:pt>
                <c:pt idx="107">
                  <c:v>287.58827995152046</c:v>
                </c:pt>
                <c:pt idx="108">
                  <c:v>287.58827995152046</c:v>
                </c:pt>
                <c:pt idx="109">
                  <c:v>287.58827995152046</c:v>
                </c:pt>
                <c:pt idx="110">
                  <c:v>287.58827995152046</c:v>
                </c:pt>
                <c:pt idx="111">
                  <c:v>287.58827995152046</c:v>
                </c:pt>
                <c:pt idx="112">
                  <c:v>287.58827995152046</c:v>
                </c:pt>
                <c:pt idx="113">
                  <c:v>287.58827995152046</c:v>
                </c:pt>
                <c:pt idx="114">
                  <c:v>287.58827995152046</c:v>
                </c:pt>
                <c:pt idx="115">
                  <c:v>287.58827995152046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topLeftCell="A40" zoomScale="115" zoomScaleNormal="115" workbookViewId="0">
      <selection activeCell="C51" sqref="C51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5" t="s">
        <v>20</v>
      </c>
      <c r="B1" s="36"/>
      <c r="C1" s="36"/>
      <c r="D1" s="36"/>
      <c r="E1" s="36"/>
    </row>
    <row r="2" spans="1:5" x14ac:dyDescent="0.25">
      <c r="A2" s="1" t="s">
        <v>1</v>
      </c>
    </row>
    <row r="3" spans="1:5" x14ac:dyDescent="0.25">
      <c r="A3" s="1" t="s">
        <v>2</v>
      </c>
    </row>
    <row r="5" spans="1:5" ht="18" customHeight="1" x14ac:dyDescent="0.25">
      <c r="A5" s="2" t="s">
        <v>21</v>
      </c>
      <c r="B5" s="3"/>
      <c r="C5" s="3"/>
      <c r="D5" s="3"/>
      <c r="E5" s="3"/>
    </row>
    <row r="6" spans="1:5" x14ac:dyDescent="0.25">
      <c r="A6" s="4" t="s">
        <v>22</v>
      </c>
      <c r="B6" s="5"/>
      <c r="C6" s="6" t="s">
        <v>23</v>
      </c>
      <c r="D6" s="4"/>
      <c r="E6" s="7"/>
    </row>
    <row r="7" spans="1:5" x14ac:dyDescent="0.25">
      <c r="A7" s="4" t="s">
        <v>24</v>
      </c>
      <c r="B7" s="5" t="s">
        <v>25</v>
      </c>
      <c r="C7" s="8">
        <v>1</v>
      </c>
      <c r="D7" s="4" t="s">
        <v>26</v>
      </c>
      <c r="E7" s="7"/>
    </row>
    <row r="8" spans="1:5" x14ac:dyDescent="0.25">
      <c r="A8" s="4" t="s">
        <v>27</v>
      </c>
      <c r="B8" s="5" t="s">
        <v>28</v>
      </c>
      <c r="C8" s="9">
        <f>PI()*C7</f>
      </c>
      <c r="D8" s="4" t="s">
        <v>26</v>
      </c>
      <c r="E8" s="7"/>
    </row>
    <row r="9" spans="1:5" x14ac:dyDescent="0.25">
      <c r="A9" s="4" t="s">
        <v>29</v>
      </c>
      <c r="B9" s="5" t="s">
        <v>30</v>
      </c>
      <c r="C9" s="10">
        <f>PI()*C7^2/4</f>
      </c>
      <c r="D9" s="4" t="s">
        <v>31</v>
      </c>
      <c r="E9" s="7"/>
    </row>
    <row r="10" spans="1:5" x14ac:dyDescent="0.25">
      <c r="A10" s="4" t="s">
        <v>32</v>
      </c>
      <c r="B10" s="5" t="s">
        <v>33</v>
      </c>
      <c r="C10" s="8">
        <v>2.4</v>
      </c>
      <c r="D10" s="4" t="s">
        <v>34</v>
      </c>
      <c r="E10" s="7"/>
    </row>
    <row r="11" spans="1:5" x14ac:dyDescent="0.25">
      <c r="A11" s="4" t="s">
        <v>35</v>
      </c>
      <c r="B11" s="5" t="s">
        <v>36</v>
      </c>
      <c r="C11" s="8">
        <v>1</v>
      </c>
      <c r="D11" s="4" t="s">
        <v>26</v>
      </c>
      <c r="E11" s="7" t="s">
        <v>37</v>
      </c>
    </row>
    <row r="13" spans="1:5" ht="18" customHeight="1" x14ac:dyDescent="0.25">
      <c r="A13" s="2" t="s">
        <v>38</v>
      </c>
      <c r="B13" s="3"/>
      <c r="C13" s="3"/>
      <c r="D13" s="3"/>
      <c r="E13" s="3"/>
    </row>
    <row r="14" spans="1:5" x14ac:dyDescent="0.25">
      <c r="A14" s="4" t="s">
        <v>39</v>
      </c>
      <c r="B14" s="5" t="s">
        <v>40</v>
      </c>
      <c r="C14" s="8">
        <v>7</v>
      </c>
      <c r="D14" s="4" t="s">
        <v>26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43</v>
      </c>
      <c r="C15" s="8">
        <f>_xlfn.MAXIFS('Data Tanah'!$C$7:$C$47,'Data Tanah'!$H$7:$H$47,"L")</f>
      </c>
      <c r="D15" s="4" t="s">
        <v>26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45</v>
      </c>
      <c r="B16" s="5" t="s">
        <v>46</v>
      </c>
      <c r="C16" s="8">
        <v>18.5</v>
      </c>
      <c r="D16" s="4" t="s">
        <v>47</v>
      </c>
      <c r="E16" s="7" t="inlineStr">
        <is>
          <t xml:space="preserve">Report Tabel 5.1</t>
        </is>
      </c>
    </row>
    <row r="17" spans="1:5" x14ac:dyDescent="0.25">
      <c r="A17" s="4" t="s">
        <v>49</v>
      </c>
      <c r="B17" s="5" t="s">
        <v>50</v>
      </c>
      <c r="C17" s="8">
        <v>18.4</v>
      </c>
      <c r="D17" s="4" t="s">
        <v>47</v>
      </c>
      <c r="E17" s="7" t="inlineStr">
        <is>
          <t xml:space="preserve">Report Tabel 5.1</t>
        </is>
      </c>
    </row>
    <row r="18" spans="1:5" x14ac:dyDescent="0.25">
      <c r="A18" s="4" t="s">
        <v>51</v>
      </c>
      <c r="B18" s="5" t="s">
        <v>52</v>
      </c>
      <c r="C18" s="11">
        <v>30</v>
      </c>
      <c r="D18" s="4" t="s">
        <v>53</v>
      </c>
      <c r="E18" s="7" t="s">
        <v>54</v>
      </c>
    </row>
    <row r="19" spans="1:5" x14ac:dyDescent="0.25">
      <c r="A19" s="4" t="s">
        <v>55</v>
      </c>
      <c r="B19" s="5" t="s">
        <v>52</v>
      </c>
      <c r="C19" s="11">
        <v>25</v>
      </c>
      <c r="D19" s="4" t="s">
        <v>53</v>
      </c>
      <c r="E19" s="7" t="s">
        <v>56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58</v>
      </c>
      <c r="C20" s="11">
        <f>MAX('Data Tanah'!$Q$7:$Q$47)</f>
      </c>
      <c r="D20" s="4" t="s">
        <v>59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61</v>
      </c>
      <c r="B21" s="5" t="s">
        <v>62</v>
      </c>
      <c r="C21" s="12">
        <f>0.01*C7*1000</f>
      </c>
      <c r="D21" s="4" t="s">
        <v>59</v>
      </c>
      <c r="E21" s="7" t="s">
        <v>63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66</v>
      </c>
      <c r="B23" s="5"/>
      <c r="C23" s="11">
        <v>1</v>
      </c>
      <c r="D23" s="4" t="s">
        <v>67</v>
      </c>
      <c r="E23" s="7" t="s">
        <v>68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69</v>
      </c>
      <c r="B25" s="3"/>
      <c r="C25" s="3"/>
      <c r="D25" s="3"/>
      <c r="E25" s="3"/>
    </row>
    <row r="26" spans="1:5" x14ac:dyDescent="0.25">
      <c r="A26" s="4" t="s">
        <v>70</v>
      </c>
      <c r="B26" s="5"/>
      <c r="C26" s="8">
        <v>2</v>
      </c>
      <c r="D26" s="4" t="s">
        <v>26</v>
      </c>
      <c r="E26" s="7" t="inlineStr">
        <is>
          <t xml:space="preserve">sesuai perhitungan sebelumnya</t>
        </is>
      </c>
    </row>
    <row r="27" spans="1:5" x14ac:dyDescent="0.25">
      <c r="A27" s="4" t="s">
        <v>72</v>
      </c>
      <c r="B27" s="5"/>
      <c r="C27" s="8">
        <v>2.5</v>
      </c>
      <c r="D27" s="4" t="s">
        <v>26</v>
      </c>
      <c r="E27" s="7" t="inlineStr">
        <is>
          <t xml:space="preserve">sesuai perhitungan sebelumnya</t>
        </is>
      </c>
    </row>
    <row r="28" spans="1:5" x14ac:dyDescent="0.25">
      <c r="A28" s="4" t="s">
        <v>73</v>
      </c>
      <c r="B28" s="5"/>
      <c r="C28" s="8">
        <v>1</v>
      </c>
      <c r="D28" s="4" t="s">
        <v>74</v>
      </c>
      <c r="E28" s="7" t="s">
        <v>75</v>
      </c>
    </row>
    <row r="29" spans="1:5" x14ac:dyDescent="0.25">
      <c r="A29" s="4" t="s">
        <v>76</v>
      </c>
      <c r="B29" s="5" t="s">
        <v>77</v>
      </c>
      <c r="C29" s="8">
        <v>0.3</v>
      </c>
      <c r="D29" s="4" t="s">
        <v>78</v>
      </c>
      <c r="E29" s="7" t="s">
        <v>79</v>
      </c>
    </row>
    <row r="30" spans="1:5" x14ac:dyDescent="0.25">
      <c r="A30" s="4" t="s">
        <v>80</v>
      </c>
      <c r="B30" s="5" t="s">
        <v>81</v>
      </c>
      <c r="C30" s="8">
        <v>15</v>
      </c>
      <c r="D30" s="4" t="s">
        <v>82</v>
      </c>
      <c r="E30" s="7" t="s">
        <v>83</v>
      </c>
    </row>
    <row r="31" spans="1:5" x14ac:dyDescent="0.25">
      <c r="A31" s="4" t="s">
        <v>84</v>
      </c>
      <c r="B31" s="5" t="s">
        <v>85</v>
      </c>
      <c r="C31" s="8">
        <v>0.55000000000000004</v>
      </c>
      <c r="D31" s="4" t="s">
        <v>67</v>
      </c>
      <c r="E31" s="7" t="s">
        <v>86</v>
      </c>
    </row>
    <row r="32" spans="1:5" x14ac:dyDescent="0.25">
      <c r="A32" s="4" t="s">
        <v>87</v>
      </c>
      <c r="B32" s="5"/>
      <c r="C32" s="8">
        <v>0.5</v>
      </c>
      <c r="D32" s="4" t="s">
        <v>78</v>
      </c>
      <c r="E32" s="7"/>
    </row>
    <row r="33" spans="1:5" x14ac:dyDescent="0.25">
      <c r="A33" s="4" t="s">
        <v>88</v>
      </c>
      <c r="B33" s="5"/>
      <c r="C33" s="8">
        <v>57.5</v>
      </c>
      <c r="D33" s="4" t="s">
        <v>89</v>
      </c>
      <c r="E33" s="7" t="s">
        <v>75</v>
      </c>
    </row>
    <row r="34" spans="1:5" x14ac:dyDescent="0.25">
      <c r="A34" s="4" t="s">
        <v>90</v>
      </c>
      <c r="B34" s="5"/>
      <c r="C34" s="11">
        <v>2870</v>
      </c>
      <c r="D34" s="4" t="s">
        <v>91</v>
      </c>
      <c r="E34" s="7" t="s">
        <v>75</v>
      </c>
    </row>
    <row r="35" spans="1:5" x14ac:dyDescent="0.25">
      <c r="A35" s="4" t="s">
        <v>92</v>
      </c>
      <c r="B35" s="5" t="s">
        <v>93</v>
      </c>
      <c r="C35" s="11">
        <v>9</v>
      </c>
      <c r="D35" s="4" t="s">
        <v>67</v>
      </c>
      <c r="E35" s="7" t="s">
        <v>94</v>
      </c>
    </row>
    <row r="36" spans="1:5" x14ac:dyDescent="0.25">
      <c r="A36" s="4" t="s">
        <v>95</v>
      </c>
      <c r="B36" s="5"/>
      <c r="C36" s="8">
        <v>1</v>
      </c>
      <c r="D36" s="4" t="s">
        <v>74</v>
      </c>
      <c r="E36" s="7"/>
    </row>
    <row r="37" spans="1:5" x14ac:dyDescent="0.25">
      <c r="A37" s="4" t="s">
        <v>96</v>
      </c>
      <c r="B37" s="5"/>
      <c r="C37" s="8">
        <v>2</v>
      </c>
      <c r="D37" s="4" t="s">
        <v>74</v>
      </c>
      <c r="E37" s="7"/>
    </row>
    <row r="38" spans="1:5" x14ac:dyDescent="0.25">
      <c r="A38" s="4" t="s">
        <v>97</v>
      </c>
      <c r="B38" s="5"/>
      <c r="C38" s="8">
        <v>0.7</v>
      </c>
      <c r="D38" s="4" t="s">
        <v>67</v>
      </c>
      <c r="E38" s="7"/>
    </row>
    <row r="40" spans="1:5" ht="18" customHeight="1" x14ac:dyDescent="0.25">
      <c r="A40" s="2" t="s">
        <v>98</v>
      </c>
      <c r="B40" s="3"/>
      <c r="C40" s="3"/>
      <c r="D40" s="3"/>
      <c r="E40" s="3"/>
    </row>
    <row r="41" spans="1:5" x14ac:dyDescent="0.25">
      <c r="A41" s="4" t="s">
        <v>99</v>
      </c>
      <c r="B41" s="5"/>
      <c r="C41" s="8">
        <v>2.5</v>
      </c>
      <c r="D41" s="4" t="s">
        <v>67</v>
      </c>
      <c r="E41" s="7"/>
    </row>
    <row r="42" spans="1:5" x14ac:dyDescent="0.25">
      <c r="A42" s="4" t="s">
        <v>100</v>
      </c>
      <c r="B42" s="5"/>
      <c r="C42" s="8">
        <v>3</v>
      </c>
      <c r="D42" s="4" t="s">
        <v>67</v>
      </c>
      <c r="E42" s="7"/>
    </row>
    <row r="43" spans="1:5" x14ac:dyDescent="0.25">
      <c r="A43" s="4" t="s">
        <v>101</v>
      </c>
      <c r="B43" s="5"/>
      <c r="C43" s="8">
        <v>3</v>
      </c>
      <c r="D43" s="4" t="s">
        <v>67</v>
      </c>
      <c r="E43" s="7"/>
    </row>
    <row r="44" spans="1:5" x14ac:dyDescent="0.25">
      <c r="A44" s="4" t="s">
        <v>102</v>
      </c>
      <c r="B44" s="5"/>
      <c r="C44" s="8">
        <v>1.56</v>
      </c>
      <c r="D44" s="4" t="s">
        <v>67</v>
      </c>
      <c r="E44" s="7"/>
    </row>
    <row r="45" spans="1:5" x14ac:dyDescent="0.25">
      <c r="A45" s="4" t="s">
        <v>103</v>
      </c>
      <c r="B45" s="5"/>
      <c r="C45" s="8">
        <v>1.56</v>
      </c>
      <c r="D45" s="4" t="s">
        <v>67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104</v>
      </c>
      <c r="B47" s="3"/>
      <c r="C47" s="3"/>
      <c r="D47" s="3"/>
      <c r="E47" s="3"/>
    </row>
    <row r="48" spans="1:5" x14ac:dyDescent="0.25">
      <c r="A48" s="4" t="s">
        <v>105</v>
      </c>
      <c r="B48" s="5" t="s">
        <v>10</v>
      </c>
      <c r="C48" s="14">
        <v>3000.0</v>
      </c>
      <c r="D48" s="4" t="s">
        <v>18</v>
      </c>
      <c r="E48" s="7" t="inlineStr">
        <is>
          <t xml:space="preserve">beban seragam semua BH (sama dengan BH-03) - update dgn GROUP beban revisi</t>
        </is>
      </c>
    </row>
    <row r="49" spans="1:5" x14ac:dyDescent="0.25">
      <c r="A49" s="4" t="s">
        <v>106</v>
      </c>
      <c r="B49" s="5" t="s">
        <v>14</v>
      </c>
      <c r="C49" s="14">
        <v>600.0</v>
      </c>
      <c r="D49" s="4" t="s">
        <v>18</v>
      </c>
      <c r="E49" s="7" t="inlineStr">
        <is>
          <t xml:space="preserve">beban seragam semua BH (sama dengan BH-03) - update dgn GROUP beban revisi</t>
        </is>
      </c>
    </row>
    <row r="50" spans="1:5" x14ac:dyDescent="0.25">
      <c r="A50" s="4" t="s">
        <v>107</v>
      </c>
      <c r="B50" s="5" t="s">
        <v>19</v>
      </c>
      <c r="C50" s="14">
        <v>500.0</v>
      </c>
      <c r="D50" s="4" t="s">
        <v>18</v>
      </c>
      <c r="E50" s="7" t="inlineStr">
        <is>
          <t xml:space="preserve">beban seragam semua BH (sama dengan BH-03) - update dgn GROUP beban revisi</t>
        </is>
      </c>
    </row>
    <row r="51" spans="1:5" x14ac:dyDescent="0.25">
      <c r="A51" s="4" t="s">
        <v>108</v>
      </c>
      <c r="B51" s="5" t="s">
        <v>109</v>
      </c>
      <c r="C51" s="14">
        <v>0.0</v>
      </c>
      <c r="D51" s="4" t="s">
        <v>18</v>
      </c>
      <c r="E51" s="7" t="inlineStr">
        <is>
          <t xml:space="preserve">tidak ada tiang tarik pada kombinasi yang ditinjau</t>
        </is>
      </c>
    </row>
    <row r="53" spans="1:5" x14ac:dyDescent="0.25">
      <c r="A53" s="1" t="s">
        <v>110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23" activePane="bottomLeft" state="frozen"/>
      <selection pane="bottomLeft" activeCell="A4" sqref="A4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5" t="s">
        <v>111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112</v>
      </c>
      <c r="B5" s="15" t="s">
        <v>113</v>
      </c>
      <c r="C5" s="15" t="s">
        <v>114</v>
      </c>
      <c r="D5" s="15" t="s">
        <v>115</v>
      </c>
      <c r="E5" s="15" t="s">
        <v>116</v>
      </c>
      <c r="F5" s="15" t="s">
        <v>117</v>
      </c>
      <c r="G5" s="15" t="s">
        <v>118</v>
      </c>
      <c r="H5" s="15" t="s">
        <v>119</v>
      </c>
      <c r="I5" s="15" t="s">
        <v>120</v>
      </c>
      <c r="J5" s="15" t="s">
        <v>121</v>
      </c>
      <c r="K5" s="15" t="s">
        <v>122</v>
      </c>
      <c r="L5" s="15" t="s">
        <v>123</v>
      </c>
      <c r="M5" s="15" t="s">
        <v>124</v>
      </c>
      <c r="N5" s="15" t="s">
        <v>125</v>
      </c>
      <c r="O5" s="15" t="s">
        <v>126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26</v>
      </c>
      <c r="C6" s="15" t="s">
        <v>26</v>
      </c>
      <c r="D6" s="15" t="s">
        <v>26</v>
      </c>
      <c r="E6" s="15" t="s">
        <v>26</v>
      </c>
      <c r="F6" s="15"/>
      <c r="G6" s="15"/>
      <c r="H6" s="15" t="s">
        <v>127</v>
      </c>
      <c r="I6" s="15" t="s">
        <v>82</v>
      </c>
      <c r="J6" s="15" t="s">
        <v>82</v>
      </c>
      <c r="K6" s="15" t="s">
        <v>82</v>
      </c>
      <c r="L6" s="15" t="s">
        <v>82</v>
      </c>
      <c r="M6" s="15" t="s">
        <v>82</v>
      </c>
      <c r="N6" s="15" t="s">
        <v>82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 t="shared" ref="E7:E47" si="1">B7+D7/2</f>
      </c>
      <c r="F7" s="6" t="s">
        <v>128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2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si="1"/>
      </c>
      <c r="F8" s="6" t="s">
        <v>128</v>
      </c>
      <c r="G8" s="11">
        <v>50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2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/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1.5</v>
      </c>
      <c r="E9" s="9">
        <f t="shared" si="1"/>
      </c>
      <c r="F9" s="6" t="s">
        <v>128</v>
      </c>
      <c r="G9" s="11">
        <v>50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2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/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4.5</v>
      </c>
      <c r="C10" s="19">
        <f t="shared" si="0"/>
      </c>
      <c r="D10" s="8">
        <v>1.5</v>
      </c>
      <c r="E10" s="19">
        <f t="shared" si="1"/>
      </c>
      <c r="F10" s="6" t="s">
        <v>128</v>
      </c>
      <c r="G10" s="11">
        <v>41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2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>
        <v>0.21</v>
      </c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1"/>
      </c>
      <c r="F11" s="6" t="s">
        <v>128</v>
      </c>
      <c r="G11" s="11">
        <v>50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2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/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1"/>
      </c>
      <c r="F12" s="6" t="s">
        <v>128</v>
      </c>
      <c r="G12" s="11">
        <v>26</v>
      </c>
      <c r="H12" s="22" t="inlineStr">
        <is>
          <t xml:space="preserve">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2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2.68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1"/>
      </c>
      <c r="F13" s="6" t="s">
        <v>128</v>
      </c>
      <c r="G13" s="11">
        <v>15</v>
      </c>
      <c r="H13" s="22" t="inlineStr">
        <is>
          <t xml:space="preserve">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 t="shared" si="2"/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3.45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1"/>
      </c>
      <c r="F14" s="6" t="s">
        <v>128</v>
      </c>
      <c r="G14" s="11">
        <v>25</v>
      </c>
      <c r="H14" s="22" t="inlineStr">
        <is>
          <t xml:space="preserve">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2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2.68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1"/>
      </c>
      <c r="F15" s="6" t="s">
        <v>131</v>
      </c>
      <c r="G15" s="11">
        <v>20</v>
      </c>
      <c r="H15" s="22" t="inlineStr">
        <is>
          <t xml:space="preserve">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2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3.45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1"/>
      </c>
      <c r="F16" s="6" t="s">
        <v>131</v>
      </c>
      <c r="G16" s="11">
        <v>47</v>
      </c>
      <c r="H16" s="22" t="inlineStr">
        <is>
          <t xml:space="preserve">NL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2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0.16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1"/>
      </c>
      <c r="F17" s="6" t="s">
        <v>128</v>
      </c>
      <c r="G17" s="11">
        <v>12</v>
      </c>
      <c r="H17" s="22" t="inlineStr">
        <is>
          <t xml:space="preserve">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2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>
        <v>4.44</v>
      </c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1"/>
      </c>
      <c r="F18" s="6" t="s">
        <v>128</v>
      </c>
      <c r="G18" s="11">
        <v>23</v>
      </c>
      <c r="H18" s="22" t="inlineStr">
        <is>
          <t xml:space="preserve">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2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3.45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1"/>
      </c>
      <c r="F19" s="6" t="s">
        <v>128</v>
      </c>
      <c r="G19" s="11">
        <v>30</v>
      </c>
      <c r="H19" s="22" t="inlineStr">
        <is>
          <t xml:space="preserve">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2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2.68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1"/>
      </c>
      <c r="F20" s="6" t="s">
        <v>128</v>
      </c>
      <c r="G20" s="11">
        <v>27</v>
      </c>
      <c r="H20" s="22" t="inlineStr">
        <is>
          <t xml:space="preserve">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2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2.68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1"/>
      </c>
      <c r="F21" s="6" t="s">
        <v>128</v>
      </c>
      <c r="G21" s="11">
        <v>28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2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2.68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1"/>
      </c>
      <c r="F22" s="6" t="s">
        <v>128</v>
      </c>
      <c r="G22" s="11">
        <v>24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2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/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1"/>
      </c>
      <c r="F23" s="6" t="s">
        <v>128</v>
      </c>
      <c r="G23" s="11">
        <v>44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2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/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1"/>
      </c>
      <c r="F24" s="6" t="s">
        <v>128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2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/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1"/>
      </c>
      <c r="F25" s="6" t="s">
        <v>128</v>
      </c>
      <c r="G25" s="11">
        <v>31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2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/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1"/>
      </c>
      <c r="F26" s="6" t="s">
        <v>128</v>
      </c>
      <c r="G26" s="11">
        <v>50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2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/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1"/>
      </c>
      <c r="F27" s="6" t="s">
        <v>128</v>
      </c>
      <c r="G27" s="11">
        <v>40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2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/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1"/>
      </c>
      <c r="F28" s="6" t="s">
        <v>128</v>
      </c>
      <c r="G28" s="11">
        <v>43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2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/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1"/>
      </c>
      <c r="F29" s="6" t="s">
        <v>128</v>
      </c>
      <c r="G29" s="11">
        <v>26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2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/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1"/>
      </c>
      <c r="F30" s="6" t="s">
        <v>128</v>
      </c>
      <c r="G30" s="11">
        <v>53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2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/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1"/>
      </c>
      <c r="F31" s="6" t="s">
        <v>128</v>
      </c>
      <c r="G31" s="11">
        <v>54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2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/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1"/>
      </c>
      <c r="F32" s="6" t="s">
        <v>128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2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/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1"/>
      </c>
      <c r="F33" s="6" t="s">
        <v>128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2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/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1"/>
      </c>
      <c r="F34" s="6" t="s">
        <v>128</v>
      </c>
      <c r="G34" s="11">
        <v>37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2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/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1"/>
      </c>
      <c r="F35" s="6" t="s">
        <v>128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2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/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1"/>
      </c>
      <c r="F36" s="6" t="s">
        <v>128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2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/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1"/>
      </c>
      <c r="F37" s="6" t="s">
        <v>128</v>
      </c>
      <c r="G37" s="11">
        <v>50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2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/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1"/>
      </c>
      <c r="F38" s="6" t="s">
        <v>128</v>
      </c>
      <c r="G38" s="11">
        <v>50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2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/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1"/>
      </c>
      <c r="F39" s="6" t="s">
        <v>128</v>
      </c>
      <c r="G39" s="11">
        <v>27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2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/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1"/>
      </c>
      <c r="F40" s="6" t="s">
        <v>128</v>
      </c>
      <c r="G40" s="11">
        <v>25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2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/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1"/>
      </c>
      <c r="F41" s="6" t="s">
        <v>128</v>
      </c>
      <c r="G41" s="11">
        <v>29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2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/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1"/>
      </c>
      <c r="F42" s="6" t="s">
        <v>128</v>
      </c>
      <c r="G42" s="11">
        <v>35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2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/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1"/>
      </c>
      <c r="F43" s="6" t="s">
        <v>128</v>
      </c>
      <c r="G43" s="11">
        <v>50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2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/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1"/>
      </c>
      <c r="F44" s="6" t="s">
        <v>128</v>
      </c>
      <c r="G44" s="11">
        <v>50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2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/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1"/>
      </c>
      <c r="F45" s="6" t="s">
        <v>128</v>
      </c>
      <c r="G45" s="11">
        <v>50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2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/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1"/>
      </c>
      <c r="F46" s="6" t="s">
        <v>128</v>
      </c>
      <c r="G46" s="11">
        <v>29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2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/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1"/>
      </c>
      <c r="F47" s="6" t="s">
        <v>128</v>
      </c>
      <c r="G47" s="11">
        <v>44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2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/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132</v>
      </c>
    </row>
    <row r="50" spans="1:1" x14ac:dyDescent="0.25">
      <c r="A50" s="1" t="s">
        <v>133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134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135</v>
      </c>
      <c r="B5" s="36"/>
      <c r="C5" s="36"/>
      <c r="D5" s="36"/>
      <c r="E5" s="27">
        <f>IFERROR(ROUND(1/(1/_xlfn.SINGLE(_xlfn.MINIFS(A12:A127,L12:L127,TRUE))),2),"&gt; data")</f>
      </c>
      <c r="F5" s="4" t="s">
        <v>26</v>
      </c>
    </row>
    <row r="6" spans="1:14" x14ac:dyDescent="0.25">
      <c r="A6" s="37" t="s">
        <v>136</v>
      </c>
      <c r="B6" s="36"/>
      <c r="C6" s="36"/>
      <c r="D6" s="36"/>
      <c r="E6" s="27">
        <f>IF(ISNUMBER(E5),E5-Input!$C$11,"-")</f>
      </c>
      <c r="F6" s="4" t="s">
        <v>26</v>
      </c>
    </row>
    <row r="7" spans="1:14" x14ac:dyDescent="0.25">
      <c r="A7" s="37" t="s">
        <v>137</v>
      </c>
      <c r="B7" s="36"/>
      <c r="C7" s="36"/>
      <c r="D7" s="36"/>
      <c r="E7" s="27">
        <f>Input!C41&amp;" / "&amp;Input!C42</f>
      </c>
      <c r="F7" s="4" t="s">
        <v>138</v>
      </c>
    </row>
    <row r="10" spans="1:14" ht="42" customHeight="1" x14ac:dyDescent="0.25">
      <c r="A10" s="15" t="s">
        <v>139</v>
      </c>
      <c r="B10" s="15" t="s">
        <v>140</v>
      </c>
      <c r="C10" s="15" t="s">
        <v>141</v>
      </c>
      <c r="D10" s="15" t="s">
        <v>142</v>
      </c>
      <c r="E10" s="15" t="s">
        <v>143</v>
      </c>
      <c r="F10" s="15" t="s">
        <v>144</v>
      </c>
      <c r="G10" s="15" t="s">
        <v>145</v>
      </c>
      <c r="H10" s="15" t="s">
        <v>146</v>
      </c>
      <c r="I10" s="15" t="s">
        <v>147</v>
      </c>
      <c r="J10" s="15" t="s">
        <v>147</v>
      </c>
      <c r="K10" s="15" t="s">
        <v>148</v>
      </c>
      <c r="L10" s="15" t="s">
        <v>149</v>
      </c>
      <c r="M10" s="15" t="s">
        <v>150</v>
      </c>
      <c r="N10" s="15" t="s">
        <v>150</v>
      </c>
    </row>
    <row r="11" spans="1:14" x14ac:dyDescent="0.25">
      <c r="A11" s="15" t="s">
        <v>26</v>
      </c>
      <c r="B11" s="15" t="s">
        <v>26</v>
      </c>
      <c r="C11" s="15" t="s">
        <v>26</v>
      </c>
      <c r="D11" s="15" t="s">
        <v>151</v>
      </c>
      <c r="E11" s="15" t="s">
        <v>82</v>
      </c>
      <c r="F11" s="15" t="s">
        <v>151</v>
      </c>
      <c r="G11" s="15" t="s">
        <v>151</v>
      </c>
      <c r="H11" s="15" t="s">
        <v>151</v>
      </c>
      <c r="I11" s="15" t="s">
        <v>151</v>
      </c>
      <c r="J11" s="15" t="s">
        <v>18</v>
      </c>
      <c r="K11" s="15" t="s">
        <v>18</v>
      </c>
      <c r="L11" s="15"/>
      <c r="M11" s="15" t="s">
        <v>151</v>
      </c>
      <c r="N11" s="15" t="s">
        <v>18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30">
        <f>E12*Input!$C$9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D12/Input!$C$41+F12/Input!$C$42-H12</f>
      </c>
      <c r="J12" s="25">
        <f t="shared" ref="J12:J43" si="2">I12*9.81</f>
      </c>
      <c r="K12" s="25">
        <f>Input!$C$48</f>
      </c>
      <c r="L12" s="13">
        <f t="shared" ref="L12:L43" si="3">AND(J12&gt;=K12,L13)</f>
      </c>
      <c r="M12" s="30">
        <f>Input!$C$38*D12/Input!$C$43+H12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1">
        <f>E13*Input!$C$9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D13/Input!$C$41+F13/Input!$C$42-H13</f>
      </c>
      <c r="J13" s="32">
        <f t="shared" si="2"/>
      </c>
      <c r="K13" s="32">
        <f>Input!$C$48</f>
      </c>
      <c r="L13" s="33">
        <f t="shared" si="3"/>
      </c>
      <c r="M13" s="31">
        <f>Input!$C$38*D13/Input!$C$43+H13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30">
        <f>E14*Input!$C$9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D14/Input!$C$41+F14/Input!$C$42-H14</f>
      </c>
      <c r="J14" s="25">
        <f t="shared" si="2"/>
      </c>
      <c r="K14" s="25">
        <f>Input!$C$48</f>
      </c>
      <c r="L14" s="13">
        <f t="shared" si="3"/>
      </c>
      <c r="M14" s="30">
        <f>Input!$C$38*D14/Input!$C$43+H14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1">
        <f>E15*Input!$C$9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D15/Input!$C$41+F15/Input!$C$42-H15</f>
      </c>
      <c r="J15" s="32">
        <f t="shared" si="2"/>
      </c>
      <c r="K15" s="32">
        <f>Input!$C$48</f>
      </c>
      <c r="L15" s="33">
        <f t="shared" si="3"/>
      </c>
      <c r="M15" s="31">
        <f>Input!$C$38*D15/Input!$C$43+H15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30">
        <f>E16*Input!$C$9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D16/Input!$C$41+F16/Input!$C$42-H16</f>
      </c>
      <c r="J16" s="25">
        <f t="shared" si="2"/>
      </c>
      <c r="K16" s="25">
        <f>Input!$C$48</f>
      </c>
      <c r="L16" s="13">
        <f t="shared" si="3"/>
      </c>
      <c r="M16" s="30">
        <f>Input!$C$38*D16/Input!$C$43+H16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1">
        <f>E17*Input!$C$9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D17/Input!$C$41+F17/Input!$C$42-H17</f>
      </c>
      <c r="J17" s="32">
        <f t="shared" si="2"/>
      </c>
      <c r="K17" s="32">
        <f>Input!$C$48</f>
      </c>
      <c r="L17" s="33">
        <f t="shared" si="3"/>
      </c>
      <c r="M17" s="31">
        <f>Input!$C$38*D17/Input!$C$43+H17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30">
        <f>E18*Input!$C$9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D18/Input!$C$41+F18/Input!$C$42-H18</f>
      </c>
      <c r="J18" s="25">
        <f t="shared" si="2"/>
      </c>
      <c r="K18" s="25">
        <f>Input!$C$48</f>
      </c>
      <c r="L18" s="13">
        <f t="shared" si="3"/>
      </c>
      <c r="M18" s="30">
        <f>Input!$C$38*D18/Input!$C$43+H18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1">
        <f>E19*Input!$C$9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D19/Input!$C$41+F19/Input!$C$42-H19</f>
      </c>
      <c r="J19" s="32">
        <f t="shared" si="2"/>
      </c>
      <c r="K19" s="32">
        <f>Input!$C$48</f>
      </c>
      <c r="L19" s="33">
        <f t="shared" si="3"/>
      </c>
      <c r="M19" s="31">
        <f>Input!$C$38*D19/Input!$C$43+H19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30">
        <f>E20*Input!$C$9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D20/Input!$C$41+F20/Input!$C$42-H20</f>
      </c>
      <c r="J20" s="25">
        <f t="shared" si="2"/>
      </c>
      <c r="K20" s="25">
        <f>Input!$C$48</f>
      </c>
      <c r="L20" s="13">
        <f t="shared" si="3"/>
      </c>
      <c r="M20" s="30">
        <f>Input!$C$38*D20/Input!$C$43+H20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1">
        <f>E21*Input!$C$9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D21/Input!$C$41+F21/Input!$C$42-H21</f>
      </c>
      <c r="J21" s="32">
        <f t="shared" si="2"/>
      </c>
      <c r="K21" s="32">
        <f>Input!$C$48</f>
      </c>
      <c r="L21" s="33">
        <f t="shared" si="3"/>
      </c>
      <c r="M21" s="31">
        <f>Input!$C$38*D21/Input!$C$43+H21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30">
        <f>E22*Input!$C$9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D22/Input!$C$41+F22/Input!$C$42-H22</f>
      </c>
      <c r="J22" s="25">
        <f t="shared" si="2"/>
      </c>
      <c r="K22" s="25">
        <f>Input!$C$48</f>
      </c>
      <c r="L22" s="13">
        <f t="shared" si="3"/>
      </c>
      <c r="M22" s="30">
        <f>Input!$C$38*D22/Input!$C$43+H22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1">
        <f>E23*Input!$C$9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D23/Input!$C$41+F23/Input!$C$42-H23</f>
      </c>
      <c r="J23" s="32">
        <f t="shared" si="2"/>
      </c>
      <c r="K23" s="32">
        <f>Input!$C$48</f>
      </c>
      <c r="L23" s="33">
        <f t="shared" si="3"/>
      </c>
      <c r="M23" s="31">
        <f>Input!$C$38*D23/Input!$C$43+H23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30">
        <f>E24*Input!$C$9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D24/Input!$C$41+F24/Input!$C$42-H24</f>
      </c>
      <c r="J24" s="25">
        <f t="shared" si="2"/>
      </c>
      <c r="K24" s="25">
        <f>Input!$C$48</f>
      </c>
      <c r="L24" s="13">
        <f t="shared" si="3"/>
      </c>
      <c r="M24" s="30">
        <f>Input!$C$38*D24/Input!$C$43+H24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1">
        <f>E25*Input!$C$9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D25/Input!$C$41+F25/Input!$C$42-H25</f>
      </c>
      <c r="J25" s="32">
        <f t="shared" si="2"/>
      </c>
      <c r="K25" s="32">
        <f>Input!$C$48</f>
      </c>
      <c r="L25" s="33">
        <f t="shared" si="3"/>
      </c>
      <c r="M25" s="31">
        <f>Input!$C$38*D25/Input!$C$43+H25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30">
        <f>E26*Input!$C$9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D26/Input!$C$41+F26/Input!$C$42-H26</f>
      </c>
      <c r="J26" s="25">
        <f t="shared" si="2"/>
      </c>
      <c r="K26" s="25">
        <f>Input!$C$48</f>
      </c>
      <c r="L26" s="13">
        <f t="shared" si="3"/>
      </c>
      <c r="M26" s="30">
        <f>Input!$C$38*D26/Input!$C$43+H26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1">
        <f>E27*Input!$C$9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D27/Input!$C$41+F27/Input!$C$42-H27</f>
      </c>
      <c r="J27" s="32">
        <f t="shared" si="2"/>
      </c>
      <c r="K27" s="32">
        <f>Input!$C$48</f>
      </c>
      <c r="L27" s="33">
        <f t="shared" si="3"/>
      </c>
      <c r="M27" s="31">
        <f>Input!$C$38*D27/Input!$C$43+H27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30">
        <f>E28*Input!$C$9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D28/Input!$C$41+F28/Input!$C$42-H28</f>
      </c>
      <c r="J28" s="25">
        <f t="shared" si="2"/>
      </c>
      <c r="K28" s="25">
        <f>Input!$C$48</f>
      </c>
      <c r="L28" s="13">
        <f t="shared" si="3"/>
      </c>
      <c r="M28" s="30">
        <f>Input!$C$38*D28/Input!$C$43+H28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1">
        <f>E29*Input!$C$9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D29/Input!$C$41+F29/Input!$C$42-H29</f>
      </c>
      <c r="J29" s="32">
        <f t="shared" si="2"/>
      </c>
      <c r="K29" s="32">
        <f>Input!$C$48</f>
      </c>
      <c r="L29" s="33">
        <f t="shared" si="3"/>
      </c>
      <c r="M29" s="31">
        <f>Input!$C$38*D29/Input!$C$43+H29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30">
        <f>E30*Input!$C$9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D30/Input!$C$41+F30/Input!$C$42-H30</f>
      </c>
      <c r="J30" s="25">
        <f t="shared" si="2"/>
      </c>
      <c r="K30" s="25">
        <f>Input!$C$48</f>
      </c>
      <c r="L30" s="13">
        <f t="shared" si="3"/>
      </c>
      <c r="M30" s="30">
        <f>Input!$C$38*D30/Input!$C$43+H30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1">
        <f>E31*Input!$C$9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D31/Input!$C$41+F31/Input!$C$42-H31</f>
      </c>
      <c r="J31" s="32">
        <f t="shared" si="2"/>
      </c>
      <c r="K31" s="32">
        <f>Input!$C$48</f>
      </c>
      <c r="L31" s="33">
        <f t="shared" si="3"/>
      </c>
      <c r="M31" s="31">
        <f>Input!$C$38*D31/Input!$C$43+H31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30">
        <f>E32*Input!$C$9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D32/Input!$C$41+F32/Input!$C$42-H32</f>
      </c>
      <c r="J32" s="25">
        <f t="shared" si="2"/>
      </c>
      <c r="K32" s="25">
        <f>Input!$C$48</f>
      </c>
      <c r="L32" s="13">
        <f t="shared" si="3"/>
      </c>
      <c r="M32" s="30">
        <f>Input!$C$38*D32/Input!$C$43+H32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1">
        <f>E33*Input!$C$9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D33/Input!$C$41+F33/Input!$C$42-H33</f>
      </c>
      <c r="J33" s="32">
        <f t="shared" si="2"/>
      </c>
      <c r="K33" s="32">
        <f>Input!$C$48</f>
      </c>
      <c r="L33" s="33">
        <f t="shared" si="3"/>
      </c>
      <c r="M33" s="31">
        <f>Input!$C$38*D33/Input!$C$43+H33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30">
        <f>E34*Input!$C$9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D34/Input!$C$41+F34/Input!$C$42-H34</f>
      </c>
      <c r="J34" s="25">
        <f t="shared" si="2"/>
      </c>
      <c r="K34" s="25">
        <f>Input!$C$48</f>
      </c>
      <c r="L34" s="13">
        <f t="shared" si="3"/>
      </c>
      <c r="M34" s="30">
        <f>Input!$C$38*D34/Input!$C$43+H34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1">
        <f>E35*Input!$C$9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D35/Input!$C$41+F35/Input!$C$42-H35</f>
      </c>
      <c r="J35" s="32">
        <f t="shared" si="2"/>
      </c>
      <c r="K35" s="32">
        <f>Input!$C$48</f>
      </c>
      <c r="L35" s="33">
        <f t="shared" si="3"/>
      </c>
      <c r="M35" s="31">
        <f>Input!$C$38*D35/Input!$C$43+H35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30">
        <f>E36*Input!$C$9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D36/Input!$C$41+F36/Input!$C$42-H36</f>
      </c>
      <c r="J36" s="25">
        <f t="shared" si="2"/>
      </c>
      <c r="K36" s="25">
        <f>Input!$C$48</f>
      </c>
      <c r="L36" s="13">
        <f t="shared" si="3"/>
      </c>
      <c r="M36" s="30">
        <f>Input!$C$38*D36/Input!$C$43+H36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1">
        <f>E37*Input!$C$9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D37/Input!$C$41+F37/Input!$C$42-H37</f>
      </c>
      <c r="J37" s="32">
        <f t="shared" si="2"/>
      </c>
      <c r="K37" s="32">
        <f>Input!$C$48</f>
      </c>
      <c r="L37" s="33">
        <f t="shared" si="3"/>
      </c>
      <c r="M37" s="31">
        <f>Input!$C$38*D37/Input!$C$43+H37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30">
        <f>E38*Input!$C$9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D38/Input!$C$41+F38/Input!$C$42-H38</f>
      </c>
      <c r="J38" s="25">
        <f t="shared" si="2"/>
      </c>
      <c r="K38" s="25">
        <f>Input!$C$48</f>
      </c>
      <c r="L38" s="13">
        <f t="shared" si="3"/>
      </c>
      <c r="M38" s="30">
        <f>Input!$C$38*D38/Input!$C$43+H38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1">
        <f>E39*Input!$C$9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D39/Input!$C$41+F39/Input!$C$42-H39</f>
      </c>
      <c r="J39" s="32">
        <f t="shared" si="2"/>
      </c>
      <c r="K39" s="32">
        <f>Input!$C$48</f>
      </c>
      <c r="L39" s="33">
        <f t="shared" si="3"/>
      </c>
      <c r="M39" s="31">
        <f>Input!$C$38*D39/Input!$C$43+H39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30">
        <f>E40*Input!$C$9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D40/Input!$C$41+F40/Input!$C$42-H40</f>
      </c>
      <c r="J40" s="25">
        <f t="shared" si="2"/>
      </c>
      <c r="K40" s="25">
        <f>Input!$C$48</f>
      </c>
      <c r="L40" s="13">
        <f t="shared" si="3"/>
      </c>
      <c r="M40" s="30">
        <f>Input!$C$38*D40/Input!$C$43+H40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1">
        <f>E41*Input!$C$9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D41/Input!$C$41+F41/Input!$C$42-H41</f>
      </c>
      <c r="J41" s="32">
        <f t="shared" si="2"/>
      </c>
      <c r="K41" s="32">
        <f>Input!$C$48</f>
      </c>
      <c r="L41" s="33">
        <f t="shared" si="3"/>
      </c>
      <c r="M41" s="31">
        <f>Input!$C$38*D41/Input!$C$43+H41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30">
        <f>E42*Input!$C$9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D42/Input!$C$41+F42/Input!$C$42-H42</f>
      </c>
      <c r="J42" s="25">
        <f t="shared" si="2"/>
      </c>
      <c r="K42" s="25">
        <f>Input!$C$48</f>
      </c>
      <c r="L42" s="13">
        <f t="shared" si="3"/>
      </c>
      <c r="M42" s="30">
        <f>Input!$C$38*D42/Input!$C$43+H42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1">
        <f>E43*Input!$C$9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D43/Input!$C$41+F43/Input!$C$42-H43</f>
      </c>
      <c r="J43" s="32">
        <f t="shared" si="2"/>
      </c>
      <c r="K43" s="32">
        <f>Input!$C$48</f>
      </c>
      <c r="L43" s="33">
        <f t="shared" si="3"/>
      </c>
      <c r="M43" s="31">
        <f>Input!$C$38*D43/Input!$C$43+H43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30">
        <f>E44*Input!$C$9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D44/Input!$C$41+F44/Input!$C$42-H44</f>
      </c>
      <c r="J44" s="25">
        <f t="shared" ref="J44:J75" si="7">I44*9.81</f>
      </c>
      <c r="K44" s="25">
        <f>Input!$C$48</f>
      </c>
      <c r="L44" s="13">
        <f t="shared" ref="L44:L75" si="8">AND(J44&gt;=K44,L45)</f>
      </c>
      <c r="M44" s="30">
        <f>Input!$C$38*D44/Input!$C$43+H44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1">
        <f>E45*Input!$C$9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D45/Input!$C$41+F45/Input!$C$42-H45</f>
      </c>
      <c r="J45" s="32">
        <f t="shared" si="7"/>
      </c>
      <c r="K45" s="32">
        <f>Input!$C$48</f>
      </c>
      <c r="L45" s="33">
        <f t="shared" si="8"/>
      </c>
      <c r="M45" s="31">
        <f>Input!$C$38*D45/Input!$C$43+H45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30">
        <f>E46*Input!$C$9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D46/Input!$C$41+F46/Input!$C$42-H46</f>
      </c>
      <c r="J46" s="25">
        <f t="shared" si="7"/>
      </c>
      <c r="K46" s="25">
        <f>Input!$C$48</f>
      </c>
      <c r="L46" s="13">
        <f t="shared" si="8"/>
      </c>
      <c r="M46" s="30">
        <f>Input!$C$38*D46/Input!$C$43+H46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1">
        <f>E47*Input!$C$9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D47/Input!$C$41+F47/Input!$C$42-H47</f>
      </c>
      <c r="J47" s="32">
        <f t="shared" si="7"/>
      </c>
      <c r="K47" s="32">
        <f>Input!$C$48</f>
      </c>
      <c r="L47" s="33">
        <f t="shared" si="8"/>
      </c>
      <c r="M47" s="31">
        <f>Input!$C$38*D47/Input!$C$43+H47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30">
        <f>E48*Input!$C$9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D48/Input!$C$41+F48/Input!$C$42-H48</f>
      </c>
      <c r="J48" s="25">
        <f t="shared" si="7"/>
      </c>
      <c r="K48" s="25">
        <f>Input!$C$48</f>
      </c>
      <c r="L48" s="13">
        <f t="shared" si="8"/>
      </c>
      <c r="M48" s="30">
        <f>Input!$C$38*D48/Input!$C$43+H48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1">
        <f>E49*Input!$C$9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D49/Input!$C$41+F49/Input!$C$42-H49</f>
      </c>
      <c r="J49" s="32">
        <f t="shared" si="7"/>
      </c>
      <c r="K49" s="32">
        <f>Input!$C$48</f>
      </c>
      <c r="L49" s="33">
        <f t="shared" si="8"/>
      </c>
      <c r="M49" s="31">
        <f>Input!$C$38*D49/Input!$C$43+H49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30">
        <f>E50*Input!$C$9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D50/Input!$C$41+F50/Input!$C$42-H50</f>
      </c>
      <c r="J50" s="25">
        <f t="shared" si="7"/>
      </c>
      <c r="K50" s="25">
        <f>Input!$C$48</f>
      </c>
      <c r="L50" s="13">
        <f t="shared" si="8"/>
      </c>
      <c r="M50" s="30">
        <f>Input!$C$38*D50/Input!$C$43+H50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1">
        <f>E51*Input!$C$9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D51/Input!$C$41+F51/Input!$C$42-H51</f>
      </c>
      <c r="J51" s="32">
        <f t="shared" si="7"/>
      </c>
      <c r="K51" s="32">
        <f>Input!$C$48</f>
      </c>
      <c r="L51" s="33">
        <f t="shared" si="8"/>
      </c>
      <c r="M51" s="31">
        <f>Input!$C$38*D51/Input!$C$43+H51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30">
        <f>E52*Input!$C$9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D52/Input!$C$41+F52/Input!$C$42-H52</f>
      </c>
      <c r="J52" s="25">
        <f t="shared" si="7"/>
      </c>
      <c r="K52" s="25">
        <f>Input!$C$48</f>
      </c>
      <c r="L52" s="13">
        <f t="shared" si="8"/>
      </c>
      <c r="M52" s="30">
        <f>Input!$C$38*D52/Input!$C$43+H52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1">
        <f>E53*Input!$C$9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D53/Input!$C$41+F53/Input!$C$42-H53</f>
      </c>
      <c r="J53" s="32">
        <f t="shared" si="7"/>
      </c>
      <c r="K53" s="32">
        <f>Input!$C$48</f>
      </c>
      <c r="L53" s="33">
        <f t="shared" si="8"/>
      </c>
      <c r="M53" s="31">
        <f>Input!$C$38*D53/Input!$C$43+H53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30">
        <f>E54*Input!$C$9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D54/Input!$C$41+F54/Input!$C$42-H54</f>
      </c>
      <c r="J54" s="25">
        <f t="shared" si="7"/>
      </c>
      <c r="K54" s="25">
        <f>Input!$C$48</f>
      </c>
      <c r="L54" s="13">
        <f t="shared" si="8"/>
      </c>
      <c r="M54" s="30">
        <f>Input!$C$38*D54/Input!$C$43+H54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1">
        <f>E55*Input!$C$9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D55/Input!$C$41+F55/Input!$C$42-H55</f>
      </c>
      <c r="J55" s="32">
        <f t="shared" si="7"/>
      </c>
      <c r="K55" s="32">
        <f>Input!$C$48</f>
      </c>
      <c r="L55" s="33">
        <f t="shared" si="8"/>
      </c>
      <c r="M55" s="31">
        <f>Input!$C$38*D55/Input!$C$43+H55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30">
        <f>E56*Input!$C$9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D56/Input!$C$41+F56/Input!$C$42-H56</f>
      </c>
      <c r="J56" s="25">
        <f t="shared" si="7"/>
      </c>
      <c r="K56" s="25">
        <f>Input!$C$48</f>
      </c>
      <c r="L56" s="13">
        <f t="shared" si="8"/>
      </c>
      <c r="M56" s="30">
        <f>Input!$C$38*D56/Input!$C$43+H56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1">
        <f>E57*Input!$C$9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D57/Input!$C$41+F57/Input!$C$42-H57</f>
      </c>
      <c r="J57" s="32">
        <f t="shared" si="7"/>
      </c>
      <c r="K57" s="32">
        <f>Input!$C$48</f>
      </c>
      <c r="L57" s="33">
        <f t="shared" si="8"/>
      </c>
      <c r="M57" s="31">
        <f>Input!$C$38*D57/Input!$C$43+H57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30">
        <f>E58*Input!$C$9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D58/Input!$C$41+F58/Input!$C$42-H58</f>
      </c>
      <c r="J58" s="25">
        <f t="shared" si="7"/>
      </c>
      <c r="K58" s="25">
        <f>Input!$C$48</f>
      </c>
      <c r="L58" s="13">
        <f t="shared" si="8"/>
      </c>
      <c r="M58" s="30">
        <f>Input!$C$38*D58/Input!$C$43+H58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1">
        <f>E59*Input!$C$9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D59/Input!$C$41+F59/Input!$C$42-H59</f>
      </c>
      <c r="J59" s="32">
        <f t="shared" si="7"/>
      </c>
      <c r="K59" s="32">
        <f>Input!$C$48</f>
      </c>
      <c r="L59" s="33">
        <f t="shared" si="8"/>
      </c>
      <c r="M59" s="31">
        <f>Input!$C$38*D59/Input!$C$43+H59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30">
        <f>E60*Input!$C$9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D60/Input!$C$41+F60/Input!$C$42-H60</f>
      </c>
      <c r="J60" s="25">
        <f t="shared" si="7"/>
      </c>
      <c r="K60" s="25">
        <f>Input!$C$48</f>
      </c>
      <c r="L60" s="13">
        <f t="shared" si="8"/>
      </c>
      <c r="M60" s="30">
        <f>Input!$C$38*D60/Input!$C$43+H60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1">
        <f>E61*Input!$C$9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D61/Input!$C$41+F61/Input!$C$42-H61</f>
      </c>
      <c r="J61" s="32">
        <f t="shared" si="7"/>
      </c>
      <c r="K61" s="32">
        <f>Input!$C$48</f>
      </c>
      <c r="L61" s="33">
        <f t="shared" si="8"/>
      </c>
      <c r="M61" s="31">
        <f>Input!$C$38*D61/Input!$C$43+H61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30">
        <f>E62*Input!$C$9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D62/Input!$C$41+F62/Input!$C$42-H62</f>
      </c>
      <c r="J62" s="25">
        <f t="shared" si="7"/>
      </c>
      <c r="K62" s="25">
        <f>Input!$C$48</f>
      </c>
      <c r="L62" s="13">
        <f t="shared" si="8"/>
      </c>
      <c r="M62" s="30">
        <f>Input!$C$38*D62/Input!$C$43+H62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1">
        <f>E63*Input!$C$9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D63/Input!$C$41+F63/Input!$C$42-H63</f>
      </c>
      <c r="J63" s="32">
        <f t="shared" si="7"/>
      </c>
      <c r="K63" s="32">
        <f>Input!$C$48</f>
      </c>
      <c r="L63" s="33">
        <f t="shared" si="8"/>
      </c>
      <c r="M63" s="31">
        <f>Input!$C$38*D63/Input!$C$43+H63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30">
        <f>E64*Input!$C$9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D64/Input!$C$41+F64/Input!$C$42-H64</f>
      </c>
      <c r="J64" s="25">
        <f t="shared" si="7"/>
      </c>
      <c r="K64" s="25">
        <f>Input!$C$48</f>
      </c>
      <c r="L64" s="13">
        <f t="shared" si="8"/>
      </c>
      <c r="M64" s="30">
        <f>Input!$C$38*D64/Input!$C$43+H64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1">
        <f>E65*Input!$C$9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D65/Input!$C$41+F65/Input!$C$42-H65</f>
      </c>
      <c r="J65" s="32">
        <f t="shared" si="7"/>
      </c>
      <c r="K65" s="32">
        <f>Input!$C$48</f>
      </c>
      <c r="L65" s="33">
        <f t="shared" si="8"/>
      </c>
      <c r="M65" s="31">
        <f>Input!$C$38*D65/Input!$C$43+H65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30">
        <f>E66*Input!$C$9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D66/Input!$C$41+F66/Input!$C$42-H66</f>
      </c>
      <c r="J66" s="25">
        <f t="shared" si="7"/>
      </c>
      <c r="K66" s="25">
        <f>Input!$C$48</f>
      </c>
      <c r="L66" s="13">
        <f t="shared" si="8"/>
      </c>
      <c r="M66" s="30">
        <f>Input!$C$38*D66/Input!$C$43+H66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1">
        <f>E67*Input!$C$9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D67/Input!$C$41+F67/Input!$C$42-H67</f>
      </c>
      <c r="J67" s="32">
        <f t="shared" si="7"/>
      </c>
      <c r="K67" s="32">
        <f>Input!$C$48</f>
      </c>
      <c r="L67" s="33">
        <f t="shared" si="8"/>
      </c>
      <c r="M67" s="31">
        <f>Input!$C$38*D67/Input!$C$43+H67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30">
        <f>E68*Input!$C$9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D68/Input!$C$41+F68/Input!$C$42-H68</f>
      </c>
      <c r="J68" s="25">
        <f t="shared" si="7"/>
      </c>
      <c r="K68" s="25">
        <f>Input!$C$48</f>
      </c>
      <c r="L68" s="13">
        <f t="shared" si="8"/>
      </c>
      <c r="M68" s="30">
        <f>Input!$C$38*D68/Input!$C$43+H68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1">
        <f>E69*Input!$C$9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D69/Input!$C$41+F69/Input!$C$42-H69</f>
      </c>
      <c r="J69" s="32">
        <f t="shared" si="7"/>
      </c>
      <c r="K69" s="32">
        <f>Input!$C$48</f>
      </c>
      <c r="L69" s="33">
        <f t="shared" si="8"/>
      </c>
      <c r="M69" s="31">
        <f>Input!$C$38*D69/Input!$C$43+H69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30">
        <f>E70*Input!$C$9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D70/Input!$C$41+F70/Input!$C$42-H70</f>
      </c>
      <c r="J70" s="25">
        <f t="shared" si="7"/>
      </c>
      <c r="K70" s="25">
        <f>Input!$C$48</f>
      </c>
      <c r="L70" s="13">
        <f t="shared" si="8"/>
      </c>
      <c r="M70" s="30">
        <f>Input!$C$38*D70/Input!$C$43+H70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1">
        <f>E71*Input!$C$9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D71/Input!$C$41+F71/Input!$C$42-H71</f>
      </c>
      <c r="J71" s="32">
        <f t="shared" si="7"/>
      </c>
      <c r="K71" s="32">
        <f>Input!$C$48</f>
      </c>
      <c r="L71" s="33">
        <f t="shared" si="8"/>
      </c>
      <c r="M71" s="31">
        <f>Input!$C$38*D71/Input!$C$43+H71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30">
        <f>E72*Input!$C$9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D72/Input!$C$41+F72/Input!$C$42-H72</f>
      </c>
      <c r="J72" s="25">
        <f t="shared" si="7"/>
      </c>
      <c r="K72" s="25">
        <f>Input!$C$48</f>
      </c>
      <c r="L72" s="13">
        <f t="shared" si="8"/>
      </c>
      <c r="M72" s="30">
        <f>Input!$C$38*D72/Input!$C$43+H72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1">
        <f>E73*Input!$C$9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D73/Input!$C$41+F73/Input!$C$42-H73</f>
      </c>
      <c r="J73" s="32">
        <f t="shared" si="7"/>
      </c>
      <c r="K73" s="32">
        <f>Input!$C$48</f>
      </c>
      <c r="L73" s="33">
        <f t="shared" si="8"/>
      </c>
      <c r="M73" s="31">
        <f>Input!$C$38*D73/Input!$C$43+H73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30">
        <f>E74*Input!$C$9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D74/Input!$C$41+F74/Input!$C$42-H74</f>
      </c>
      <c r="J74" s="25">
        <f t="shared" si="7"/>
      </c>
      <c r="K74" s="25">
        <f>Input!$C$48</f>
      </c>
      <c r="L74" s="13">
        <f t="shared" si="8"/>
      </c>
      <c r="M74" s="30">
        <f>Input!$C$38*D74/Input!$C$43+H74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1">
        <f>E75*Input!$C$9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D75/Input!$C$41+F75/Input!$C$42-H75</f>
      </c>
      <c r="J75" s="32">
        <f t="shared" si="7"/>
      </c>
      <c r="K75" s="32">
        <f>Input!$C$48</f>
      </c>
      <c r="L75" s="33">
        <f t="shared" si="8"/>
      </c>
      <c r="M75" s="31">
        <f>Input!$C$38*D75/Input!$C$43+H75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30">
        <f>E76*Input!$C$9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D76/Input!$C$41+F76/Input!$C$42-H76</f>
      </c>
      <c r="J76" s="25">
        <f t="shared" ref="J76:J107" si="12">I76*9.81</f>
      </c>
      <c r="K76" s="25">
        <f>Input!$C$48</f>
      </c>
      <c r="L76" s="13">
        <f t="shared" ref="L76:L107" si="13">AND(J76&gt;=K76,L77)</f>
      </c>
      <c r="M76" s="30">
        <f>Input!$C$38*D76/Input!$C$43+H76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1">
        <f>E77*Input!$C$9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D77/Input!$C$41+F77/Input!$C$42-H77</f>
      </c>
      <c r="J77" s="32">
        <f t="shared" si="12"/>
      </c>
      <c r="K77" s="32">
        <f>Input!$C$48</f>
      </c>
      <c r="L77" s="33">
        <f t="shared" si="13"/>
      </c>
      <c r="M77" s="31">
        <f>Input!$C$38*D77/Input!$C$43+H77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30">
        <f>E78*Input!$C$9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D78/Input!$C$41+F78/Input!$C$42-H78</f>
      </c>
      <c r="J78" s="25">
        <f t="shared" si="12"/>
      </c>
      <c r="K78" s="25">
        <f>Input!$C$48</f>
      </c>
      <c r="L78" s="13">
        <f t="shared" si="13"/>
      </c>
      <c r="M78" s="30">
        <f>Input!$C$38*D78/Input!$C$43+H78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1">
        <f>E79*Input!$C$9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D79/Input!$C$41+F79/Input!$C$42-H79</f>
      </c>
      <c r="J79" s="32">
        <f t="shared" si="12"/>
      </c>
      <c r="K79" s="32">
        <f>Input!$C$48</f>
      </c>
      <c r="L79" s="33">
        <f t="shared" si="13"/>
      </c>
      <c r="M79" s="31">
        <f>Input!$C$38*D79/Input!$C$43+H79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30">
        <f>E80*Input!$C$9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D80/Input!$C$41+F80/Input!$C$42-H80</f>
      </c>
      <c r="J80" s="25">
        <f t="shared" si="12"/>
      </c>
      <c r="K80" s="25">
        <f>Input!$C$48</f>
      </c>
      <c r="L80" s="13">
        <f t="shared" si="13"/>
      </c>
      <c r="M80" s="30">
        <f>Input!$C$38*D80/Input!$C$43+H80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1">
        <f>E81*Input!$C$9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D81/Input!$C$41+F81/Input!$C$42-H81</f>
      </c>
      <c r="J81" s="32">
        <f t="shared" si="12"/>
      </c>
      <c r="K81" s="32">
        <f>Input!$C$48</f>
      </c>
      <c r="L81" s="33">
        <f t="shared" si="13"/>
      </c>
      <c r="M81" s="31">
        <f>Input!$C$38*D81/Input!$C$43+H81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30">
        <f>E82*Input!$C$9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D82/Input!$C$41+F82/Input!$C$42-H82</f>
      </c>
      <c r="J82" s="25">
        <f t="shared" si="12"/>
      </c>
      <c r="K82" s="25">
        <f>Input!$C$48</f>
      </c>
      <c r="L82" s="13">
        <f t="shared" si="13"/>
      </c>
      <c r="M82" s="30">
        <f>Input!$C$38*D82/Input!$C$43+H82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1">
        <f>E83*Input!$C$9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D83/Input!$C$41+F83/Input!$C$42-H83</f>
      </c>
      <c r="J83" s="32">
        <f t="shared" si="12"/>
      </c>
      <c r="K83" s="32">
        <f>Input!$C$48</f>
      </c>
      <c r="L83" s="33">
        <f t="shared" si="13"/>
      </c>
      <c r="M83" s="31">
        <f>Input!$C$38*D83/Input!$C$43+H83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30">
        <f>E84*Input!$C$9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D84/Input!$C$41+F84/Input!$C$42-H84</f>
      </c>
      <c r="J84" s="25">
        <f t="shared" si="12"/>
      </c>
      <c r="K84" s="25">
        <f>Input!$C$48</f>
      </c>
      <c r="L84" s="13">
        <f t="shared" si="13"/>
      </c>
      <c r="M84" s="30">
        <f>Input!$C$38*D84/Input!$C$43+H84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1">
        <f>E85*Input!$C$9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D85/Input!$C$41+F85/Input!$C$42-H85</f>
      </c>
      <c r="J85" s="32">
        <f t="shared" si="12"/>
      </c>
      <c r="K85" s="32">
        <f>Input!$C$48</f>
      </c>
      <c r="L85" s="33">
        <f t="shared" si="13"/>
      </c>
      <c r="M85" s="31">
        <f>Input!$C$38*D85/Input!$C$43+H85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30">
        <f>E86*Input!$C$9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D86/Input!$C$41+F86/Input!$C$42-H86</f>
      </c>
      <c r="J86" s="25">
        <f t="shared" si="12"/>
      </c>
      <c r="K86" s="25">
        <f>Input!$C$48</f>
      </c>
      <c r="L86" s="13">
        <f t="shared" si="13"/>
      </c>
      <c r="M86" s="30">
        <f>Input!$C$38*D86/Input!$C$43+H86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1">
        <f>E87*Input!$C$9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D87/Input!$C$41+F87/Input!$C$42-H87</f>
      </c>
      <c r="J87" s="32">
        <f t="shared" si="12"/>
      </c>
      <c r="K87" s="32">
        <f>Input!$C$48</f>
      </c>
      <c r="L87" s="33">
        <f t="shared" si="13"/>
      </c>
      <c r="M87" s="31">
        <f>Input!$C$38*D87/Input!$C$43+H87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30">
        <f>E88*Input!$C$9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D88/Input!$C$41+F88/Input!$C$42-H88</f>
      </c>
      <c r="J88" s="25">
        <f t="shared" si="12"/>
      </c>
      <c r="K88" s="25">
        <f>Input!$C$48</f>
      </c>
      <c r="L88" s="13">
        <f t="shared" si="13"/>
      </c>
      <c r="M88" s="30">
        <f>Input!$C$38*D88/Input!$C$43+H88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1">
        <f>E89*Input!$C$9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D89/Input!$C$41+F89/Input!$C$42-H89</f>
      </c>
      <c r="J89" s="32">
        <f t="shared" si="12"/>
      </c>
      <c r="K89" s="32">
        <f>Input!$C$48</f>
      </c>
      <c r="L89" s="33">
        <f t="shared" si="13"/>
      </c>
      <c r="M89" s="31">
        <f>Input!$C$38*D89/Input!$C$43+H89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30">
        <f>E90*Input!$C$9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D90/Input!$C$41+F90/Input!$C$42-H90</f>
      </c>
      <c r="J90" s="25">
        <f t="shared" si="12"/>
      </c>
      <c r="K90" s="25">
        <f>Input!$C$48</f>
      </c>
      <c r="L90" s="13">
        <f t="shared" si="13"/>
      </c>
      <c r="M90" s="30">
        <f>Input!$C$38*D90/Input!$C$43+H90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1">
        <f>E91*Input!$C$9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D91/Input!$C$41+F91/Input!$C$42-H91</f>
      </c>
      <c r="J91" s="32">
        <f t="shared" si="12"/>
      </c>
      <c r="K91" s="32">
        <f>Input!$C$48</f>
      </c>
      <c r="L91" s="33">
        <f t="shared" si="13"/>
      </c>
      <c r="M91" s="31">
        <f>Input!$C$38*D91/Input!$C$43+H91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30">
        <f>E92*Input!$C$9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D92/Input!$C$41+F92/Input!$C$42-H92</f>
      </c>
      <c r="J92" s="25">
        <f t="shared" si="12"/>
      </c>
      <c r="K92" s="25">
        <f>Input!$C$48</f>
      </c>
      <c r="L92" s="13">
        <f t="shared" si="13"/>
      </c>
      <c r="M92" s="30">
        <f>Input!$C$38*D92/Input!$C$43+H92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1">
        <f>E93*Input!$C$9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D93/Input!$C$41+F93/Input!$C$42-H93</f>
      </c>
      <c r="J93" s="32">
        <f t="shared" si="12"/>
      </c>
      <c r="K93" s="32">
        <f>Input!$C$48</f>
      </c>
      <c r="L93" s="33">
        <f t="shared" si="13"/>
      </c>
      <c r="M93" s="31">
        <f>Input!$C$38*D93/Input!$C$43+H93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30">
        <f>E94*Input!$C$9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D94/Input!$C$41+F94/Input!$C$42-H94</f>
      </c>
      <c r="J94" s="25">
        <f t="shared" si="12"/>
      </c>
      <c r="K94" s="25">
        <f>Input!$C$48</f>
      </c>
      <c r="L94" s="13">
        <f t="shared" si="13"/>
      </c>
      <c r="M94" s="30">
        <f>Input!$C$38*D94/Input!$C$43+H94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1">
        <f>E95*Input!$C$9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D95/Input!$C$41+F95/Input!$C$42-H95</f>
      </c>
      <c r="J95" s="32">
        <f t="shared" si="12"/>
      </c>
      <c r="K95" s="32">
        <f>Input!$C$48</f>
      </c>
      <c r="L95" s="33">
        <f t="shared" si="13"/>
      </c>
      <c r="M95" s="31">
        <f>Input!$C$38*D95/Input!$C$43+H95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30">
        <f>E96*Input!$C$9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D96/Input!$C$41+F96/Input!$C$42-H96</f>
      </c>
      <c r="J96" s="25">
        <f t="shared" si="12"/>
      </c>
      <c r="K96" s="25">
        <f>Input!$C$48</f>
      </c>
      <c r="L96" s="13">
        <f t="shared" si="13"/>
      </c>
      <c r="M96" s="30">
        <f>Input!$C$38*D96/Input!$C$43+H96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1">
        <f>E97*Input!$C$9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D97/Input!$C$41+F97/Input!$C$42-H97</f>
      </c>
      <c r="J97" s="32">
        <f t="shared" si="12"/>
      </c>
      <c r="K97" s="32">
        <f>Input!$C$48</f>
      </c>
      <c r="L97" s="33">
        <f t="shared" si="13"/>
      </c>
      <c r="M97" s="31">
        <f>Input!$C$38*D97/Input!$C$43+H97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30">
        <f>E98*Input!$C$9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D98/Input!$C$41+F98/Input!$C$42-H98</f>
      </c>
      <c r="J98" s="25">
        <f t="shared" si="12"/>
      </c>
      <c r="K98" s="25">
        <f>Input!$C$48</f>
      </c>
      <c r="L98" s="13">
        <f t="shared" si="13"/>
      </c>
      <c r="M98" s="30">
        <f>Input!$C$38*D98/Input!$C$43+H98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1">
        <f>E99*Input!$C$9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D99/Input!$C$41+F99/Input!$C$42-H99</f>
      </c>
      <c r="J99" s="32">
        <f t="shared" si="12"/>
      </c>
      <c r="K99" s="32">
        <f>Input!$C$48</f>
      </c>
      <c r="L99" s="33">
        <f t="shared" si="13"/>
      </c>
      <c r="M99" s="31">
        <f>Input!$C$38*D99/Input!$C$43+H99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30">
        <f>E100*Input!$C$9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D100/Input!$C$41+F100/Input!$C$42-H100</f>
      </c>
      <c r="J100" s="25">
        <f t="shared" si="12"/>
      </c>
      <c r="K100" s="25">
        <f>Input!$C$48</f>
      </c>
      <c r="L100" s="13">
        <f t="shared" si="13"/>
      </c>
      <c r="M100" s="30">
        <f>Input!$C$38*D100/Input!$C$43+H100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1">
        <f>E101*Input!$C$9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D101/Input!$C$41+F101/Input!$C$42-H101</f>
      </c>
      <c r="J101" s="32">
        <f t="shared" si="12"/>
      </c>
      <c r="K101" s="32">
        <f>Input!$C$48</f>
      </c>
      <c r="L101" s="33">
        <f t="shared" si="13"/>
      </c>
      <c r="M101" s="31">
        <f>Input!$C$38*D101/Input!$C$43+H101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30">
        <f>E102*Input!$C$9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D102/Input!$C$41+F102/Input!$C$42-H102</f>
      </c>
      <c r="J102" s="25">
        <f t="shared" si="12"/>
      </c>
      <c r="K102" s="25">
        <f>Input!$C$48</f>
      </c>
      <c r="L102" s="13">
        <f t="shared" si="13"/>
      </c>
      <c r="M102" s="30">
        <f>Input!$C$38*D102/Input!$C$43+H102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1">
        <f>E103*Input!$C$9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D103/Input!$C$41+F103/Input!$C$42-H103</f>
      </c>
      <c r="J103" s="32">
        <f t="shared" si="12"/>
      </c>
      <c r="K103" s="32">
        <f>Input!$C$48</f>
      </c>
      <c r="L103" s="33">
        <f t="shared" si="13"/>
      </c>
      <c r="M103" s="31">
        <f>Input!$C$38*D103/Input!$C$43+H103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30">
        <f>E104*Input!$C$9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D104/Input!$C$41+F104/Input!$C$42-H104</f>
      </c>
      <c r="J104" s="25">
        <f t="shared" si="12"/>
      </c>
      <c r="K104" s="25">
        <f>Input!$C$48</f>
      </c>
      <c r="L104" s="13">
        <f t="shared" si="13"/>
      </c>
      <c r="M104" s="30">
        <f>Input!$C$38*D104/Input!$C$43+H104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1">
        <f>E105*Input!$C$9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D105/Input!$C$41+F105/Input!$C$42-H105</f>
      </c>
      <c r="J105" s="32">
        <f t="shared" si="12"/>
      </c>
      <c r="K105" s="32">
        <f>Input!$C$48</f>
      </c>
      <c r="L105" s="33">
        <f t="shared" si="13"/>
      </c>
      <c r="M105" s="31">
        <f>Input!$C$38*D105/Input!$C$43+H105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30">
        <f>E106*Input!$C$9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D106/Input!$C$41+F106/Input!$C$42-H106</f>
      </c>
      <c r="J106" s="25">
        <f t="shared" si="12"/>
      </c>
      <c r="K106" s="25">
        <f>Input!$C$48</f>
      </c>
      <c r="L106" s="13">
        <f t="shared" si="13"/>
      </c>
      <c r="M106" s="30">
        <f>Input!$C$38*D106/Input!$C$43+H106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1">
        <f>E107*Input!$C$9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D107/Input!$C$41+F107/Input!$C$42-H107</f>
      </c>
      <c r="J107" s="32">
        <f t="shared" si="12"/>
      </c>
      <c r="K107" s="32">
        <f>Input!$C$48</f>
      </c>
      <c r="L107" s="33">
        <f t="shared" si="13"/>
      </c>
      <c r="M107" s="31">
        <f>Input!$C$38*D107/Input!$C$43+H107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30">
        <f>E108*Input!$C$9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D108/Input!$C$41+F108/Input!$C$42-H108</f>
      </c>
      <c r="J108" s="25">
        <f t="shared" ref="J108:J127" si="17">I108*9.81</f>
      </c>
      <c r="K108" s="25">
        <f>Input!$C$48</f>
      </c>
      <c r="L108" s="13">
        <f t="shared" ref="L108:L126" si="18">AND(J108&gt;=K108,L109)</f>
      </c>
      <c r="M108" s="30">
        <f>Input!$C$38*D108/Input!$C$43+H108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1">
        <f>E109*Input!$C$9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D109/Input!$C$41+F109/Input!$C$42-H109</f>
      </c>
      <c r="J109" s="32">
        <f t="shared" si="17"/>
      </c>
      <c r="K109" s="32">
        <f>Input!$C$48</f>
      </c>
      <c r="L109" s="33">
        <f t="shared" si="18"/>
      </c>
      <c r="M109" s="31">
        <f>Input!$C$38*D109/Input!$C$43+H109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30">
        <f>E110*Input!$C$9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D110/Input!$C$41+F110/Input!$C$42-H110</f>
      </c>
      <c r="J110" s="25">
        <f t="shared" si="17"/>
      </c>
      <c r="K110" s="25">
        <f>Input!$C$48</f>
      </c>
      <c r="L110" s="13">
        <f t="shared" si="18"/>
      </c>
      <c r="M110" s="30">
        <f>Input!$C$38*D110/Input!$C$43+H110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1">
        <f>E111*Input!$C$9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D111/Input!$C$41+F111/Input!$C$42-H111</f>
      </c>
      <c r="J111" s="32">
        <f t="shared" si="17"/>
      </c>
      <c r="K111" s="32">
        <f>Input!$C$48</f>
      </c>
      <c r="L111" s="33">
        <f t="shared" si="18"/>
      </c>
      <c r="M111" s="31">
        <f>Input!$C$38*D111/Input!$C$43+H111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30">
        <f>E112*Input!$C$9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D112/Input!$C$41+F112/Input!$C$42-H112</f>
      </c>
      <c r="J112" s="25">
        <f t="shared" si="17"/>
      </c>
      <c r="K112" s="25">
        <f>Input!$C$48</f>
      </c>
      <c r="L112" s="13">
        <f t="shared" si="18"/>
      </c>
      <c r="M112" s="30">
        <f>Input!$C$38*D112/Input!$C$43+H112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1">
        <f>E113*Input!$C$9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D113/Input!$C$41+F113/Input!$C$42-H113</f>
      </c>
      <c r="J113" s="32">
        <f t="shared" si="17"/>
      </c>
      <c r="K113" s="32">
        <f>Input!$C$48</f>
      </c>
      <c r="L113" s="33">
        <f t="shared" si="18"/>
      </c>
      <c r="M113" s="31">
        <f>Input!$C$38*D113/Input!$C$43+H113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30">
        <f>E114*Input!$C$9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D114/Input!$C$41+F114/Input!$C$42-H114</f>
      </c>
      <c r="J114" s="25">
        <f t="shared" si="17"/>
      </c>
      <c r="K114" s="25">
        <f>Input!$C$48</f>
      </c>
      <c r="L114" s="13">
        <f t="shared" si="18"/>
      </c>
      <c r="M114" s="30">
        <f>Input!$C$38*D114/Input!$C$43+H114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1">
        <f>E115*Input!$C$9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D115/Input!$C$41+F115/Input!$C$42-H115</f>
      </c>
      <c r="J115" s="32">
        <f t="shared" si="17"/>
      </c>
      <c r="K115" s="32">
        <f>Input!$C$48</f>
      </c>
      <c r="L115" s="33">
        <f t="shared" si="18"/>
      </c>
      <c r="M115" s="31">
        <f>Input!$C$38*D115/Input!$C$43+H115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30">
        <f>E116*Input!$C$9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D116/Input!$C$41+F116/Input!$C$42-H116</f>
      </c>
      <c r="J116" s="25">
        <f t="shared" si="17"/>
      </c>
      <c r="K116" s="25">
        <f>Input!$C$48</f>
      </c>
      <c r="L116" s="13">
        <f t="shared" si="18"/>
      </c>
      <c r="M116" s="30">
        <f>Input!$C$38*D116/Input!$C$43+H116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1">
        <f>E117*Input!$C$9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D117/Input!$C$41+F117/Input!$C$42-H117</f>
      </c>
      <c r="J117" s="32">
        <f t="shared" si="17"/>
      </c>
      <c r="K117" s="32">
        <f>Input!$C$48</f>
      </c>
      <c r="L117" s="33">
        <f t="shared" si="18"/>
      </c>
      <c r="M117" s="31">
        <f>Input!$C$38*D117/Input!$C$43+H117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30">
        <f>E118*Input!$C$9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D118/Input!$C$41+F118/Input!$C$42-H118</f>
      </c>
      <c r="J118" s="25">
        <f t="shared" si="17"/>
      </c>
      <c r="K118" s="25">
        <f>Input!$C$48</f>
      </c>
      <c r="L118" s="13">
        <f t="shared" si="18"/>
      </c>
      <c r="M118" s="30">
        <f>Input!$C$38*D118/Input!$C$43+H118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1">
        <f>E119*Input!$C$9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D119/Input!$C$41+F119/Input!$C$42-H119</f>
      </c>
      <c r="J119" s="32">
        <f t="shared" si="17"/>
      </c>
      <c r="K119" s="32">
        <f>Input!$C$48</f>
      </c>
      <c r="L119" s="33">
        <f t="shared" si="18"/>
      </c>
      <c r="M119" s="31">
        <f>Input!$C$38*D119/Input!$C$43+H119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30">
        <f>E120*Input!$C$9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D120/Input!$C$41+F120/Input!$C$42-H120</f>
      </c>
      <c r="J120" s="25">
        <f t="shared" si="17"/>
      </c>
      <c r="K120" s="25">
        <f>Input!$C$48</f>
      </c>
      <c r="L120" s="13">
        <f t="shared" si="18"/>
      </c>
      <c r="M120" s="30">
        <f>Input!$C$38*D120/Input!$C$43+H120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1">
        <f>E121*Input!$C$9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D121/Input!$C$41+F121/Input!$C$42-H121</f>
      </c>
      <c r="J121" s="32">
        <f t="shared" si="17"/>
      </c>
      <c r="K121" s="32">
        <f>Input!$C$48</f>
      </c>
      <c r="L121" s="33">
        <f t="shared" si="18"/>
      </c>
      <c r="M121" s="31">
        <f>Input!$C$38*D121/Input!$C$43+H121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30">
        <f>E122*Input!$C$9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D122/Input!$C$41+F122/Input!$C$42-H122</f>
      </c>
      <c r="J122" s="25">
        <f t="shared" si="17"/>
      </c>
      <c r="K122" s="25">
        <f>Input!$C$48</f>
      </c>
      <c r="L122" s="13">
        <f t="shared" si="18"/>
      </c>
      <c r="M122" s="30">
        <f>Input!$C$38*D122/Input!$C$43+H122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1">
        <f>E123*Input!$C$9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D123/Input!$C$41+F123/Input!$C$42-H123</f>
      </c>
      <c r="J123" s="32">
        <f t="shared" si="17"/>
      </c>
      <c r="K123" s="32">
        <f>Input!$C$48</f>
      </c>
      <c r="L123" s="33">
        <f t="shared" si="18"/>
      </c>
      <c r="M123" s="31">
        <f>Input!$C$38*D123/Input!$C$43+H123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30">
        <f>E124*Input!$C$9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D124/Input!$C$41+F124/Input!$C$42-H124</f>
      </c>
      <c r="J124" s="25">
        <f t="shared" si="17"/>
      </c>
      <c r="K124" s="25">
        <f>Input!$C$48</f>
      </c>
      <c r="L124" s="13">
        <f t="shared" si="18"/>
      </c>
      <c r="M124" s="30">
        <f>Input!$C$38*D124/Input!$C$43+H124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1">
        <f>E125*Input!$C$9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D125/Input!$C$41+F125/Input!$C$42-H125</f>
      </c>
      <c r="J125" s="32">
        <f t="shared" si="17"/>
      </c>
      <c r="K125" s="32">
        <f>Input!$C$48</f>
      </c>
      <c r="L125" s="33">
        <f t="shared" si="18"/>
      </c>
      <c r="M125" s="31">
        <f>Input!$C$38*D125/Input!$C$43+H125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30">
        <f>E126*Input!$C$9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D126/Input!$C$41+F126/Input!$C$42-H126</f>
      </c>
      <c r="J126" s="25">
        <f t="shared" si="17"/>
      </c>
      <c r="K126" s="25">
        <f>Input!$C$48</f>
      </c>
      <c r="L126" s="13">
        <f t="shared" si="18"/>
      </c>
      <c r="M126" s="30">
        <f>Input!$C$38*D126/Input!$C$43+H126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1">
        <f>E127*Input!$C$9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D127/Input!$C$41+F127/Input!$C$42-H127</f>
      </c>
      <c r="J127" s="32">
        <f t="shared" si="17"/>
      </c>
      <c r="K127" s="32">
        <f>Input!$C$48</f>
      </c>
      <c r="L127" s="33">
        <f>J127&gt;=K127</f>
      </c>
      <c r="M127" s="31">
        <f>Input!$C$38*D127/Input!$C$43+H127</f>
      </c>
      <c r="N127" s="32">
        <f t="shared" si="19"/>
      </c>
    </row>
    <row r="129" spans="1:1" x14ac:dyDescent="0.25">
      <c r="A129" s="1" t="s">
        <v>152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153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154</v>
      </c>
      <c r="B5" s="36"/>
      <c r="C5" s="36"/>
      <c r="D5" s="36"/>
      <c r="E5" s="27">
        <f>IFERROR(ROUND(1/(1/_xlfn.MINIFS(A12:A127,L12:L127,TRUE)),2),"&gt; data")</f>
      </c>
      <c r="F5" s="4" t="s">
        <v>26</v>
      </c>
    </row>
    <row r="6" spans="1:14" x14ac:dyDescent="0.25">
      <c r="A6" s="37" t="s">
        <v>136</v>
      </c>
      <c r="B6" s="36"/>
      <c r="C6" s="36"/>
      <c r="D6" s="36"/>
      <c r="E6" s="27">
        <f>IF(ISNUMBER(E5),E5-Input!$C$11,"-")</f>
      </c>
      <c r="F6" s="4" t="s">
        <v>26</v>
      </c>
    </row>
    <row r="7" spans="1:14" x14ac:dyDescent="0.25">
      <c r="A7" s="37" t="s">
        <v>155</v>
      </c>
      <c r="B7" s="36"/>
      <c r="C7" s="36"/>
      <c r="D7" s="36"/>
      <c r="E7" s="27">
        <f>Input!$C$44</f>
      </c>
      <c r="F7" s="4" t="s">
        <v>7</v>
      </c>
    </row>
    <row r="10" spans="1:14" ht="42" customHeight="1" x14ac:dyDescent="0.25">
      <c r="A10" s="15" t="s">
        <v>139</v>
      </c>
      <c r="B10" s="15" t="s">
        <v>140</v>
      </c>
      <c r="C10" s="15" t="s">
        <v>141</v>
      </c>
      <c r="D10" s="15" t="s">
        <v>156</v>
      </c>
      <c r="E10" s="15" t="s">
        <v>157</v>
      </c>
      <c r="F10" s="15" t="s">
        <v>144</v>
      </c>
      <c r="G10" s="15" t="s">
        <v>158</v>
      </c>
      <c r="H10" s="15" t="s">
        <v>146</v>
      </c>
      <c r="I10" s="15" t="s">
        <v>147</v>
      </c>
      <c r="J10" s="15" t="s">
        <v>147</v>
      </c>
      <c r="K10" s="15" t="s">
        <v>159</v>
      </c>
      <c r="L10" s="15" t="s">
        <v>149</v>
      </c>
      <c r="M10" s="15" t="s">
        <v>150</v>
      </c>
      <c r="N10" s="15" t="s">
        <v>150</v>
      </c>
    </row>
    <row r="11" spans="1:14" x14ac:dyDescent="0.25">
      <c r="A11" s="15" t="s">
        <v>26</v>
      </c>
      <c r="B11" s="15" t="s">
        <v>26</v>
      </c>
      <c r="C11" s="15" t="s">
        <v>26</v>
      </c>
      <c r="D11" s="15" t="s">
        <v>151</v>
      </c>
      <c r="E11" s="15"/>
      <c r="F11" s="15" t="s">
        <v>151</v>
      </c>
      <c r="G11" s="15" t="s">
        <v>151</v>
      </c>
      <c r="H11" s="15" t="s">
        <v>151</v>
      </c>
      <c r="I11" s="15" t="s">
        <v>151</v>
      </c>
      <c r="J11" s="15" t="s">
        <v>18</v>
      </c>
      <c r="K11" s="15" t="s">
        <v>18</v>
      </c>
      <c r="L11" s="15"/>
      <c r="M11" s="15" t="s">
        <v>151</v>
      </c>
      <c r="N11" s="15" t="s">
        <v>18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30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G12/Input!$C$44-H12</f>
      </c>
      <c r="J12" s="25">
        <f t="shared" ref="J12:J43" si="2">I12*9.81</f>
      </c>
      <c r="K12" s="25">
        <f>Input!$C$49</f>
      </c>
      <c r="L12" s="13">
        <f t="shared" ref="L12:L43" si="3">AND(J12&gt;=K12,L13)</f>
      </c>
      <c r="M12" s="30">
        <f>IF(D12&gt;0,Input!$C$38*D12/Input!$C$44,0)+H12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3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1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G13/Input!$C$44-H13</f>
      </c>
      <c r="J13" s="32">
        <f t="shared" si="2"/>
      </c>
      <c r="K13" s="32">
        <f>Input!$C$49</f>
      </c>
      <c r="L13" s="33">
        <f t="shared" si="3"/>
      </c>
      <c r="M13" s="31">
        <f>IF(D13&gt;0,Input!$C$38*D13/Input!$C$44,0)+H13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30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G14/Input!$C$44-H14</f>
      </c>
      <c r="J14" s="25">
        <f t="shared" si="2"/>
      </c>
      <c r="K14" s="25">
        <f>Input!$C$49</f>
      </c>
      <c r="L14" s="13">
        <f t="shared" si="3"/>
      </c>
      <c r="M14" s="30">
        <f>IF(D14&gt;0,Input!$C$38*D14/Input!$C$44,0)+H14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3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1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G15/Input!$C$44-H15</f>
      </c>
      <c r="J15" s="32">
        <f t="shared" si="2"/>
      </c>
      <c r="K15" s="32">
        <f>Input!$C$49</f>
      </c>
      <c r="L15" s="33">
        <f t="shared" si="3"/>
      </c>
      <c r="M15" s="31">
        <f>IF(D15&gt;0,Input!$C$38*D15/Input!$C$44,0)+H15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30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G16/Input!$C$44-H16</f>
      </c>
      <c r="J16" s="25">
        <f t="shared" si="2"/>
      </c>
      <c r="K16" s="25">
        <f>Input!$C$49</f>
      </c>
      <c r="L16" s="13">
        <f t="shared" si="3"/>
      </c>
      <c r="M16" s="30">
        <f>IF(D16&gt;0,Input!$C$38*D16/Input!$C$44,0)+H16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3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1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G17/Input!$C$44-H17</f>
      </c>
      <c r="J17" s="32">
        <f t="shared" si="2"/>
      </c>
      <c r="K17" s="32">
        <f>Input!$C$49</f>
      </c>
      <c r="L17" s="33">
        <f t="shared" si="3"/>
      </c>
      <c r="M17" s="31">
        <f>IF(D17&gt;0,Input!$C$38*D17/Input!$C$44,0)+H17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30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G18/Input!$C$44-H18</f>
      </c>
      <c r="J18" s="25">
        <f t="shared" si="2"/>
      </c>
      <c r="K18" s="25">
        <f>Input!$C$49</f>
      </c>
      <c r="L18" s="13">
        <f t="shared" si="3"/>
      </c>
      <c r="M18" s="30">
        <f>IF(D18&gt;0,Input!$C$38*D18/Input!$C$44,0)+H18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3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1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G19/Input!$C$44-H19</f>
      </c>
      <c r="J19" s="32">
        <f t="shared" si="2"/>
      </c>
      <c r="K19" s="32">
        <f>Input!$C$49</f>
      </c>
      <c r="L19" s="33">
        <f t="shared" si="3"/>
      </c>
      <c r="M19" s="31">
        <f>IF(D19&gt;0,Input!$C$38*D19/Input!$C$44,0)+H19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30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G20/Input!$C$44-H20</f>
      </c>
      <c r="J20" s="25">
        <f t="shared" si="2"/>
      </c>
      <c r="K20" s="25">
        <f>Input!$C$49</f>
      </c>
      <c r="L20" s="13">
        <f t="shared" si="3"/>
      </c>
      <c r="M20" s="30">
        <f>IF(D20&gt;0,Input!$C$38*D20/Input!$C$44,0)+H20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3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1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G21/Input!$C$44-H21</f>
      </c>
      <c r="J21" s="32">
        <f t="shared" si="2"/>
      </c>
      <c r="K21" s="32">
        <f>Input!$C$49</f>
      </c>
      <c r="L21" s="33">
        <f t="shared" si="3"/>
      </c>
      <c r="M21" s="31">
        <f>IF(D21&gt;0,Input!$C$38*D21/Input!$C$44,0)+H21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30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G22/Input!$C$44-H22</f>
      </c>
      <c r="J22" s="25">
        <f t="shared" si="2"/>
      </c>
      <c r="K22" s="25">
        <f>Input!$C$49</f>
      </c>
      <c r="L22" s="13">
        <f t="shared" si="3"/>
      </c>
      <c r="M22" s="30">
        <f>IF(D22&gt;0,Input!$C$38*D22/Input!$C$44,0)+H22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3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1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G23/Input!$C$44-H23</f>
      </c>
      <c r="J23" s="32">
        <f t="shared" si="2"/>
      </c>
      <c r="K23" s="32">
        <f>Input!$C$49</f>
      </c>
      <c r="L23" s="33">
        <f t="shared" si="3"/>
      </c>
      <c r="M23" s="31">
        <f>IF(D23&gt;0,Input!$C$38*D23/Input!$C$44,0)+H23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30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G24/Input!$C$44-H24</f>
      </c>
      <c r="J24" s="25">
        <f t="shared" si="2"/>
      </c>
      <c r="K24" s="25">
        <f>Input!$C$49</f>
      </c>
      <c r="L24" s="13">
        <f t="shared" si="3"/>
      </c>
      <c r="M24" s="30">
        <f>IF(D24&gt;0,Input!$C$38*D24/Input!$C$44,0)+H24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3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1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G25/Input!$C$44-H25</f>
      </c>
      <c r="J25" s="32">
        <f t="shared" si="2"/>
      </c>
      <c r="K25" s="32">
        <f>Input!$C$49</f>
      </c>
      <c r="L25" s="33">
        <f t="shared" si="3"/>
      </c>
      <c r="M25" s="31">
        <f>IF(D25&gt;0,Input!$C$38*D25/Input!$C$44,0)+H25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30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G26/Input!$C$44-H26</f>
      </c>
      <c r="J26" s="25">
        <f t="shared" si="2"/>
      </c>
      <c r="K26" s="25">
        <f>Input!$C$49</f>
      </c>
      <c r="L26" s="13">
        <f t="shared" si="3"/>
      </c>
      <c r="M26" s="30">
        <f>IF(D26&gt;0,Input!$C$38*D26/Input!$C$44,0)+H26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3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1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G27/Input!$C$44-H27</f>
      </c>
      <c r="J27" s="32">
        <f t="shared" si="2"/>
      </c>
      <c r="K27" s="32">
        <f>Input!$C$49</f>
      </c>
      <c r="L27" s="33">
        <f t="shared" si="3"/>
      </c>
      <c r="M27" s="31">
        <f>IF(D27&gt;0,Input!$C$38*D27/Input!$C$44,0)+H27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30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G28/Input!$C$44-H28</f>
      </c>
      <c r="J28" s="25">
        <f t="shared" si="2"/>
      </c>
      <c r="K28" s="25">
        <f>Input!$C$49</f>
      </c>
      <c r="L28" s="13">
        <f t="shared" si="3"/>
      </c>
      <c r="M28" s="30">
        <f>IF(D28&gt;0,Input!$C$38*D28/Input!$C$44,0)+H28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3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1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G29/Input!$C$44-H29</f>
      </c>
      <c r="J29" s="32">
        <f t="shared" si="2"/>
      </c>
      <c r="K29" s="32">
        <f>Input!$C$49</f>
      </c>
      <c r="L29" s="33">
        <f t="shared" si="3"/>
      </c>
      <c r="M29" s="31">
        <f>IF(D29&gt;0,Input!$C$38*D29/Input!$C$44,0)+H29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30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G30/Input!$C$44-H30</f>
      </c>
      <c r="J30" s="25">
        <f t="shared" si="2"/>
      </c>
      <c r="K30" s="25">
        <f>Input!$C$49</f>
      </c>
      <c r="L30" s="13">
        <f t="shared" si="3"/>
      </c>
      <c r="M30" s="30">
        <f>IF(D30&gt;0,Input!$C$38*D30/Input!$C$44,0)+H30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3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1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G31/Input!$C$44-H31</f>
      </c>
      <c r="J31" s="32">
        <f t="shared" si="2"/>
      </c>
      <c r="K31" s="32">
        <f>Input!$C$49</f>
      </c>
      <c r="L31" s="33">
        <f t="shared" si="3"/>
      </c>
      <c r="M31" s="31">
        <f>IF(D31&gt;0,Input!$C$38*D31/Input!$C$44,0)+H31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30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G32/Input!$C$44-H32</f>
      </c>
      <c r="J32" s="25">
        <f t="shared" si="2"/>
      </c>
      <c r="K32" s="25">
        <f>Input!$C$49</f>
      </c>
      <c r="L32" s="13">
        <f t="shared" si="3"/>
      </c>
      <c r="M32" s="30">
        <f>IF(D32&gt;0,Input!$C$38*D32/Input!$C$44,0)+H32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3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1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G33/Input!$C$44-H33</f>
      </c>
      <c r="J33" s="32">
        <f t="shared" si="2"/>
      </c>
      <c r="K33" s="32">
        <f>Input!$C$49</f>
      </c>
      <c r="L33" s="33">
        <f t="shared" si="3"/>
      </c>
      <c r="M33" s="31">
        <f>IF(D33&gt;0,Input!$C$38*D33/Input!$C$44,0)+H33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30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G34/Input!$C$44-H34</f>
      </c>
      <c r="J34" s="25">
        <f t="shared" si="2"/>
      </c>
      <c r="K34" s="25">
        <f>Input!$C$49</f>
      </c>
      <c r="L34" s="13">
        <f t="shared" si="3"/>
      </c>
      <c r="M34" s="30">
        <f>IF(D34&gt;0,Input!$C$38*D34/Input!$C$44,0)+H34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3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1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G35/Input!$C$44-H35</f>
      </c>
      <c r="J35" s="32">
        <f t="shared" si="2"/>
      </c>
      <c r="K35" s="32">
        <f>Input!$C$49</f>
      </c>
      <c r="L35" s="33">
        <f t="shared" si="3"/>
      </c>
      <c r="M35" s="31">
        <f>IF(D35&gt;0,Input!$C$38*D35/Input!$C$44,0)+H35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30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G36/Input!$C$44-H36</f>
      </c>
      <c r="J36" s="25">
        <f t="shared" si="2"/>
      </c>
      <c r="K36" s="25">
        <f>Input!$C$49</f>
      </c>
      <c r="L36" s="13">
        <f t="shared" si="3"/>
      </c>
      <c r="M36" s="30">
        <f>IF(D36&gt;0,Input!$C$38*D36/Input!$C$44,0)+H36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3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1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G37/Input!$C$44-H37</f>
      </c>
      <c r="J37" s="32">
        <f t="shared" si="2"/>
      </c>
      <c r="K37" s="32">
        <f>Input!$C$49</f>
      </c>
      <c r="L37" s="33">
        <f t="shared" si="3"/>
      </c>
      <c r="M37" s="31">
        <f>IF(D37&gt;0,Input!$C$38*D37/Input!$C$44,0)+H37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30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G38/Input!$C$44-H38</f>
      </c>
      <c r="J38" s="25">
        <f t="shared" si="2"/>
      </c>
      <c r="K38" s="25">
        <f>Input!$C$49</f>
      </c>
      <c r="L38" s="13">
        <f t="shared" si="3"/>
      </c>
      <c r="M38" s="30">
        <f>IF(D38&gt;0,Input!$C$38*D38/Input!$C$44,0)+H38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3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1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G39/Input!$C$44-H39</f>
      </c>
      <c r="J39" s="32">
        <f t="shared" si="2"/>
      </c>
      <c r="K39" s="32">
        <f>Input!$C$49</f>
      </c>
      <c r="L39" s="33">
        <f t="shared" si="3"/>
      </c>
      <c r="M39" s="31">
        <f>IF(D39&gt;0,Input!$C$38*D39/Input!$C$44,0)+H39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30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G40/Input!$C$44-H40</f>
      </c>
      <c r="J40" s="25">
        <f t="shared" si="2"/>
      </c>
      <c r="K40" s="25">
        <f>Input!$C$49</f>
      </c>
      <c r="L40" s="13">
        <f t="shared" si="3"/>
      </c>
      <c r="M40" s="30">
        <f>IF(D40&gt;0,Input!$C$38*D40/Input!$C$44,0)+H40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3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1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G41/Input!$C$44-H41</f>
      </c>
      <c r="J41" s="32">
        <f t="shared" si="2"/>
      </c>
      <c r="K41" s="32">
        <f>Input!$C$49</f>
      </c>
      <c r="L41" s="33">
        <f t="shared" si="3"/>
      </c>
      <c r="M41" s="31">
        <f>IF(D41&gt;0,Input!$C$38*D41/Input!$C$44,0)+H41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30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G42/Input!$C$44-H42</f>
      </c>
      <c r="J42" s="25">
        <f t="shared" si="2"/>
      </c>
      <c r="K42" s="25">
        <f>Input!$C$49</f>
      </c>
      <c r="L42" s="13">
        <f t="shared" si="3"/>
      </c>
      <c r="M42" s="30">
        <f>IF(D42&gt;0,Input!$C$38*D42/Input!$C$44,0)+H42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3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1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G43/Input!$C$44-H43</f>
      </c>
      <c r="J43" s="32">
        <f t="shared" si="2"/>
      </c>
      <c r="K43" s="32">
        <f>Input!$C$49</f>
      </c>
      <c r="L43" s="33">
        <f t="shared" si="3"/>
      </c>
      <c r="M43" s="31">
        <f>IF(D43&gt;0,Input!$C$38*D43/Input!$C$44,0)+H43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30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G44/Input!$C$44-H44</f>
      </c>
      <c r="J44" s="25">
        <f t="shared" ref="J44:J75" si="7">I44*9.81</f>
      </c>
      <c r="K44" s="25">
        <f>Input!$C$49</f>
      </c>
      <c r="L44" s="13">
        <f t="shared" ref="L44:L75" si="8">AND(J44&gt;=K44,L45)</f>
      </c>
      <c r="M44" s="30">
        <f>IF(D44&gt;0,Input!$C$38*D44/Input!$C$44,0)+H44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3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1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G45/Input!$C$44-H45</f>
      </c>
      <c r="J45" s="32">
        <f t="shared" si="7"/>
      </c>
      <c r="K45" s="32">
        <f>Input!$C$49</f>
      </c>
      <c r="L45" s="33">
        <f t="shared" si="8"/>
      </c>
      <c r="M45" s="31">
        <f>IF(D45&gt;0,Input!$C$38*D45/Input!$C$44,0)+H45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30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G46/Input!$C$44-H46</f>
      </c>
      <c r="J46" s="25">
        <f t="shared" si="7"/>
      </c>
      <c r="K46" s="25">
        <f>Input!$C$49</f>
      </c>
      <c r="L46" s="13">
        <f t="shared" si="8"/>
      </c>
      <c r="M46" s="30">
        <f>IF(D46&gt;0,Input!$C$38*D46/Input!$C$44,0)+H46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3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1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G47/Input!$C$44-H47</f>
      </c>
      <c r="J47" s="32">
        <f t="shared" si="7"/>
      </c>
      <c r="K47" s="32">
        <f>Input!$C$49</f>
      </c>
      <c r="L47" s="33">
        <f t="shared" si="8"/>
      </c>
      <c r="M47" s="31">
        <f>IF(D47&gt;0,Input!$C$38*D47/Input!$C$44,0)+H47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30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G48/Input!$C$44-H48</f>
      </c>
      <c r="J48" s="25">
        <f t="shared" si="7"/>
      </c>
      <c r="K48" s="25">
        <f>Input!$C$49</f>
      </c>
      <c r="L48" s="13">
        <f t="shared" si="8"/>
      </c>
      <c r="M48" s="30">
        <f>IF(D48&gt;0,Input!$C$38*D48/Input!$C$44,0)+H48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3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1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G49/Input!$C$44-H49</f>
      </c>
      <c r="J49" s="32">
        <f t="shared" si="7"/>
      </c>
      <c r="K49" s="32">
        <f>Input!$C$49</f>
      </c>
      <c r="L49" s="33">
        <f t="shared" si="8"/>
      </c>
      <c r="M49" s="31">
        <f>IF(D49&gt;0,Input!$C$38*D49/Input!$C$44,0)+H49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30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G50/Input!$C$44-H50</f>
      </c>
      <c r="J50" s="25">
        <f t="shared" si="7"/>
      </c>
      <c r="K50" s="25">
        <f>Input!$C$49</f>
      </c>
      <c r="L50" s="13">
        <f t="shared" si="8"/>
      </c>
      <c r="M50" s="30">
        <f>IF(D50&gt;0,Input!$C$38*D50/Input!$C$44,0)+H50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3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1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G51/Input!$C$44-H51</f>
      </c>
      <c r="J51" s="32">
        <f t="shared" si="7"/>
      </c>
      <c r="K51" s="32">
        <f>Input!$C$49</f>
      </c>
      <c r="L51" s="33">
        <f t="shared" si="8"/>
      </c>
      <c r="M51" s="31">
        <f>IF(D51&gt;0,Input!$C$38*D51/Input!$C$44,0)+H51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30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G52/Input!$C$44-H52</f>
      </c>
      <c r="J52" s="25">
        <f t="shared" si="7"/>
      </c>
      <c r="K52" s="25">
        <f>Input!$C$49</f>
      </c>
      <c r="L52" s="13">
        <f t="shared" si="8"/>
      </c>
      <c r="M52" s="30">
        <f>IF(D52&gt;0,Input!$C$38*D52/Input!$C$44,0)+H52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3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1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G53/Input!$C$44-H53</f>
      </c>
      <c r="J53" s="32">
        <f t="shared" si="7"/>
      </c>
      <c r="K53" s="32">
        <f>Input!$C$49</f>
      </c>
      <c r="L53" s="33">
        <f t="shared" si="8"/>
      </c>
      <c r="M53" s="31">
        <f>IF(D53&gt;0,Input!$C$38*D53/Input!$C$44,0)+H53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30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G54/Input!$C$44-H54</f>
      </c>
      <c r="J54" s="25">
        <f t="shared" si="7"/>
      </c>
      <c r="K54" s="25">
        <f>Input!$C$49</f>
      </c>
      <c r="L54" s="13">
        <f t="shared" si="8"/>
      </c>
      <c r="M54" s="30">
        <f>IF(D54&gt;0,Input!$C$38*D54/Input!$C$44,0)+H54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3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1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G55/Input!$C$44-H55</f>
      </c>
      <c r="J55" s="32">
        <f t="shared" si="7"/>
      </c>
      <c r="K55" s="32">
        <f>Input!$C$49</f>
      </c>
      <c r="L55" s="33">
        <f t="shared" si="8"/>
      </c>
      <c r="M55" s="31">
        <f>IF(D55&gt;0,Input!$C$38*D55/Input!$C$44,0)+H55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30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G56/Input!$C$44-H56</f>
      </c>
      <c r="J56" s="25">
        <f t="shared" si="7"/>
      </c>
      <c r="K56" s="25">
        <f>Input!$C$49</f>
      </c>
      <c r="L56" s="13">
        <f t="shared" si="8"/>
      </c>
      <c r="M56" s="30">
        <f>IF(D56&gt;0,Input!$C$38*D56/Input!$C$44,0)+H56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3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1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G57/Input!$C$44-H57</f>
      </c>
      <c r="J57" s="32">
        <f t="shared" si="7"/>
      </c>
      <c r="K57" s="32">
        <f>Input!$C$49</f>
      </c>
      <c r="L57" s="33">
        <f t="shared" si="8"/>
      </c>
      <c r="M57" s="31">
        <f>IF(D57&gt;0,Input!$C$38*D57/Input!$C$44,0)+H57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30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G58/Input!$C$44-H58</f>
      </c>
      <c r="J58" s="25">
        <f t="shared" si="7"/>
      </c>
      <c r="K58" s="25">
        <f>Input!$C$49</f>
      </c>
      <c r="L58" s="13">
        <f t="shared" si="8"/>
      </c>
      <c r="M58" s="30">
        <f>IF(D58&gt;0,Input!$C$38*D58/Input!$C$44,0)+H58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3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1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G59/Input!$C$44-H59</f>
      </c>
      <c r="J59" s="32">
        <f t="shared" si="7"/>
      </c>
      <c r="K59" s="32">
        <f>Input!$C$49</f>
      </c>
      <c r="L59" s="33">
        <f t="shared" si="8"/>
      </c>
      <c r="M59" s="31">
        <f>IF(D59&gt;0,Input!$C$38*D59/Input!$C$44,0)+H59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30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G60/Input!$C$44-H60</f>
      </c>
      <c r="J60" s="25">
        <f t="shared" si="7"/>
      </c>
      <c r="K60" s="25">
        <f>Input!$C$49</f>
      </c>
      <c r="L60" s="13">
        <f t="shared" si="8"/>
      </c>
      <c r="M60" s="30">
        <f>IF(D60&gt;0,Input!$C$38*D60/Input!$C$44,0)+H60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3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1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G61/Input!$C$44-H61</f>
      </c>
      <c r="J61" s="32">
        <f t="shared" si="7"/>
      </c>
      <c r="K61" s="32">
        <f>Input!$C$49</f>
      </c>
      <c r="L61" s="33">
        <f t="shared" si="8"/>
      </c>
      <c r="M61" s="31">
        <f>IF(D61&gt;0,Input!$C$38*D61/Input!$C$44,0)+H61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30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G62/Input!$C$44-H62</f>
      </c>
      <c r="J62" s="25">
        <f t="shared" si="7"/>
      </c>
      <c r="K62" s="25">
        <f>Input!$C$49</f>
      </c>
      <c r="L62" s="13">
        <f t="shared" si="8"/>
      </c>
      <c r="M62" s="30">
        <f>IF(D62&gt;0,Input!$C$38*D62/Input!$C$44,0)+H62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3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1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G63/Input!$C$44-H63</f>
      </c>
      <c r="J63" s="32">
        <f t="shared" si="7"/>
      </c>
      <c r="K63" s="32">
        <f>Input!$C$49</f>
      </c>
      <c r="L63" s="33">
        <f t="shared" si="8"/>
      </c>
      <c r="M63" s="31">
        <f>IF(D63&gt;0,Input!$C$38*D63/Input!$C$44,0)+H63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30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G64/Input!$C$44-H64</f>
      </c>
      <c r="J64" s="25">
        <f t="shared" si="7"/>
      </c>
      <c r="K64" s="25">
        <f>Input!$C$49</f>
      </c>
      <c r="L64" s="13">
        <f t="shared" si="8"/>
      </c>
      <c r="M64" s="30">
        <f>IF(D64&gt;0,Input!$C$38*D64/Input!$C$44,0)+H64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3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1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G65/Input!$C$44-H65</f>
      </c>
      <c r="J65" s="32">
        <f t="shared" si="7"/>
      </c>
      <c r="K65" s="32">
        <f>Input!$C$49</f>
      </c>
      <c r="L65" s="33">
        <f t="shared" si="8"/>
      </c>
      <c r="M65" s="31">
        <f>IF(D65&gt;0,Input!$C$38*D65/Input!$C$44,0)+H65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30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G66/Input!$C$44-H66</f>
      </c>
      <c r="J66" s="25">
        <f t="shared" si="7"/>
      </c>
      <c r="K66" s="25">
        <f>Input!$C$49</f>
      </c>
      <c r="L66" s="13">
        <f t="shared" si="8"/>
      </c>
      <c r="M66" s="30">
        <f>IF(D66&gt;0,Input!$C$38*D66/Input!$C$44,0)+H66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3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1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G67/Input!$C$44-H67</f>
      </c>
      <c r="J67" s="32">
        <f t="shared" si="7"/>
      </c>
      <c r="K67" s="32">
        <f>Input!$C$49</f>
      </c>
      <c r="L67" s="33">
        <f t="shared" si="8"/>
      </c>
      <c r="M67" s="31">
        <f>IF(D67&gt;0,Input!$C$38*D67/Input!$C$44,0)+H67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30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G68/Input!$C$44-H68</f>
      </c>
      <c r="J68" s="25">
        <f t="shared" si="7"/>
      </c>
      <c r="K68" s="25">
        <f>Input!$C$49</f>
      </c>
      <c r="L68" s="13">
        <f t="shared" si="8"/>
      </c>
      <c r="M68" s="30">
        <f>IF(D68&gt;0,Input!$C$38*D68/Input!$C$44,0)+H68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3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1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G69/Input!$C$44-H69</f>
      </c>
      <c r="J69" s="32">
        <f t="shared" si="7"/>
      </c>
      <c r="K69" s="32">
        <f>Input!$C$49</f>
      </c>
      <c r="L69" s="33">
        <f t="shared" si="8"/>
      </c>
      <c r="M69" s="31">
        <f>IF(D69&gt;0,Input!$C$38*D69/Input!$C$44,0)+H69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30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G70/Input!$C$44-H70</f>
      </c>
      <c r="J70" s="25">
        <f t="shared" si="7"/>
      </c>
      <c r="K70" s="25">
        <f>Input!$C$49</f>
      </c>
      <c r="L70" s="13">
        <f t="shared" si="8"/>
      </c>
      <c r="M70" s="30">
        <f>IF(D70&gt;0,Input!$C$38*D70/Input!$C$44,0)+H70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3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1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G71/Input!$C$44-H71</f>
      </c>
      <c r="J71" s="32">
        <f t="shared" si="7"/>
      </c>
      <c r="K71" s="32">
        <f>Input!$C$49</f>
      </c>
      <c r="L71" s="33">
        <f t="shared" si="8"/>
      </c>
      <c r="M71" s="31">
        <f>IF(D71&gt;0,Input!$C$38*D71/Input!$C$44,0)+H71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30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G72/Input!$C$44-H72</f>
      </c>
      <c r="J72" s="25">
        <f t="shared" si="7"/>
      </c>
      <c r="K72" s="25">
        <f>Input!$C$49</f>
      </c>
      <c r="L72" s="13">
        <f t="shared" si="8"/>
      </c>
      <c r="M72" s="30">
        <f>IF(D72&gt;0,Input!$C$38*D72/Input!$C$44,0)+H72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3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1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G73/Input!$C$44-H73</f>
      </c>
      <c r="J73" s="32">
        <f t="shared" si="7"/>
      </c>
      <c r="K73" s="32">
        <f>Input!$C$49</f>
      </c>
      <c r="L73" s="33">
        <f t="shared" si="8"/>
      </c>
      <c r="M73" s="31">
        <f>IF(D73&gt;0,Input!$C$38*D73/Input!$C$44,0)+H73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30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G74/Input!$C$44-H74</f>
      </c>
      <c r="J74" s="25">
        <f t="shared" si="7"/>
      </c>
      <c r="K74" s="25">
        <f>Input!$C$49</f>
      </c>
      <c r="L74" s="13">
        <f t="shared" si="8"/>
      </c>
      <c r="M74" s="30">
        <f>IF(D74&gt;0,Input!$C$38*D74/Input!$C$44,0)+H74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3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1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G75/Input!$C$44-H75</f>
      </c>
      <c r="J75" s="32">
        <f t="shared" si="7"/>
      </c>
      <c r="K75" s="32">
        <f>Input!$C$49</f>
      </c>
      <c r="L75" s="33">
        <f t="shared" si="8"/>
      </c>
      <c r="M75" s="31">
        <f>IF(D75&gt;0,Input!$C$38*D75/Input!$C$44,0)+H75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30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G76/Input!$C$44-H76</f>
      </c>
      <c r="J76" s="25">
        <f t="shared" ref="J76:J107" si="12">I76*9.81</f>
      </c>
      <c r="K76" s="25">
        <f>Input!$C$49</f>
      </c>
      <c r="L76" s="13">
        <f t="shared" ref="L76:L107" si="13">AND(J76&gt;=K76,L77)</f>
      </c>
      <c r="M76" s="30">
        <f>IF(D76&gt;0,Input!$C$38*D76/Input!$C$44,0)+H76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3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1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G77/Input!$C$44-H77</f>
      </c>
      <c r="J77" s="32">
        <f t="shared" si="12"/>
      </c>
      <c r="K77" s="32">
        <f>Input!$C$49</f>
      </c>
      <c r="L77" s="33">
        <f t="shared" si="13"/>
      </c>
      <c r="M77" s="31">
        <f>IF(D77&gt;0,Input!$C$38*D77/Input!$C$44,0)+H77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30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G78/Input!$C$44-H78</f>
      </c>
      <c r="J78" s="25">
        <f t="shared" si="12"/>
      </c>
      <c r="K78" s="25">
        <f>Input!$C$49</f>
      </c>
      <c r="L78" s="13">
        <f t="shared" si="13"/>
      </c>
      <c r="M78" s="30">
        <f>IF(D78&gt;0,Input!$C$38*D78/Input!$C$44,0)+H78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3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1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G79/Input!$C$44-H79</f>
      </c>
      <c r="J79" s="32">
        <f t="shared" si="12"/>
      </c>
      <c r="K79" s="32">
        <f>Input!$C$49</f>
      </c>
      <c r="L79" s="33">
        <f t="shared" si="13"/>
      </c>
      <c r="M79" s="31">
        <f>IF(D79&gt;0,Input!$C$38*D79/Input!$C$44,0)+H79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30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G80/Input!$C$44-H80</f>
      </c>
      <c r="J80" s="25">
        <f t="shared" si="12"/>
      </c>
      <c r="K80" s="25">
        <f>Input!$C$49</f>
      </c>
      <c r="L80" s="13">
        <f t="shared" si="13"/>
      </c>
      <c r="M80" s="30">
        <f>IF(D80&gt;0,Input!$C$38*D80/Input!$C$44,0)+H80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3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1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G81/Input!$C$44-H81</f>
      </c>
      <c r="J81" s="32">
        <f t="shared" si="12"/>
      </c>
      <c r="K81" s="32">
        <f>Input!$C$49</f>
      </c>
      <c r="L81" s="33">
        <f t="shared" si="13"/>
      </c>
      <c r="M81" s="31">
        <f>IF(D81&gt;0,Input!$C$38*D81/Input!$C$44,0)+H81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30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G82/Input!$C$44-H82</f>
      </c>
      <c r="J82" s="25">
        <f t="shared" si="12"/>
      </c>
      <c r="K82" s="25">
        <f>Input!$C$49</f>
      </c>
      <c r="L82" s="13">
        <f t="shared" si="13"/>
      </c>
      <c r="M82" s="30">
        <f>IF(D82&gt;0,Input!$C$38*D82/Input!$C$44,0)+H82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3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1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G83/Input!$C$44-H83</f>
      </c>
      <c r="J83" s="32">
        <f t="shared" si="12"/>
      </c>
      <c r="K83" s="32">
        <f>Input!$C$49</f>
      </c>
      <c r="L83" s="33">
        <f t="shared" si="13"/>
      </c>
      <c r="M83" s="31">
        <f>IF(D83&gt;0,Input!$C$38*D83/Input!$C$44,0)+H83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30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G84/Input!$C$44-H84</f>
      </c>
      <c r="J84" s="25">
        <f t="shared" si="12"/>
      </c>
      <c r="K84" s="25">
        <f>Input!$C$49</f>
      </c>
      <c r="L84" s="13">
        <f t="shared" si="13"/>
      </c>
      <c r="M84" s="30">
        <f>IF(D84&gt;0,Input!$C$38*D84/Input!$C$44,0)+H84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3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1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G85/Input!$C$44-H85</f>
      </c>
      <c r="J85" s="32">
        <f t="shared" si="12"/>
      </c>
      <c r="K85" s="32">
        <f>Input!$C$49</f>
      </c>
      <c r="L85" s="33">
        <f t="shared" si="13"/>
      </c>
      <c r="M85" s="31">
        <f>IF(D85&gt;0,Input!$C$38*D85/Input!$C$44,0)+H85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30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G86/Input!$C$44-H86</f>
      </c>
      <c r="J86" s="25">
        <f t="shared" si="12"/>
      </c>
      <c r="K86" s="25">
        <f>Input!$C$49</f>
      </c>
      <c r="L86" s="13">
        <f t="shared" si="13"/>
      </c>
      <c r="M86" s="30">
        <f>IF(D86&gt;0,Input!$C$38*D86/Input!$C$44,0)+H86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3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1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G87/Input!$C$44-H87</f>
      </c>
      <c r="J87" s="32">
        <f t="shared" si="12"/>
      </c>
      <c r="K87" s="32">
        <f>Input!$C$49</f>
      </c>
      <c r="L87" s="33">
        <f t="shared" si="13"/>
      </c>
      <c r="M87" s="31">
        <f>IF(D87&gt;0,Input!$C$38*D87/Input!$C$44,0)+H87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30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G88/Input!$C$44-H88</f>
      </c>
      <c r="J88" s="25">
        <f t="shared" si="12"/>
      </c>
      <c r="K88" s="25">
        <f>Input!$C$49</f>
      </c>
      <c r="L88" s="13">
        <f t="shared" si="13"/>
      </c>
      <c r="M88" s="30">
        <f>IF(D88&gt;0,Input!$C$38*D88/Input!$C$44,0)+H88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3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1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G89/Input!$C$44-H89</f>
      </c>
      <c r="J89" s="32">
        <f t="shared" si="12"/>
      </c>
      <c r="K89" s="32">
        <f>Input!$C$49</f>
      </c>
      <c r="L89" s="33">
        <f t="shared" si="13"/>
      </c>
      <c r="M89" s="31">
        <f>IF(D89&gt;0,Input!$C$38*D89/Input!$C$44,0)+H89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30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G90/Input!$C$44-H90</f>
      </c>
      <c r="J90" s="25">
        <f t="shared" si="12"/>
      </c>
      <c r="K90" s="25">
        <f>Input!$C$49</f>
      </c>
      <c r="L90" s="13">
        <f t="shared" si="13"/>
      </c>
      <c r="M90" s="30">
        <f>IF(D90&gt;0,Input!$C$38*D90/Input!$C$44,0)+H90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3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1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G91/Input!$C$44-H91</f>
      </c>
      <c r="J91" s="32">
        <f t="shared" si="12"/>
      </c>
      <c r="K91" s="32">
        <f>Input!$C$49</f>
      </c>
      <c r="L91" s="33">
        <f t="shared" si="13"/>
      </c>
      <c r="M91" s="31">
        <f>IF(D91&gt;0,Input!$C$38*D91/Input!$C$44,0)+H91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30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G92/Input!$C$44-H92</f>
      </c>
      <c r="J92" s="25">
        <f t="shared" si="12"/>
      </c>
      <c r="K92" s="25">
        <f>Input!$C$49</f>
      </c>
      <c r="L92" s="13">
        <f t="shared" si="13"/>
      </c>
      <c r="M92" s="30">
        <f>IF(D92&gt;0,Input!$C$38*D92/Input!$C$44,0)+H92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3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1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G93/Input!$C$44-H93</f>
      </c>
      <c r="J93" s="32">
        <f t="shared" si="12"/>
      </c>
      <c r="K93" s="32">
        <f>Input!$C$49</f>
      </c>
      <c r="L93" s="33">
        <f t="shared" si="13"/>
      </c>
      <c r="M93" s="31">
        <f>IF(D93&gt;0,Input!$C$38*D93/Input!$C$44,0)+H93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30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G94/Input!$C$44-H94</f>
      </c>
      <c r="J94" s="25">
        <f t="shared" si="12"/>
      </c>
      <c r="K94" s="25">
        <f>Input!$C$49</f>
      </c>
      <c r="L94" s="13">
        <f t="shared" si="13"/>
      </c>
      <c r="M94" s="30">
        <f>IF(D94&gt;0,Input!$C$38*D94/Input!$C$44,0)+H94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3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1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G95/Input!$C$44-H95</f>
      </c>
      <c r="J95" s="32">
        <f t="shared" si="12"/>
      </c>
      <c r="K95" s="32">
        <f>Input!$C$49</f>
      </c>
      <c r="L95" s="33">
        <f t="shared" si="13"/>
      </c>
      <c r="M95" s="31">
        <f>IF(D95&gt;0,Input!$C$38*D95/Input!$C$44,0)+H95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30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G96/Input!$C$44-H96</f>
      </c>
      <c r="J96" s="25">
        <f t="shared" si="12"/>
      </c>
      <c r="K96" s="25">
        <f>Input!$C$49</f>
      </c>
      <c r="L96" s="13">
        <f t="shared" si="13"/>
      </c>
      <c r="M96" s="30">
        <f>IF(D96&gt;0,Input!$C$38*D96/Input!$C$44,0)+H96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3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1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G97/Input!$C$44-H97</f>
      </c>
      <c r="J97" s="32">
        <f t="shared" si="12"/>
      </c>
      <c r="K97" s="32">
        <f>Input!$C$49</f>
      </c>
      <c r="L97" s="33">
        <f t="shared" si="13"/>
      </c>
      <c r="M97" s="31">
        <f>IF(D97&gt;0,Input!$C$38*D97/Input!$C$44,0)+H97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30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G98/Input!$C$44-H98</f>
      </c>
      <c r="J98" s="25">
        <f t="shared" si="12"/>
      </c>
      <c r="K98" s="25">
        <f>Input!$C$49</f>
      </c>
      <c r="L98" s="13">
        <f t="shared" si="13"/>
      </c>
      <c r="M98" s="30">
        <f>IF(D98&gt;0,Input!$C$38*D98/Input!$C$44,0)+H98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3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1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G99/Input!$C$44-H99</f>
      </c>
      <c r="J99" s="32">
        <f t="shared" si="12"/>
      </c>
      <c r="K99" s="32">
        <f>Input!$C$49</f>
      </c>
      <c r="L99" s="33">
        <f t="shared" si="13"/>
      </c>
      <c r="M99" s="31">
        <f>IF(D99&gt;0,Input!$C$38*D99/Input!$C$44,0)+H99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30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G100/Input!$C$44-H100</f>
      </c>
      <c r="J100" s="25">
        <f t="shared" si="12"/>
      </c>
      <c r="K100" s="25">
        <f>Input!$C$49</f>
      </c>
      <c r="L100" s="13">
        <f t="shared" si="13"/>
      </c>
      <c r="M100" s="30">
        <f>IF(D100&gt;0,Input!$C$38*D100/Input!$C$44,0)+H100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3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1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G101/Input!$C$44-H101</f>
      </c>
      <c r="J101" s="32">
        <f t="shared" si="12"/>
      </c>
      <c r="K101" s="32">
        <f>Input!$C$49</f>
      </c>
      <c r="L101" s="33">
        <f t="shared" si="13"/>
      </c>
      <c r="M101" s="31">
        <f>IF(D101&gt;0,Input!$C$38*D101/Input!$C$44,0)+H101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30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G102/Input!$C$44-H102</f>
      </c>
      <c r="J102" s="25">
        <f t="shared" si="12"/>
      </c>
      <c r="K102" s="25">
        <f>Input!$C$49</f>
      </c>
      <c r="L102" s="13">
        <f t="shared" si="13"/>
      </c>
      <c r="M102" s="30">
        <f>IF(D102&gt;0,Input!$C$38*D102/Input!$C$44,0)+H102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3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1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G103/Input!$C$44-H103</f>
      </c>
      <c r="J103" s="32">
        <f t="shared" si="12"/>
      </c>
      <c r="K103" s="32">
        <f>Input!$C$49</f>
      </c>
      <c r="L103" s="33">
        <f t="shared" si="13"/>
      </c>
      <c r="M103" s="31">
        <f>IF(D103&gt;0,Input!$C$38*D103/Input!$C$44,0)+H103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30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G104/Input!$C$44-H104</f>
      </c>
      <c r="J104" s="25">
        <f t="shared" si="12"/>
      </c>
      <c r="K104" s="25">
        <f>Input!$C$49</f>
      </c>
      <c r="L104" s="13">
        <f t="shared" si="13"/>
      </c>
      <c r="M104" s="30">
        <f>IF(D104&gt;0,Input!$C$38*D104/Input!$C$44,0)+H104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3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1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G105/Input!$C$44-H105</f>
      </c>
      <c r="J105" s="32">
        <f t="shared" si="12"/>
      </c>
      <c r="K105" s="32">
        <f>Input!$C$49</f>
      </c>
      <c r="L105" s="33">
        <f t="shared" si="13"/>
      </c>
      <c r="M105" s="31">
        <f>IF(D105&gt;0,Input!$C$38*D105/Input!$C$44,0)+H105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30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G106/Input!$C$44-H106</f>
      </c>
      <c r="J106" s="25">
        <f t="shared" si="12"/>
      </c>
      <c r="K106" s="25">
        <f>Input!$C$49</f>
      </c>
      <c r="L106" s="13">
        <f t="shared" si="13"/>
      </c>
      <c r="M106" s="30">
        <f>IF(D106&gt;0,Input!$C$38*D106/Input!$C$44,0)+H106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3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1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G107/Input!$C$44-H107</f>
      </c>
      <c r="J107" s="32">
        <f t="shared" si="12"/>
      </c>
      <c r="K107" s="32">
        <f>Input!$C$49</f>
      </c>
      <c r="L107" s="33">
        <f t="shared" si="13"/>
      </c>
      <c r="M107" s="31">
        <f>IF(D107&gt;0,Input!$C$38*D107/Input!$C$44,0)+H107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30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G108/Input!$C$44-H108</f>
      </c>
      <c r="J108" s="25">
        <f t="shared" ref="J108:J127" si="17">I108*9.81</f>
      </c>
      <c r="K108" s="25">
        <f>Input!$C$49</f>
      </c>
      <c r="L108" s="13">
        <f t="shared" ref="L108:L126" si="18">AND(J108&gt;=K108,L109)</f>
      </c>
      <c r="M108" s="30">
        <f>IF(D108&gt;0,Input!$C$38*D108/Input!$C$44,0)+H108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3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1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G109/Input!$C$44-H109</f>
      </c>
      <c r="J109" s="32">
        <f t="shared" si="17"/>
      </c>
      <c r="K109" s="32">
        <f>Input!$C$49</f>
      </c>
      <c r="L109" s="33">
        <f t="shared" si="18"/>
      </c>
      <c r="M109" s="31">
        <f>IF(D109&gt;0,Input!$C$38*D109/Input!$C$44,0)+H109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30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G110/Input!$C$44-H110</f>
      </c>
      <c r="J110" s="25">
        <f t="shared" si="17"/>
      </c>
      <c r="K110" s="25">
        <f>Input!$C$49</f>
      </c>
      <c r="L110" s="13">
        <f t="shared" si="18"/>
      </c>
      <c r="M110" s="30">
        <f>IF(D110&gt;0,Input!$C$38*D110/Input!$C$44,0)+H110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3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1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G111/Input!$C$44-H111</f>
      </c>
      <c r="J111" s="32">
        <f t="shared" si="17"/>
      </c>
      <c r="K111" s="32">
        <f>Input!$C$49</f>
      </c>
      <c r="L111" s="33">
        <f t="shared" si="18"/>
      </c>
      <c r="M111" s="31">
        <f>IF(D111&gt;0,Input!$C$38*D111/Input!$C$44,0)+H111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30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G112/Input!$C$44-H112</f>
      </c>
      <c r="J112" s="25">
        <f t="shared" si="17"/>
      </c>
      <c r="K112" s="25">
        <f>Input!$C$49</f>
      </c>
      <c r="L112" s="13">
        <f t="shared" si="18"/>
      </c>
      <c r="M112" s="30">
        <f>IF(D112&gt;0,Input!$C$38*D112/Input!$C$44,0)+H112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3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1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G113/Input!$C$44-H113</f>
      </c>
      <c r="J113" s="32">
        <f t="shared" si="17"/>
      </c>
      <c r="K113" s="32">
        <f>Input!$C$49</f>
      </c>
      <c r="L113" s="33">
        <f t="shared" si="18"/>
      </c>
      <c r="M113" s="31">
        <f>IF(D113&gt;0,Input!$C$38*D113/Input!$C$44,0)+H113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30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G114/Input!$C$44-H114</f>
      </c>
      <c r="J114" s="25">
        <f t="shared" si="17"/>
      </c>
      <c r="K114" s="25">
        <f>Input!$C$49</f>
      </c>
      <c r="L114" s="13">
        <f t="shared" si="18"/>
      </c>
      <c r="M114" s="30">
        <f>IF(D114&gt;0,Input!$C$38*D114/Input!$C$44,0)+H114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3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1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G115/Input!$C$44-H115</f>
      </c>
      <c r="J115" s="32">
        <f t="shared" si="17"/>
      </c>
      <c r="K115" s="32">
        <f>Input!$C$49</f>
      </c>
      <c r="L115" s="33">
        <f t="shared" si="18"/>
      </c>
      <c r="M115" s="31">
        <f>IF(D115&gt;0,Input!$C$38*D115/Input!$C$44,0)+H115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30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G116/Input!$C$44-H116</f>
      </c>
      <c r="J116" s="25">
        <f t="shared" si="17"/>
      </c>
      <c r="K116" s="25">
        <f>Input!$C$49</f>
      </c>
      <c r="L116" s="13">
        <f t="shared" si="18"/>
      </c>
      <c r="M116" s="30">
        <f>IF(D116&gt;0,Input!$C$38*D116/Input!$C$44,0)+H116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3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1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G117/Input!$C$44-H117</f>
      </c>
      <c r="J117" s="32">
        <f t="shared" si="17"/>
      </c>
      <c r="K117" s="32">
        <f>Input!$C$49</f>
      </c>
      <c r="L117" s="33">
        <f t="shared" si="18"/>
      </c>
      <c r="M117" s="31">
        <f>IF(D117&gt;0,Input!$C$38*D117/Input!$C$44,0)+H117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30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G118/Input!$C$44-H118</f>
      </c>
      <c r="J118" s="25">
        <f t="shared" si="17"/>
      </c>
      <c r="K118" s="25">
        <f>Input!$C$49</f>
      </c>
      <c r="L118" s="13">
        <f t="shared" si="18"/>
      </c>
      <c r="M118" s="30">
        <f>IF(D118&gt;0,Input!$C$38*D118/Input!$C$44,0)+H118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3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1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G119/Input!$C$44-H119</f>
      </c>
      <c r="J119" s="32">
        <f t="shared" si="17"/>
      </c>
      <c r="K119" s="32">
        <f>Input!$C$49</f>
      </c>
      <c r="L119" s="33">
        <f t="shared" si="18"/>
      </c>
      <c r="M119" s="31">
        <f>IF(D119&gt;0,Input!$C$38*D119/Input!$C$44,0)+H119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30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G120/Input!$C$44-H120</f>
      </c>
      <c r="J120" s="25">
        <f t="shared" si="17"/>
      </c>
      <c r="K120" s="25">
        <f>Input!$C$49</f>
      </c>
      <c r="L120" s="13">
        <f t="shared" si="18"/>
      </c>
      <c r="M120" s="30">
        <f>IF(D120&gt;0,Input!$C$38*D120/Input!$C$44,0)+H120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3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1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G121/Input!$C$44-H121</f>
      </c>
      <c r="J121" s="32">
        <f t="shared" si="17"/>
      </c>
      <c r="K121" s="32">
        <f>Input!$C$49</f>
      </c>
      <c r="L121" s="33">
        <f t="shared" si="18"/>
      </c>
      <c r="M121" s="31">
        <f>IF(D121&gt;0,Input!$C$38*D121/Input!$C$44,0)+H121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30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G122/Input!$C$44-H122</f>
      </c>
      <c r="J122" s="25">
        <f t="shared" si="17"/>
      </c>
      <c r="K122" s="25">
        <f>Input!$C$49</f>
      </c>
      <c r="L122" s="13">
        <f t="shared" si="18"/>
      </c>
      <c r="M122" s="30">
        <f>IF(D122&gt;0,Input!$C$38*D122/Input!$C$44,0)+H122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3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1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G123/Input!$C$44-H123</f>
      </c>
      <c r="J123" s="32">
        <f t="shared" si="17"/>
      </c>
      <c r="K123" s="32">
        <f>Input!$C$49</f>
      </c>
      <c r="L123" s="33">
        <f t="shared" si="18"/>
      </c>
      <c r="M123" s="31">
        <f>IF(D123&gt;0,Input!$C$38*D123/Input!$C$44,0)+H123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30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G124/Input!$C$44-H124</f>
      </c>
      <c r="J124" s="25">
        <f t="shared" si="17"/>
      </c>
      <c r="K124" s="25">
        <f>Input!$C$49</f>
      </c>
      <c r="L124" s="13">
        <f t="shared" si="18"/>
      </c>
      <c r="M124" s="30">
        <f>IF(D124&gt;0,Input!$C$38*D124/Input!$C$44,0)+H124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3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1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G125/Input!$C$44-H125</f>
      </c>
      <c r="J125" s="32">
        <f t="shared" si="17"/>
      </c>
      <c r="K125" s="32">
        <f>Input!$C$49</f>
      </c>
      <c r="L125" s="33">
        <f t="shared" si="18"/>
      </c>
      <c r="M125" s="31">
        <f>IF(D125&gt;0,Input!$C$38*D125/Input!$C$44,0)+H125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30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G126/Input!$C$44-H126</f>
      </c>
      <c r="J126" s="25">
        <f t="shared" si="17"/>
      </c>
      <c r="K126" s="25">
        <f>Input!$C$49</f>
      </c>
      <c r="L126" s="13">
        <f t="shared" si="18"/>
      </c>
      <c r="M126" s="30">
        <f>IF(D126&gt;0,Input!$C$38*D126/Input!$C$44,0)+H126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3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1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G127/Input!$C$44-H127</f>
      </c>
      <c r="J127" s="32">
        <f t="shared" si="17"/>
      </c>
      <c r="K127" s="32">
        <f>Input!$C$49</f>
      </c>
      <c r="L127" s="33">
        <f>J127&gt;=K127</f>
      </c>
      <c r="M127" s="31">
        <f>IF(D127&gt;0,Input!$C$38*D127/Input!$C$44,0)+H127</f>
      </c>
      <c r="N127" s="32">
        <f t="shared" si="19"/>
      </c>
    </row>
    <row r="129" spans="1:1" x14ac:dyDescent="0.25">
      <c r="A129" s="1" t="s">
        <v>152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tabSelected="1" zoomScale="90" workbookViewId="0">
      <pane xSplit="1" ySplit="11" topLeftCell="B72" activePane="bottomRight" state="frozen"/>
      <selection activeCell="A4" sqref="A4"/>
      <selection pane="topRight" activeCell="A4" sqref="A4"/>
      <selection pane="bottomLeft" activeCell="A4" sqref="A4"/>
      <selection pane="bottomRight" activeCell="O78" sqref="O78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5" t="s">
        <v>160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161</v>
      </c>
      <c r="B5" s="36"/>
      <c r="C5" s="36"/>
      <c r="D5" s="36"/>
      <c r="E5" s="27">
        <f>IFERROR(ROUND(1/(1/_xlfn.MINIFS(A12:A127,K12:K127,TRUE)),2),"&gt; data")</f>
      </c>
      <c r="F5" s="4" t="s">
        <v>26</v>
      </c>
    </row>
    <row r="6" spans="1:14" x14ac:dyDescent="0.25">
      <c r="A6" s="37" t="s">
        <v>162</v>
      </c>
      <c r="B6" s="36"/>
      <c r="C6" s="36"/>
      <c r="D6" s="36"/>
      <c r="E6" s="34">
        <f>G12*9.81</f>
      </c>
      <c r="F6" s="4" t="s">
        <v>18</v>
      </c>
    </row>
    <row r="7" spans="1:14" x14ac:dyDescent="0.25">
      <c r="A7" s="37" t="s">
        <v>163</v>
      </c>
      <c r="B7" s="36"/>
      <c r="C7" s="36"/>
      <c r="D7" s="36"/>
      <c r="E7" s="27">
        <f>Input!$C$45</f>
      </c>
      <c r="F7" s="4" t="s">
        <v>7</v>
      </c>
    </row>
    <row r="10" spans="1:14" ht="42" customHeight="1" x14ac:dyDescent="0.25">
      <c r="A10" s="15" t="s">
        <v>164</v>
      </c>
      <c r="B10" s="15" t="s">
        <v>140</v>
      </c>
      <c r="C10" s="15" t="s">
        <v>141</v>
      </c>
      <c r="D10" s="15" t="s">
        <v>165</v>
      </c>
      <c r="E10" s="15" t="s">
        <v>166</v>
      </c>
      <c r="F10" s="15" t="s">
        <v>146</v>
      </c>
      <c r="G10" s="15" t="s">
        <v>167</v>
      </c>
      <c r="H10" s="15" t="s">
        <v>168</v>
      </c>
      <c r="I10" s="15" t="s">
        <v>168</v>
      </c>
      <c r="J10" s="15" t="s">
        <v>169</v>
      </c>
      <c r="K10" s="15" t="s">
        <v>149</v>
      </c>
      <c r="L10" s="15" t="s">
        <v>170</v>
      </c>
      <c r="M10" s="15" t="s">
        <v>171</v>
      </c>
    </row>
    <row r="11" spans="1:14" x14ac:dyDescent="0.25">
      <c r="A11" s="15" t="s">
        <v>26</v>
      </c>
      <c r="B11" s="15" t="s">
        <v>26</v>
      </c>
      <c r="C11" s="15" t="s">
        <v>26</v>
      </c>
      <c r="D11" s="15" t="s">
        <v>151</v>
      </c>
      <c r="E11" s="15" t="s">
        <v>151</v>
      </c>
      <c r="F11" s="15" t="s">
        <v>151</v>
      </c>
      <c r="G11" s="15" t="s">
        <v>151</v>
      </c>
      <c r="H11" s="15" t="s">
        <v>151</v>
      </c>
      <c r="I11" s="15" t="s">
        <v>18</v>
      </c>
      <c r="J11" s="15" t="s">
        <v>18</v>
      </c>
      <c r="K11" s="15"/>
      <c r="L11" s="15" t="s">
        <v>82</v>
      </c>
      <c r="M11" s="15" t="s">
        <v>18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30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30">
        <f t="shared" ref="G12:G43" si="1">$D$127</f>
      </c>
      <c r="H12" s="30">
        <f>IF(A12&lt;=Input!$C$22,NA(),E12/Input!$C$45-F12-G12)</f>
      </c>
      <c r="I12" s="25">
        <f t="shared" ref="I12:I43" si="2">IFERROR(H12*9.81,NA())</f>
      </c>
      <c r="J12" s="25">
        <f>Input!$C$50</f>
      </c>
      <c r="K12" s="13">
        <f t="shared" ref="K12:K43" si="3">AND(IFERROR(I12&gt;=J12,FALSE),K13)</f>
      </c>
      <c r="L12" s="9">
        <f>IF(A12&lt;=Input!$C$22,IFERROR(INDEX('Data Tanah'!$M$7:$M$47,MATCH(A12,'Data Tanah'!$B$7:$B$47,1)),0),NA())</f>
      </c>
      <c r="M12" s="25">
        <f t="shared" ref="M12:M43" si="4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1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1">
        <f t="shared" si="1"/>
      </c>
      <c r="H13" s="31">
        <f>IF(A13&lt;=Input!$C$22,NA(),E13/Input!$C$45-F13-G13)</f>
      </c>
      <c r="I13" s="32">
        <f t="shared" si="2"/>
      </c>
      <c r="J13" s="32">
        <f>Input!$C$50</f>
      </c>
      <c r="K13" s="33">
        <f t="shared" si="3"/>
      </c>
      <c r="L13" s="19">
        <f>IF(A13&lt;=Input!$C$22,IFERROR(INDEX('Data Tanah'!$M$7:$M$47,MATCH(A13,'Data Tanah'!$B$7:$B$47,1)),0),NA())</f>
      </c>
      <c r="M13" s="32">
        <f t="shared" si="4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30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30">
        <f t="shared" si="1"/>
      </c>
      <c r="H14" s="30">
        <f>IF(A14&lt;=Input!$C$22,NA(),E14/Input!$C$45-F14-G14)</f>
      </c>
      <c r="I14" s="25">
        <f t="shared" si="2"/>
      </c>
      <c r="J14" s="25">
        <f>Input!$C$50</f>
      </c>
      <c r="K14" s="13">
        <f t="shared" si="3"/>
      </c>
      <c r="L14" s="9">
        <f>IF(A14&lt;=Input!$C$22,IFERROR(INDEX('Data Tanah'!$M$7:$M$47,MATCH(A14,'Data Tanah'!$B$7:$B$47,1)),0),NA())</f>
      </c>
      <c r="M14" s="25">
        <f t="shared" si="4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1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1">
        <f t="shared" si="1"/>
      </c>
      <c r="H15" s="31">
        <f>IF(A15&lt;=Input!$C$22,NA(),E15/Input!$C$45-F15-G15)</f>
      </c>
      <c r="I15" s="32">
        <f t="shared" si="2"/>
      </c>
      <c r="J15" s="32">
        <f>Input!$C$50</f>
      </c>
      <c r="K15" s="33">
        <f t="shared" si="3"/>
      </c>
      <c r="L15" s="19">
        <f>IF(A15&lt;=Input!$C$22,IFERROR(INDEX('Data Tanah'!$M$7:$M$47,MATCH(A15,'Data Tanah'!$B$7:$B$47,1)),0),NA())</f>
      </c>
      <c r="M15" s="32">
        <f t="shared" si="4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30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30">
        <f t="shared" si="1"/>
      </c>
      <c r="H16" s="30">
        <f>IF(A16&lt;=Input!$C$22,NA(),E16/Input!$C$45-F16-G16)</f>
      </c>
      <c r="I16" s="25">
        <f t="shared" si="2"/>
      </c>
      <c r="J16" s="25">
        <f>Input!$C$50</f>
      </c>
      <c r="K16" s="13">
        <f t="shared" si="3"/>
      </c>
      <c r="L16" s="9">
        <f>IF(A16&lt;=Input!$C$22,IFERROR(INDEX('Data Tanah'!$M$7:$M$47,MATCH(A16,'Data Tanah'!$B$7:$B$47,1)),0),NA())</f>
      </c>
      <c r="M16" s="25">
        <f t="shared" si="4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1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1">
        <f t="shared" si="1"/>
      </c>
      <c r="H17" s="31">
        <f>IF(A17&lt;=Input!$C$22,NA(),E17/Input!$C$45-F17-G17)</f>
      </c>
      <c r="I17" s="32">
        <f t="shared" si="2"/>
      </c>
      <c r="J17" s="32">
        <f>Input!$C$50</f>
      </c>
      <c r="K17" s="33">
        <f t="shared" si="3"/>
      </c>
      <c r="L17" s="19">
        <f>IF(A17&lt;=Input!$C$22,IFERROR(INDEX('Data Tanah'!$M$7:$M$47,MATCH(A17,'Data Tanah'!$B$7:$B$47,1)),0),NA())</f>
      </c>
      <c r="M17" s="32">
        <f t="shared" si="4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30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30">
        <f t="shared" si="1"/>
      </c>
      <c r="H18" s="30">
        <f>IF(A18&lt;=Input!$C$22,NA(),E18/Input!$C$45-F18-G18)</f>
      </c>
      <c r="I18" s="25">
        <f t="shared" si="2"/>
      </c>
      <c r="J18" s="25">
        <f>Input!$C$50</f>
      </c>
      <c r="K18" s="13">
        <f t="shared" si="3"/>
      </c>
      <c r="L18" s="9">
        <f>IF(A18&lt;=Input!$C$22,IFERROR(INDEX('Data Tanah'!$M$7:$M$47,MATCH(A18,'Data Tanah'!$B$7:$B$47,1)),0),NA())</f>
      </c>
      <c r="M18" s="25">
        <f t="shared" si="4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1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1">
        <f t="shared" si="1"/>
      </c>
      <c r="H19" s="31">
        <f>IF(A19&lt;=Input!$C$22,NA(),E19/Input!$C$45-F19-G19)</f>
      </c>
      <c r="I19" s="32">
        <f t="shared" si="2"/>
      </c>
      <c r="J19" s="32">
        <f>Input!$C$50</f>
      </c>
      <c r="K19" s="33">
        <f t="shared" si="3"/>
      </c>
      <c r="L19" s="19">
        <f>IF(A19&lt;=Input!$C$22,IFERROR(INDEX('Data Tanah'!$M$7:$M$47,MATCH(A19,'Data Tanah'!$B$7:$B$47,1)),0),NA())</f>
      </c>
      <c r="M19" s="32">
        <f t="shared" si="4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30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30">
        <f t="shared" si="1"/>
      </c>
      <c r="H20" s="30">
        <f>IF(A20&lt;=Input!$C$22,NA(),E20/Input!$C$45-F20-G20)</f>
      </c>
      <c r="I20" s="25">
        <f t="shared" si="2"/>
      </c>
      <c r="J20" s="25">
        <f>Input!$C$50</f>
      </c>
      <c r="K20" s="13">
        <f t="shared" si="3"/>
      </c>
      <c r="L20" s="9">
        <f>IF(A20&lt;=Input!$C$22,IFERROR(INDEX('Data Tanah'!$M$7:$M$47,MATCH(A20,'Data Tanah'!$B$7:$B$47,1)),0),NA())</f>
      </c>
      <c r="M20" s="25">
        <f t="shared" si="4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1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1">
        <f t="shared" si="1"/>
      </c>
      <c r="H21" s="31">
        <f>IF(A21&lt;=Input!$C$22,NA(),E21/Input!$C$45-F21-G21)</f>
      </c>
      <c r="I21" s="32">
        <f t="shared" si="2"/>
      </c>
      <c r="J21" s="32">
        <f>Input!$C$50</f>
      </c>
      <c r="K21" s="33">
        <f t="shared" si="3"/>
      </c>
      <c r="L21" s="19">
        <f>IF(A21&lt;=Input!$C$22,IFERROR(INDEX('Data Tanah'!$M$7:$M$47,MATCH(A21,'Data Tanah'!$B$7:$B$47,1)),0),NA())</f>
      </c>
      <c r="M21" s="32">
        <f t="shared" si="4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30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30">
        <f t="shared" si="1"/>
      </c>
      <c r="H22" s="30">
        <f>IF(A22&lt;=Input!$C$22,NA(),E22/Input!$C$45-F22-G22)</f>
      </c>
      <c r="I22" s="25">
        <f t="shared" si="2"/>
      </c>
      <c r="J22" s="25">
        <f>Input!$C$50</f>
      </c>
      <c r="K22" s="13">
        <f t="shared" si="3"/>
      </c>
      <c r="L22" s="9">
        <f>IF(A22&lt;=Input!$C$22,IFERROR(INDEX('Data Tanah'!$M$7:$M$47,MATCH(A22,'Data Tanah'!$B$7:$B$47,1)),0),NA())</f>
      </c>
      <c r="M22" s="25">
        <f t="shared" si="4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1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1">
        <f t="shared" si="1"/>
      </c>
      <c r="H23" s="31">
        <f>IF(A23&lt;=Input!$C$22,NA(),E23/Input!$C$45-F23-G23)</f>
      </c>
      <c r="I23" s="32">
        <f t="shared" si="2"/>
      </c>
      <c r="J23" s="32">
        <f>Input!$C$50</f>
      </c>
      <c r="K23" s="33">
        <f t="shared" si="3"/>
      </c>
      <c r="L23" s="19">
        <f>IF(A23&lt;=Input!$C$22,IFERROR(INDEX('Data Tanah'!$M$7:$M$47,MATCH(A23,'Data Tanah'!$B$7:$B$47,1)),0),NA())</f>
      </c>
      <c r="M23" s="32">
        <f t="shared" si="4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30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30">
        <f t="shared" si="1"/>
      </c>
      <c r="H24" s="30">
        <f>IF(A24&lt;=Input!$C$22,NA(),E24/Input!$C$45-F24-G24)</f>
      </c>
      <c r="I24" s="25">
        <f t="shared" si="2"/>
      </c>
      <c r="J24" s="25">
        <f>Input!$C$50</f>
      </c>
      <c r="K24" s="13">
        <f t="shared" si="3"/>
      </c>
      <c r="L24" s="9">
        <f>IF(A24&lt;=Input!$C$22,IFERROR(INDEX('Data Tanah'!$M$7:$M$47,MATCH(A24,'Data Tanah'!$B$7:$B$47,1)),0),NA())</f>
      </c>
      <c r="M24" s="25">
        <f t="shared" si="4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1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1">
        <f t="shared" si="1"/>
      </c>
      <c r="H25" s="31">
        <f>IF(A25&lt;=Input!$C$22,NA(),E25/Input!$C$45-F25-G25)</f>
      </c>
      <c r="I25" s="32">
        <f t="shared" si="2"/>
      </c>
      <c r="J25" s="32">
        <f>Input!$C$50</f>
      </c>
      <c r="K25" s="33">
        <f t="shared" si="3"/>
      </c>
      <c r="L25" s="19">
        <f>IF(A25&lt;=Input!$C$22,IFERROR(INDEX('Data Tanah'!$M$7:$M$47,MATCH(A25,'Data Tanah'!$B$7:$B$47,1)),0),NA())</f>
      </c>
      <c r="M25" s="32">
        <f t="shared" si="4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30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30">
        <f t="shared" si="1"/>
      </c>
      <c r="H26" s="30">
        <f>IF(A26&lt;=Input!$C$22,NA(),E26/Input!$C$45-F26-G26)</f>
      </c>
      <c r="I26" s="25">
        <f t="shared" si="2"/>
      </c>
      <c r="J26" s="25">
        <f>Input!$C$50</f>
      </c>
      <c r="K26" s="13">
        <f t="shared" si="3"/>
      </c>
      <c r="L26" s="9">
        <f>IF(A26&lt;=Input!$C$22,IFERROR(INDEX('Data Tanah'!$M$7:$M$47,MATCH(A26,'Data Tanah'!$B$7:$B$47,1)),0),NA())</f>
      </c>
      <c r="M26" s="25">
        <f t="shared" si="4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1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1">
        <f t="shared" si="1"/>
      </c>
      <c r="H27" s="31">
        <f>IF(A27&lt;=Input!$C$22,NA(),E27/Input!$C$45-F27-G27)</f>
      </c>
      <c r="I27" s="32">
        <f t="shared" si="2"/>
      </c>
      <c r="J27" s="32">
        <f>Input!$C$50</f>
      </c>
      <c r="K27" s="33">
        <f t="shared" si="3"/>
      </c>
      <c r="L27" s="19">
        <f>IF(A27&lt;=Input!$C$22,IFERROR(INDEX('Data Tanah'!$M$7:$M$47,MATCH(A27,'Data Tanah'!$B$7:$B$47,1)),0),NA())</f>
      </c>
      <c r="M27" s="32">
        <f t="shared" si="4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30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30">
        <f t="shared" si="1"/>
      </c>
      <c r="H28" s="30">
        <f>IF(A28&lt;=Input!$C$22,NA(),E28/Input!$C$45-F28-G28)</f>
      </c>
      <c r="I28" s="25">
        <f t="shared" si="2"/>
      </c>
      <c r="J28" s="25">
        <f>Input!$C$50</f>
      </c>
      <c r="K28" s="13">
        <f t="shared" si="3"/>
      </c>
      <c r="L28" s="9">
        <f>IF(A28&lt;=Input!$C$22,IFERROR(INDEX('Data Tanah'!$M$7:$M$47,MATCH(A28,'Data Tanah'!$B$7:$B$47,1)),0),NA())</f>
      </c>
      <c r="M28" s="25">
        <f t="shared" si="4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1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1">
        <f t="shared" si="1"/>
      </c>
      <c r="H29" s="31">
        <f>IF(A29&lt;=Input!$C$22,NA(),E29/Input!$C$45-F29-G29)</f>
      </c>
      <c r="I29" s="32">
        <f t="shared" si="2"/>
      </c>
      <c r="J29" s="32">
        <f>Input!$C$50</f>
      </c>
      <c r="K29" s="33">
        <f t="shared" si="3"/>
      </c>
      <c r="L29" s="19">
        <f>IF(A29&lt;=Input!$C$22,IFERROR(INDEX('Data Tanah'!$M$7:$M$47,MATCH(A29,'Data Tanah'!$B$7:$B$47,1)),0),NA())</f>
      </c>
      <c r="M29" s="32">
        <f t="shared" si="4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30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30">
        <f t="shared" si="1"/>
      </c>
      <c r="H30" s="30">
        <f>IF(A30&lt;=Input!$C$22,NA(),E30/Input!$C$45-F30-G30)</f>
      </c>
      <c r="I30" s="25">
        <f t="shared" si="2"/>
      </c>
      <c r="J30" s="25">
        <f>Input!$C$50</f>
      </c>
      <c r="K30" s="13">
        <f t="shared" si="3"/>
      </c>
      <c r="L30" s="9">
        <f>IF(A30&lt;=Input!$C$22,IFERROR(INDEX('Data Tanah'!$M$7:$M$47,MATCH(A30,'Data Tanah'!$B$7:$B$47,1)),0),NA())</f>
      </c>
      <c r="M30" s="25">
        <f t="shared" si="4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1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1">
        <f t="shared" si="1"/>
      </c>
      <c r="H31" s="31">
        <f>IF(A31&lt;=Input!$C$22,NA(),E31/Input!$C$45-F31-G31)</f>
      </c>
      <c r="I31" s="32">
        <f t="shared" si="2"/>
      </c>
      <c r="J31" s="32">
        <f>Input!$C$50</f>
      </c>
      <c r="K31" s="33">
        <f t="shared" si="3"/>
      </c>
      <c r="L31" s="19">
        <f>IF(A31&lt;=Input!$C$22,IFERROR(INDEX('Data Tanah'!$M$7:$M$47,MATCH(A31,'Data Tanah'!$B$7:$B$47,1)),0),NA())</f>
      </c>
      <c r="M31" s="32">
        <f t="shared" si="4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30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30">
        <f t="shared" si="1"/>
      </c>
      <c r="H32" s="30">
        <f>IF(A32&lt;=Input!$C$22,NA(),E32/Input!$C$45-F32-G32)</f>
      </c>
      <c r="I32" s="25">
        <f t="shared" si="2"/>
      </c>
      <c r="J32" s="25">
        <f>Input!$C$50</f>
      </c>
      <c r="K32" s="13">
        <f t="shared" si="3"/>
      </c>
      <c r="L32" s="9">
        <f>IF(A32&lt;=Input!$C$22,IFERROR(INDEX('Data Tanah'!$M$7:$M$47,MATCH(A32,'Data Tanah'!$B$7:$B$47,1)),0),NA())</f>
      </c>
      <c r="M32" s="25">
        <f t="shared" si="4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1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1">
        <f t="shared" si="1"/>
      </c>
      <c r="H33" s="31">
        <f>IF(A33&lt;=Input!$C$22,NA(),E33/Input!$C$45-F33-G33)</f>
      </c>
      <c r="I33" s="32">
        <f t="shared" si="2"/>
      </c>
      <c r="J33" s="32">
        <f>Input!$C$50</f>
      </c>
      <c r="K33" s="33">
        <f t="shared" si="3"/>
      </c>
      <c r="L33" s="19">
        <f>IF(A33&lt;=Input!$C$22,IFERROR(INDEX('Data Tanah'!$M$7:$M$47,MATCH(A33,'Data Tanah'!$B$7:$B$47,1)),0),NA())</f>
      </c>
      <c r="M33" s="32">
        <f t="shared" si="4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30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30">
        <f t="shared" si="1"/>
      </c>
      <c r="H34" s="30">
        <f>IF(A34&lt;=Input!$C$22,NA(),E34/Input!$C$45-F34-G34)</f>
      </c>
      <c r="I34" s="25">
        <f t="shared" si="2"/>
      </c>
      <c r="J34" s="25">
        <f>Input!$C$50</f>
      </c>
      <c r="K34" s="13">
        <f t="shared" si="3"/>
      </c>
      <c r="L34" s="9">
        <f>IF(A34&lt;=Input!$C$22,IFERROR(INDEX('Data Tanah'!$M$7:$M$47,MATCH(A34,'Data Tanah'!$B$7:$B$47,1)),0),NA())</f>
      </c>
      <c r="M34" s="25">
        <f t="shared" si="4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1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1">
        <f t="shared" si="1"/>
      </c>
      <c r="H35" s="31">
        <f>IF(A35&lt;=Input!$C$22,NA(),E35/Input!$C$45-F35-G35)</f>
      </c>
      <c r="I35" s="32">
        <f t="shared" si="2"/>
      </c>
      <c r="J35" s="32">
        <f>Input!$C$50</f>
      </c>
      <c r="K35" s="33">
        <f t="shared" si="3"/>
      </c>
      <c r="L35" s="19">
        <f>IF(A35&lt;=Input!$C$22,IFERROR(INDEX('Data Tanah'!$M$7:$M$47,MATCH(A35,'Data Tanah'!$B$7:$B$47,1)),0),NA())</f>
      </c>
      <c r="M35" s="32">
        <f t="shared" si="4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30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30">
        <f t="shared" si="1"/>
      </c>
      <c r="H36" s="30">
        <f>IF(A36&lt;=Input!$C$22,NA(),E36/Input!$C$45-F36-G36)</f>
      </c>
      <c r="I36" s="25">
        <f t="shared" si="2"/>
      </c>
      <c r="J36" s="25">
        <f>Input!$C$50</f>
      </c>
      <c r="K36" s="13">
        <f t="shared" si="3"/>
      </c>
      <c r="L36" s="9">
        <f>IF(A36&lt;=Input!$C$22,IFERROR(INDEX('Data Tanah'!$M$7:$M$47,MATCH(A36,'Data Tanah'!$B$7:$B$47,1)),0),NA())</f>
      </c>
      <c r="M36" s="25">
        <f t="shared" si="4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1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1">
        <f t="shared" si="1"/>
      </c>
      <c r="H37" s="31">
        <f>IF(A37&lt;=Input!$C$22,NA(),E37/Input!$C$45-F37-G37)</f>
      </c>
      <c r="I37" s="32">
        <f t="shared" si="2"/>
      </c>
      <c r="J37" s="32">
        <f>Input!$C$50</f>
      </c>
      <c r="K37" s="33">
        <f t="shared" si="3"/>
      </c>
      <c r="L37" s="19">
        <f>IF(A37&lt;=Input!$C$22,IFERROR(INDEX('Data Tanah'!$M$7:$M$47,MATCH(A37,'Data Tanah'!$B$7:$B$47,1)),0),NA())</f>
      </c>
      <c r="M37" s="32">
        <f t="shared" si="4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30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30">
        <f t="shared" si="1"/>
      </c>
      <c r="H38" s="30">
        <f>IF(A38&lt;=Input!$C$22,NA(),E38/Input!$C$45-F38-G38)</f>
      </c>
      <c r="I38" s="25">
        <f t="shared" si="2"/>
      </c>
      <c r="J38" s="25">
        <f>Input!$C$50</f>
      </c>
      <c r="K38" s="13">
        <f t="shared" si="3"/>
      </c>
      <c r="L38" s="9">
        <f>IF(A38&lt;=Input!$C$22,IFERROR(INDEX('Data Tanah'!$M$7:$M$47,MATCH(A38,'Data Tanah'!$B$7:$B$47,1)),0),NA())</f>
      </c>
      <c r="M38" s="25">
        <f t="shared" si="4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1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1">
        <f t="shared" si="1"/>
      </c>
      <c r="H39" s="31">
        <f>IF(A39&lt;=Input!$C$22,NA(),E39/Input!$C$45-F39-G39)</f>
      </c>
      <c r="I39" s="32">
        <f t="shared" si="2"/>
      </c>
      <c r="J39" s="32">
        <f>Input!$C$50</f>
      </c>
      <c r="K39" s="33">
        <f t="shared" si="3"/>
      </c>
      <c r="L39" s="19">
        <f>IF(A39&lt;=Input!$C$22,IFERROR(INDEX('Data Tanah'!$M$7:$M$47,MATCH(A39,'Data Tanah'!$B$7:$B$47,1)),0),NA())</f>
      </c>
      <c r="M39" s="32">
        <f t="shared" si="4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30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30">
        <f t="shared" si="1"/>
      </c>
      <c r="H40" s="30">
        <f>IF(A40&lt;=Input!$C$22,NA(),E40/Input!$C$45-F40-G40)</f>
      </c>
      <c r="I40" s="25">
        <f t="shared" si="2"/>
      </c>
      <c r="J40" s="25">
        <f>Input!$C$50</f>
      </c>
      <c r="K40" s="13">
        <f t="shared" si="3"/>
      </c>
      <c r="L40" s="9">
        <f>IF(A40&lt;=Input!$C$22,IFERROR(INDEX('Data Tanah'!$M$7:$M$47,MATCH(A40,'Data Tanah'!$B$7:$B$47,1)),0),NA())</f>
      </c>
      <c r="M40" s="25">
        <f t="shared" si="4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1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1">
        <f t="shared" si="1"/>
      </c>
      <c r="H41" s="31">
        <f>IF(A41&lt;=Input!$C$22,NA(),E41/Input!$C$45-F41-G41)</f>
      </c>
      <c r="I41" s="32">
        <f t="shared" si="2"/>
      </c>
      <c r="J41" s="32">
        <f>Input!$C$50</f>
      </c>
      <c r="K41" s="33">
        <f t="shared" si="3"/>
      </c>
      <c r="L41" s="19">
        <f>IF(A41&lt;=Input!$C$22,IFERROR(INDEX('Data Tanah'!$M$7:$M$47,MATCH(A41,'Data Tanah'!$B$7:$B$47,1)),0),NA())</f>
      </c>
      <c r="M41" s="32">
        <f t="shared" si="4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30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30">
        <f t="shared" si="1"/>
      </c>
      <c r="H42" s="30">
        <f>IF(A42&lt;=Input!$C$22,NA(),E42/Input!$C$45-F42-G42)</f>
      </c>
      <c r="I42" s="25">
        <f t="shared" si="2"/>
      </c>
      <c r="J42" s="25">
        <f>Input!$C$50</f>
      </c>
      <c r="K42" s="13">
        <f t="shared" si="3"/>
      </c>
      <c r="L42" s="9">
        <f>IF(A42&lt;=Input!$C$22,IFERROR(INDEX('Data Tanah'!$M$7:$M$47,MATCH(A42,'Data Tanah'!$B$7:$B$47,1)),0),NA())</f>
      </c>
      <c r="M42" s="25">
        <f t="shared" si="4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1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1">
        <f t="shared" si="1"/>
      </c>
      <c r="H43" s="31">
        <f>IF(A43&lt;=Input!$C$22,NA(),E43/Input!$C$45-F43-G43)</f>
      </c>
      <c r="I43" s="32">
        <f t="shared" si="2"/>
      </c>
      <c r="J43" s="32">
        <f>Input!$C$50</f>
      </c>
      <c r="K43" s="33">
        <f t="shared" si="3"/>
      </c>
      <c r="L43" s="19">
        <f>IF(A43&lt;=Input!$C$22,IFERROR(INDEX('Data Tanah'!$M$7:$M$47,MATCH(A43,'Data Tanah'!$B$7:$B$47,1)),0),NA())</f>
      </c>
      <c r="M43" s="32">
        <f t="shared" si="4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30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30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30">
        <f t="shared" ref="G44:G75" si="7">$D$127</f>
      </c>
      <c r="H44" s="30">
        <f>IF(A44&lt;=Input!$C$22,NA(),E44/Input!$C$45-F44-G44)</f>
      </c>
      <c r="I44" s="25">
        <f t="shared" ref="I44:I75" si="8">IFERROR(H44*9.81,NA())</f>
      </c>
      <c r="J44" s="25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5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1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1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1">
        <f t="shared" si="7"/>
      </c>
      <c r="H45" s="31">
        <f>IF(A45&lt;=Input!$C$22,NA(),E45/Input!$C$45-F45-G45)</f>
      </c>
      <c r="I45" s="32">
        <f t="shared" si="8"/>
      </c>
      <c r="J45" s="32">
        <f>Input!$C$50</f>
      </c>
      <c r="K45" s="33">
        <f t="shared" si="9"/>
      </c>
      <c r="L45" s="19">
        <f>IF(A45&lt;=Input!$C$22,IFERROR(INDEX('Data Tanah'!$M$7:$M$47,MATCH(A45,'Data Tanah'!$B$7:$B$47,1)),0),NA())</f>
      </c>
      <c r="M45" s="32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30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30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30">
        <f t="shared" si="7"/>
      </c>
      <c r="H46" s="30">
        <f>IF(A46&lt;=Input!$C$22,NA(),E46/Input!$C$45-F46-G46)</f>
      </c>
      <c r="I46" s="25">
        <f t="shared" si="8"/>
      </c>
      <c r="J46" s="25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5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1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1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1">
        <f t="shared" si="7"/>
      </c>
      <c r="H47" s="31">
        <f>IF(A47&lt;=Input!$C$22,NA(),E47/Input!$C$45-F47-G47)</f>
      </c>
      <c r="I47" s="32">
        <f t="shared" si="8"/>
      </c>
      <c r="J47" s="32">
        <f>Input!$C$50</f>
      </c>
      <c r="K47" s="33">
        <f t="shared" si="9"/>
      </c>
      <c r="L47" s="19">
        <f>IF(A47&lt;=Input!$C$22,IFERROR(INDEX('Data Tanah'!$M$7:$M$47,MATCH(A47,'Data Tanah'!$B$7:$B$47,1)),0),NA())</f>
      </c>
      <c r="M47" s="32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30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30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30">
        <f t="shared" si="7"/>
      </c>
      <c r="H48" s="30">
        <f>IF(A48&lt;=Input!$C$22,NA(),E48/Input!$C$45-F48-G48)</f>
      </c>
      <c r="I48" s="25">
        <f t="shared" si="8"/>
      </c>
      <c r="J48" s="25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5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1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1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1">
        <f t="shared" si="7"/>
      </c>
      <c r="H49" s="31">
        <f>IF(A49&lt;=Input!$C$22,NA(),E49/Input!$C$45-F49-G49)</f>
      </c>
      <c r="I49" s="32">
        <f t="shared" si="8"/>
      </c>
      <c r="J49" s="32">
        <f>Input!$C$50</f>
      </c>
      <c r="K49" s="33">
        <f t="shared" si="9"/>
      </c>
      <c r="L49" s="19">
        <f>IF(A49&lt;=Input!$C$22,IFERROR(INDEX('Data Tanah'!$M$7:$M$47,MATCH(A49,'Data Tanah'!$B$7:$B$47,1)),0),NA())</f>
      </c>
      <c r="M49" s="32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30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30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30">
        <f t="shared" si="7"/>
      </c>
      <c r="H50" s="30">
        <f>IF(A50&lt;=Input!$C$22,NA(),E50/Input!$C$45-F50-G50)</f>
      </c>
      <c r="I50" s="25">
        <f t="shared" si="8"/>
      </c>
      <c r="J50" s="25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5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1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1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1">
        <f t="shared" si="7"/>
      </c>
      <c r="H51" s="31">
        <f>IF(A51&lt;=Input!$C$22,NA(),E51/Input!$C$45-F51-G51)</f>
      </c>
      <c r="I51" s="32">
        <f t="shared" si="8"/>
      </c>
      <c r="J51" s="32">
        <f>Input!$C$50</f>
      </c>
      <c r="K51" s="33">
        <f t="shared" si="9"/>
      </c>
      <c r="L51" s="19">
        <f>IF(A51&lt;=Input!$C$22,IFERROR(INDEX('Data Tanah'!$M$7:$M$47,MATCH(A51,'Data Tanah'!$B$7:$B$47,1)),0),NA())</f>
      </c>
      <c r="M51" s="32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30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30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30">
        <f t="shared" si="7"/>
      </c>
      <c r="H52" s="30">
        <f>IF(A52&lt;=Input!$C$22,NA(),E52/Input!$C$45-F52-G52)</f>
      </c>
      <c r="I52" s="25">
        <f t="shared" si="8"/>
      </c>
      <c r="J52" s="25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5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1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1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1">
        <f t="shared" si="7"/>
      </c>
      <c r="H53" s="31">
        <f>IF(A53&lt;=Input!$C$22,NA(),E53/Input!$C$45-F53-G53)</f>
      </c>
      <c r="I53" s="32">
        <f t="shared" si="8"/>
      </c>
      <c r="J53" s="32">
        <f>Input!$C$50</f>
      </c>
      <c r="K53" s="33">
        <f t="shared" si="9"/>
      </c>
      <c r="L53" s="19">
        <f>IF(A53&lt;=Input!$C$22,IFERROR(INDEX('Data Tanah'!$M$7:$M$47,MATCH(A53,'Data Tanah'!$B$7:$B$47,1)),0),NA())</f>
      </c>
      <c r="M53" s="32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30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30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30">
        <f t="shared" si="7"/>
      </c>
      <c r="H54" s="30">
        <f>IF(A54&lt;=Input!$C$22,NA(),E54/Input!$C$45-F54-G54)</f>
      </c>
      <c r="I54" s="25">
        <f t="shared" si="8"/>
      </c>
      <c r="J54" s="25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5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1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1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1">
        <f t="shared" si="7"/>
      </c>
      <c r="H55" s="31">
        <f>IF(A55&lt;=Input!$C$22,NA(),E55/Input!$C$45-F55-G55)</f>
      </c>
      <c r="I55" s="32">
        <f t="shared" si="8"/>
      </c>
      <c r="J55" s="32">
        <f>Input!$C$50</f>
      </c>
      <c r="K55" s="33">
        <f t="shared" si="9"/>
      </c>
      <c r="L55" s="19">
        <f>IF(A55&lt;=Input!$C$22,IFERROR(INDEX('Data Tanah'!$M$7:$M$47,MATCH(A55,'Data Tanah'!$B$7:$B$47,1)),0),NA())</f>
      </c>
      <c r="M55" s="32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30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30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30">
        <f t="shared" si="7"/>
      </c>
      <c r="H56" s="30">
        <f>IF(A56&lt;=Input!$C$22,NA(),E56/Input!$C$45-F56-G56)</f>
      </c>
      <c r="I56" s="25">
        <f t="shared" si="8"/>
      </c>
      <c r="J56" s="25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5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1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1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1">
        <f t="shared" si="7"/>
      </c>
      <c r="H57" s="31">
        <f>IF(A57&lt;=Input!$C$22,NA(),E57/Input!$C$45-F57-G57)</f>
      </c>
      <c r="I57" s="32">
        <f t="shared" si="8"/>
      </c>
      <c r="J57" s="32">
        <f>Input!$C$50</f>
      </c>
      <c r="K57" s="33">
        <f t="shared" si="9"/>
      </c>
      <c r="L57" s="19">
        <f>IF(A57&lt;=Input!$C$22,IFERROR(INDEX('Data Tanah'!$M$7:$M$47,MATCH(A57,'Data Tanah'!$B$7:$B$47,1)),0),NA())</f>
      </c>
      <c r="M57" s="32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30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30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30">
        <f t="shared" si="7"/>
      </c>
      <c r="H58" s="30">
        <f>IF(A58&lt;=Input!$C$22,NA(),E58/Input!$C$45-F58-G58)</f>
      </c>
      <c r="I58" s="25">
        <f t="shared" si="8"/>
      </c>
      <c r="J58" s="25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5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1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1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1">
        <f t="shared" si="7"/>
      </c>
      <c r="H59" s="31">
        <f>IF(A59&lt;=Input!$C$22,NA(),E59/Input!$C$45-F59-G59)</f>
      </c>
      <c r="I59" s="32">
        <f t="shared" si="8"/>
      </c>
      <c r="J59" s="32">
        <f>Input!$C$50</f>
      </c>
      <c r="K59" s="33">
        <f t="shared" si="9"/>
      </c>
      <c r="L59" s="19">
        <f>IF(A59&lt;=Input!$C$22,IFERROR(INDEX('Data Tanah'!$M$7:$M$47,MATCH(A59,'Data Tanah'!$B$7:$B$47,1)),0),NA())</f>
      </c>
      <c r="M59" s="32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30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30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30">
        <f t="shared" si="7"/>
      </c>
      <c r="H60" s="30">
        <f>IF(A60&lt;=Input!$C$22,NA(),E60/Input!$C$45-F60-G60)</f>
      </c>
      <c r="I60" s="25">
        <f t="shared" si="8"/>
      </c>
      <c r="J60" s="25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5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1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1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1">
        <f t="shared" si="7"/>
      </c>
      <c r="H61" s="31">
        <f>IF(A61&lt;=Input!$C$22,NA(),E61/Input!$C$45-F61-G61)</f>
      </c>
      <c r="I61" s="32">
        <f t="shared" si="8"/>
      </c>
      <c r="J61" s="32">
        <f>Input!$C$50</f>
      </c>
      <c r="K61" s="33">
        <f t="shared" si="9"/>
      </c>
      <c r="L61" s="19">
        <f>IF(A61&lt;=Input!$C$22,IFERROR(INDEX('Data Tanah'!$M$7:$M$47,MATCH(A61,'Data Tanah'!$B$7:$B$47,1)),0),NA())</f>
      </c>
      <c r="M61" s="32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30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30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30">
        <f t="shared" si="7"/>
      </c>
      <c r="H62" s="30">
        <f>IF(A62&lt;=Input!$C$22,NA(),E62/Input!$C$45-F62-G62)</f>
      </c>
      <c r="I62" s="25">
        <f t="shared" si="8"/>
      </c>
      <c r="J62" s="25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5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1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1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1">
        <f t="shared" si="7"/>
      </c>
      <c r="H63" s="31">
        <f>IF(A63&lt;=Input!$C$22,NA(),E63/Input!$C$45-F63-G63)</f>
      </c>
      <c r="I63" s="32">
        <f t="shared" si="8"/>
      </c>
      <c r="J63" s="32">
        <f>Input!$C$50</f>
      </c>
      <c r="K63" s="33">
        <f t="shared" si="9"/>
      </c>
      <c r="L63" s="19">
        <f>IF(A63&lt;=Input!$C$22,IFERROR(INDEX('Data Tanah'!$M$7:$M$47,MATCH(A63,'Data Tanah'!$B$7:$B$47,1)),0),NA())</f>
      </c>
      <c r="M63" s="32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30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30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30">
        <f t="shared" si="7"/>
      </c>
      <c r="H64" s="30">
        <f>IF(A64&lt;=Input!$C$22,NA(),E64/Input!$C$45-F64-G64)</f>
      </c>
      <c r="I64" s="25">
        <f t="shared" si="8"/>
      </c>
      <c r="J64" s="25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5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1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1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1">
        <f t="shared" si="7"/>
      </c>
      <c r="H65" s="31">
        <f>IF(A65&lt;=Input!$C$22,NA(),E65/Input!$C$45-F65-G65)</f>
      </c>
      <c r="I65" s="32">
        <f t="shared" si="8"/>
      </c>
      <c r="J65" s="32">
        <f>Input!$C$50</f>
      </c>
      <c r="K65" s="33">
        <f t="shared" si="9"/>
      </c>
      <c r="L65" s="19">
        <f>IF(A65&lt;=Input!$C$22,IFERROR(INDEX('Data Tanah'!$M$7:$M$47,MATCH(A65,'Data Tanah'!$B$7:$B$47,1)),0),NA())</f>
      </c>
      <c r="M65" s="32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30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30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30">
        <f t="shared" si="7"/>
      </c>
      <c r="H66" s="30">
        <f>IF(A66&lt;=Input!$C$22,NA(),E66/Input!$C$45-F66-G66)</f>
      </c>
      <c r="I66" s="25">
        <f t="shared" si="8"/>
      </c>
      <c r="J66" s="25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5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1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1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1">
        <f t="shared" si="7"/>
      </c>
      <c r="H67" s="31">
        <f>IF(A67&lt;=Input!$C$22,NA(),E67/Input!$C$45-F67-G67)</f>
      </c>
      <c r="I67" s="32">
        <f t="shared" si="8"/>
      </c>
      <c r="J67" s="32">
        <f>Input!$C$50</f>
      </c>
      <c r="K67" s="33">
        <f t="shared" si="9"/>
      </c>
      <c r="L67" s="19">
        <f>IF(A67&lt;=Input!$C$22,IFERROR(INDEX('Data Tanah'!$M$7:$M$47,MATCH(A67,'Data Tanah'!$B$7:$B$47,1)),0),NA())</f>
      </c>
      <c r="M67" s="32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30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30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30">
        <f t="shared" si="7"/>
      </c>
      <c r="H68" s="30">
        <f>IF(A68&lt;=Input!$C$22,NA(),E68/Input!$C$45-F68-G68)</f>
      </c>
      <c r="I68" s="25">
        <f t="shared" si="8"/>
      </c>
      <c r="J68" s="25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5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1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1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1">
        <f t="shared" si="7"/>
      </c>
      <c r="H69" s="31">
        <f>IF(A69&lt;=Input!$C$22,NA(),E69/Input!$C$45-F69-G69)</f>
      </c>
      <c r="I69" s="32">
        <f t="shared" si="8"/>
      </c>
      <c r="J69" s="32">
        <f>Input!$C$50</f>
      </c>
      <c r="K69" s="33">
        <f t="shared" si="9"/>
      </c>
      <c r="L69" s="19">
        <f>IF(A69&lt;=Input!$C$22,IFERROR(INDEX('Data Tanah'!$M$7:$M$47,MATCH(A69,'Data Tanah'!$B$7:$B$47,1)),0),NA())</f>
      </c>
      <c r="M69" s="32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30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30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30">
        <f t="shared" si="7"/>
      </c>
      <c r="H70" s="30">
        <f>IF(A70&lt;=Input!$C$22,NA(),E70/Input!$C$45-F70-G70)</f>
      </c>
      <c r="I70" s="25">
        <f t="shared" si="8"/>
      </c>
      <c r="J70" s="25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5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1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1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1">
        <f t="shared" si="7"/>
      </c>
      <c r="H71" s="31">
        <f>IF(A71&lt;=Input!$C$22,NA(),E71/Input!$C$45-F71-G71)</f>
      </c>
      <c r="I71" s="32">
        <f t="shared" si="8"/>
      </c>
      <c r="J71" s="32">
        <f>Input!$C$50</f>
      </c>
      <c r="K71" s="33">
        <f t="shared" si="9"/>
      </c>
      <c r="L71" s="19">
        <f>IF(A71&lt;=Input!$C$22,IFERROR(INDEX('Data Tanah'!$M$7:$M$47,MATCH(A71,'Data Tanah'!$B$7:$B$47,1)),0),NA())</f>
      </c>
      <c r="M71" s="32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30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30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30">
        <f t="shared" si="7"/>
      </c>
      <c r="H72" s="30">
        <f>IF(A72&lt;=Input!$C$22,NA(),E72/Input!$C$45-F72-G72)</f>
      </c>
      <c r="I72" s="25">
        <f t="shared" si="8"/>
      </c>
      <c r="J72" s="25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5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1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1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1">
        <f t="shared" si="7"/>
      </c>
      <c r="H73" s="31">
        <f>IF(A73&lt;=Input!$C$22,NA(),E73/Input!$C$45-F73-G73)</f>
      </c>
      <c r="I73" s="32">
        <f t="shared" si="8"/>
      </c>
      <c r="J73" s="32">
        <f>Input!$C$50</f>
      </c>
      <c r="K73" s="33">
        <f t="shared" si="9"/>
      </c>
      <c r="L73" s="19">
        <f>IF(A73&lt;=Input!$C$22,IFERROR(INDEX('Data Tanah'!$M$7:$M$47,MATCH(A73,'Data Tanah'!$B$7:$B$47,1)),0),NA())</f>
      </c>
      <c r="M73" s="32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30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30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30">
        <f t="shared" si="7"/>
      </c>
      <c r="H74" s="30">
        <f>IF(A74&lt;=Input!$C$22,NA(),E74/Input!$C$45-F74-G74)</f>
      </c>
      <c r="I74" s="25">
        <f t="shared" si="8"/>
      </c>
      <c r="J74" s="25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5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1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1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1">
        <f t="shared" si="7"/>
      </c>
      <c r="H75" s="31">
        <f>IF(A75&lt;=Input!$C$22,NA(),E75/Input!$C$45-F75-G75)</f>
      </c>
      <c r="I75" s="32">
        <f t="shared" si="8"/>
      </c>
      <c r="J75" s="32">
        <f>Input!$C$50</f>
      </c>
      <c r="K75" s="33">
        <f t="shared" si="9"/>
      </c>
      <c r="L75" s="19">
        <f>IF(A75&lt;=Input!$C$22,IFERROR(INDEX('Data Tanah'!$M$7:$M$47,MATCH(A75,'Data Tanah'!$B$7:$B$47,1)),0),NA())</f>
      </c>
      <c r="M75" s="32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30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30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30">
        <f t="shared" ref="G76:G107" si="12">$D$127</f>
      </c>
      <c r="H76" s="30">
        <f>IF(A76&lt;=Input!$C$22,NA(),E76/Input!$C$45-F76-G76)</f>
      </c>
      <c r="I76" s="25">
        <f t="shared" ref="I76:I107" si="13">IFERROR(H76*9.81,NA())</f>
      </c>
      <c r="J76" s="25">
        <f>Input!$C$50</f>
      </c>
      <c r="K76" s="13">
        <f t="shared" ref="K76:K107" si="14">AND(IFERROR(I76&gt;=J76,FALSE),K77)</f>
      </c>
      <c r="L76" s="9">
        <f>IF(A76&lt;=Input!$C$22,IFERROR(INDEX('Data Tanah'!$M$7:$M$47,MATCH(A76,'Data Tanah'!$B$7:$B$47,1)),0),NA())</f>
      </c>
      <c r="M76" s="25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1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1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1">
        <f t="shared" si="12"/>
      </c>
      <c r="H77" s="31">
        <f>IF(A77&lt;=Input!$C$22,NA(),E77/Input!$C$45-F77-G77)</f>
      </c>
      <c r="I77" s="32">
        <f t="shared" si="13"/>
      </c>
      <c r="J77" s="32">
        <f>Input!$C$50</f>
      </c>
      <c r="K77" s="33">
        <f t="shared" si="14"/>
      </c>
      <c r="L77" s="19">
        <f>IF(A77&lt;=Input!$C$22,IFERROR(INDEX('Data Tanah'!$M$7:$M$47,MATCH(A77,'Data Tanah'!$B$7:$B$47,1)),0),NA())</f>
      </c>
      <c r="M77" s="32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30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30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30">
        <f t="shared" si="12"/>
      </c>
      <c r="H78" s="30">
        <f>IF(A78&lt;=Input!$C$22,NA(),E78/Input!$C$45-F78-G78)</f>
      </c>
      <c r="I78" s="25">
        <f t="shared" si="13"/>
      </c>
      <c r="J78" s="25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5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1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1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1">
        <f t="shared" si="12"/>
      </c>
      <c r="H79" s="31">
        <f>IF(A79&lt;=Input!$C$22,NA(),E79/Input!$C$45-F79-G79)</f>
      </c>
      <c r="I79" s="32">
        <f t="shared" si="13"/>
      </c>
      <c r="J79" s="32">
        <f>Input!$C$50</f>
      </c>
      <c r="K79" s="33">
        <f t="shared" si="14"/>
      </c>
      <c r="L79" s="19">
        <f>IF(A79&lt;=Input!$C$22,IFERROR(INDEX('Data Tanah'!$M$7:$M$47,MATCH(A79,'Data Tanah'!$B$7:$B$47,1)),0),NA())</f>
      </c>
      <c r="M79" s="32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30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30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30">
        <f t="shared" si="12"/>
      </c>
      <c r="H80" s="30">
        <f>IF(A80&lt;=Input!$C$22,NA(),E80/Input!$C$45-F80-G80)</f>
      </c>
      <c r="I80" s="25">
        <f t="shared" si="13"/>
      </c>
      <c r="J80" s="25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5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1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1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1">
        <f t="shared" si="12"/>
      </c>
      <c r="H81" s="31">
        <f>IF(A81&lt;=Input!$C$22,NA(),E81/Input!$C$45-F81-G81)</f>
      </c>
      <c r="I81" s="32">
        <f t="shared" si="13"/>
      </c>
      <c r="J81" s="32">
        <f>Input!$C$50</f>
      </c>
      <c r="K81" s="33">
        <f t="shared" si="14"/>
      </c>
      <c r="L81" s="19">
        <f>IF(A81&lt;=Input!$C$22,IFERROR(INDEX('Data Tanah'!$M$7:$M$47,MATCH(A81,'Data Tanah'!$B$7:$B$47,1)),0),NA())</f>
      </c>
      <c r="M81" s="32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30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30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30">
        <f t="shared" si="12"/>
      </c>
      <c r="H82" s="30">
        <f>IF(A82&lt;=Input!$C$22,NA(),E82/Input!$C$45-F82-G82)</f>
      </c>
      <c r="I82" s="25">
        <f t="shared" si="13"/>
      </c>
      <c r="J82" s="25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5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1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1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1">
        <f t="shared" si="12"/>
      </c>
      <c r="H83" s="31">
        <f>IF(A83&lt;=Input!$C$22,NA(),E83/Input!$C$45-F83-G83)</f>
      </c>
      <c r="I83" s="32">
        <f t="shared" si="13"/>
      </c>
      <c r="J83" s="32">
        <f>Input!$C$50</f>
      </c>
      <c r="K83" s="33">
        <f t="shared" si="14"/>
      </c>
      <c r="L83" s="19">
        <f>IF(A83&lt;=Input!$C$22,IFERROR(INDEX('Data Tanah'!$M$7:$M$47,MATCH(A83,'Data Tanah'!$B$7:$B$47,1)),0),NA())</f>
      </c>
      <c r="M83" s="32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30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30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30">
        <f t="shared" si="12"/>
      </c>
      <c r="H84" s="30">
        <f>IF(A84&lt;=Input!$C$22,NA(),E84/Input!$C$45-F84-G84)</f>
      </c>
      <c r="I84" s="25">
        <f t="shared" si="13"/>
      </c>
      <c r="J84" s="25">
        <f>Input!$C$50</f>
      </c>
      <c r="K84" s="13">
        <f t="shared" si="14"/>
      </c>
      <c r="L84" s="9">
        <f>IF(A84&lt;=Input!$C$22,IFERROR(INDEX('Data Tanah'!$M$7:$M$47,MATCH(A84,'Data Tanah'!$B$7:$B$47,1)),0),NA())</f>
      </c>
      <c r="M84" s="25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1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1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1">
        <f t="shared" si="12"/>
      </c>
      <c r="H85" s="31">
        <f>IF(A85&lt;=Input!$C$22,NA(),E85/Input!$C$45-F85-G85)</f>
      </c>
      <c r="I85" s="32">
        <f t="shared" si="13"/>
      </c>
      <c r="J85" s="32">
        <f>Input!$C$50</f>
      </c>
      <c r="K85" s="33">
        <f t="shared" si="14"/>
      </c>
      <c r="L85" s="19">
        <f>IF(A85&lt;=Input!$C$22,IFERROR(INDEX('Data Tanah'!$M$7:$M$47,MATCH(A85,'Data Tanah'!$B$7:$B$47,1)),0),NA())</f>
      </c>
      <c r="M85" s="32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30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30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30">
        <f t="shared" si="12"/>
      </c>
      <c r="H86" s="30">
        <f>IF(A86&lt;=Input!$C$22,NA(),E86/Input!$C$45-F86-G86)</f>
      </c>
      <c r="I86" s="25">
        <f t="shared" si="13"/>
      </c>
      <c r="J86" s="25">
        <f>Input!$C$50</f>
      </c>
      <c r="K86" s="13">
        <f t="shared" si="14"/>
      </c>
      <c r="L86" s="9">
        <f>IF(A86&lt;=Input!$C$22,IFERROR(INDEX('Data Tanah'!$M$7:$M$47,MATCH(A86,'Data Tanah'!$B$7:$B$47,1)),0),NA())</f>
      </c>
      <c r="M86" s="25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1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1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1">
        <f t="shared" si="12"/>
      </c>
      <c r="H87" s="31">
        <f>IF(A87&lt;=Input!$C$22,NA(),E87/Input!$C$45-F87-G87)</f>
      </c>
      <c r="I87" s="32">
        <f t="shared" si="13"/>
      </c>
      <c r="J87" s="32">
        <f>Input!$C$50</f>
      </c>
      <c r="K87" s="33">
        <f t="shared" si="14"/>
      </c>
      <c r="L87" s="19">
        <f>IF(A87&lt;=Input!$C$22,IFERROR(INDEX('Data Tanah'!$M$7:$M$47,MATCH(A87,'Data Tanah'!$B$7:$B$47,1)),0),NA())</f>
      </c>
      <c r="M87" s="32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30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30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30">
        <f t="shared" si="12"/>
      </c>
      <c r="H88" s="30">
        <f>IF(A88&lt;=Input!$C$22,NA(),E88/Input!$C$45-F88-G88)</f>
      </c>
      <c r="I88" s="25">
        <f t="shared" si="13"/>
      </c>
      <c r="J88" s="25">
        <f>Input!$C$50</f>
      </c>
      <c r="K88" s="13">
        <f t="shared" si="14"/>
      </c>
      <c r="L88" s="9">
        <f>IF(A88&lt;=Input!$C$22,IFERROR(INDEX('Data Tanah'!$M$7:$M$47,MATCH(A88,'Data Tanah'!$B$7:$B$47,1)),0),NA())</f>
      </c>
      <c r="M88" s="25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1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1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1">
        <f t="shared" si="12"/>
      </c>
      <c r="H89" s="31">
        <f>IF(A89&lt;=Input!$C$22,NA(),E89/Input!$C$45-F89-G89)</f>
      </c>
      <c r="I89" s="32">
        <f t="shared" si="13"/>
      </c>
      <c r="J89" s="32">
        <f>Input!$C$50</f>
      </c>
      <c r="K89" s="33">
        <f t="shared" si="14"/>
      </c>
      <c r="L89" s="19">
        <f>IF(A89&lt;=Input!$C$22,IFERROR(INDEX('Data Tanah'!$M$7:$M$47,MATCH(A89,'Data Tanah'!$B$7:$B$47,1)),0),NA())</f>
      </c>
      <c r="M89" s="32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30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30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30">
        <f t="shared" si="12"/>
      </c>
      <c r="H90" s="30">
        <f>IF(A90&lt;=Input!$C$22,NA(),E90/Input!$C$45-F90-G90)</f>
      </c>
      <c r="I90" s="25">
        <f t="shared" si="13"/>
      </c>
      <c r="J90" s="25">
        <f>Input!$C$50</f>
      </c>
      <c r="K90" s="13">
        <f t="shared" si="14"/>
      </c>
      <c r="L90" s="9">
        <f>IF(A90&lt;=Input!$C$22,IFERROR(INDEX('Data Tanah'!$M$7:$M$47,MATCH(A90,'Data Tanah'!$B$7:$B$47,1)),0),NA())</f>
      </c>
      <c r="M90" s="25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1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1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1">
        <f t="shared" si="12"/>
      </c>
      <c r="H91" s="31">
        <f>IF(A91&lt;=Input!$C$22,NA(),E91/Input!$C$45-F91-G91)</f>
      </c>
      <c r="I91" s="32">
        <f t="shared" si="13"/>
      </c>
      <c r="J91" s="32">
        <f>Input!$C$50</f>
      </c>
      <c r="K91" s="33">
        <f t="shared" si="14"/>
      </c>
      <c r="L91" s="19">
        <f>IF(A91&lt;=Input!$C$22,IFERROR(INDEX('Data Tanah'!$M$7:$M$47,MATCH(A91,'Data Tanah'!$B$7:$B$47,1)),0),NA())</f>
      </c>
      <c r="M91" s="32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30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30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30">
        <f t="shared" si="12"/>
      </c>
      <c r="H92" s="30">
        <f>IF(A92&lt;=Input!$C$22,NA(),E92/Input!$C$45-F92-G92)</f>
      </c>
      <c r="I92" s="25">
        <f t="shared" si="13"/>
      </c>
      <c r="J92" s="25">
        <f>Input!$C$50</f>
      </c>
      <c r="K92" s="13">
        <f t="shared" si="14"/>
      </c>
      <c r="L92" s="9">
        <f>IF(A92&lt;=Input!$C$22,IFERROR(INDEX('Data Tanah'!$M$7:$M$47,MATCH(A92,'Data Tanah'!$B$7:$B$47,1)),0),NA())</f>
      </c>
      <c r="M92" s="25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1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1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1">
        <f t="shared" si="12"/>
      </c>
      <c r="H93" s="31">
        <f>IF(A93&lt;=Input!$C$22,NA(),E93/Input!$C$45-F93-G93)</f>
      </c>
      <c r="I93" s="32">
        <f t="shared" si="13"/>
      </c>
      <c r="J93" s="32">
        <f>Input!$C$50</f>
      </c>
      <c r="K93" s="33">
        <f t="shared" si="14"/>
      </c>
      <c r="L93" s="19">
        <f>IF(A93&lt;=Input!$C$22,IFERROR(INDEX('Data Tanah'!$M$7:$M$47,MATCH(A93,'Data Tanah'!$B$7:$B$47,1)),0),NA())</f>
      </c>
      <c r="M93" s="32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30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30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30">
        <f t="shared" si="12"/>
      </c>
      <c r="H94" s="30">
        <f>IF(A94&lt;=Input!$C$22,NA(),E94/Input!$C$45-F94-G94)</f>
      </c>
      <c r="I94" s="25">
        <f t="shared" si="13"/>
      </c>
      <c r="J94" s="25">
        <f>Input!$C$50</f>
      </c>
      <c r="K94" s="13">
        <f t="shared" si="14"/>
      </c>
      <c r="L94" s="9">
        <f>IF(A94&lt;=Input!$C$22,IFERROR(INDEX('Data Tanah'!$M$7:$M$47,MATCH(A94,'Data Tanah'!$B$7:$B$47,1)),0),NA())</f>
      </c>
      <c r="M94" s="25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1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1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1">
        <f t="shared" si="12"/>
      </c>
      <c r="H95" s="31">
        <f>IF(A95&lt;=Input!$C$22,NA(),E95/Input!$C$45-F95-G95)</f>
      </c>
      <c r="I95" s="32">
        <f t="shared" si="13"/>
      </c>
      <c r="J95" s="32">
        <f>Input!$C$50</f>
      </c>
      <c r="K95" s="33">
        <f t="shared" si="14"/>
      </c>
      <c r="L95" s="19">
        <f>IF(A95&lt;=Input!$C$22,IFERROR(INDEX('Data Tanah'!$M$7:$M$47,MATCH(A95,'Data Tanah'!$B$7:$B$47,1)),0),NA())</f>
      </c>
      <c r="M95" s="32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30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30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30">
        <f t="shared" si="12"/>
      </c>
      <c r="H96" s="30">
        <f>IF(A96&lt;=Input!$C$22,NA(),E96/Input!$C$45-F96-G96)</f>
      </c>
      <c r="I96" s="25">
        <f t="shared" si="13"/>
      </c>
      <c r="J96" s="25">
        <f>Input!$C$50</f>
      </c>
      <c r="K96" s="13">
        <f t="shared" si="14"/>
      </c>
      <c r="L96" s="9">
        <f>IF(A96&lt;=Input!$C$22,IFERROR(INDEX('Data Tanah'!$M$7:$M$47,MATCH(A96,'Data Tanah'!$B$7:$B$47,1)),0),NA())</f>
      </c>
      <c r="M96" s="25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1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1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1">
        <f t="shared" si="12"/>
      </c>
      <c r="H97" s="31">
        <f>IF(A97&lt;=Input!$C$22,NA(),E97/Input!$C$45-F97-G97)</f>
      </c>
      <c r="I97" s="32">
        <f t="shared" si="13"/>
      </c>
      <c r="J97" s="32">
        <f>Input!$C$50</f>
      </c>
      <c r="K97" s="33">
        <f t="shared" si="14"/>
      </c>
      <c r="L97" s="19">
        <f>IF(A97&lt;=Input!$C$22,IFERROR(INDEX('Data Tanah'!$M$7:$M$47,MATCH(A97,'Data Tanah'!$B$7:$B$47,1)),0),NA())</f>
      </c>
      <c r="M97" s="32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30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30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30">
        <f t="shared" si="12"/>
      </c>
      <c r="H98" s="30">
        <f>IF(A98&lt;=Input!$C$22,NA(),E98/Input!$C$45-F98-G98)</f>
      </c>
      <c r="I98" s="25">
        <f t="shared" si="13"/>
      </c>
      <c r="J98" s="25">
        <f>Input!$C$50</f>
      </c>
      <c r="K98" s="13">
        <f t="shared" si="14"/>
      </c>
      <c r="L98" s="9">
        <f>IF(A98&lt;=Input!$C$22,IFERROR(INDEX('Data Tanah'!$M$7:$M$47,MATCH(A98,'Data Tanah'!$B$7:$B$47,1)),0),NA())</f>
      </c>
      <c r="M98" s="25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1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1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1">
        <f t="shared" si="12"/>
      </c>
      <c r="H99" s="31">
        <f>IF(A99&lt;=Input!$C$22,NA(),E99/Input!$C$45-F99-G99)</f>
      </c>
      <c r="I99" s="32">
        <f t="shared" si="13"/>
      </c>
      <c r="J99" s="32">
        <f>Input!$C$50</f>
      </c>
      <c r="K99" s="33">
        <f t="shared" si="14"/>
      </c>
      <c r="L99" s="19">
        <f>IF(A99&lt;=Input!$C$22,IFERROR(INDEX('Data Tanah'!$M$7:$M$47,MATCH(A99,'Data Tanah'!$B$7:$B$47,1)),0),NA())</f>
      </c>
      <c r="M99" s="32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30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30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30">
        <f t="shared" si="12"/>
      </c>
      <c r="H100" s="30">
        <f>IF(A100&lt;=Input!$C$22,NA(),E100/Input!$C$45-F100-G100)</f>
      </c>
      <c r="I100" s="25">
        <f t="shared" si="13"/>
      </c>
      <c r="J100" s="25">
        <f>Input!$C$50</f>
      </c>
      <c r="K100" s="13">
        <f t="shared" si="14"/>
      </c>
      <c r="L100" s="9">
        <f>IF(A100&lt;=Input!$C$22,IFERROR(INDEX('Data Tanah'!$M$7:$M$47,MATCH(A100,'Data Tanah'!$B$7:$B$47,1)),0),NA())</f>
      </c>
      <c r="M100" s="25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1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1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1">
        <f t="shared" si="12"/>
      </c>
      <c r="H101" s="31">
        <f>IF(A101&lt;=Input!$C$22,NA(),E101/Input!$C$45-F101-G101)</f>
      </c>
      <c r="I101" s="32">
        <f t="shared" si="13"/>
      </c>
      <c r="J101" s="32">
        <f>Input!$C$50</f>
      </c>
      <c r="K101" s="33">
        <f t="shared" si="14"/>
      </c>
      <c r="L101" s="19">
        <f>IF(A101&lt;=Input!$C$22,IFERROR(INDEX('Data Tanah'!$M$7:$M$47,MATCH(A101,'Data Tanah'!$B$7:$B$47,1)),0),NA())</f>
      </c>
      <c r="M101" s="32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30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30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30">
        <f t="shared" si="12"/>
      </c>
      <c r="H102" s="30">
        <f>IF(A102&lt;=Input!$C$22,NA(),E102/Input!$C$45-F102-G102)</f>
      </c>
      <c r="I102" s="25">
        <f t="shared" si="13"/>
      </c>
      <c r="J102" s="25">
        <f>Input!$C$50</f>
      </c>
      <c r="K102" s="13">
        <f t="shared" si="14"/>
      </c>
      <c r="L102" s="9">
        <f>IF(A102&lt;=Input!$C$22,IFERROR(INDEX('Data Tanah'!$M$7:$M$47,MATCH(A102,'Data Tanah'!$B$7:$B$47,1)),0),NA())</f>
      </c>
      <c r="M102" s="25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1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1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1">
        <f t="shared" si="12"/>
      </c>
      <c r="H103" s="31">
        <f>IF(A103&lt;=Input!$C$22,NA(),E103/Input!$C$45-F103-G103)</f>
      </c>
      <c r="I103" s="32">
        <f t="shared" si="13"/>
      </c>
      <c r="J103" s="32">
        <f>Input!$C$50</f>
      </c>
      <c r="K103" s="33">
        <f t="shared" si="14"/>
      </c>
      <c r="L103" s="19">
        <f>IF(A103&lt;=Input!$C$22,IFERROR(INDEX('Data Tanah'!$M$7:$M$47,MATCH(A103,'Data Tanah'!$B$7:$B$47,1)),0),NA())</f>
      </c>
      <c r="M103" s="32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30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30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30">
        <f t="shared" si="12"/>
      </c>
      <c r="H104" s="30">
        <f>IF(A104&lt;=Input!$C$22,NA(),E104/Input!$C$45-F104-G104)</f>
      </c>
      <c r="I104" s="25">
        <f t="shared" si="13"/>
      </c>
      <c r="J104" s="25">
        <f>Input!$C$50</f>
      </c>
      <c r="K104" s="13">
        <f t="shared" si="14"/>
      </c>
      <c r="L104" s="9">
        <f>IF(A104&lt;=Input!$C$22,IFERROR(INDEX('Data Tanah'!$M$7:$M$47,MATCH(A104,'Data Tanah'!$B$7:$B$47,1)),0),NA())</f>
      </c>
      <c r="M104" s="25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1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1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1">
        <f t="shared" si="12"/>
      </c>
      <c r="H105" s="31">
        <f>IF(A105&lt;=Input!$C$22,NA(),E105/Input!$C$45-F105-G105)</f>
      </c>
      <c r="I105" s="32">
        <f t="shared" si="13"/>
      </c>
      <c r="J105" s="32">
        <f>Input!$C$50</f>
      </c>
      <c r="K105" s="33">
        <f t="shared" si="14"/>
      </c>
      <c r="L105" s="19">
        <f>IF(A105&lt;=Input!$C$22,IFERROR(INDEX('Data Tanah'!$M$7:$M$47,MATCH(A105,'Data Tanah'!$B$7:$B$47,1)),0),NA())</f>
      </c>
      <c r="M105" s="32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30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30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30">
        <f t="shared" si="12"/>
      </c>
      <c r="H106" s="30">
        <f>IF(A106&lt;=Input!$C$22,NA(),E106/Input!$C$45-F106-G106)</f>
      </c>
      <c r="I106" s="25">
        <f t="shared" si="13"/>
      </c>
      <c r="J106" s="25">
        <f>Input!$C$50</f>
      </c>
      <c r="K106" s="13">
        <f t="shared" si="14"/>
      </c>
      <c r="L106" s="9">
        <f>IF(A106&lt;=Input!$C$22,IFERROR(INDEX('Data Tanah'!$M$7:$M$47,MATCH(A106,'Data Tanah'!$B$7:$B$47,1)),0),NA())</f>
      </c>
      <c r="M106" s="25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1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1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1">
        <f t="shared" si="12"/>
      </c>
      <c r="H107" s="31">
        <f>IF(A107&lt;=Input!$C$22,NA(),E107/Input!$C$45-F107-G107)</f>
      </c>
      <c r="I107" s="32">
        <f t="shared" si="13"/>
      </c>
      <c r="J107" s="32">
        <f>Input!$C$50</f>
      </c>
      <c r="K107" s="33">
        <f t="shared" si="14"/>
      </c>
      <c r="L107" s="19">
        <f>IF(A107&lt;=Input!$C$22,IFERROR(INDEX('Data Tanah'!$M$7:$M$47,MATCH(A107,'Data Tanah'!$B$7:$B$47,1)),0),NA())</f>
      </c>
      <c r="M107" s="32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30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30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30">
        <f t="shared" ref="G108:G127" si="18">$D$127</f>
      </c>
      <c r="H108" s="30">
        <f>IF(A108&lt;=Input!$C$22,NA(),E108/Input!$C$45-F108-G108)</f>
      </c>
      <c r="I108" s="25">
        <f t="shared" ref="I108:I127" si="19">IFERROR(H108*9.81,NA())</f>
      </c>
      <c r="J108" s="25">
        <f>Input!$C$50</f>
      </c>
      <c r="K108" s="13">
        <f t="shared" ref="K108:K126" si="20">AND(IFERROR(I108&gt;=J108,FALSE),K109)</f>
      </c>
      <c r="L108" s="9">
        <f>IF(A108&lt;=Input!$C$22,IFERROR(INDEX('Data Tanah'!$M$7:$M$47,MATCH(A108,'Data Tanah'!$B$7:$B$47,1)),0),NA())</f>
      </c>
      <c r="M108" s="25">
        <f t="shared" ref="M108:M127" si="21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1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1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1">
        <f t="shared" si="18"/>
      </c>
      <c r="H109" s="31">
        <f>IF(A109&lt;=Input!$C$22,NA(),E109/Input!$C$45-F109-G109)</f>
      </c>
      <c r="I109" s="32">
        <f t="shared" si="19"/>
      </c>
      <c r="J109" s="32">
        <f>Input!$C$50</f>
      </c>
      <c r="K109" s="33">
        <f t="shared" si="20"/>
      </c>
      <c r="L109" s="19">
        <f>IF(A109&lt;=Input!$C$22,IFERROR(INDEX('Data Tanah'!$M$7:$M$47,MATCH(A109,'Data Tanah'!$B$7:$B$47,1)),0),NA())</f>
      </c>
      <c r="M109" s="32">
        <f t="shared" si="21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30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30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30">
        <f t="shared" si="18"/>
      </c>
      <c r="H110" s="30">
        <f>IF(A110&lt;=Input!$C$22,NA(),E110/Input!$C$45-F110-G110)</f>
      </c>
      <c r="I110" s="25">
        <f t="shared" si="19"/>
      </c>
      <c r="J110" s="25">
        <f>Input!$C$50</f>
      </c>
      <c r="K110" s="13">
        <f t="shared" si="20"/>
      </c>
      <c r="L110" s="9">
        <f>IF(A110&lt;=Input!$C$22,IFERROR(INDEX('Data Tanah'!$M$7:$M$47,MATCH(A110,'Data Tanah'!$B$7:$B$47,1)),0),NA())</f>
      </c>
      <c r="M110" s="25">
        <f t="shared" si="21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1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1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1">
        <f t="shared" si="18"/>
      </c>
      <c r="H111" s="31">
        <f>IF(A111&lt;=Input!$C$22,NA(),E111/Input!$C$45-F111-G111)</f>
      </c>
      <c r="I111" s="32">
        <f t="shared" si="19"/>
      </c>
      <c r="J111" s="32">
        <f>Input!$C$50</f>
      </c>
      <c r="K111" s="33">
        <f t="shared" si="20"/>
      </c>
      <c r="L111" s="19">
        <f>IF(A111&lt;=Input!$C$22,IFERROR(INDEX('Data Tanah'!$M$7:$M$47,MATCH(A111,'Data Tanah'!$B$7:$B$47,1)),0),NA())</f>
      </c>
      <c r="M111" s="32">
        <f t="shared" si="21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30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30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30">
        <f t="shared" si="18"/>
      </c>
      <c r="H112" s="30">
        <f>IF(A112&lt;=Input!$C$22,NA(),E112/Input!$C$45-F112-G112)</f>
      </c>
      <c r="I112" s="25">
        <f t="shared" si="19"/>
      </c>
      <c r="J112" s="25">
        <f>Input!$C$50</f>
      </c>
      <c r="K112" s="13">
        <f t="shared" si="20"/>
      </c>
      <c r="L112" s="9">
        <f>IF(A112&lt;=Input!$C$22,IFERROR(INDEX('Data Tanah'!$M$7:$M$47,MATCH(A112,'Data Tanah'!$B$7:$B$47,1)),0),NA())</f>
      </c>
      <c r="M112" s="25">
        <f t="shared" si="21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1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1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1">
        <f t="shared" si="18"/>
      </c>
      <c r="H113" s="31">
        <f>IF(A113&lt;=Input!$C$22,NA(),E113/Input!$C$45-F113-G113)</f>
      </c>
      <c r="I113" s="32">
        <f t="shared" si="19"/>
      </c>
      <c r="J113" s="32">
        <f>Input!$C$50</f>
      </c>
      <c r="K113" s="33">
        <f t="shared" si="20"/>
      </c>
      <c r="L113" s="19">
        <f>IF(A113&lt;=Input!$C$22,IFERROR(INDEX('Data Tanah'!$M$7:$M$47,MATCH(A113,'Data Tanah'!$B$7:$B$47,1)),0),NA())</f>
      </c>
      <c r="M113" s="32">
        <f t="shared" si="21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30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30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30">
        <f t="shared" si="18"/>
      </c>
      <c r="H114" s="30">
        <f>IF(A114&lt;=Input!$C$22,NA(),E114/Input!$C$45-F114-G114)</f>
      </c>
      <c r="I114" s="25">
        <f t="shared" si="19"/>
      </c>
      <c r="J114" s="25">
        <f>Input!$C$50</f>
      </c>
      <c r="K114" s="13">
        <f t="shared" si="20"/>
      </c>
      <c r="L114" s="9">
        <f>IF(A114&lt;=Input!$C$22,IFERROR(INDEX('Data Tanah'!$M$7:$M$47,MATCH(A114,'Data Tanah'!$B$7:$B$47,1)),0),NA())</f>
      </c>
      <c r="M114" s="25">
        <f t="shared" si="21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1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1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1">
        <f t="shared" si="18"/>
      </c>
      <c r="H115" s="31">
        <f>IF(A115&lt;=Input!$C$22,NA(),E115/Input!$C$45-F115-G115)</f>
      </c>
      <c r="I115" s="32">
        <f t="shared" si="19"/>
      </c>
      <c r="J115" s="32">
        <f>Input!$C$50</f>
      </c>
      <c r="K115" s="33">
        <f t="shared" si="20"/>
      </c>
      <c r="L115" s="19">
        <f>IF(A115&lt;=Input!$C$22,IFERROR(INDEX('Data Tanah'!$M$7:$M$47,MATCH(A115,'Data Tanah'!$B$7:$B$47,1)),0),NA())</f>
      </c>
      <c r="M115" s="32">
        <f t="shared" si="21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30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30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30">
        <f t="shared" si="18"/>
      </c>
      <c r="H116" s="30">
        <f>IF(A116&lt;=Input!$C$22,NA(),E116/Input!$C$45-F116-G116)</f>
      </c>
      <c r="I116" s="25">
        <f t="shared" si="19"/>
      </c>
      <c r="J116" s="25">
        <f>Input!$C$50</f>
      </c>
      <c r="K116" s="13">
        <f t="shared" si="20"/>
      </c>
      <c r="L116" s="9">
        <f>IF(A116&lt;=Input!$C$22,IFERROR(INDEX('Data Tanah'!$M$7:$M$47,MATCH(A116,'Data Tanah'!$B$7:$B$47,1)),0),NA())</f>
      </c>
      <c r="M116" s="25">
        <f t="shared" si="21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1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1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1">
        <f t="shared" si="18"/>
      </c>
      <c r="H117" s="31">
        <f>IF(A117&lt;=Input!$C$22,NA(),E117/Input!$C$45-F117-G117)</f>
      </c>
      <c r="I117" s="32">
        <f t="shared" si="19"/>
      </c>
      <c r="J117" s="32">
        <f>Input!$C$50</f>
      </c>
      <c r="K117" s="33">
        <f t="shared" si="20"/>
      </c>
      <c r="L117" s="19">
        <f>IF(A117&lt;=Input!$C$22,IFERROR(INDEX('Data Tanah'!$M$7:$M$47,MATCH(A117,'Data Tanah'!$B$7:$B$47,1)),0),NA())</f>
      </c>
      <c r="M117" s="32">
        <f t="shared" si="21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30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30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30">
        <f t="shared" si="18"/>
      </c>
      <c r="H118" s="30">
        <f>IF(A118&lt;=Input!$C$22,NA(),E118/Input!$C$45-F118-G118)</f>
      </c>
      <c r="I118" s="25">
        <f t="shared" si="19"/>
      </c>
      <c r="J118" s="25">
        <f>Input!$C$50</f>
      </c>
      <c r="K118" s="13">
        <f t="shared" si="20"/>
      </c>
      <c r="L118" s="9">
        <f>IF(A118&lt;=Input!$C$22,IFERROR(INDEX('Data Tanah'!$M$7:$M$47,MATCH(A118,'Data Tanah'!$B$7:$B$47,1)),0),NA())</f>
      </c>
      <c r="M118" s="25">
        <f t="shared" si="21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1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1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1">
        <f t="shared" si="18"/>
      </c>
      <c r="H119" s="31">
        <f>IF(A119&lt;=Input!$C$22,NA(),E119/Input!$C$45-F119-G119)</f>
      </c>
      <c r="I119" s="32">
        <f t="shared" si="19"/>
      </c>
      <c r="J119" s="32">
        <f>Input!$C$50</f>
      </c>
      <c r="K119" s="33">
        <f t="shared" si="20"/>
      </c>
      <c r="L119" s="19">
        <f>IF(A119&lt;=Input!$C$22,IFERROR(INDEX('Data Tanah'!$M$7:$M$47,MATCH(A119,'Data Tanah'!$B$7:$B$47,1)),0),NA())</f>
      </c>
      <c r="M119" s="32">
        <f t="shared" si="21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30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30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30">
        <f t="shared" si="18"/>
      </c>
      <c r="H120" s="30">
        <f>IF(A120&lt;=Input!$C$22,NA(),E120/Input!$C$45-F120-G120)</f>
      </c>
      <c r="I120" s="25">
        <f t="shared" si="19"/>
      </c>
      <c r="J120" s="25">
        <f>Input!$C$50</f>
      </c>
      <c r="K120" s="13">
        <f t="shared" si="20"/>
      </c>
      <c r="L120" s="9">
        <f>IF(A120&lt;=Input!$C$22,IFERROR(INDEX('Data Tanah'!$M$7:$M$47,MATCH(A120,'Data Tanah'!$B$7:$B$47,1)),0),NA())</f>
      </c>
      <c r="M120" s="25">
        <f t="shared" si="21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1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1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1">
        <f t="shared" si="18"/>
      </c>
      <c r="H121" s="31">
        <f>IF(A121&lt;=Input!$C$22,NA(),E121/Input!$C$45-F121-G121)</f>
      </c>
      <c r="I121" s="32">
        <f t="shared" si="19"/>
      </c>
      <c r="J121" s="32">
        <f>Input!$C$50</f>
      </c>
      <c r="K121" s="33">
        <f t="shared" si="20"/>
      </c>
      <c r="L121" s="19">
        <f>IF(A121&lt;=Input!$C$22,IFERROR(INDEX('Data Tanah'!$M$7:$M$47,MATCH(A121,'Data Tanah'!$B$7:$B$47,1)),0),NA())</f>
      </c>
      <c r="M121" s="32">
        <f t="shared" si="21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30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30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30">
        <f t="shared" si="18"/>
      </c>
      <c r="H122" s="30">
        <f>IF(A122&lt;=Input!$C$22,NA(),E122/Input!$C$45-F122-G122)</f>
      </c>
      <c r="I122" s="25">
        <f t="shared" si="19"/>
      </c>
      <c r="J122" s="25">
        <f>Input!$C$50</f>
      </c>
      <c r="K122" s="13">
        <f t="shared" si="20"/>
      </c>
      <c r="L122" s="9">
        <f>IF(A122&lt;=Input!$C$22,IFERROR(INDEX('Data Tanah'!$M$7:$M$47,MATCH(A122,'Data Tanah'!$B$7:$B$47,1)),0),NA())</f>
      </c>
      <c r="M122" s="25">
        <f t="shared" si="21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1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1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1">
        <f t="shared" si="18"/>
      </c>
      <c r="H123" s="31">
        <f>IF(A123&lt;=Input!$C$22,NA(),E123/Input!$C$45-F123-G123)</f>
      </c>
      <c r="I123" s="32">
        <f t="shared" si="19"/>
      </c>
      <c r="J123" s="32">
        <f>Input!$C$50</f>
      </c>
      <c r="K123" s="33">
        <f t="shared" si="20"/>
      </c>
      <c r="L123" s="19">
        <f>IF(A123&lt;=Input!$C$22,IFERROR(INDEX('Data Tanah'!$M$7:$M$47,MATCH(A123,'Data Tanah'!$B$7:$B$47,1)),0),NA())</f>
      </c>
      <c r="M123" s="32">
        <f t="shared" si="21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30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30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30">
        <f t="shared" si="18"/>
      </c>
      <c r="H124" s="30">
        <f>IF(A124&lt;=Input!$C$22,NA(),E124/Input!$C$45-F124-G124)</f>
      </c>
      <c r="I124" s="25">
        <f t="shared" si="19"/>
      </c>
      <c r="J124" s="25">
        <f>Input!$C$50</f>
      </c>
      <c r="K124" s="13">
        <f t="shared" si="20"/>
      </c>
      <c r="L124" s="9">
        <f>IF(A124&lt;=Input!$C$22,IFERROR(INDEX('Data Tanah'!$M$7:$M$47,MATCH(A124,'Data Tanah'!$B$7:$B$47,1)),0),NA())</f>
      </c>
      <c r="M124" s="25">
        <f t="shared" si="21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1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1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1">
        <f t="shared" si="18"/>
      </c>
      <c r="H125" s="31">
        <f>IF(A125&lt;=Input!$C$22,NA(),E125/Input!$C$45-F125-G125)</f>
      </c>
      <c r="I125" s="32">
        <f t="shared" si="19"/>
      </c>
      <c r="J125" s="32">
        <f>Input!$C$50</f>
      </c>
      <c r="K125" s="33">
        <f t="shared" si="20"/>
      </c>
      <c r="L125" s="19">
        <f>IF(A125&lt;=Input!$C$22,IFERROR(INDEX('Data Tanah'!$M$7:$M$47,MATCH(A125,'Data Tanah'!$B$7:$B$47,1)),0),NA())</f>
      </c>
      <c r="M125" s="32">
        <f t="shared" si="21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30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30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30">
        <f t="shared" si="18"/>
      </c>
      <c r="H126" s="30">
        <f>IF(A126&lt;=Input!$C$22,NA(),E126/Input!$C$45-F126-G126)</f>
      </c>
      <c r="I126" s="25">
        <f t="shared" si="19"/>
      </c>
      <c r="J126" s="25">
        <f>Input!$C$50</f>
      </c>
      <c r="K126" s="13">
        <f t="shared" si="20"/>
      </c>
      <c r="L126" s="9">
        <f>IF(A126&lt;=Input!$C$22,IFERROR(INDEX('Data Tanah'!$M$7:$M$47,MATCH(A126,'Data Tanah'!$B$7:$B$47,1)),0),NA())</f>
      </c>
      <c r="M126" s="25">
        <f t="shared" si="21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1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1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1">
        <f t="shared" si="18"/>
      </c>
      <c r="H127" s="31">
        <f>IF(A127&lt;=Input!$C$22,NA(),E127/Input!$C$45-F127-G127)</f>
      </c>
      <c r="I127" s="32">
        <f t="shared" si="19"/>
      </c>
      <c r="J127" s="32">
        <f>Input!$C$50</f>
      </c>
      <c r="K127" s="33">
        <f>IFERROR(I127&gt;=J127,FALSE)</f>
      </c>
      <c r="L127" s="19">
        <f>IF(A127&lt;=Input!$C$22,IFERROR(INDEX('Data Tanah'!$M$7:$M$47,MATCH(A127,'Data Tanah'!$B$7:$B$47,1)),0),NA())</f>
      </c>
      <c r="M127" s="32">
        <f t="shared" si="21"/>
      </c>
      <c r="N127">
        <f t="shared" si="16"/>
      </c>
    </row>
    <row r="129" spans="1:1" x14ac:dyDescent="0.25">
      <c r="A129" s="1" t="s">
        <v>152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zoomScale="70" zoomScaleNormal="70" workbookViewId="0">
      <selection activeCell="O26" sqref="O26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3</v>
      </c>
      <c r="B5" s="3"/>
      <c r="C5" s="3"/>
      <c r="D5" s="3"/>
      <c r="E5" s="3"/>
      <c r="R5" s="23" t="s">
        <v>4</v>
      </c>
      <c r="S5" s="23"/>
    </row>
    <row r="6" spans="1:19" ht="30" customHeight="1" x14ac:dyDescent="0.25">
      <c r="A6" s="15" t="s">
        <v>5</v>
      </c>
      <c r="B6" s="15" t="s">
        <v>6</v>
      </c>
      <c r="C6" s="15" t="s">
        <v>7</v>
      </c>
      <c r="D6" s="15" t="s">
        <v>8</v>
      </c>
      <c r="E6" s="15" t="s">
        <v>9</v>
      </c>
      <c r="R6" s="23" t="s">
        <v>10</v>
      </c>
      <c r="S6" s="23"/>
    </row>
    <row r="7" spans="1:19" x14ac:dyDescent="0.25">
      <c r="A7" s="24" t="s">
        <v>11</v>
      </c>
      <c r="B7" s="25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3">
        <f>Input!$C$48/10</f>
      </c>
      <c r="S7" s="23">
        <v>0</v>
      </c>
    </row>
    <row r="8" spans="1:19" x14ac:dyDescent="0.25">
      <c r="A8" s="24" t="s">
        <v>12</v>
      </c>
      <c r="B8" s="25">
        <f>Input!$C$49</f>
      </c>
      <c r="C8" s="9">
        <f>Input!$C$44</f>
      </c>
      <c r="D8" s="9">
        <f>'Kap. Likuefaksi'!E5</f>
      </c>
      <c r="E8" s="9">
        <f>IF(ISNUMBER(D8),D8-Input!$C$11,"-")</f>
      </c>
      <c r="R8" s="23">
        <f>Input!$C$48/10</f>
      </c>
      <c r="S8" s="23">
        <v>65</v>
      </c>
    </row>
    <row r="9" spans="1:19" x14ac:dyDescent="0.25">
      <c r="A9" s="24" t="s">
        <v>13</v>
      </c>
      <c r="B9" s="25">
        <f>Input!$C$50</f>
      </c>
      <c r="C9" s="9">
        <f>Input!$C$45</f>
      </c>
      <c r="D9" s="9">
        <f>Downdrag!E5</f>
      </c>
      <c r="E9" s="9">
        <f>IF(ISNUMBER(D9),D9-Input!$C$11,"-")</f>
      </c>
      <c r="R9" s="23" t="s">
        <v>14</v>
      </c>
      <c r="S9" s="23"/>
    </row>
    <row r="10" spans="1:19" x14ac:dyDescent="0.25">
      <c r="A10" s="26" t="s">
        <v>15</v>
      </c>
      <c r="B10" s="27"/>
      <c r="C10" s="27"/>
      <c r="D10" s="27">
        <f>IF(COUNT(D7:D9)=3,MAX(D7:D9),"&gt; data")</f>
      </c>
      <c r="E10" s="27">
        <f>IF(ISNUMBER(D10),D10-Input!$C$11,"-")</f>
      </c>
      <c r="R10" s="23">
        <f>Input!$C$49/10</f>
      </c>
      <c r="S10" s="23">
        <v>0</v>
      </c>
    </row>
    <row r="11" spans="1:19" x14ac:dyDescent="0.25">
      <c r="R11" s="23">
        <f>Input!$C$49/10</f>
      </c>
      <c r="S11" s="23">
        <v>65</v>
      </c>
    </row>
    <row r="12" spans="1:19" x14ac:dyDescent="0.25">
      <c r="A12" s="28">
        <f>INDEX(A7:A9,MATCH(D10,D7:D9,0))</f>
      </c>
      <c r="B12" s="28" t="s">
        <v>16</v>
      </c>
      <c r="R12" s="23" t="s">
        <v>19</v>
      </c>
      <c r="S12" s="23"/>
    </row>
    <row r="13" spans="1:19" x14ac:dyDescent="0.25">
      <c r="A13" s="4" t="s">
        <v>17</v>
      </c>
      <c r="B13" s="29">
        <f>Downdrag!E6</f>
      </c>
      <c r="C13" s="4" t="s">
        <v>18</v>
      </c>
      <c r="R13" s="23">
        <f>Input!$C$50/10</f>
      </c>
      <c r="S13" s="23">
        <v>0</v>
      </c>
    </row>
    <row r="14" spans="1:19" x14ac:dyDescent="0.25">
      <c r="R14" s="23">
        <f>Input!$C$50/10</f>
      </c>
      <c r="S14" s="23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2026-10-06T07:43:26Z</dcterms:modified>
</cp:coreProperties>
</file>